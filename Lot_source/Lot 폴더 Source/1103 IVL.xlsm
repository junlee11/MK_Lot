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3.xml" ContentType="application/vnd.openxmlformats-officedocument.drawing+xml"/>
  <Override PartName="/xl/charts/chart17.xml" ContentType="application/vnd.openxmlformats-officedocument.drawingml.chart+xml"/>
  <Override PartName="/xl/theme/themeOverride1.xml" ContentType="application/vnd.openxmlformats-officedocument.themeOverride+xml"/>
  <Override PartName="/xl/charts/chart18.xml" ContentType="application/vnd.openxmlformats-officedocument.drawingml.chart+xml"/>
  <Override PartName="/xl/theme/themeOverride2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10.31.58.50\공유폴더\08. 신규 증착기\5. 매크로용\Lot 폴더 Source\"/>
    </mc:Choice>
  </mc:AlternateContent>
  <bookViews>
    <workbookView xWindow="0" yWindow="0" windowWidth="28800" windowHeight="12285" tabRatio="597"/>
  </bookViews>
  <sheets>
    <sheet name="Report1" sheetId="547" r:id="rId1"/>
    <sheet name="Plot" sheetId="959" r:id="rId2"/>
    <sheet name="Structure" sheetId="958" r:id="rId3"/>
    <sheet name="IV" sheetId="962" r:id="rId4"/>
    <sheet name="IVL" sheetId="963" r:id="rId5"/>
    <sheet name="Settings" sheetId="957" r:id="rId6"/>
    <sheet name="Sheet1" sheetId="965" r:id="rId7"/>
  </sheets>
  <functionGroups builtInGroupCount="18"/>
  <definedNames>
    <definedName name="_xlnm._FilterDatabase" localSheetId="0" hidden="1">Report1!$F$30:$P$37</definedName>
    <definedName name="_xlnm._FilterDatabase" localSheetId="5" hidden="1">Settings!$S$4:$S$23</definedName>
    <definedName name="Cells">Report1!$A$1</definedName>
    <definedName name="_xlnm.Print_Area" localSheetId="0">Report1!$A$1:$AI$56</definedName>
    <definedName name="RunLot">Report1!$A$1</definedName>
    <definedName name="목적">#REF!</definedName>
  </definedNames>
  <calcPr calcId="162913"/>
</workbook>
</file>

<file path=xl/calcChain.xml><?xml version="1.0" encoding="utf-8"?>
<calcChain xmlns="http://schemas.openxmlformats.org/spreadsheetml/2006/main">
  <c r="H2" i="957" l="1"/>
  <c r="AA31" i="957" l="1"/>
  <c r="T65" i="547" l="1"/>
  <c r="T33" i="547"/>
  <c r="T41" i="547"/>
  <c r="T49" i="547"/>
  <c r="T57" i="547"/>
  <c r="T73" i="547"/>
  <c r="T81" i="547"/>
  <c r="T25" i="547"/>
  <c r="T17" i="547"/>
  <c r="U81" i="547"/>
  <c r="U73" i="547"/>
  <c r="U65" i="547"/>
  <c r="U57" i="547"/>
  <c r="U49" i="547"/>
  <c r="U41" i="547"/>
  <c r="U33" i="547"/>
  <c r="U25" i="547"/>
  <c r="U17" i="547"/>
  <c r="T86" i="547"/>
  <c r="U86" i="547"/>
  <c r="T87" i="547"/>
  <c r="T88" i="547" s="1"/>
  <c r="U87" i="547"/>
  <c r="U88" i="547" s="1"/>
  <c r="V87" i="547"/>
  <c r="V88" i="547" s="1"/>
  <c r="V86" i="547"/>
  <c r="T78" i="547"/>
  <c r="U78" i="547"/>
  <c r="T79" i="547"/>
  <c r="U79" i="547"/>
  <c r="V79" i="547"/>
  <c r="V78" i="547"/>
  <c r="T70" i="547"/>
  <c r="U70" i="547"/>
  <c r="T71" i="547"/>
  <c r="U71" i="547"/>
  <c r="V71" i="547"/>
  <c r="T82" i="547"/>
  <c r="U82" i="547"/>
  <c r="T83" i="547"/>
  <c r="U83" i="547"/>
  <c r="T84" i="547"/>
  <c r="U84" i="547"/>
  <c r="T85" i="547"/>
  <c r="U85" i="547"/>
  <c r="V83" i="547"/>
  <c r="V84" i="547"/>
  <c r="V85" i="547"/>
  <c r="V82" i="547"/>
  <c r="T74" i="547"/>
  <c r="U74" i="547"/>
  <c r="T75" i="547"/>
  <c r="U75" i="547"/>
  <c r="T76" i="547"/>
  <c r="U76" i="547"/>
  <c r="T77" i="547"/>
  <c r="U77" i="547"/>
  <c r="V75" i="547"/>
  <c r="V76" i="547"/>
  <c r="V77" i="547"/>
  <c r="V74" i="547"/>
  <c r="T66" i="547"/>
  <c r="U66" i="547"/>
  <c r="T67" i="547"/>
  <c r="U67" i="547"/>
  <c r="T68" i="547"/>
  <c r="U68" i="547"/>
  <c r="T69" i="547"/>
  <c r="U69" i="547"/>
  <c r="V67" i="547"/>
  <c r="V68" i="547"/>
  <c r="V69" i="547"/>
  <c r="V66" i="547"/>
  <c r="V58" i="547"/>
  <c r="T54" i="547"/>
  <c r="U54" i="547"/>
  <c r="T55" i="547"/>
  <c r="U55" i="547"/>
  <c r="V55" i="547"/>
  <c r="V54" i="547"/>
  <c r="T50" i="547"/>
  <c r="U50" i="547"/>
  <c r="T51" i="547"/>
  <c r="U51" i="547"/>
  <c r="T52" i="547"/>
  <c r="U52" i="547"/>
  <c r="T53" i="547"/>
  <c r="U53" i="547"/>
  <c r="V51" i="547"/>
  <c r="V52" i="547"/>
  <c r="V53" i="547"/>
  <c r="V50" i="547"/>
  <c r="T46" i="547"/>
  <c r="U46" i="547"/>
  <c r="T47" i="547"/>
  <c r="U47" i="547"/>
  <c r="V47" i="547"/>
  <c r="V46" i="547"/>
  <c r="T42" i="547"/>
  <c r="U42" i="547"/>
  <c r="T43" i="547"/>
  <c r="U43" i="547"/>
  <c r="T44" i="547"/>
  <c r="U44" i="547"/>
  <c r="T45" i="547"/>
  <c r="U45" i="547"/>
  <c r="V43" i="547"/>
  <c r="V44" i="547"/>
  <c r="V45" i="547"/>
  <c r="V42" i="547"/>
  <c r="T38" i="547"/>
  <c r="U38" i="547"/>
  <c r="T39" i="547"/>
  <c r="U39" i="547"/>
  <c r="V39" i="547"/>
  <c r="V38" i="547"/>
  <c r="T34" i="547"/>
  <c r="U34" i="547"/>
  <c r="T35" i="547"/>
  <c r="U35" i="547"/>
  <c r="T36" i="547"/>
  <c r="U36" i="547"/>
  <c r="T37" i="547"/>
  <c r="U37" i="547"/>
  <c r="V35" i="547"/>
  <c r="V36" i="547"/>
  <c r="V37" i="547"/>
  <c r="V34" i="547"/>
  <c r="T30" i="547"/>
  <c r="U30" i="547"/>
  <c r="T31" i="547"/>
  <c r="U31" i="547"/>
  <c r="V31" i="547"/>
  <c r="V30" i="547"/>
  <c r="T26" i="547"/>
  <c r="U26" i="547"/>
  <c r="T27" i="547"/>
  <c r="U27" i="547"/>
  <c r="T28" i="547"/>
  <c r="U28" i="547"/>
  <c r="T29" i="547"/>
  <c r="U29" i="547"/>
  <c r="V27" i="547"/>
  <c r="V28" i="547"/>
  <c r="V29" i="547"/>
  <c r="V26" i="547"/>
  <c r="T22" i="547"/>
  <c r="U22" i="547"/>
  <c r="T23" i="547"/>
  <c r="U23" i="547"/>
  <c r="V23" i="547"/>
  <c r="V22" i="547"/>
  <c r="T18" i="547"/>
  <c r="U18" i="547"/>
  <c r="T19" i="547"/>
  <c r="U19" i="547"/>
  <c r="T20" i="547"/>
  <c r="U20" i="547"/>
  <c r="T21" i="547"/>
  <c r="U21" i="547"/>
  <c r="V19" i="547"/>
  <c r="V20" i="547"/>
  <c r="V21" i="547"/>
  <c r="V18" i="547"/>
  <c r="T62" i="547"/>
  <c r="U62" i="547"/>
  <c r="T63" i="547"/>
  <c r="U63" i="547"/>
  <c r="V63" i="547"/>
  <c r="V62" i="547"/>
  <c r="T58" i="547"/>
  <c r="U58" i="547"/>
  <c r="T59" i="547"/>
  <c r="U59" i="547"/>
  <c r="T60" i="547"/>
  <c r="U60" i="547"/>
  <c r="T61" i="547"/>
  <c r="U61" i="547"/>
  <c r="V59" i="547"/>
  <c r="V60" i="547"/>
  <c r="V61" i="547"/>
  <c r="V70" i="547"/>
  <c r="R81" i="547"/>
  <c r="O81" i="547"/>
  <c r="L81" i="547"/>
  <c r="I81" i="547"/>
  <c r="F81" i="547"/>
  <c r="C81" i="547"/>
  <c r="Y18" i="547" l="1"/>
  <c r="Y52" i="547"/>
  <c r="X18" i="547"/>
  <c r="X20" i="547"/>
  <c r="Y53" i="547"/>
  <c r="W53" i="547"/>
  <c r="W19" i="547"/>
  <c r="Y39" i="547"/>
  <c r="X53" i="547"/>
  <c r="Y51" i="547"/>
  <c r="W50" i="547"/>
  <c r="X51" i="547"/>
  <c r="X38" i="547"/>
  <c r="W52" i="547"/>
  <c r="W38" i="547"/>
  <c r="X39" i="547"/>
  <c r="W47" i="547"/>
  <c r="W60" i="547"/>
  <c r="W58" i="547"/>
  <c r="Y46" i="547"/>
  <c r="X58" i="547"/>
  <c r="Y59" i="547"/>
  <c r="Y60" i="547"/>
  <c r="X60" i="547"/>
  <c r="Y70" i="547"/>
  <c r="X61" i="547"/>
  <c r="X59" i="547"/>
  <c r="Y62" i="547"/>
  <c r="X62" i="547"/>
  <c r="Y61" i="547"/>
  <c r="W61" i="547"/>
  <c r="W59" i="547"/>
  <c r="Y63" i="547"/>
  <c r="W62" i="547"/>
  <c r="W55" i="547"/>
  <c r="Y66" i="547"/>
  <c r="X69" i="547"/>
  <c r="X67" i="547"/>
  <c r="Y74" i="547"/>
  <c r="X77" i="547"/>
  <c r="X75" i="547"/>
  <c r="Y82" i="547"/>
  <c r="X85" i="547"/>
  <c r="X83" i="547"/>
  <c r="Y71" i="547"/>
  <c r="W70" i="547"/>
  <c r="W79" i="547"/>
  <c r="Y87" i="547"/>
  <c r="W86" i="547"/>
  <c r="X23" i="547"/>
  <c r="X30" i="547"/>
  <c r="Y31" i="547"/>
  <c r="W39" i="547"/>
  <c r="X46" i="547"/>
  <c r="Y47" i="547"/>
  <c r="W21" i="547"/>
  <c r="X21" i="547"/>
  <c r="Y21" i="547"/>
  <c r="W27" i="547"/>
  <c r="X28" i="547"/>
  <c r="Y29" i="547"/>
  <c r="W35" i="547"/>
  <c r="X36" i="547"/>
  <c r="Y37" i="547"/>
  <c r="W43" i="547"/>
  <c r="X44" i="547"/>
  <c r="Y45" i="547"/>
  <c r="W51" i="547"/>
  <c r="X52" i="547"/>
  <c r="X55" i="547"/>
  <c r="Y58" i="547"/>
  <c r="Y67" i="547"/>
  <c r="W68" i="547"/>
  <c r="W66" i="547"/>
  <c r="Y75" i="547"/>
  <c r="W76" i="547"/>
  <c r="W74" i="547"/>
  <c r="Y83" i="547"/>
  <c r="W84" i="547"/>
  <c r="W82" i="547"/>
  <c r="X70" i="547"/>
  <c r="X79" i="547"/>
  <c r="Y86" i="547"/>
  <c r="X86" i="547"/>
  <c r="X22" i="547"/>
  <c r="W30" i="547"/>
  <c r="X31" i="547"/>
  <c r="Y38" i="547"/>
  <c r="W46" i="547"/>
  <c r="X47" i="547"/>
  <c r="W20" i="547"/>
  <c r="Y20" i="547"/>
  <c r="Y26" i="547"/>
  <c r="W28" i="547"/>
  <c r="X29" i="547"/>
  <c r="Y34" i="547"/>
  <c r="W36" i="547"/>
  <c r="X37" i="547"/>
  <c r="Y42" i="547"/>
  <c r="W44" i="547"/>
  <c r="X45" i="547"/>
  <c r="Y50" i="547"/>
  <c r="Y55" i="547"/>
  <c r="W54" i="547"/>
  <c r="Y68" i="547"/>
  <c r="X68" i="547"/>
  <c r="X66" i="547"/>
  <c r="Y76" i="547"/>
  <c r="X76" i="547"/>
  <c r="X74" i="547"/>
  <c r="Y84" i="547"/>
  <c r="X84" i="547"/>
  <c r="X82" i="547"/>
  <c r="W71" i="547"/>
  <c r="Y79" i="547"/>
  <c r="W78" i="547"/>
  <c r="W87" i="547"/>
  <c r="W23" i="547"/>
  <c r="Y23" i="547"/>
  <c r="W31" i="547"/>
  <c r="X19" i="547"/>
  <c r="Y19" i="547"/>
  <c r="X26" i="547"/>
  <c r="Y27" i="547"/>
  <c r="W29" i="547"/>
  <c r="X34" i="547"/>
  <c r="Y35" i="547"/>
  <c r="W37" i="547"/>
  <c r="X42" i="547"/>
  <c r="Y43" i="547"/>
  <c r="W45" i="547"/>
  <c r="X50" i="547"/>
  <c r="Y54" i="547"/>
  <c r="X54" i="547"/>
  <c r="Y69" i="547"/>
  <c r="W69" i="547"/>
  <c r="W67" i="547"/>
  <c r="Y77" i="547"/>
  <c r="W77" i="547"/>
  <c r="W75" i="547"/>
  <c r="Y85" i="547"/>
  <c r="W85" i="547"/>
  <c r="W83" i="547"/>
  <c r="X71" i="547"/>
  <c r="Y78" i="547"/>
  <c r="X78" i="547"/>
  <c r="X87" i="547"/>
  <c r="W22" i="547"/>
  <c r="Y22" i="547"/>
  <c r="Y30" i="547"/>
  <c r="W18" i="547"/>
  <c r="W26" i="547"/>
  <c r="X27" i="547"/>
  <c r="Y28" i="547"/>
  <c r="W34" i="547"/>
  <c r="X35" i="547"/>
  <c r="Y36" i="547"/>
  <c r="W42" i="547"/>
  <c r="X43" i="547"/>
  <c r="Y44" i="547"/>
  <c r="T64" i="547"/>
  <c r="W63" i="547"/>
  <c r="U64" i="547"/>
  <c r="V64" i="547"/>
  <c r="X63" i="547"/>
  <c r="V48" i="547"/>
  <c r="T56" i="547"/>
  <c r="U56" i="547"/>
  <c r="T48" i="547"/>
  <c r="V56" i="547"/>
  <c r="U48" i="547"/>
  <c r="U32" i="547"/>
  <c r="T24" i="547"/>
  <c r="V32" i="547"/>
  <c r="T40" i="547"/>
  <c r="U24" i="547"/>
  <c r="U40" i="547"/>
  <c r="V24" i="547"/>
  <c r="T32" i="547"/>
  <c r="V40" i="547"/>
  <c r="V80" i="547"/>
  <c r="U80" i="547"/>
  <c r="T80" i="547"/>
  <c r="R73" i="547"/>
  <c r="O73" i="547"/>
  <c r="L73" i="547"/>
  <c r="I73" i="547"/>
  <c r="F73" i="547"/>
  <c r="C73" i="547"/>
  <c r="V72" i="547"/>
  <c r="U72" i="547"/>
  <c r="T72" i="547"/>
  <c r="R65" i="547"/>
  <c r="O65" i="547"/>
  <c r="L65" i="547"/>
  <c r="I65" i="547"/>
  <c r="F65" i="547"/>
  <c r="C65" i="547"/>
  <c r="W64" i="547" l="1"/>
  <c r="W32" i="547"/>
  <c r="W88" i="547"/>
  <c r="W56" i="547"/>
  <c r="W24" i="547"/>
  <c r="W80" i="547"/>
  <c r="W48" i="547"/>
  <c r="W72" i="547"/>
  <c r="W40" i="547"/>
  <c r="X72" i="547"/>
  <c r="X40" i="547"/>
  <c r="X64" i="547"/>
  <c r="X32" i="547"/>
  <c r="X88" i="547"/>
  <c r="X56" i="547"/>
  <c r="X24" i="547"/>
  <c r="X80" i="547"/>
  <c r="X48" i="547"/>
  <c r="Y80" i="547"/>
  <c r="Y48" i="547"/>
  <c r="Y72" i="547"/>
  <c r="Y40" i="547"/>
  <c r="Y64" i="547"/>
  <c r="Y32" i="547"/>
  <c r="Y88" i="547"/>
  <c r="Y56" i="547"/>
  <c r="Y24" i="547"/>
  <c r="R57" i="547"/>
  <c r="O57" i="547"/>
  <c r="L57" i="547"/>
  <c r="I57" i="547"/>
  <c r="F57" i="547"/>
  <c r="C57" i="547"/>
  <c r="R49" i="547"/>
  <c r="O49" i="547"/>
  <c r="L49" i="547"/>
  <c r="I49" i="547"/>
  <c r="F49" i="547"/>
  <c r="C49" i="547"/>
  <c r="R41" i="547"/>
  <c r="O41" i="547"/>
  <c r="L41" i="547"/>
  <c r="I41" i="547"/>
  <c r="F41" i="547"/>
  <c r="C41" i="547"/>
  <c r="R33" i="547"/>
  <c r="O33" i="547"/>
  <c r="L33" i="547"/>
  <c r="I33" i="547"/>
  <c r="F33" i="547"/>
  <c r="C33" i="547"/>
  <c r="R25" i="547"/>
  <c r="O25" i="547"/>
  <c r="L25" i="547"/>
  <c r="I25" i="547"/>
  <c r="F25" i="547"/>
  <c r="C25" i="547"/>
  <c r="R17" i="547"/>
  <c r="O17" i="547"/>
  <c r="L17" i="547"/>
  <c r="I17" i="547"/>
  <c r="F17" i="547"/>
  <c r="C17" i="547"/>
</calcChain>
</file>

<file path=xl/comments1.xml><?xml version="1.0" encoding="utf-8"?>
<comments xmlns="http://schemas.openxmlformats.org/spreadsheetml/2006/main">
  <authors>
    <author>LG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>Run Lot</t>
        </r>
      </text>
    </comment>
    <comment ref="H1" authorId="0" shapeId="0">
      <text>
        <r>
          <rPr>
            <b/>
            <sz val="9"/>
            <color indexed="81"/>
            <rFont val="돋움"/>
            <family val="3"/>
            <charset val="129"/>
          </rPr>
          <t>주요변수</t>
        </r>
      </text>
    </comment>
    <comment ref="B3" authorId="0" shapeId="0">
      <text>
        <r>
          <rPr>
            <b/>
            <sz val="9"/>
            <color indexed="81"/>
            <rFont val="Tahoma"/>
            <family val="2"/>
          </rPr>
          <t>1st Structure</t>
        </r>
      </text>
    </comment>
    <comment ref="B6" authorId="0" shapeId="0">
      <text>
        <r>
          <rPr>
            <b/>
            <sz val="9"/>
            <color indexed="81"/>
            <rFont val="Tahoma"/>
            <family val="2"/>
          </rPr>
          <t>2nd Structure</t>
        </r>
      </text>
    </comment>
    <comment ref="B8" authorId="0" shapeId="0">
      <text>
        <r>
          <rPr>
            <b/>
            <sz val="9"/>
            <color indexed="81"/>
            <rFont val="Tahoma"/>
            <family val="2"/>
          </rPr>
          <t>3rd Structure</t>
        </r>
      </text>
    </comment>
    <comment ref="A10" authorId="0" shapeId="0">
      <text>
        <r>
          <rPr>
            <b/>
            <sz val="9"/>
            <color indexed="81"/>
            <rFont val="Tahoma"/>
            <family val="2"/>
          </rPr>
          <t>Version</t>
        </r>
      </text>
    </comment>
    <comment ref="A13" authorId="0" shapeId="0">
      <text>
        <r>
          <rPr>
            <b/>
            <sz val="9"/>
            <color indexed="81"/>
            <rFont val="돋움"/>
            <family val="3"/>
            <charset val="129"/>
          </rPr>
          <t>측정장비</t>
        </r>
      </text>
    </comment>
  </commentList>
</comments>
</file>

<file path=xl/sharedStrings.xml><?xml version="1.0" encoding="utf-8"?>
<sst xmlns="http://schemas.openxmlformats.org/spreadsheetml/2006/main" count="2404" uniqueCount="716">
  <si>
    <t>Q.E.</t>
    <phoneticPr fontId="2" type="noConversion"/>
  </si>
  <si>
    <t>CIE(y)</t>
    <phoneticPr fontId="2" type="noConversion"/>
  </si>
  <si>
    <t>cd/A</t>
    <phoneticPr fontId="2" type="noConversion"/>
  </si>
  <si>
    <t>CIE(x)</t>
    <phoneticPr fontId="2" type="noConversion"/>
  </si>
  <si>
    <t>Lm/W</t>
    <phoneticPr fontId="2" type="noConversion"/>
  </si>
  <si>
    <t>1-1</t>
    <phoneticPr fontId="2" type="noConversion"/>
  </si>
  <si>
    <t>1-2</t>
    <phoneticPr fontId="2" type="noConversion"/>
  </si>
  <si>
    <t>1-4</t>
    <phoneticPr fontId="2" type="noConversion"/>
  </si>
  <si>
    <t>1-5</t>
    <phoneticPr fontId="2" type="noConversion"/>
  </si>
  <si>
    <t>Leak</t>
    <phoneticPr fontId="2" type="noConversion"/>
  </si>
  <si>
    <t>LG-101</t>
  </si>
  <si>
    <t>1x</t>
    <phoneticPr fontId="2" type="noConversion"/>
  </si>
  <si>
    <t>2x</t>
    <phoneticPr fontId="2" type="noConversion"/>
  </si>
  <si>
    <t>3x</t>
    <phoneticPr fontId="2" type="noConversion"/>
  </si>
  <si>
    <t>4x</t>
    <phoneticPr fontId="2" type="noConversion"/>
  </si>
  <si>
    <t>5x</t>
    <phoneticPr fontId="2" type="noConversion"/>
  </si>
  <si>
    <t>6x</t>
    <phoneticPr fontId="2" type="noConversion"/>
  </si>
  <si>
    <t>7x</t>
    <phoneticPr fontId="2" type="noConversion"/>
  </si>
  <si>
    <t>8x</t>
    <phoneticPr fontId="2" type="noConversion"/>
  </si>
  <si>
    <t>9x</t>
    <phoneticPr fontId="2" type="noConversion"/>
  </si>
  <si>
    <t>1-3</t>
    <phoneticPr fontId="2" type="noConversion"/>
  </si>
  <si>
    <t>1-6</t>
    <phoneticPr fontId="2" type="noConversion"/>
  </si>
  <si>
    <t>2-6</t>
    <phoneticPr fontId="2" type="noConversion"/>
  </si>
  <si>
    <t>2-5</t>
    <phoneticPr fontId="2" type="noConversion"/>
  </si>
  <si>
    <t>2-4</t>
    <phoneticPr fontId="2" type="noConversion"/>
  </si>
  <si>
    <t>2-3</t>
    <phoneticPr fontId="2" type="noConversion"/>
  </si>
  <si>
    <t>2-2</t>
    <phoneticPr fontId="2" type="noConversion"/>
  </si>
  <si>
    <t>2-1</t>
    <phoneticPr fontId="2" type="noConversion"/>
  </si>
  <si>
    <t>3-1</t>
    <phoneticPr fontId="2" type="noConversion"/>
  </si>
  <si>
    <t>3-2</t>
    <phoneticPr fontId="2" type="noConversion"/>
  </si>
  <si>
    <t>3-3</t>
    <phoneticPr fontId="2" type="noConversion"/>
  </si>
  <si>
    <t>3-4</t>
    <phoneticPr fontId="2" type="noConversion"/>
  </si>
  <si>
    <t>3-5</t>
    <phoneticPr fontId="2" type="noConversion"/>
  </si>
  <si>
    <t>3-6</t>
    <phoneticPr fontId="2" type="noConversion"/>
  </si>
  <si>
    <t>4-6</t>
    <phoneticPr fontId="2" type="noConversion"/>
  </si>
  <si>
    <t>4-5</t>
    <phoneticPr fontId="2" type="noConversion"/>
  </si>
  <si>
    <t>4-4</t>
    <phoneticPr fontId="2" type="noConversion"/>
  </si>
  <si>
    <t>4-3</t>
    <phoneticPr fontId="2" type="noConversion"/>
  </si>
  <si>
    <t>4-2</t>
    <phoneticPr fontId="2" type="noConversion"/>
  </si>
  <si>
    <t>4-1</t>
    <phoneticPr fontId="2" type="noConversion"/>
  </si>
  <si>
    <t>5-1</t>
    <phoneticPr fontId="2" type="noConversion"/>
  </si>
  <si>
    <t>5-2</t>
    <phoneticPr fontId="2" type="noConversion"/>
  </si>
  <si>
    <t>5-3</t>
    <phoneticPr fontId="2" type="noConversion"/>
  </si>
  <si>
    <t>5-4</t>
    <phoneticPr fontId="2" type="noConversion"/>
  </si>
  <si>
    <t>5-5</t>
    <phoneticPr fontId="2" type="noConversion"/>
  </si>
  <si>
    <t>5-6</t>
    <phoneticPr fontId="2" type="noConversion"/>
  </si>
  <si>
    <t>6-6</t>
    <phoneticPr fontId="2" type="noConversion"/>
  </si>
  <si>
    <t>6-5</t>
    <phoneticPr fontId="2" type="noConversion"/>
  </si>
  <si>
    <t>6-4</t>
    <phoneticPr fontId="2" type="noConversion"/>
  </si>
  <si>
    <t>6-3</t>
    <phoneticPr fontId="2" type="noConversion"/>
  </si>
  <si>
    <t>6-2</t>
    <phoneticPr fontId="2" type="noConversion"/>
  </si>
  <si>
    <t>6-1</t>
    <phoneticPr fontId="2" type="noConversion"/>
  </si>
  <si>
    <t>7-1</t>
    <phoneticPr fontId="2" type="noConversion"/>
  </si>
  <si>
    <t>7-2</t>
    <phoneticPr fontId="2" type="noConversion"/>
  </si>
  <si>
    <t>7-3</t>
    <phoneticPr fontId="2" type="noConversion"/>
  </si>
  <si>
    <t>7-4</t>
    <phoneticPr fontId="2" type="noConversion"/>
  </si>
  <si>
    <t>7-5</t>
    <phoneticPr fontId="2" type="noConversion"/>
  </si>
  <si>
    <t>7-6</t>
    <phoneticPr fontId="2" type="noConversion"/>
  </si>
  <si>
    <t>8-6</t>
    <phoneticPr fontId="2" type="noConversion"/>
  </si>
  <si>
    <t>8-5</t>
    <phoneticPr fontId="2" type="noConversion"/>
  </si>
  <si>
    <t>8-4</t>
    <phoneticPr fontId="2" type="noConversion"/>
  </si>
  <si>
    <t>8-3</t>
    <phoneticPr fontId="2" type="noConversion"/>
  </si>
  <si>
    <t>8-2</t>
    <phoneticPr fontId="2" type="noConversion"/>
  </si>
  <si>
    <t>8-1</t>
    <phoneticPr fontId="2" type="noConversion"/>
  </si>
  <si>
    <t>9-1</t>
    <phoneticPr fontId="2" type="noConversion"/>
  </si>
  <si>
    <t>9-2</t>
    <phoneticPr fontId="2" type="noConversion"/>
  </si>
  <si>
    <t>9-3</t>
    <phoneticPr fontId="2" type="noConversion"/>
  </si>
  <si>
    <t>9-4</t>
    <phoneticPr fontId="2" type="noConversion"/>
  </si>
  <si>
    <t>9-5</t>
    <phoneticPr fontId="2" type="noConversion"/>
  </si>
  <si>
    <t>9-6</t>
    <phoneticPr fontId="2" type="noConversion"/>
  </si>
  <si>
    <t>11</t>
  </si>
  <si>
    <t>12</t>
  </si>
  <si>
    <t>13</t>
  </si>
  <si>
    <t>21</t>
  </si>
  <si>
    <t>22</t>
  </si>
  <si>
    <t>23</t>
  </si>
  <si>
    <t>31</t>
  </si>
  <si>
    <t>32</t>
  </si>
  <si>
    <t>33</t>
  </si>
  <si>
    <t>41</t>
  </si>
  <si>
    <t>42</t>
  </si>
  <si>
    <t>43</t>
  </si>
  <si>
    <t>51</t>
  </si>
  <si>
    <t>52</t>
  </si>
  <si>
    <t>14</t>
  </si>
  <si>
    <t>15</t>
  </si>
  <si>
    <t>24</t>
  </si>
  <si>
    <t>25</t>
  </si>
  <si>
    <t>34</t>
  </si>
  <si>
    <t>35</t>
  </si>
  <si>
    <t>44</t>
  </si>
  <si>
    <t>45</t>
  </si>
  <si>
    <t>53</t>
  </si>
  <si>
    <t>54</t>
  </si>
  <si>
    <t>55</t>
  </si>
  <si>
    <t>Cells</t>
    <phoneticPr fontId="2" type="noConversion"/>
  </si>
  <si>
    <t>Name</t>
    <phoneticPr fontId="2" type="noConversion"/>
  </si>
  <si>
    <t>Layer</t>
  </si>
  <si>
    <t>Cells</t>
  </si>
  <si>
    <t>16</t>
  </si>
  <si>
    <t>26</t>
  </si>
  <si>
    <t>36</t>
  </si>
  <si>
    <t>46</t>
  </si>
  <si>
    <t>56</t>
  </si>
  <si>
    <t>61</t>
  </si>
  <si>
    <t>62</t>
  </si>
  <si>
    <t>63</t>
  </si>
  <si>
    <t>64</t>
  </si>
  <si>
    <t>65</t>
  </si>
  <si>
    <t>66</t>
  </si>
  <si>
    <t>71</t>
  </si>
  <si>
    <t>72</t>
  </si>
  <si>
    <t>73</t>
  </si>
  <si>
    <t>74</t>
  </si>
  <si>
    <t>75</t>
  </si>
  <si>
    <t>76</t>
  </si>
  <si>
    <t>81</t>
  </si>
  <si>
    <t>82</t>
  </si>
  <si>
    <t>83</t>
  </si>
  <si>
    <t>84</t>
  </si>
  <si>
    <t>85</t>
  </si>
  <si>
    <t>86</t>
  </si>
  <si>
    <t>91</t>
  </si>
  <si>
    <t>92</t>
  </si>
  <si>
    <t>93</t>
  </si>
  <si>
    <t>94</t>
  </si>
  <si>
    <t>95</t>
  </si>
  <si>
    <t>96</t>
  </si>
  <si>
    <t>Material</t>
  </si>
  <si>
    <t>Thick</t>
  </si>
  <si>
    <t>Rate</t>
  </si>
  <si>
    <t>Graph적용</t>
    <phoneticPr fontId="2" type="noConversion"/>
  </si>
  <si>
    <t>Mode</t>
    <phoneticPr fontId="2" type="noConversion"/>
  </si>
  <si>
    <t>RawFile Name</t>
    <phoneticPr fontId="2" type="noConversion"/>
  </si>
  <si>
    <t>Valueable Cells</t>
    <phoneticPr fontId="2" type="noConversion"/>
  </si>
  <si>
    <t>이하</t>
    <phoneticPr fontId="2" type="noConversion"/>
  </si>
  <si>
    <t>mA./cm2</t>
    <phoneticPr fontId="2" type="noConversion"/>
  </si>
  <si>
    <t/>
  </si>
  <si>
    <t>X2</t>
    <phoneticPr fontId="2" type="noConversion"/>
  </si>
  <si>
    <t>X3</t>
    <phoneticPr fontId="2" type="noConversion"/>
  </si>
  <si>
    <t>X4</t>
    <phoneticPr fontId="2" type="noConversion"/>
  </si>
  <si>
    <t>X5</t>
    <phoneticPr fontId="2" type="noConversion"/>
  </si>
  <si>
    <t>X6</t>
    <phoneticPr fontId="2" type="noConversion"/>
  </si>
  <si>
    <t>X7</t>
    <phoneticPr fontId="2" type="noConversion"/>
  </si>
  <si>
    <t>X8</t>
    <phoneticPr fontId="2" type="noConversion"/>
  </si>
  <si>
    <t>X9</t>
    <phoneticPr fontId="2" type="noConversion"/>
  </si>
  <si>
    <t>Y1</t>
    <phoneticPr fontId="2" type="noConversion"/>
  </si>
  <si>
    <t>15</t>
    <phoneticPr fontId="2" type="noConversion"/>
  </si>
  <si>
    <t>Y2</t>
    <phoneticPr fontId="2" type="noConversion"/>
  </si>
  <si>
    <t>UV</t>
    <phoneticPr fontId="2" type="noConversion"/>
  </si>
  <si>
    <t>Y3</t>
    <phoneticPr fontId="2" type="noConversion"/>
  </si>
  <si>
    <t>Y6</t>
    <phoneticPr fontId="2" type="noConversion"/>
  </si>
  <si>
    <t>장비</t>
    <phoneticPr fontId="2" type="noConversion"/>
  </si>
  <si>
    <t>Depostion Process</t>
    <phoneticPr fontId="2" type="noConversion"/>
  </si>
  <si>
    <t>줄</t>
    <phoneticPr fontId="2" type="noConversion"/>
  </si>
  <si>
    <t>Order</t>
    <phoneticPr fontId="2" type="noConversion"/>
  </si>
  <si>
    <t>Layer</t>
    <phoneticPr fontId="2" type="noConversion"/>
  </si>
  <si>
    <t>H/D</t>
    <phoneticPr fontId="2" type="noConversion"/>
  </si>
  <si>
    <t>Mask</t>
    <phoneticPr fontId="2" type="noConversion"/>
  </si>
  <si>
    <t>Materials</t>
    <phoneticPr fontId="2" type="noConversion"/>
  </si>
  <si>
    <t>Thick</t>
    <phoneticPr fontId="2" type="noConversion"/>
  </si>
  <si>
    <t>rate</t>
    <phoneticPr fontId="2" type="noConversion"/>
  </si>
  <si>
    <t>Source</t>
    <phoneticPr fontId="2" type="noConversion"/>
  </si>
  <si>
    <t>Stack</t>
    <phoneticPr fontId="2" type="noConversion"/>
  </si>
  <si>
    <t>EML1</t>
    <phoneticPr fontId="2" type="noConversion"/>
  </si>
  <si>
    <t>ETL1</t>
    <phoneticPr fontId="2" type="noConversion"/>
  </si>
  <si>
    <t>Yes</t>
    <phoneticPr fontId="2" type="noConversion"/>
  </si>
  <si>
    <t>IVL</t>
    <phoneticPr fontId="2" type="noConversion"/>
  </si>
  <si>
    <t>Raw Data</t>
    <phoneticPr fontId="2" type="noConversion"/>
  </si>
  <si>
    <t>마스크</t>
    <phoneticPr fontId="2" type="noConversion"/>
  </si>
  <si>
    <t>x12</t>
    <phoneticPr fontId="2" type="noConversion"/>
  </si>
  <si>
    <t>yes</t>
    <phoneticPr fontId="2" type="noConversion"/>
  </si>
  <si>
    <t>22</t>
    <phoneticPr fontId="2" type="noConversion"/>
  </si>
  <si>
    <t>33</t>
    <phoneticPr fontId="2" type="noConversion"/>
  </si>
  <si>
    <t>44</t>
    <phoneticPr fontId="2" type="noConversion"/>
  </si>
  <si>
    <t>55</t>
    <phoneticPr fontId="2" type="noConversion"/>
  </si>
  <si>
    <t>66</t>
    <phoneticPr fontId="2" type="noConversion"/>
  </si>
  <si>
    <t>Leakage Current Order</t>
    <phoneticPr fontId="2" type="noConversion"/>
  </si>
  <si>
    <t>X1</t>
    <phoneticPr fontId="2" type="noConversion"/>
  </si>
  <si>
    <t>Y5</t>
    <phoneticPr fontId="2" type="noConversion"/>
  </si>
  <si>
    <t>Encap.</t>
    <phoneticPr fontId="2" type="noConversion"/>
  </si>
  <si>
    <t>Y4</t>
    <phoneticPr fontId="2" type="noConversion"/>
  </si>
  <si>
    <t>Ref. 열</t>
    <phoneticPr fontId="2" type="noConversion"/>
  </si>
  <si>
    <t>5</t>
    <phoneticPr fontId="2" type="noConversion"/>
  </si>
  <si>
    <t>HTL1</t>
    <phoneticPr fontId="2" type="noConversion"/>
  </si>
  <si>
    <t>Host</t>
    <phoneticPr fontId="2" type="noConversion"/>
  </si>
  <si>
    <t>평균열</t>
    <phoneticPr fontId="2" type="noConversion"/>
  </si>
  <si>
    <t>x</t>
    <phoneticPr fontId="2" type="noConversion"/>
  </si>
  <si>
    <t>Comment</t>
    <phoneticPr fontId="2" type="noConversion"/>
  </si>
  <si>
    <t>1</t>
    <phoneticPr fontId="2" type="noConversion"/>
  </si>
  <si>
    <t>Dopant</t>
    <phoneticPr fontId="2" type="noConversion"/>
  </si>
  <si>
    <t>x5</t>
    <phoneticPr fontId="2" type="noConversion"/>
  </si>
  <si>
    <t>하위폴더 검색</t>
    <phoneticPr fontId="2" type="noConversion"/>
  </si>
  <si>
    <t>Cathode1</t>
    <phoneticPr fontId="2" type="noConversion"/>
  </si>
  <si>
    <t>3</t>
    <phoneticPr fontId="2" type="noConversion"/>
  </si>
  <si>
    <t>하위폴더검색형식</t>
    <phoneticPr fontId="2" type="noConversion"/>
  </si>
  <si>
    <t>Report sheet의 셀A1</t>
    <phoneticPr fontId="2" type="noConversion"/>
  </si>
  <si>
    <t>FindCurrent Mode</t>
    <phoneticPr fontId="2" type="noConversion"/>
  </si>
  <si>
    <t>CIE-y</t>
    <phoneticPr fontId="2" type="noConversion"/>
  </si>
  <si>
    <t>파일형식</t>
    <phoneticPr fontId="2" type="noConversion"/>
  </si>
  <si>
    <t>Mid문(시작/끝)</t>
    <phoneticPr fontId="2" type="noConversion"/>
  </si>
  <si>
    <t>CIE Mode</t>
    <phoneticPr fontId="2" type="noConversion"/>
  </si>
  <si>
    <t>CIE-x</t>
    <phoneticPr fontId="2" type="noConversion"/>
  </si>
  <si>
    <t>cd/m2</t>
    <phoneticPr fontId="2" type="noConversion"/>
  </si>
  <si>
    <t>CIE-y</t>
    <phoneticPr fontId="2" type="noConversion"/>
  </si>
  <si>
    <t>#</t>
    <phoneticPr fontId="2" type="noConversion"/>
  </si>
  <si>
    <t>Subject Select</t>
    <phoneticPr fontId="2" type="noConversion"/>
  </si>
  <si>
    <t>Input Setting</t>
    <phoneticPr fontId="2" type="noConversion"/>
  </si>
  <si>
    <t>Substate Setting</t>
    <phoneticPr fontId="2" type="noConversion"/>
  </si>
  <si>
    <t>Plot-Graph</t>
    <phoneticPr fontId="2" type="noConversion"/>
  </si>
  <si>
    <t>Data Sheet</t>
    <phoneticPr fontId="2" type="noConversion"/>
  </si>
  <si>
    <t>Y</t>
    <phoneticPr fontId="2" type="noConversion"/>
  </si>
  <si>
    <t>X</t>
    <phoneticPr fontId="2" type="noConversion"/>
  </si>
  <si>
    <t>Subject High</t>
    <phoneticPr fontId="2" type="noConversion"/>
  </si>
  <si>
    <t>Subject Low</t>
    <phoneticPr fontId="2" type="noConversion"/>
  </si>
  <si>
    <t>Input Mode</t>
    <phoneticPr fontId="2" type="noConversion"/>
  </si>
  <si>
    <t>MSU</t>
    <phoneticPr fontId="2" type="noConversion"/>
  </si>
  <si>
    <t>column1</t>
    <phoneticPr fontId="2" type="noConversion"/>
  </si>
  <si>
    <t>column2</t>
    <phoneticPr fontId="2" type="noConversion"/>
  </si>
  <si>
    <t>column3</t>
    <phoneticPr fontId="2" type="noConversion"/>
  </si>
  <si>
    <t>Leakage V</t>
    <phoneticPr fontId="2" type="noConversion"/>
  </si>
  <si>
    <t>Select Files</t>
    <phoneticPr fontId="2" type="noConversion"/>
  </si>
  <si>
    <t>Substate</t>
    <phoneticPr fontId="2" type="noConversion"/>
  </si>
  <si>
    <t>LGD_Top</t>
    <phoneticPr fontId="2" type="noConversion"/>
  </si>
  <si>
    <t>LGD_TV</t>
    <phoneticPr fontId="2" type="noConversion"/>
  </si>
  <si>
    <t>SDC_Top</t>
    <phoneticPr fontId="2" type="noConversion"/>
  </si>
  <si>
    <t>SDC_TV</t>
    <phoneticPr fontId="2" type="noConversion"/>
  </si>
  <si>
    <t>Chart</t>
    <phoneticPr fontId="2" type="noConversion"/>
  </si>
  <si>
    <t>ChartName</t>
    <phoneticPr fontId="2" type="noConversion"/>
  </si>
  <si>
    <t>Y_varible</t>
    <phoneticPr fontId="2" type="noConversion"/>
  </si>
  <si>
    <t>Y_Scale</t>
    <phoneticPr fontId="2" type="noConversion"/>
  </si>
  <si>
    <t>Min/Max</t>
    <phoneticPr fontId="2" type="noConversion"/>
  </si>
  <si>
    <t>X_varible</t>
    <phoneticPr fontId="2" type="noConversion"/>
  </si>
  <si>
    <t>X_Scale</t>
    <phoneticPr fontId="2" type="noConversion"/>
  </si>
  <si>
    <t>Anode</t>
    <phoneticPr fontId="2" type="noConversion"/>
  </si>
  <si>
    <t>Ref.</t>
    <phoneticPr fontId="2" type="noConversion"/>
  </si>
  <si>
    <t>LGC_Standard1</t>
    <phoneticPr fontId="2" type="noConversion"/>
  </si>
  <si>
    <t>DC</t>
    <phoneticPr fontId="2" type="noConversion"/>
  </si>
  <si>
    <t>2</t>
    <phoneticPr fontId="2" type="noConversion"/>
  </si>
  <si>
    <t>10</t>
    <phoneticPr fontId="2" type="noConversion"/>
  </si>
  <si>
    <t>20</t>
    <phoneticPr fontId="2" type="noConversion"/>
  </si>
  <si>
    <t>First</t>
    <phoneticPr fontId="2" type="noConversion"/>
  </si>
  <si>
    <t>Loading #</t>
    <phoneticPr fontId="2" type="noConversion"/>
  </si>
  <si>
    <t>Single</t>
    <phoneticPr fontId="2" type="noConversion"/>
  </si>
  <si>
    <t>Multi</t>
    <phoneticPr fontId="2" type="noConversion"/>
  </si>
  <si>
    <t>J_V</t>
    <phoneticPr fontId="2" type="noConversion"/>
  </si>
  <si>
    <t>IV</t>
    <phoneticPr fontId="2" type="noConversion"/>
  </si>
  <si>
    <t>J(mA/cm2)</t>
    <phoneticPr fontId="2" type="noConversion"/>
  </si>
  <si>
    <t>Log</t>
    <phoneticPr fontId="2" type="noConversion"/>
  </si>
  <si>
    <t>V</t>
    <phoneticPr fontId="2" type="noConversion"/>
  </si>
  <si>
    <t>Linear</t>
    <phoneticPr fontId="2" type="noConversion"/>
  </si>
  <si>
    <t>Cathode</t>
    <phoneticPr fontId="2" type="noConversion"/>
  </si>
  <si>
    <t>LGC_Standard2</t>
    <phoneticPr fontId="2" type="noConversion"/>
  </si>
  <si>
    <t>DV</t>
    <phoneticPr fontId="2" type="noConversion"/>
  </si>
  <si>
    <t>3.5</t>
    <phoneticPr fontId="2" type="noConversion"/>
  </si>
  <si>
    <t>4</t>
    <phoneticPr fontId="2" type="noConversion"/>
  </si>
  <si>
    <t>RawData</t>
    <phoneticPr fontId="2" type="noConversion"/>
  </si>
  <si>
    <t>Cd/A_J</t>
    <phoneticPr fontId="2" type="noConversion"/>
  </si>
  <si>
    <t>cd/A</t>
    <phoneticPr fontId="2" type="noConversion"/>
  </si>
  <si>
    <t>Cavity</t>
    <phoneticPr fontId="2" type="noConversion"/>
  </si>
  <si>
    <t>P-Dopant</t>
    <phoneticPr fontId="2" type="noConversion"/>
  </si>
  <si>
    <t>LGC_Standard3</t>
    <phoneticPr fontId="2" type="noConversion"/>
  </si>
  <si>
    <t>Last</t>
    <phoneticPr fontId="2" type="noConversion"/>
  </si>
  <si>
    <t>11</t>
    <phoneticPr fontId="2" type="noConversion"/>
  </si>
  <si>
    <t>QE_J</t>
    <phoneticPr fontId="2" type="noConversion"/>
  </si>
  <si>
    <t>η(QE)</t>
    <phoneticPr fontId="2" type="noConversion"/>
  </si>
  <si>
    <t>Averge</t>
    <phoneticPr fontId="2" type="noConversion"/>
  </si>
  <si>
    <t>12</t>
    <phoneticPr fontId="2" type="noConversion"/>
  </si>
  <si>
    <t>Spectrum</t>
    <phoneticPr fontId="2" type="noConversion"/>
  </si>
  <si>
    <t>WaveLength</t>
    <phoneticPr fontId="2" type="noConversion"/>
  </si>
  <si>
    <t>Substrate</t>
    <phoneticPr fontId="2" type="noConversion"/>
  </si>
  <si>
    <t>B'HTL</t>
    <phoneticPr fontId="2" type="noConversion"/>
  </si>
  <si>
    <t>13</t>
    <phoneticPr fontId="2" type="noConversion"/>
  </si>
  <si>
    <t>dlog(J)/dV_V</t>
    <phoneticPr fontId="2" type="noConversion"/>
  </si>
  <si>
    <t>IV</t>
    <phoneticPr fontId="2" type="noConversion"/>
  </si>
  <si>
    <t>log(J)/V</t>
    <phoneticPr fontId="2" type="noConversion"/>
  </si>
  <si>
    <t>PT</t>
    <phoneticPr fontId="2" type="noConversion"/>
  </si>
  <si>
    <t>G'HTL</t>
    <phoneticPr fontId="2" type="noConversion"/>
  </si>
  <si>
    <t>LGD_Top</t>
    <phoneticPr fontId="2" type="noConversion"/>
  </si>
  <si>
    <t>14</t>
    <phoneticPr fontId="2" type="noConversion"/>
  </si>
  <si>
    <t>Cd/A_nit</t>
    <phoneticPr fontId="2" type="noConversion"/>
  </si>
  <si>
    <t>R'HTL</t>
    <phoneticPr fontId="2" type="noConversion"/>
  </si>
  <si>
    <t>LGD_TV</t>
    <phoneticPr fontId="2" type="noConversion"/>
  </si>
  <si>
    <t>lm/w_J</t>
    <phoneticPr fontId="2" type="noConversion"/>
  </si>
  <si>
    <t>lm/W</t>
    <phoneticPr fontId="2" type="noConversion"/>
  </si>
  <si>
    <t>QC</t>
    <phoneticPr fontId="2" type="noConversion"/>
  </si>
  <si>
    <t>ETL Mix</t>
    <phoneticPr fontId="2" type="noConversion"/>
  </si>
  <si>
    <t>16</t>
    <phoneticPr fontId="2" type="noConversion"/>
  </si>
  <si>
    <t>CIE-x_J</t>
    <phoneticPr fontId="2" type="noConversion"/>
  </si>
  <si>
    <t>MB</t>
    <phoneticPr fontId="2" type="noConversion"/>
  </si>
  <si>
    <t>ETL MSCS</t>
    <phoneticPr fontId="2" type="noConversion"/>
  </si>
  <si>
    <t>21</t>
    <phoneticPr fontId="2" type="noConversion"/>
  </si>
  <si>
    <t>nit_V</t>
    <phoneticPr fontId="2" type="noConversion"/>
  </si>
  <si>
    <t>MG</t>
    <phoneticPr fontId="2" type="noConversion"/>
  </si>
  <si>
    <t>ETL1/ETL2</t>
    <phoneticPr fontId="2" type="noConversion"/>
  </si>
  <si>
    <t>22</t>
    <phoneticPr fontId="2" type="noConversion"/>
  </si>
  <si>
    <t>MR</t>
    <phoneticPr fontId="2" type="noConversion"/>
  </si>
  <si>
    <t>ETL Single</t>
    <phoneticPr fontId="2" type="noConversion"/>
  </si>
  <si>
    <t>23</t>
    <phoneticPr fontId="2" type="noConversion"/>
  </si>
  <si>
    <t>WB</t>
    <phoneticPr fontId="2" type="noConversion"/>
  </si>
  <si>
    <t>EIL</t>
    <phoneticPr fontId="2" type="noConversion"/>
  </si>
  <si>
    <t>24</t>
    <phoneticPr fontId="2" type="noConversion"/>
  </si>
  <si>
    <t>CIE-y_J</t>
    <phoneticPr fontId="2" type="noConversion"/>
  </si>
  <si>
    <t>y</t>
    <phoneticPr fontId="2" type="noConversion"/>
  </si>
  <si>
    <t>WG</t>
    <phoneticPr fontId="2" type="noConversion"/>
  </si>
  <si>
    <t>25</t>
    <phoneticPr fontId="2" type="noConversion"/>
  </si>
  <si>
    <t>Cd/A_V</t>
    <phoneticPr fontId="2" type="noConversion"/>
  </si>
  <si>
    <t>WhiteStack</t>
    <phoneticPr fontId="2" type="noConversion"/>
  </si>
  <si>
    <t>Buffer</t>
    <phoneticPr fontId="2" type="noConversion"/>
  </si>
  <si>
    <t>26</t>
    <phoneticPr fontId="2" type="noConversion"/>
  </si>
  <si>
    <t>31</t>
    <phoneticPr fontId="2" type="noConversion"/>
  </si>
  <si>
    <t>HTL2</t>
    <phoneticPr fontId="2" type="noConversion"/>
  </si>
  <si>
    <t>32</t>
    <phoneticPr fontId="2" type="noConversion"/>
  </si>
  <si>
    <t>HTL3</t>
    <phoneticPr fontId="2" type="noConversion"/>
  </si>
  <si>
    <t>33</t>
    <phoneticPr fontId="2" type="noConversion"/>
  </si>
  <si>
    <t>Ref.열</t>
    <phoneticPr fontId="2" type="noConversion"/>
  </si>
  <si>
    <t>Anode1</t>
    <phoneticPr fontId="2" type="noConversion"/>
  </si>
  <si>
    <t>HTL4</t>
    <phoneticPr fontId="2" type="noConversion"/>
  </si>
  <si>
    <t>34</t>
    <phoneticPr fontId="2" type="noConversion"/>
  </si>
  <si>
    <t>Anode2</t>
    <phoneticPr fontId="2" type="noConversion"/>
  </si>
  <si>
    <t>35</t>
    <phoneticPr fontId="2" type="noConversion"/>
  </si>
  <si>
    <t>Anode3</t>
    <phoneticPr fontId="2" type="noConversion"/>
  </si>
  <si>
    <t>N-CGL</t>
    <phoneticPr fontId="2" type="noConversion"/>
  </si>
  <si>
    <t>36</t>
    <phoneticPr fontId="2" type="noConversion"/>
  </si>
  <si>
    <t>6</t>
    <phoneticPr fontId="2" type="noConversion"/>
  </si>
  <si>
    <t>Anode4</t>
    <phoneticPr fontId="2" type="noConversion"/>
  </si>
  <si>
    <t>P-CGL</t>
    <phoneticPr fontId="2" type="noConversion"/>
  </si>
  <si>
    <t>41</t>
    <phoneticPr fontId="2" type="noConversion"/>
  </si>
  <si>
    <t>HIL1</t>
    <phoneticPr fontId="2" type="noConversion"/>
  </si>
  <si>
    <t>ETL2</t>
    <phoneticPr fontId="2" type="noConversion"/>
  </si>
  <si>
    <t>Select Options</t>
    <phoneticPr fontId="2" type="noConversion"/>
  </si>
  <si>
    <t>42</t>
    <phoneticPr fontId="2" type="noConversion"/>
  </si>
  <si>
    <t>HIL2</t>
    <phoneticPr fontId="2" type="noConversion"/>
  </si>
  <si>
    <t>GEML</t>
    <phoneticPr fontId="2" type="noConversion"/>
  </si>
  <si>
    <t>기판Loading</t>
    <phoneticPr fontId="2" type="noConversion"/>
  </si>
  <si>
    <t>43</t>
    <phoneticPr fontId="2" type="noConversion"/>
  </si>
  <si>
    <t>HIL3</t>
    <phoneticPr fontId="2" type="noConversion"/>
  </si>
  <si>
    <t>PhGH</t>
    <phoneticPr fontId="2" type="noConversion"/>
  </si>
  <si>
    <t>SelectFiles</t>
    <phoneticPr fontId="2" type="noConversion"/>
  </si>
  <si>
    <t>Select</t>
    <phoneticPr fontId="2" type="noConversion"/>
  </si>
  <si>
    <t>44</t>
    <phoneticPr fontId="2" type="noConversion"/>
  </si>
  <si>
    <t>HIL4</t>
    <phoneticPr fontId="2" type="noConversion"/>
  </si>
  <si>
    <t>PhGH Mix</t>
    <phoneticPr fontId="2" type="noConversion"/>
  </si>
  <si>
    <t>MSU</t>
    <phoneticPr fontId="2" type="noConversion"/>
  </si>
  <si>
    <t>45</t>
    <phoneticPr fontId="2" type="noConversion"/>
  </si>
  <si>
    <t>HIL5</t>
    <phoneticPr fontId="2" type="noConversion"/>
  </si>
  <si>
    <t>PhGD</t>
    <phoneticPr fontId="2" type="noConversion"/>
  </si>
  <si>
    <t>하위폴더</t>
    <phoneticPr fontId="2" type="noConversion"/>
  </si>
  <si>
    <t>No</t>
    <phoneticPr fontId="2" type="noConversion"/>
  </si>
  <si>
    <t>46</t>
    <phoneticPr fontId="2" type="noConversion"/>
  </si>
  <si>
    <t>Scale</t>
    <phoneticPr fontId="2" type="noConversion"/>
  </si>
  <si>
    <t>51</t>
    <phoneticPr fontId="2" type="noConversion"/>
  </si>
  <si>
    <t>HIL</t>
    <phoneticPr fontId="2" type="noConversion"/>
  </si>
  <si>
    <t>Graph적용</t>
    <phoneticPr fontId="2" type="noConversion"/>
  </si>
  <si>
    <t>52</t>
    <phoneticPr fontId="2" type="noConversion"/>
  </si>
  <si>
    <t>HTL3</t>
    <phoneticPr fontId="2" type="noConversion"/>
  </si>
  <si>
    <t>HIL1/HIL2</t>
    <phoneticPr fontId="2" type="noConversion"/>
  </si>
  <si>
    <t>RawSheet</t>
    <phoneticPr fontId="2" type="noConversion"/>
  </si>
  <si>
    <t>53</t>
    <phoneticPr fontId="2" type="noConversion"/>
  </si>
  <si>
    <t>HTL4</t>
    <phoneticPr fontId="2" type="noConversion"/>
  </si>
  <si>
    <t>HIL1+HIL2</t>
    <phoneticPr fontId="2" type="noConversion"/>
  </si>
  <si>
    <t>Stack</t>
    <phoneticPr fontId="2" type="noConversion"/>
  </si>
  <si>
    <t>1st</t>
    <phoneticPr fontId="2" type="noConversion"/>
  </si>
  <si>
    <t>2nd</t>
    <phoneticPr fontId="2" type="noConversion"/>
  </si>
  <si>
    <t>3rd</t>
    <phoneticPr fontId="2" type="noConversion"/>
  </si>
  <si>
    <t>54</t>
    <phoneticPr fontId="2" type="noConversion"/>
  </si>
  <si>
    <t>HTL5</t>
    <phoneticPr fontId="2" type="noConversion"/>
  </si>
  <si>
    <t>HIL/HTL</t>
    <phoneticPr fontId="2" type="noConversion"/>
  </si>
  <si>
    <t>Host/Dopant</t>
    <phoneticPr fontId="2" type="noConversion"/>
  </si>
  <si>
    <t>55</t>
    <phoneticPr fontId="2" type="noConversion"/>
  </si>
  <si>
    <t>HTL</t>
    <phoneticPr fontId="2" type="noConversion"/>
  </si>
  <si>
    <t>FindCurrent</t>
    <phoneticPr fontId="2" type="noConversion"/>
  </si>
  <si>
    <t>Bright</t>
    <phoneticPr fontId="2" type="noConversion"/>
  </si>
  <si>
    <t>CIE-x</t>
    <phoneticPr fontId="2" type="noConversion"/>
  </si>
  <si>
    <t>56</t>
    <phoneticPr fontId="2" type="noConversion"/>
  </si>
  <si>
    <t>EML2</t>
    <phoneticPr fontId="2" type="noConversion"/>
  </si>
  <si>
    <t>HTL1/HTL2</t>
    <phoneticPr fontId="2" type="noConversion"/>
  </si>
  <si>
    <t>하위폴더검색형식</t>
    <phoneticPr fontId="2" type="noConversion"/>
  </si>
  <si>
    <t>하위폴더팝업창</t>
    <phoneticPr fontId="2" type="noConversion"/>
  </si>
  <si>
    <t>61</t>
    <phoneticPr fontId="2" type="noConversion"/>
  </si>
  <si>
    <t>EML3</t>
    <phoneticPr fontId="2" type="noConversion"/>
  </si>
  <si>
    <t>HTL1+HTL2</t>
    <phoneticPr fontId="2" type="noConversion"/>
  </si>
  <si>
    <t>62</t>
    <phoneticPr fontId="2" type="noConversion"/>
  </si>
  <si>
    <t>EML4</t>
    <phoneticPr fontId="2" type="noConversion"/>
  </si>
  <si>
    <t>HTL/EML</t>
    <phoneticPr fontId="2" type="noConversion"/>
  </si>
  <si>
    <t>63</t>
    <phoneticPr fontId="2" type="noConversion"/>
  </si>
  <si>
    <t>EML5</t>
    <phoneticPr fontId="2" type="noConversion"/>
  </si>
  <si>
    <t>BEML</t>
    <phoneticPr fontId="2" type="noConversion"/>
  </si>
  <si>
    <t>64</t>
    <phoneticPr fontId="2" type="noConversion"/>
  </si>
  <si>
    <t>BH</t>
    <phoneticPr fontId="2" type="noConversion"/>
  </si>
  <si>
    <t>65</t>
    <phoneticPr fontId="2" type="noConversion"/>
  </si>
  <si>
    <t>BD</t>
    <phoneticPr fontId="2" type="noConversion"/>
  </si>
  <si>
    <t>66</t>
    <phoneticPr fontId="2" type="noConversion"/>
  </si>
  <si>
    <t>ETL3</t>
    <phoneticPr fontId="2" type="noConversion"/>
  </si>
  <si>
    <t>ETL</t>
    <phoneticPr fontId="2" type="noConversion"/>
  </si>
  <si>
    <t>71</t>
    <phoneticPr fontId="2" type="noConversion"/>
  </si>
  <si>
    <t>ETL4</t>
    <phoneticPr fontId="2" type="noConversion"/>
  </si>
  <si>
    <t>72</t>
    <phoneticPr fontId="2" type="noConversion"/>
  </si>
  <si>
    <t>ETL5</t>
    <phoneticPr fontId="2" type="noConversion"/>
  </si>
  <si>
    <t>ETL1+ETL2</t>
    <phoneticPr fontId="2" type="noConversion"/>
  </si>
  <si>
    <t>73</t>
    <phoneticPr fontId="2" type="noConversion"/>
  </si>
  <si>
    <t>EIL1</t>
    <phoneticPr fontId="2" type="noConversion"/>
  </si>
  <si>
    <t>ETL/EIL</t>
    <phoneticPr fontId="2" type="noConversion"/>
  </si>
  <si>
    <t>74</t>
    <phoneticPr fontId="2" type="noConversion"/>
  </si>
  <si>
    <t>EIL2</t>
    <phoneticPr fontId="2" type="noConversion"/>
  </si>
  <si>
    <t>75</t>
    <phoneticPr fontId="2" type="noConversion"/>
  </si>
  <si>
    <t>EIL3</t>
    <phoneticPr fontId="2" type="noConversion"/>
  </si>
  <si>
    <t>EIL1/EIL2</t>
    <phoneticPr fontId="2" type="noConversion"/>
  </si>
  <si>
    <t>76</t>
    <phoneticPr fontId="2" type="noConversion"/>
  </si>
  <si>
    <t>EIL4</t>
    <phoneticPr fontId="2" type="noConversion"/>
  </si>
  <si>
    <t>EIL1+EIL2</t>
    <phoneticPr fontId="2" type="noConversion"/>
  </si>
  <si>
    <t>81</t>
    <phoneticPr fontId="2" type="noConversion"/>
  </si>
  <si>
    <t>EIL5</t>
    <phoneticPr fontId="2" type="noConversion"/>
  </si>
  <si>
    <t>EIL/Cathode</t>
    <phoneticPr fontId="2" type="noConversion"/>
  </si>
  <si>
    <t>82</t>
    <phoneticPr fontId="2" type="noConversion"/>
  </si>
  <si>
    <t>83</t>
    <phoneticPr fontId="2" type="noConversion"/>
  </si>
  <si>
    <t>Cathode2</t>
    <phoneticPr fontId="2" type="noConversion"/>
  </si>
  <si>
    <t>84</t>
    <phoneticPr fontId="2" type="noConversion"/>
  </si>
  <si>
    <t>Cathode3</t>
    <phoneticPr fontId="2" type="noConversion"/>
  </si>
  <si>
    <t>85</t>
    <phoneticPr fontId="2" type="noConversion"/>
  </si>
  <si>
    <t>Cathode4</t>
    <phoneticPr fontId="2" type="noConversion"/>
  </si>
  <si>
    <t>86</t>
    <phoneticPr fontId="2" type="noConversion"/>
  </si>
  <si>
    <t>Cathode5</t>
    <phoneticPr fontId="2" type="noConversion"/>
  </si>
  <si>
    <t>91</t>
    <phoneticPr fontId="2" type="noConversion"/>
  </si>
  <si>
    <t>CPL1</t>
    <phoneticPr fontId="2" type="noConversion"/>
  </si>
  <si>
    <t>92</t>
    <phoneticPr fontId="2" type="noConversion"/>
  </si>
  <si>
    <t>CPL2</t>
    <phoneticPr fontId="2" type="noConversion"/>
  </si>
  <si>
    <t>93</t>
    <phoneticPr fontId="2" type="noConversion"/>
  </si>
  <si>
    <t>CPL3</t>
    <phoneticPr fontId="2" type="noConversion"/>
  </si>
  <si>
    <t>94</t>
    <phoneticPr fontId="2" type="noConversion"/>
  </si>
  <si>
    <t>95</t>
    <phoneticPr fontId="2" type="noConversion"/>
  </si>
  <si>
    <t>96</t>
    <phoneticPr fontId="2" type="noConversion"/>
  </si>
  <si>
    <t>Cells</t>
    <phoneticPr fontId="2" type="noConversion"/>
  </si>
  <si>
    <t>Open</t>
    <phoneticPr fontId="2" type="noConversion"/>
  </si>
  <si>
    <t>x1</t>
    <phoneticPr fontId="2" type="noConversion"/>
  </si>
  <si>
    <t>x2</t>
    <phoneticPr fontId="2" type="noConversion"/>
  </si>
  <si>
    <t>x3</t>
    <phoneticPr fontId="2" type="noConversion"/>
  </si>
  <si>
    <t>x6</t>
    <phoneticPr fontId="2" type="noConversion"/>
  </si>
  <si>
    <t>x7</t>
    <phoneticPr fontId="2" type="noConversion"/>
  </si>
  <si>
    <t>x10</t>
    <phoneticPr fontId="2" type="noConversion"/>
  </si>
  <si>
    <t>x13</t>
    <phoneticPr fontId="2" type="noConversion"/>
  </si>
  <si>
    <t>x14</t>
    <phoneticPr fontId="2" type="noConversion"/>
  </si>
  <si>
    <t>y2</t>
    <phoneticPr fontId="2" type="noConversion"/>
  </si>
  <si>
    <t>y3</t>
    <phoneticPr fontId="2" type="noConversion"/>
  </si>
  <si>
    <t>y4</t>
    <phoneticPr fontId="2" type="noConversion"/>
  </si>
  <si>
    <t>y5</t>
    <phoneticPr fontId="2" type="noConversion"/>
  </si>
  <si>
    <t>y7</t>
    <phoneticPr fontId="2" type="noConversion"/>
  </si>
  <si>
    <t>y10</t>
    <phoneticPr fontId="2" type="noConversion"/>
  </si>
  <si>
    <t>y11</t>
    <phoneticPr fontId="2" type="noConversion"/>
  </si>
  <si>
    <t>y13</t>
    <phoneticPr fontId="2" type="noConversion"/>
  </si>
  <si>
    <t>y14</t>
    <phoneticPr fontId="2" type="noConversion"/>
  </si>
  <si>
    <t>11</t>
    <phoneticPr fontId="2" type="noConversion"/>
  </si>
  <si>
    <t>12</t>
    <phoneticPr fontId="2" type="noConversion"/>
  </si>
  <si>
    <t>13</t>
    <phoneticPr fontId="2" type="noConversion"/>
  </si>
  <si>
    <t>14</t>
    <phoneticPr fontId="2" type="noConversion"/>
  </si>
  <si>
    <t>15</t>
    <phoneticPr fontId="2" type="noConversion"/>
  </si>
  <si>
    <t>16</t>
    <phoneticPr fontId="2" type="noConversion"/>
  </si>
  <si>
    <t>21</t>
    <phoneticPr fontId="2" type="noConversion"/>
  </si>
  <si>
    <t>23</t>
    <phoneticPr fontId="2" type="noConversion"/>
  </si>
  <si>
    <t>24</t>
    <phoneticPr fontId="2" type="noConversion"/>
  </si>
  <si>
    <t>25</t>
    <phoneticPr fontId="2" type="noConversion"/>
  </si>
  <si>
    <t>26</t>
    <phoneticPr fontId="2" type="noConversion"/>
  </si>
  <si>
    <t>31</t>
    <phoneticPr fontId="2" type="noConversion"/>
  </si>
  <si>
    <t>32</t>
    <phoneticPr fontId="2" type="noConversion"/>
  </si>
  <si>
    <t>34</t>
    <phoneticPr fontId="2" type="noConversion"/>
  </si>
  <si>
    <t>35</t>
    <phoneticPr fontId="2" type="noConversion"/>
  </si>
  <si>
    <t>36</t>
    <phoneticPr fontId="2" type="noConversion"/>
  </si>
  <si>
    <t>41</t>
    <phoneticPr fontId="2" type="noConversion"/>
  </si>
  <si>
    <t>42</t>
    <phoneticPr fontId="2" type="noConversion"/>
  </si>
  <si>
    <t>43</t>
    <phoneticPr fontId="2" type="noConversion"/>
  </si>
  <si>
    <t>45</t>
    <phoneticPr fontId="2" type="noConversion"/>
  </si>
  <si>
    <t>46</t>
    <phoneticPr fontId="2" type="noConversion"/>
  </si>
  <si>
    <t>51</t>
    <phoneticPr fontId="2" type="noConversion"/>
  </si>
  <si>
    <t>52</t>
    <phoneticPr fontId="2" type="noConversion"/>
  </si>
  <si>
    <t>53</t>
    <phoneticPr fontId="2" type="noConversion"/>
  </si>
  <si>
    <t>54</t>
    <phoneticPr fontId="2" type="noConversion"/>
  </si>
  <si>
    <t>56</t>
    <phoneticPr fontId="2" type="noConversion"/>
  </si>
  <si>
    <t>61</t>
    <phoneticPr fontId="2" type="noConversion"/>
  </si>
  <si>
    <t>62</t>
    <phoneticPr fontId="2" type="noConversion"/>
  </si>
  <si>
    <t>63</t>
    <phoneticPr fontId="2" type="noConversion"/>
  </si>
  <si>
    <t>64</t>
    <phoneticPr fontId="2" type="noConversion"/>
  </si>
  <si>
    <t>65</t>
    <phoneticPr fontId="2" type="noConversion"/>
  </si>
  <si>
    <t>71</t>
    <phoneticPr fontId="2" type="noConversion"/>
  </si>
  <si>
    <t>72</t>
    <phoneticPr fontId="2" type="noConversion"/>
  </si>
  <si>
    <t>73</t>
    <phoneticPr fontId="2" type="noConversion"/>
  </si>
  <si>
    <t>74</t>
    <phoneticPr fontId="2" type="noConversion"/>
  </si>
  <si>
    <t>75</t>
    <phoneticPr fontId="2" type="noConversion"/>
  </si>
  <si>
    <t>76</t>
    <phoneticPr fontId="2" type="noConversion"/>
  </si>
  <si>
    <t>81</t>
    <phoneticPr fontId="2" type="noConversion"/>
  </si>
  <si>
    <t>82</t>
    <phoneticPr fontId="2" type="noConversion"/>
  </si>
  <si>
    <t>83</t>
    <phoneticPr fontId="2" type="noConversion"/>
  </si>
  <si>
    <t>84</t>
    <phoneticPr fontId="2" type="noConversion"/>
  </si>
  <si>
    <t>85</t>
    <phoneticPr fontId="2" type="noConversion"/>
  </si>
  <si>
    <t>86</t>
    <phoneticPr fontId="2" type="noConversion"/>
  </si>
  <si>
    <t>91</t>
    <phoneticPr fontId="2" type="noConversion"/>
  </si>
  <si>
    <t>92</t>
    <phoneticPr fontId="2" type="noConversion"/>
  </si>
  <si>
    <t>93</t>
    <phoneticPr fontId="2" type="noConversion"/>
  </si>
  <si>
    <t>94</t>
    <phoneticPr fontId="2" type="noConversion"/>
  </si>
  <si>
    <t>95</t>
    <phoneticPr fontId="2" type="noConversion"/>
  </si>
  <si>
    <t>96</t>
    <phoneticPr fontId="2" type="noConversion"/>
  </si>
  <si>
    <t>IVL</t>
  </si>
  <si>
    <t>전처리</t>
    <phoneticPr fontId="2" type="noConversion"/>
  </si>
  <si>
    <t>Gas</t>
    <phoneticPr fontId="2" type="noConversion"/>
  </si>
  <si>
    <t>Press(mtorr)</t>
    <phoneticPr fontId="2" type="noConversion"/>
  </si>
  <si>
    <t>Power(w)</t>
    <phoneticPr fontId="2" type="noConversion"/>
  </si>
  <si>
    <t>Time(min)</t>
    <phoneticPr fontId="2" type="noConversion"/>
  </si>
  <si>
    <t>기판 / lot</t>
    <phoneticPr fontId="2" type="noConversion"/>
  </si>
  <si>
    <t>V</t>
    <phoneticPr fontId="2" type="noConversion"/>
  </si>
  <si>
    <t>InPut Mode</t>
    <phoneticPr fontId="2" type="noConversion"/>
  </si>
  <si>
    <t>Plasma</t>
    <phoneticPr fontId="2" type="noConversion"/>
  </si>
  <si>
    <t>cd/A</t>
    <phoneticPr fontId="2" type="noConversion"/>
  </si>
  <si>
    <t>UV</t>
    <phoneticPr fontId="2" type="noConversion"/>
  </si>
  <si>
    <t>Lm/W</t>
    <phoneticPr fontId="2" type="noConversion"/>
  </si>
  <si>
    <t>Encap.</t>
    <phoneticPr fontId="2" type="noConversion"/>
  </si>
  <si>
    <t>Cuver</t>
    <phoneticPr fontId="2" type="noConversion"/>
  </si>
  <si>
    <t>Getter</t>
    <phoneticPr fontId="2" type="noConversion"/>
  </si>
  <si>
    <t>Annealing</t>
    <phoneticPr fontId="2" type="noConversion"/>
  </si>
  <si>
    <t>Q.E.</t>
    <phoneticPr fontId="2" type="noConversion"/>
  </si>
  <si>
    <t>Thermal</t>
    <phoneticPr fontId="2" type="noConversion"/>
  </si>
  <si>
    <t>CIE(x)</t>
    <phoneticPr fontId="2" type="noConversion"/>
  </si>
  <si>
    <t>Epoxy</t>
    <phoneticPr fontId="2" type="noConversion"/>
  </si>
  <si>
    <t>Electric</t>
    <phoneticPr fontId="2" type="noConversion"/>
  </si>
  <si>
    <t>CIE(y)</t>
    <phoneticPr fontId="2" type="noConversion"/>
  </si>
  <si>
    <t>Dopant</t>
  </si>
  <si>
    <t>T/S</t>
    <phoneticPr fontId="2" type="noConversion"/>
  </si>
  <si>
    <t>PO</t>
    <phoneticPr fontId="2" type="noConversion"/>
  </si>
  <si>
    <t>x4</t>
    <phoneticPr fontId="2" type="noConversion"/>
  </si>
  <si>
    <t>x11</t>
    <phoneticPr fontId="2" type="noConversion"/>
  </si>
  <si>
    <t>Al</t>
  </si>
  <si>
    <t xml:space="preserve">structure </t>
  </si>
  <si>
    <t>1st</t>
  </si>
  <si>
    <t>2nd</t>
  </si>
  <si>
    <t>3rd</t>
  </si>
  <si>
    <t>General Structure</t>
  </si>
  <si>
    <t>목적</t>
    <phoneticPr fontId="2" type="noConversion"/>
  </si>
  <si>
    <t>1st</t>
    <phoneticPr fontId="2" type="noConversion"/>
  </si>
  <si>
    <t>2nd</t>
    <phoneticPr fontId="2" type="noConversion"/>
  </si>
  <si>
    <t>3rd</t>
    <phoneticPr fontId="2" type="noConversion"/>
  </si>
  <si>
    <t>LGC(LGD)</t>
    <phoneticPr fontId="2" type="noConversion"/>
  </si>
  <si>
    <t>LGC(오창)</t>
    <phoneticPr fontId="2" type="noConversion"/>
  </si>
  <si>
    <t>x8</t>
    <phoneticPr fontId="2" type="noConversion"/>
  </si>
  <si>
    <t>x9</t>
    <phoneticPr fontId="2" type="noConversion"/>
  </si>
  <si>
    <t>y1</t>
    <phoneticPr fontId="2" type="noConversion"/>
  </si>
  <si>
    <t>y6</t>
    <phoneticPr fontId="2" type="noConversion"/>
  </si>
  <si>
    <t>y8</t>
    <phoneticPr fontId="2" type="noConversion"/>
  </si>
  <si>
    <t>y9</t>
    <phoneticPr fontId="2" type="noConversion"/>
  </si>
  <si>
    <t>y12</t>
    <phoneticPr fontId="2" type="noConversion"/>
  </si>
  <si>
    <t>Multi</t>
  </si>
  <si>
    <t>Single</t>
  </si>
  <si>
    <t>4</t>
    <phoneticPr fontId="2" type="noConversion"/>
  </si>
  <si>
    <t>5</t>
    <phoneticPr fontId="2" type="noConversion"/>
  </si>
  <si>
    <t>6</t>
    <phoneticPr fontId="2" type="noConversion"/>
  </si>
  <si>
    <t>7</t>
    <phoneticPr fontId="2" type="noConversion"/>
  </si>
  <si>
    <t>8</t>
    <phoneticPr fontId="2" type="noConversion"/>
  </si>
  <si>
    <t>1</t>
    <phoneticPr fontId="2" type="noConversion"/>
  </si>
  <si>
    <t>2</t>
    <phoneticPr fontId="2" type="noConversion"/>
  </si>
  <si>
    <t>V</t>
  </si>
  <si>
    <t>J(mA/Cm2)</t>
  </si>
  <si>
    <t>log(J)/V</t>
  </si>
  <si>
    <t>End</t>
  </si>
  <si>
    <t>cd/A</t>
  </si>
  <si>
    <t>Order</t>
  </si>
  <si>
    <t>mA</t>
  </si>
  <si>
    <t>lm/W</t>
  </si>
  <si>
    <t>cd/m2</t>
  </si>
  <si>
    <t>Calc cd/m2</t>
  </si>
  <si>
    <t>x</t>
  </si>
  <si>
    <t>y</t>
  </si>
  <si>
    <t>η(QE)</t>
  </si>
  <si>
    <t>ηE(ECE)</t>
  </si>
  <si>
    <t>Source Area</t>
  </si>
  <si>
    <t>Open Rate</t>
  </si>
  <si>
    <t>Src Type</t>
  </si>
  <si>
    <t>WaveLength</t>
  </si>
  <si>
    <t>current</t>
  </si>
  <si>
    <t>No</t>
    <phoneticPr fontId="2" type="noConversion"/>
  </si>
  <si>
    <t>스펙트럼 Normalize</t>
    <phoneticPr fontId="2" type="noConversion"/>
  </si>
  <si>
    <t>Report sheet의 셀A1</t>
  </si>
  <si>
    <t>LGC(오창)</t>
  </si>
  <si>
    <t>Spectrum Normalize</t>
    <phoneticPr fontId="2" type="noConversion"/>
  </si>
  <si>
    <t>*xlsx*</t>
    <phoneticPr fontId="2" type="noConversion"/>
  </si>
  <si>
    <t>LGC IVL v8.2</t>
    <phoneticPr fontId="2" type="noConversion"/>
  </si>
  <si>
    <t>HIL1</t>
  </si>
  <si>
    <t>A13</t>
  </si>
  <si>
    <t>Host</t>
  </si>
  <si>
    <t>ETL1</t>
  </si>
  <si>
    <t>EIL1</t>
  </si>
  <si>
    <t>LG-248</t>
  </si>
  <si>
    <t>yes</t>
  </si>
  <si>
    <t>A15</t>
  </si>
  <si>
    <t>A10</t>
  </si>
  <si>
    <t>A14</t>
  </si>
  <si>
    <t>sus</t>
  </si>
  <si>
    <t>Dynic</t>
  </si>
  <si>
    <t>-4</t>
    <phoneticPr fontId="2" type="noConversion"/>
  </si>
  <si>
    <t>LG-851</t>
  </si>
  <si>
    <t>LG-243</t>
  </si>
  <si>
    <t>LG-201</t>
  </si>
  <si>
    <t>LG-207</t>
  </si>
  <si>
    <t>LG-227</t>
  </si>
  <si>
    <t>LG-661</t>
  </si>
  <si>
    <t>C2</t>
    <phoneticPr fontId="2" type="noConversion"/>
  </si>
  <si>
    <t>청주-1</t>
    <phoneticPr fontId="2" type="noConversion"/>
  </si>
  <si>
    <t>DC</t>
  </si>
  <si>
    <t>-7</t>
    <phoneticPr fontId="2" type="noConversion"/>
  </si>
  <si>
    <t>No</t>
  </si>
  <si>
    <t>IVL_청주 PR-670</t>
    <phoneticPr fontId="2" type="noConversion"/>
  </si>
  <si>
    <t>청주-1</t>
  </si>
  <si>
    <t>1stAnode1(H1)</t>
  </si>
  <si>
    <t>1stHIL1(H1)</t>
  </si>
  <si>
    <t>1stEML1(H1)</t>
  </si>
  <si>
    <t>1stETL1(H1)</t>
  </si>
  <si>
    <t>1stEIL1(H1)</t>
  </si>
  <si>
    <t>100℃ 60min</t>
    <phoneticPr fontId="2" type="noConversion"/>
  </si>
  <si>
    <t>Cathode1</t>
  </si>
  <si>
    <t>1stCathode1(H1)</t>
  </si>
  <si>
    <t>ITO</t>
  </si>
  <si>
    <t>NDP-9</t>
  </si>
  <si>
    <t>XNR5570-B1(나가세)</t>
    <phoneticPr fontId="2" type="noConversion"/>
  </si>
  <si>
    <t>PO</t>
  </si>
  <si>
    <t>XHT-540</t>
  </si>
  <si>
    <t>BD-016</t>
  </si>
  <si>
    <t>LiF</t>
  </si>
  <si>
    <t>1stHIL1(D1)</t>
  </si>
  <si>
    <t>1stHIL2(H1)</t>
  </si>
  <si>
    <t>Open</t>
  </si>
  <si>
    <t>N2</t>
    <phoneticPr fontId="2" type="noConversion"/>
  </si>
  <si>
    <t>-5</t>
    <phoneticPr fontId="2" type="noConversion"/>
  </si>
  <si>
    <t>1stEML1(D1)</t>
  </si>
  <si>
    <t>BH-310</t>
  </si>
  <si>
    <t>XET-156</t>
  </si>
  <si>
    <t>HTL1</t>
  </si>
  <si>
    <t>1stHTL1(H1)</t>
  </si>
  <si>
    <t>XHT-566</t>
  </si>
  <si>
    <t>1stAnode1(H1)/1stHIL1(H1)/1stHIL1(D1)/1stHIL2(H1)/1stHTL1(H1)/1stEML1(H1)/1stEML1(D1)/1stETL1(H1)/1stETL1(H2)/1stEIL1(H1)/1stCathode1(H1)</t>
  </si>
  <si>
    <t>ITO 1300/XHT-540 50+NDP-9 50%/XHT-540 875/XHT-566 75/BH-310 250+BD-016 16%/ETL1(H1)+XET-156(150+150)300/LiF 10/Al 1000</t>
  </si>
  <si>
    <t>Ref.</t>
  </si>
  <si>
    <t>Ref.</t>
    <phoneticPr fontId="2" type="noConversion"/>
  </si>
  <si>
    <t>C11121314153132333435</t>
  </si>
  <si>
    <t>ITO,1300,/XHT-540,50,1/NDP-9,25,0.5/XHT-540,875,1/XHT-566,75,1/BH-310,250,2/BD-016,40,0.32/Ref.,150,1/XET-156,150,1/LiF,10,0.2/Al,1000,2</t>
  </si>
  <si>
    <t>C212223242541424344455152535455</t>
  </si>
  <si>
    <t>283A19007</t>
  </si>
  <si>
    <t>ITO,1300,/XHT-540,50,1/NDP-9,25,0.5/XHT-540,875,1/XHT-566,75,1/BH-310,250,2/BD-016,40,0.32/283A19007,150,1/XET-156,150,1/LiF,10,0.2/Al,1000,2</t>
  </si>
  <si>
    <t>Ref.</t>
    <phoneticPr fontId="2" type="noConversion"/>
  </si>
  <si>
    <t>Ref.</t>
    <phoneticPr fontId="2" type="noConversion"/>
  </si>
  <si>
    <t>Material</t>
    <phoneticPr fontId="2" type="noConversion"/>
  </si>
  <si>
    <t>Thick</t>
    <phoneticPr fontId="2" type="noConversion"/>
  </si>
  <si>
    <t>Rate</t>
    <phoneticPr fontId="2" type="noConversion"/>
  </si>
  <si>
    <t>1stETL1(H2)</t>
    <phoneticPr fontId="2" type="noConversion"/>
  </si>
  <si>
    <t>ITO</t>
    <phoneticPr fontId="2" type="noConversion"/>
  </si>
  <si>
    <t>XHT-540</t>
    <phoneticPr fontId="2" type="noConversion"/>
  </si>
  <si>
    <t>NDP-9</t>
    <phoneticPr fontId="2" type="noConversion"/>
  </si>
  <si>
    <t>XHT-566</t>
    <phoneticPr fontId="2" type="noConversion"/>
  </si>
  <si>
    <t>BH-310</t>
    <phoneticPr fontId="2" type="noConversion"/>
  </si>
  <si>
    <t>BD-016</t>
    <phoneticPr fontId="2" type="noConversion"/>
  </si>
  <si>
    <t>ETL1(H1)</t>
    <phoneticPr fontId="2" type="noConversion"/>
  </si>
  <si>
    <t>XET-156</t>
    <phoneticPr fontId="2" type="noConversion"/>
  </si>
  <si>
    <t>LiF</t>
    <phoneticPr fontId="2" type="noConversion"/>
  </si>
  <si>
    <t>Al</t>
    <phoneticPr fontId="2" type="noConversion"/>
  </si>
  <si>
    <t>mA/cm2</t>
    <phoneticPr fontId="2" type="noConversion"/>
  </si>
  <si>
    <t>200309d _ Cells</t>
    <phoneticPr fontId="2" type="noConversion"/>
  </si>
  <si>
    <t>200309d _ Cells</t>
    <phoneticPr fontId="2" type="noConversion"/>
  </si>
  <si>
    <t>200309d-283_IV_0.xlsx</t>
  </si>
  <si>
    <t>200309d-283_IVLSpec_0.xlsx</t>
  </si>
  <si>
    <t>V</t>
    <phoneticPr fontId="2" type="noConversion"/>
  </si>
  <si>
    <t>55</t>
    <phoneticPr fontId="2" type="noConversion"/>
  </si>
  <si>
    <t>Anode1</t>
  </si>
  <si>
    <t>ITO-오창</t>
  </si>
  <si>
    <t>ITO-오창 1300/XHT-9001+NDP-9(100,2%)/XHT-9001 1250/LGHT-1425 50/LGBH-324+XBD-345 200,2%/XET-009 50/XET-390+LiQ 150+150/LiQ 5/AgMg 130,9:1/Al 1000</t>
    <phoneticPr fontId="2" type="noConversion"/>
  </si>
  <si>
    <t>XHT-9001</t>
    <phoneticPr fontId="2" type="noConversion"/>
  </si>
  <si>
    <t>NDP-9</t>
    <phoneticPr fontId="2" type="noConversion"/>
  </si>
  <si>
    <t>XHT-9001</t>
    <phoneticPr fontId="2" type="noConversion"/>
  </si>
  <si>
    <t>HTL2</t>
  </si>
  <si>
    <t>XBD-345</t>
    <phoneticPr fontId="2" type="noConversion"/>
  </si>
  <si>
    <t>EML5</t>
  </si>
  <si>
    <t>XET-009</t>
    <phoneticPr fontId="2" type="noConversion"/>
  </si>
  <si>
    <t>ETL2</t>
  </si>
  <si>
    <t>XET-390</t>
    <phoneticPr fontId="2" type="noConversion"/>
  </si>
  <si>
    <t>LiQ</t>
    <phoneticPr fontId="2" type="noConversion"/>
  </si>
  <si>
    <t>1st</t>
    <phoneticPr fontId="2" type="noConversion"/>
  </si>
  <si>
    <t>Open</t>
    <phoneticPr fontId="2" type="noConversion"/>
  </si>
  <si>
    <t>Ag</t>
    <phoneticPr fontId="2" type="noConversion"/>
  </si>
  <si>
    <t>1st</t>
    <phoneticPr fontId="2" type="noConversion"/>
  </si>
  <si>
    <t>Mg</t>
    <phoneticPr fontId="2" type="noConversion"/>
  </si>
  <si>
    <t>Cathode2</t>
  </si>
  <si>
    <t>Al</t>
    <phoneticPr fontId="2" type="noConversion"/>
  </si>
  <si>
    <t>x5</t>
    <phoneticPr fontId="2" type="noConversion"/>
  </si>
  <si>
    <t>x6</t>
    <phoneticPr fontId="2" type="noConversion"/>
  </si>
  <si>
    <t>x7</t>
    <phoneticPr fontId="2" type="noConversion"/>
  </si>
  <si>
    <t>x8</t>
    <phoneticPr fontId="2" type="noConversion"/>
  </si>
  <si>
    <t>x4</t>
    <phoneticPr fontId="2" type="noConversion"/>
  </si>
  <si>
    <t>LG-323Ref.</t>
    <phoneticPr fontId="2" type="noConversion"/>
  </si>
  <si>
    <t>345 사용 구조 Host 323 주의</t>
    <phoneticPr fontId="2" type="noConversion"/>
  </si>
  <si>
    <t>cd/A/y</t>
    <phoneticPr fontId="2" type="noConversion"/>
  </si>
  <si>
    <t>cd/A/x</t>
    <phoneticPr fontId="2" type="noConversion"/>
  </si>
  <si>
    <t>크기</t>
    <phoneticPr fontId="2" type="noConversion"/>
  </si>
  <si>
    <t>수명</t>
  </si>
  <si>
    <t>가로x세로</t>
  </si>
  <si>
    <t>7.5x5.41</t>
  </si>
  <si>
    <t>8.5x5.41</t>
  </si>
  <si>
    <t>LogBook</t>
    <phoneticPr fontId="2" type="noConversion"/>
  </si>
  <si>
    <t>C2</t>
    <phoneticPr fontId="2" type="noConversion"/>
  </si>
  <si>
    <t>PO</t>
    <phoneticPr fontId="2" type="noConversion"/>
  </si>
  <si>
    <t>345 사용 구조 Host 323 주의</t>
    <phoneticPr fontId="2" type="noConversion"/>
  </si>
  <si>
    <t>LGC(오창)</t>
    <phoneticPr fontId="2" type="noConversion"/>
  </si>
  <si>
    <t>N2</t>
    <phoneticPr fontId="2" type="noConversion"/>
  </si>
  <si>
    <t>sus</t>
    <phoneticPr fontId="2" type="noConversion"/>
  </si>
  <si>
    <t>Dynic</t>
    <phoneticPr fontId="2" type="noConversion"/>
  </si>
  <si>
    <t>XNR5570-B1(나가세)</t>
    <phoneticPr fontId="2" type="noConversion"/>
  </si>
  <si>
    <t>100℃ 60min</t>
    <phoneticPr fontId="2" type="noConversion"/>
  </si>
  <si>
    <t>mA/cm2</t>
    <phoneticPr fontId="2" type="noConversion"/>
  </si>
  <si>
    <t>V</t>
    <phoneticPr fontId="2" type="noConversion"/>
  </si>
  <si>
    <t>cd/A</t>
    <phoneticPr fontId="2" type="noConversion"/>
  </si>
  <si>
    <t>Lm/W</t>
    <phoneticPr fontId="2" type="noConversion"/>
  </si>
  <si>
    <t>cd/A/x</t>
    <phoneticPr fontId="2" type="noConversion"/>
  </si>
  <si>
    <t>cd/A/y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</si>
</sst>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76" formatCode="0.00_ "/>
    <numFmt numFmtId="177" formatCode="0.000_ "/>
    <numFmt numFmtId="178" formatCode="0.000_);[Red]\(0.000\)"/>
    <numFmt numFmtId="179" formatCode="0.0_ "/>
    <numFmt numFmtId="180" formatCode="0_ "/>
    <numFmt numFmtId="181" formatCode="0_);[Red]\(0\)"/>
  </numFmts>
  <fonts count="36" x14ac:knownFonts="1">
    <font>
      <sz val="11"/>
      <name val="돋움"/>
      <family val="3"/>
      <charset val="129"/>
    </font>
    <font>
      <sz val="11"/>
      <name val="돋움"/>
      <family val="3"/>
      <charset val="129"/>
    </font>
    <font>
      <sz val="8"/>
      <name val="돋움"/>
      <family val="3"/>
      <charset val="129"/>
    </font>
    <font>
      <b/>
      <sz val="8"/>
      <name val="돋움"/>
      <family val="3"/>
      <charset val="129"/>
    </font>
    <font>
      <sz val="9"/>
      <name val="돋움"/>
      <family val="3"/>
      <charset val="129"/>
    </font>
    <font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b/>
      <sz val="8"/>
      <color theme="1"/>
      <name val="돋움"/>
      <family val="3"/>
      <charset val="129"/>
    </font>
    <font>
      <b/>
      <sz val="6"/>
      <color rgb="FF000000"/>
      <name val="돋움"/>
      <family val="3"/>
      <charset val="129"/>
    </font>
    <font>
      <b/>
      <sz val="6"/>
      <color rgb="FF000000"/>
      <name val="Symbol"/>
      <family val="1"/>
      <charset val="2"/>
    </font>
    <font>
      <b/>
      <sz val="8"/>
      <color rgb="FF000000"/>
      <name val="돋움"/>
      <family val="3"/>
      <charset val="129"/>
    </font>
    <font>
      <b/>
      <sz val="12"/>
      <color rgb="FF000000"/>
      <name val="돋움"/>
      <family val="3"/>
      <charset val="129"/>
    </font>
    <font>
      <b/>
      <sz val="9"/>
      <color rgb="FF000000"/>
      <name val="돋움"/>
      <family val="3"/>
      <charset val="129"/>
    </font>
    <font>
      <b/>
      <sz val="11"/>
      <color rgb="FF000000"/>
      <name val="돋움"/>
      <family val="3"/>
      <charset val="129"/>
    </font>
    <font>
      <b/>
      <sz val="10"/>
      <color indexed="10"/>
      <name val="LG스마트체 Regular"/>
      <family val="3"/>
      <charset val="129"/>
    </font>
    <font>
      <b/>
      <sz val="8"/>
      <name val="LG스마트체 Regular"/>
      <family val="3"/>
      <charset val="129"/>
    </font>
    <font>
      <b/>
      <sz val="8"/>
      <color indexed="21"/>
      <name val="LG스마트체 Regular"/>
      <family val="3"/>
      <charset val="129"/>
    </font>
    <font>
      <b/>
      <sz val="6"/>
      <name val="LG스마트체 Regular"/>
      <family val="3"/>
      <charset val="129"/>
    </font>
    <font>
      <sz val="6"/>
      <name val="LG스마트체 Regular"/>
      <family val="3"/>
      <charset val="129"/>
    </font>
    <font>
      <sz val="11"/>
      <name val="LG스마트체 Regular"/>
      <family val="3"/>
      <charset val="129"/>
    </font>
    <font>
      <sz val="8"/>
      <name val="LG스마트체 Regular"/>
      <family val="3"/>
      <charset val="129"/>
    </font>
    <font>
      <b/>
      <sz val="6"/>
      <color rgb="FFFF0000"/>
      <name val="LG스마트체 Regular"/>
      <family val="3"/>
      <charset val="129"/>
    </font>
    <font>
      <b/>
      <sz val="5"/>
      <name val="LG스마트체 Regular"/>
      <family val="3"/>
      <charset val="129"/>
    </font>
    <font>
      <b/>
      <sz val="9"/>
      <color indexed="10"/>
      <name val="LG스마트체 Regular"/>
      <family val="3"/>
      <charset val="129"/>
    </font>
    <font>
      <b/>
      <sz val="8"/>
      <color indexed="10"/>
      <name val="LG스마트체 Regular"/>
      <family val="3"/>
      <charset val="129"/>
    </font>
    <font>
      <sz val="5"/>
      <name val="LG스마트체 Regular"/>
      <family val="3"/>
      <charset val="129"/>
    </font>
    <font>
      <b/>
      <sz val="6"/>
      <color indexed="8"/>
      <name val="LG스마트체 Regular"/>
      <family val="3"/>
      <charset val="129"/>
    </font>
    <font>
      <sz val="6"/>
      <color theme="1"/>
      <name val="LG스마트체 Regular"/>
      <family val="3"/>
      <charset val="129"/>
    </font>
    <font>
      <b/>
      <sz val="9"/>
      <name val="LG스마트체 Regular"/>
      <family val="3"/>
      <charset val="129"/>
    </font>
    <font>
      <b/>
      <sz val="10"/>
      <name val="LG스마트체 Regular"/>
      <family val="3"/>
      <charset val="129"/>
    </font>
    <font>
      <b/>
      <sz val="9"/>
      <color theme="1"/>
      <name val="LG스마트체 Regular"/>
      <family val="3"/>
      <charset val="129"/>
    </font>
    <font>
      <b/>
      <sz val="8"/>
      <color theme="1"/>
      <name val="LG스마트체 Regular"/>
      <family val="3"/>
      <charset val="129"/>
    </font>
    <font>
      <b/>
      <sz val="9"/>
      <name val="돋움"/>
      <family val="3"/>
      <charset val="129"/>
    </font>
    <font>
      <sz val="6"/>
      <color theme="1"/>
      <name val="돋움"/>
      <family val="3"/>
      <charset val="129"/>
    </font>
    <font>
      <b/>
      <sz val="6"/>
      <color rgb="FF0000FF"/>
      <name val="LG스마트체 Regular"/>
      <family val="3"/>
      <charset val="129"/>
    </font>
  </fonts>
  <fills count="1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2499465926084170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40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</borders>
  <cellStyleXfs count="2">
    <xf numFmtId="0" fontId="0" fillId="0" borderId="0"/>
    <xf numFmtId="0" fontId="1" fillId="0" borderId="0">
      <alignment vertical="center"/>
    </xf>
  </cellStyleXfs>
  <cellXfs count="330">
    <xf numFmtId="0" fontId="0" fillId="0" borderId="0" xfId="0"/>
    <xf numFmtId="0" fontId="2" fillId="0" borderId="0" xfId="0" applyFont="1"/>
    <xf numFmtId="49" fontId="2" fillId="0" borderId="0" xfId="0" applyNumberFormat="1" applyFont="1"/>
    <xf numFmtId="49" fontId="4" fillId="0" borderId="0" xfId="0" applyNumberFormat="1" applyFont="1"/>
    <xf numFmtId="0" fontId="4" fillId="0" borderId="0" xfId="0" applyFont="1"/>
    <xf numFmtId="0" fontId="0" fillId="0" borderId="0" xfId="0"/>
    <xf numFmtId="0" fontId="0" fillId="0" borderId="0" xfId="0" applyAlignment="1">
      <alignment vertical="center"/>
    </xf>
    <xf numFmtId="11" fontId="0" fillId="0" borderId="0" xfId="0" applyNumberFormat="1" applyAlignment="1">
      <alignment vertical="center"/>
    </xf>
    <xf numFmtId="0" fontId="0" fillId="0" borderId="0" xfId="0" applyNumberFormat="1"/>
    <xf numFmtId="0" fontId="3" fillId="0" borderId="16" xfId="0" applyFont="1" applyBorder="1" applyAlignment="1">
      <alignment horizontal="center" vertical="center"/>
    </xf>
    <xf numFmtId="49" fontId="3" fillId="0" borderId="16" xfId="0" applyNumberFormat="1" applyFont="1" applyBorder="1" applyAlignment="1">
      <alignment horizontal="center" vertical="center"/>
    </xf>
    <xf numFmtId="0" fontId="0" fillId="0" borderId="0" xfId="0" applyFill="1"/>
    <xf numFmtId="0" fontId="0" fillId="0" borderId="0" xfId="0" applyFill="1" applyAlignment="1">
      <alignment vertical="center"/>
    </xf>
    <xf numFmtId="11" fontId="0" fillId="0" borderId="0" xfId="0" applyNumberFormat="1" applyFill="1" applyAlignment="1">
      <alignment vertical="center"/>
    </xf>
    <xf numFmtId="0" fontId="3" fillId="11" borderId="16" xfId="0" applyFont="1" applyFill="1" applyBorder="1" applyAlignment="1">
      <alignment horizontal="center" vertical="center"/>
    </xf>
    <xf numFmtId="0" fontId="0" fillId="0" borderId="0" xfId="0"/>
    <xf numFmtId="0" fontId="2" fillId="0" borderId="0" xfId="0" applyFont="1" applyAlignment="1"/>
    <xf numFmtId="49" fontId="2" fillId="0" borderId="16" xfId="0" applyNumberFormat="1" applyFont="1" applyBorder="1" applyAlignment="1">
      <alignment horizontal="center" vertical="center"/>
    </xf>
    <xf numFmtId="49" fontId="2" fillId="9" borderId="0" xfId="0" applyNumberFormat="1" applyFont="1" applyFill="1"/>
    <xf numFmtId="0" fontId="2" fillId="9" borderId="0" xfId="0" applyFont="1" applyFill="1"/>
    <xf numFmtId="0" fontId="0" fillId="9" borderId="0" xfId="0" applyFill="1"/>
    <xf numFmtId="0" fontId="2" fillId="0" borderId="0" xfId="0" applyNumberFormat="1" applyFont="1"/>
    <xf numFmtId="0" fontId="0" fillId="0" borderId="0" xfId="0"/>
    <xf numFmtId="0" fontId="3" fillId="0" borderId="19" xfId="0" applyFont="1" applyBorder="1" applyAlignment="1">
      <alignment horizontal="center" vertical="center"/>
    </xf>
    <xf numFmtId="49" fontId="3" fillId="9" borderId="16" xfId="0" applyNumberFormat="1" applyFont="1" applyFill="1" applyBorder="1"/>
    <xf numFmtId="49" fontId="3" fillId="11" borderId="16" xfId="0" applyNumberFormat="1" applyFont="1" applyFill="1" applyBorder="1"/>
    <xf numFmtId="0" fontId="3" fillId="11" borderId="16" xfId="0" applyFont="1" applyFill="1" applyBorder="1"/>
    <xf numFmtId="49" fontId="3" fillId="11" borderId="16" xfId="0" applyNumberFormat="1" applyFont="1" applyFill="1" applyBorder="1" applyAlignment="1">
      <alignment horizontal="center"/>
    </xf>
    <xf numFmtId="49" fontId="2" fillId="0" borderId="16" xfId="0" applyNumberFormat="1" applyFont="1" applyBorder="1"/>
    <xf numFmtId="0" fontId="2" fillId="0" borderId="16" xfId="0" applyFont="1" applyBorder="1"/>
    <xf numFmtId="49" fontId="3" fillId="0" borderId="16" xfId="0" applyNumberFormat="1" applyFont="1" applyFill="1" applyBorder="1" applyAlignment="1">
      <alignment horizontal="center"/>
    </xf>
    <xf numFmtId="49" fontId="2" fillId="9" borderId="16" xfId="0" applyNumberFormat="1" applyFont="1" applyFill="1" applyBorder="1"/>
    <xf numFmtId="49" fontId="2" fillId="0" borderId="16" xfId="0" applyNumberFormat="1" applyFont="1" applyFill="1" applyBorder="1"/>
    <xf numFmtId="49" fontId="3" fillId="10" borderId="16" xfId="0" applyNumberFormat="1" applyFont="1" applyFill="1" applyBorder="1" applyAlignment="1"/>
    <xf numFmtId="49" fontId="3" fillId="0" borderId="16" xfId="0" applyNumberFormat="1" applyFont="1" applyBorder="1" applyAlignment="1"/>
    <xf numFmtId="49" fontId="2" fillId="0" borderId="0" xfId="0" applyNumberFormat="1" applyFont="1" applyAlignment="1"/>
    <xf numFmtId="0" fontId="3" fillId="0" borderId="0" xfId="0" applyFont="1" applyFill="1" applyBorder="1" applyAlignment="1"/>
    <xf numFmtId="0" fontId="3" fillId="0" borderId="16" xfId="0" applyFont="1" applyBorder="1" applyAlignment="1">
      <alignment horizontal="center"/>
    </xf>
    <xf numFmtId="49" fontId="3" fillId="10" borderId="16" xfId="0" applyNumberFormat="1" applyFont="1" applyFill="1" applyBorder="1"/>
    <xf numFmtId="49" fontId="3" fillId="0" borderId="16" xfId="0" applyNumberFormat="1" applyFont="1" applyBorder="1"/>
    <xf numFmtId="0" fontId="3" fillId="10" borderId="16" xfId="0" applyNumberFormat="1" applyFont="1" applyFill="1" applyBorder="1" applyAlignment="1">
      <alignment vertical="center"/>
    </xf>
    <xf numFmtId="49" fontId="3" fillId="0" borderId="0" xfId="0" applyNumberFormat="1" applyFont="1" applyAlignment="1"/>
    <xf numFmtId="0" fontId="3" fillId="0" borderId="0" xfId="0" applyFont="1" applyAlignment="1"/>
    <xf numFmtId="0" fontId="8" fillId="8" borderId="16" xfId="0" applyFont="1" applyFill="1" applyBorder="1" applyAlignment="1">
      <alignment horizontal="center"/>
    </xf>
    <xf numFmtId="0" fontId="2" fillId="0" borderId="16" xfId="0" applyFont="1" applyBorder="1" applyAlignment="1">
      <alignment horizontal="center"/>
    </xf>
    <xf numFmtId="0" fontId="3" fillId="8" borderId="16" xfId="1" applyFont="1" applyFill="1" applyBorder="1">
      <alignment vertical="center"/>
    </xf>
    <xf numFmtId="49" fontId="3" fillId="8" borderId="16" xfId="0" applyNumberFormat="1" applyFont="1" applyFill="1" applyBorder="1"/>
    <xf numFmtId="49" fontId="3" fillId="0" borderId="16" xfId="0" applyNumberFormat="1" applyFont="1" applyBorder="1" applyAlignment="1">
      <alignment horizontal="center"/>
    </xf>
    <xf numFmtId="0" fontId="3" fillId="11" borderId="17" xfId="0" applyFont="1" applyFill="1" applyBorder="1" applyAlignment="1">
      <alignment vertical="center"/>
    </xf>
    <xf numFmtId="49" fontId="3" fillId="11" borderId="16" xfId="0" applyNumberFormat="1" applyFont="1" applyFill="1" applyBorder="1" applyAlignment="1">
      <alignment horizontal="center" vertical="center"/>
    </xf>
    <xf numFmtId="0" fontId="3" fillId="11" borderId="19" xfId="0" applyFont="1" applyFill="1" applyBorder="1" applyAlignment="1">
      <alignment horizontal="center" vertical="center"/>
    </xf>
    <xf numFmtId="0" fontId="3" fillId="8" borderId="16" xfId="1" applyFont="1" applyFill="1" applyBorder="1" applyAlignment="1">
      <alignment horizontal="center" vertical="center"/>
    </xf>
    <xf numFmtId="0" fontId="3" fillId="0" borderId="16" xfId="1" applyFont="1" applyBorder="1">
      <alignment vertical="center"/>
    </xf>
    <xf numFmtId="0" fontId="3" fillId="0" borderId="16" xfId="1" applyFont="1" applyBorder="1" applyAlignment="1">
      <alignment horizontal="left" vertical="center"/>
    </xf>
    <xf numFmtId="49" fontId="3" fillId="0" borderId="16" xfId="0" applyNumberFormat="1" applyFont="1" applyFill="1" applyBorder="1"/>
    <xf numFmtId="0" fontId="3" fillId="8" borderId="21" xfId="1" applyFont="1" applyFill="1" applyBorder="1" applyAlignment="1">
      <alignment horizontal="center" vertical="center"/>
    </xf>
    <xf numFmtId="49" fontId="2" fillId="0" borderId="19" xfId="0" applyNumberFormat="1" applyFont="1" applyBorder="1"/>
    <xf numFmtId="0" fontId="3" fillId="0" borderId="16" xfId="0" applyFont="1" applyFill="1" applyBorder="1" applyAlignment="1">
      <alignment horizontal="center" vertical="center"/>
    </xf>
    <xf numFmtId="0" fontId="3" fillId="0" borderId="19" xfId="0" applyFont="1" applyFill="1" applyBorder="1" applyAlignment="1">
      <alignment horizontal="center" vertical="center"/>
    </xf>
    <xf numFmtId="180" fontId="3" fillId="0" borderId="16" xfId="0" applyNumberFormat="1" applyFont="1" applyFill="1" applyBorder="1" applyAlignment="1">
      <alignment horizontal="center" vertical="center"/>
    </xf>
    <xf numFmtId="0" fontId="3" fillId="0" borderId="25" xfId="0" applyFont="1" applyFill="1" applyBorder="1" applyAlignment="1">
      <alignment horizontal="center" vertical="center"/>
    </xf>
    <xf numFmtId="0" fontId="3" fillId="0" borderId="0" xfId="1" applyFont="1" applyFill="1" applyBorder="1" applyAlignment="1">
      <alignment horizontal="center" vertical="center"/>
    </xf>
    <xf numFmtId="49" fontId="3" fillId="0" borderId="0" xfId="0" applyNumberFormat="1" applyFont="1" applyFill="1" applyBorder="1"/>
    <xf numFmtId="49" fontId="3" fillId="0" borderId="0" xfId="0" applyNumberFormat="1" applyFont="1" applyFill="1" applyBorder="1" applyAlignment="1">
      <alignment horizontal="center"/>
    </xf>
    <xf numFmtId="49" fontId="3" fillId="0" borderId="19" xfId="0" applyNumberFormat="1" applyFont="1" applyBorder="1" applyAlignment="1">
      <alignment horizontal="center"/>
    </xf>
    <xf numFmtId="0" fontId="3" fillId="8" borderId="17" xfId="1" applyFont="1" applyFill="1" applyBorder="1" applyAlignment="1">
      <alignment horizontal="center" vertical="center"/>
    </xf>
    <xf numFmtId="0" fontId="2" fillId="0" borderId="18" xfId="1" applyFont="1" applyFill="1" applyBorder="1" applyAlignment="1">
      <alignment horizontal="center" vertical="center"/>
    </xf>
    <xf numFmtId="0" fontId="2" fillId="0" borderId="18" xfId="1" applyFont="1" applyFill="1" applyBorder="1">
      <alignment vertical="center"/>
    </xf>
    <xf numFmtId="0" fontId="2" fillId="0" borderId="0" xfId="1" applyFont="1" applyFill="1">
      <alignment vertical="center"/>
    </xf>
    <xf numFmtId="0" fontId="2" fillId="0" borderId="0" xfId="1" applyFont="1">
      <alignment vertical="center"/>
    </xf>
    <xf numFmtId="0" fontId="2" fillId="13" borderId="16" xfId="1" applyFont="1" applyFill="1" applyBorder="1" applyAlignment="1">
      <alignment horizontal="center" vertical="center"/>
    </xf>
    <xf numFmtId="0" fontId="2" fillId="0" borderId="16" xfId="1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49" fontId="3" fillId="0" borderId="23" xfId="0" applyNumberFormat="1" applyFont="1" applyBorder="1" applyAlignment="1"/>
    <xf numFmtId="11" fontId="2" fillId="0" borderId="0" xfId="0" applyNumberFormat="1" applyFont="1"/>
    <xf numFmtId="0" fontId="2" fillId="0" borderId="0" xfId="0" applyFont="1" applyAlignment="1">
      <alignment wrapText="1"/>
    </xf>
    <xf numFmtId="0" fontId="0" fillId="0" borderId="0" xfId="0"/>
    <xf numFmtId="49" fontId="3" fillId="8" borderId="21" xfId="0" applyNumberFormat="1" applyFont="1" applyFill="1" applyBorder="1" applyAlignment="1">
      <alignment horizontal="center"/>
    </xf>
    <xf numFmtId="49" fontId="3" fillId="8" borderId="16" xfId="0" applyNumberFormat="1" applyFont="1" applyFill="1" applyBorder="1" applyAlignment="1">
      <alignment horizontal="center"/>
    </xf>
    <xf numFmtId="49" fontId="3" fillId="8" borderId="16" xfId="0" applyNumberFormat="1" applyFont="1" applyFill="1" applyBorder="1" applyAlignment="1">
      <alignment horizontal="center" wrapText="1"/>
    </xf>
    <xf numFmtId="49" fontId="3" fillId="0" borderId="16" xfId="0" applyNumberFormat="1" applyFont="1" applyFill="1" applyBorder="1" applyAlignment="1">
      <alignment horizontal="center" vertical="center"/>
    </xf>
    <xf numFmtId="0" fontId="0" fillId="0" borderId="0" xfId="0"/>
    <xf numFmtId="0" fontId="3" fillId="14" borderId="16" xfId="0" applyFont="1" applyFill="1" applyBorder="1" applyAlignment="1">
      <alignment horizontal="center" vertical="center"/>
    </xf>
    <xf numFmtId="0" fontId="3" fillId="0" borderId="16" xfId="0" applyNumberFormat="1" applyFont="1" applyBorder="1" applyAlignment="1">
      <alignment horizontal="center" vertical="center"/>
    </xf>
    <xf numFmtId="49" fontId="3" fillId="15" borderId="16" xfId="0" applyNumberFormat="1" applyFont="1" applyFill="1" applyBorder="1"/>
    <xf numFmtId="49" fontId="3" fillId="15" borderId="16" xfId="0" applyNumberFormat="1" applyFont="1" applyFill="1" applyBorder="1" applyAlignment="1">
      <alignment horizontal="center"/>
    </xf>
    <xf numFmtId="49" fontId="2" fillId="15" borderId="16" xfId="0" applyNumberFormat="1" applyFont="1" applyFill="1" applyBorder="1" applyAlignment="1">
      <alignment horizontal="center"/>
    </xf>
    <xf numFmtId="49" fontId="3" fillId="15" borderId="16" xfId="0" applyNumberFormat="1" applyFont="1" applyFill="1" applyBorder="1" applyAlignment="1">
      <alignment horizontal="center" vertical="center"/>
    </xf>
    <xf numFmtId="0" fontId="2" fillId="15" borderId="16" xfId="0" applyFont="1" applyFill="1" applyBorder="1" applyAlignment="1">
      <alignment horizontal="center" vertical="center"/>
    </xf>
    <xf numFmtId="0" fontId="3" fillId="15" borderId="16" xfId="1" applyFont="1" applyFill="1" applyBorder="1">
      <alignment vertical="center"/>
    </xf>
    <xf numFmtId="0" fontId="18" fillId="8" borderId="1" xfId="0" applyFont="1" applyFill="1" applyBorder="1" applyAlignment="1" applyProtection="1">
      <alignment horizontal="center" vertical="center"/>
    </xf>
    <xf numFmtId="0" fontId="20" fillId="0" borderId="0" xfId="0" applyFont="1"/>
    <xf numFmtId="0" fontId="18" fillId="3" borderId="1" xfId="0" applyFont="1" applyFill="1" applyBorder="1" applyAlignment="1" applyProtection="1">
      <alignment horizontal="center" vertical="center"/>
    </xf>
    <xf numFmtId="0" fontId="19" fillId="0" borderId="1" xfId="0" applyFont="1" applyBorder="1" applyAlignment="1">
      <alignment horizontal="center" vertical="center"/>
    </xf>
    <xf numFmtId="49" fontId="19" fillId="0" borderId="1" xfId="0" applyNumberFormat="1" applyFont="1" applyBorder="1" applyAlignment="1" applyProtection="1">
      <alignment horizontal="center" vertical="center"/>
      <protection locked="0"/>
    </xf>
    <xf numFmtId="0" fontId="19" fillId="0" borderId="0" xfId="0" applyFont="1" applyAlignment="1">
      <alignment horizontal="center" vertical="center"/>
    </xf>
    <xf numFmtId="0" fontId="18" fillId="8" borderId="3" xfId="0" applyNumberFormat="1" applyFont="1" applyFill="1" applyBorder="1" applyAlignment="1" applyProtection="1">
      <alignment horizontal="center" vertical="center"/>
    </xf>
    <xf numFmtId="0" fontId="19" fillId="0" borderId="4" xfId="0" applyNumberFormat="1" applyFont="1" applyFill="1" applyBorder="1" applyAlignment="1" applyProtection="1">
      <alignment horizontal="center" vertical="center"/>
      <protection locked="0"/>
    </xf>
    <xf numFmtId="0" fontId="18" fillId="0" borderId="13" xfId="0" applyNumberFormat="1" applyFont="1" applyFill="1" applyBorder="1" applyAlignment="1" applyProtection="1">
      <alignment vertical="center" wrapText="1"/>
      <protection locked="0"/>
    </xf>
    <xf numFmtId="0" fontId="18" fillId="0" borderId="13" xfId="0" applyNumberFormat="1" applyFont="1" applyFill="1" applyBorder="1" applyAlignment="1" applyProtection="1">
      <alignment vertical="center"/>
      <protection locked="0"/>
    </xf>
    <xf numFmtId="49" fontId="18" fillId="8" borderId="1" xfId="0" applyNumberFormat="1" applyFont="1" applyFill="1" applyBorder="1" applyAlignment="1" applyProtection="1">
      <alignment horizontal="center" vertical="center" wrapText="1"/>
      <protection locked="0"/>
    </xf>
    <xf numFmtId="49" fontId="18" fillId="0" borderId="9" xfId="0" applyNumberFormat="1" applyFont="1" applyFill="1" applyBorder="1" applyAlignment="1" applyProtection="1">
      <alignment vertical="center" wrapText="1"/>
      <protection locked="0"/>
    </xf>
    <xf numFmtId="0" fontId="18" fillId="0" borderId="15" xfId="0" applyFont="1" applyFill="1" applyBorder="1" applyAlignment="1" applyProtection="1">
      <alignment vertical="center"/>
      <protection locked="0"/>
    </xf>
    <xf numFmtId="49" fontId="18" fillId="0" borderId="4" xfId="0" applyNumberFormat="1" applyFont="1" applyFill="1" applyBorder="1" applyAlignment="1" applyProtection="1">
      <alignment vertical="center"/>
      <protection locked="0"/>
    </xf>
    <xf numFmtId="0" fontId="18" fillId="0" borderId="2" xfId="0" applyFont="1" applyFill="1" applyBorder="1" applyAlignment="1" applyProtection="1">
      <alignment vertical="center"/>
      <protection locked="0"/>
    </xf>
    <xf numFmtId="0" fontId="23" fillId="2" borderId="1" xfId="0" applyFont="1" applyFill="1" applyBorder="1" applyAlignment="1" applyProtection="1">
      <alignment horizontal="center" vertical="center"/>
    </xf>
    <xf numFmtId="0" fontId="23" fillId="8" borderId="1" xfId="0" applyFont="1" applyFill="1" applyBorder="1" applyAlignment="1" applyProtection="1">
      <alignment horizontal="center" vertical="center"/>
    </xf>
    <xf numFmtId="49" fontId="24" fillId="0" borderId="1" xfId="0" applyNumberFormat="1" applyFont="1" applyFill="1" applyBorder="1" applyAlignment="1" applyProtection="1">
      <alignment horizontal="center" vertical="center"/>
      <protection locked="0"/>
    </xf>
    <xf numFmtId="0" fontId="19" fillId="2" borderId="1" xfId="0" applyFont="1" applyFill="1" applyBorder="1" applyAlignment="1" applyProtection="1">
      <alignment horizontal="center" vertical="center"/>
    </xf>
    <xf numFmtId="49" fontId="18" fillId="12" borderId="1" xfId="0" applyNumberFormat="1" applyFont="1" applyFill="1" applyBorder="1" applyAlignment="1" applyProtection="1">
      <alignment horizontal="center" vertical="center"/>
    </xf>
    <xf numFmtId="0" fontId="22" fillId="12" borderId="3" xfId="0" applyNumberFormat="1" applyFont="1" applyFill="1" applyBorder="1" applyAlignment="1" applyProtection="1">
      <alignment horizontal="center" vertical="center"/>
    </xf>
    <xf numFmtId="176" fontId="19" fillId="3" borderId="1" xfId="0" applyNumberFormat="1" applyFont="1" applyFill="1" applyBorder="1" applyAlignment="1" applyProtection="1">
      <alignment horizontal="center" vertical="center"/>
    </xf>
    <xf numFmtId="176" fontId="19" fillId="0" borderId="1" xfId="0" applyNumberFormat="1" applyFont="1" applyBorder="1" applyAlignment="1" applyProtection="1">
      <alignment horizontal="center" vertical="center"/>
    </xf>
    <xf numFmtId="177" fontId="19" fillId="3" borderId="1" xfId="0" applyNumberFormat="1" applyFont="1" applyFill="1" applyBorder="1" applyAlignment="1" applyProtection="1">
      <alignment horizontal="center" vertical="center"/>
    </xf>
    <xf numFmtId="177" fontId="19" fillId="0" borderId="1" xfId="0" applyNumberFormat="1" applyFont="1" applyBorder="1" applyAlignment="1" applyProtection="1">
      <alignment horizontal="center" vertical="center"/>
    </xf>
    <xf numFmtId="176" fontId="19" fillId="0" borderId="3" xfId="0" applyNumberFormat="1" applyFont="1" applyBorder="1" applyAlignment="1" applyProtection="1">
      <alignment vertical="center"/>
    </xf>
    <xf numFmtId="49" fontId="27" fillId="4" borderId="1" xfId="0" applyNumberFormat="1" applyFont="1" applyFill="1" applyBorder="1" applyAlignment="1" applyProtection="1">
      <alignment horizontal="center" vertical="center"/>
    </xf>
    <xf numFmtId="181" fontId="19" fillId="0" borderId="1" xfId="0" applyNumberFormat="1" applyFont="1" applyBorder="1" applyAlignment="1">
      <alignment horizontal="center" vertical="center"/>
    </xf>
    <xf numFmtId="0" fontId="19" fillId="0" borderId="1" xfId="0" applyNumberFormat="1" applyFont="1" applyBorder="1" applyAlignment="1">
      <alignment horizontal="center" vertical="center"/>
    </xf>
    <xf numFmtId="181" fontId="19" fillId="0" borderId="1" xfId="0" applyNumberFormat="1" applyFont="1" applyBorder="1" applyAlignment="1" applyProtection="1">
      <alignment horizontal="center" vertical="center"/>
      <protection locked="0"/>
    </xf>
    <xf numFmtId="0" fontId="0" fillId="0" borderId="0" xfId="0" applyAlignment="1">
      <alignment wrapText="1"/>
    </xf>
    <xf numFmtId="11" fontId="0" fillId="0" borderId="0" xfId="0" applyNumberFormat="1"/>
    <xf numFmtId="0" fontId="29" fillId="8" borderId="16" xfId="0" applyFont="1" applyFill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32" fillId="0" borderId="16" xfId="0" applyFont="1" applyBorder="1" applyAlignment="1">
      <alignment horizontal="left" vertical="center"/>
    </xf>
    <xf numFmtId="0" fontId="16" fillId="0" borderId="16" xfId="0" applyFont="1" applyBorder="1" applyAlignment="1">
      <alignment horizontal="left" vertical="center"/>
    </xf>
    <xf numFmtId="0" fontId="33" fillId="2" borderId="16" xfId="0" applyFont="1" applyFill="1" applyBorder="1" applyAlignment="1">
      <alignment horizontal="center" vertical="center"/>
    </xf>
    <xf numFmtId="0" fontId="33" fillId="0" borderId="16" xfId="0" applyFont="1" applyFill="1" applyBorder="1" applyAlignment="1">
      <alignment horizontal="center" vertical="center"/>
    </xf>
    <xf numFmtId="0" fontId="0" fillId="16" borderId="0" xfId="0" applyFill="1"/>
    <xf numFmtId="0" fontId="25" fillId="0" borderId="3" xfId="0" applyNumberFormat="1" applyFont="1" applyFill="1" applyBorder="1" applyAlignment="1" applyProtection="1">
      <alignment horizontal="center" vertical="center"/>
      <protection locked="0"/>
    </xf>
    <xf numFmtId="176" fontId="19" fillId="0" borderId="3" xfId="0" applyNumberFormat="1" applyFont="1" applyBorder="1" applyAlignment="1" applyProtection="1">
      <alignment horizontal="center" vertical="center"/>
    </xf>
    <xf numFmtId="177" fontId="19" fillId="0" borderId="3" xfId="0" applyNumberFormat="1" applyFont="1" applyBorder="1" applyAlignment="1" applyProtection="1">
      <alignment horizontal="center" vertical="center"/>
    </xf>
    <xf numFmtId="181" fontId="19" fillId="0" borderId="2" xfId="0" applyNumberFormat="1" applyFont="1" applyBorder="1" applyAlignment="1">
      <alignment horizontal="center" vertical="center"/>
    </xf>
    <xf numFmtId="49" fontId="19" fillId="0" borderId="2" xfId="0" applyNumberFormat="1" applyFont="1" applyBorder="1" applyAlignment="1">
      <alignment horizontal="center" vertical="center"/>
    </xf>
    <xf numFmtId="49" fontId="19" fillId="0" borderId="2" xfId="0" applyNumberFormat="1" applyFont="1" applyBorder="1" applyAlignment="1" applyProtection="1">
      <alignment horizontal="center" vertical="center"/>
      <protection locked="0"/>
    </xf>
    <xf numFmtId="0" fontId="19" fillId="0" borderId="2" xfId="0" applyNumberFormat="1" applyFont="1" applyBorder="1" applyAlignment="1">
      <alignment horizontal="center" vertical="center"/>
    </xf>
    <xf numFmtId="0" fontId="19" fillId="0" borderId="2" xfId="0" applyFont="1" applyBorder="1" applyAlignment="1">
      <alignment horizontal="center" vertical="center"/>
    </xf>
    <xf numFmtId="49" fontId="19" fillId="0" borderId="1" xfId="0" applyNumberFormat="1" applyFont="1" applyBorder="1" applyAlignment="1">
      <alignment horizontal="center" vertical="center"/>
    </xf>
    <xf numFmtId="49" fontId="18" fillId="8" borderId="3" xfId="0" applyNumberFormat="1" applyFont="1" applyFill="1" applyBorder="1" applyAlignment="1" applyProtection="1">
      <alignment horizontal="center" vertical="center"/>
    </xf>
    <xf numFmtId="0" fontId="18" fillId="2" borderId="5" xfId="0" applyFont="1" applyFill="1" applyBorder="1" applyAlignment="1" applyProtection="1">
      <alignment horizontal="center" vertical="center"/>
    </xf>
    <xf numFmtId="176" fontId="34" fillId="0" borderId="1" xfId="0" applyNumberFormat="1" applyFont="1" applyBorder="1" applyAlignment="1" applyProtection="1">
      <alignment horizontal="center" vertical="center"/>
      <protection locked="0"/>
    </xf>
    <xf numFmtId="176" fontId="34" fillId="5" borderId="1" xfId="0" applyNumberFormat="1" applyFont="1" applyFill="1" applyBorder="1" applyAlignment="1" applyProtection="1">
      <alignment horizontal="center" vertical="center"/>
      <protection locked="0"/>
    </xf>
    <xf numFmtId="176" fontId="34" fillId="0" borderId="1" xfId="0" applyNumberFormat="1" applyFont="1" applyFill="1" applyBorder="1" applyAlignment="1" applyProtection="1">
      <alignment horizontal="center" vertical="center"/>
      <protection locked="0"/>
    </xf>
    <xf numFmtId="176" fontId="34" fillId="3" borderId="1" xfId="0" applyNumberFormat="1" applyFont="1" applyFill="1" applyBorder="1" applyAlignment="1" applyProtection="1">
      <alignment horizontal="center" vertical="center"/>
      <protection locked="0"/>
    </xf>
    <xf numFmtId="178" fontId="34" fillId="0" borderId="1" xfId="0" applyNumberFormat="1" applyFont="1" applyBorder="1" applyAlignment="1" applyProtection="1">
      <alignment horizontal="center" vertical="center"/>
      <protection locked="0"/>
    </xf>
    <xf numFmtId="178" fontId="34" fillId="7" borderId="1" xfId="0" applyNumberFormat="1" applyFont="1" applyFill="1" applyBorder="1" applyAlignment="1" applyProtection="1">
      <alignment horizontal="center" vertical="center"/>
      <protection locked="0"/>
    </xf>
    <xf numFmtId="177" fontId="34" fillId="0" borderId="1" xfId="0" applyNumberFormat="1" applyFont="1" applyFill="1" applyBorder="1" applyAlignment="1" applyProtection="1">
      <alignment horizontal="center" vertical="center"/>
      <protection locked="0"/>
    </xf>
    <xf numFmtId="177" fontId="34" fillId="7" borderId="1" xfId="0" applyNumberFormat="1" applyFont="1" applyFill="1" applyBorder="1" applyAlignment="1" applyProtection="1">
      <alignment horizontal="center" vertical="center"/>
      <protection locked="0"/>
    </xf>
    <xf numFmtId="178" fontId="34" fillId="0" borderId="1" xfId="0" applyNumberFormat="1" applyFont="1" applyFill="1" applyBorder="1" applyAlignment="1" applyProtection="1">
      <alignment horizontal="center" vertical="center"/>
      <protection locked="0"/>
    </xf>
    <xf numFmtId="179" fontId="34" fillId="0" borderId="1" xfId="0" applyNumberFormat="1" applyFont="1" applyFill="1" applyBorder="1" applyAlignment="1" applyProtection="1">
      <alignment horizontal="center" vertical="center"/>
      <protection locked="0"/>
    </xf>
    <xf numFmtId="179" fontId="34" fillId="16" borderId="1" xfId="0" applyNumberFormat="1" applyFont="1" applyFill="1" applyBorder="1" applyAlignment="1" applyProtection="1">
      <alignment horizontal="center" vertical="center"/>
      <protection locked="0"/>
    </xf>
    <xf numFmtId="179" fontId="34" fillId="15" borderId="1" xfId="0" applyNumberFormat="1" applyFont="1" applyFill="1" applyBorder="1" applyAlignment="1" applyProtection="1">
      <alignment horizontal="center" vertical="center"/>
      <protection locked="0"/>
    </xf>
    <xf numFmtId="176" fontId="34" fillId="6" borderId="1" xfId="0" applyNumberFormat="1" applyFont="1" applyFill="1" applyBorder="1" applyAlignment="1" applyProtection="1">
      <alignment horizontal="center" vertical="center"/>
      <protection locked="0"/>
    </xf>
    <xf numFmtId="0" fontId="19" fillId="0" borderId="1" xfId="0" applyFont="1" applyBorder="1" applyAlignment="1">
      <alignment horizontal="center" vertical="center"/>
    </xf>
    <xf numFmtId="49" fontId="19" fillId="0" borderId="1" xfId="0" applyNumberFormat="1" applyFont="1" applyBorder="1" applyAlignment="1">
      <alignment horizontal="center" vertical="center"/>
    </xf>
    <xf numFmtId="181" fontId="19" fillId="0" borderId="14" xfId="0" applyNumberFormat="1" applyFont="1" applyBorder="1" applyAlignment="1">
      <alignment horizontal="center" vertical="center"/>
    </xf>
    <xf numFmtId="0" fontId="19" fillId="0" borderId="14" xfId="0" applyFont="1" applyBorder="1" applyAlignment="1">
      <alignment horizontal="center" vertical="center"/>
    </xf>
    <xf numFmtId="49" fontId="19" fillId="0" borderId="14" xfId="0" applyNumberFormat="1" applyFont="1" applyBorder="1" applyAlignment="1" applyProtection="1">
      <alignment horizontal="center" vertical="center"/>
      <protection locked="0"/>
    </xf>
    <xf numFmtId="49" fontId="19" fillId="0" borderId="14" xfId="0" applyNumberFormat="1" applyFont="1" applyBorder="1" applyAlignment="1">
      <alignment horizontal="center" vertical="center"/>
    </xf>
    <xf numFmtId="0" fontId="19" fillId="0" borderId="31" xfId="0" applyFont="1" applyBorder="1" applyAlignment="1">
      <alignment horizontal="center" vertical="center"/>
    </xf>
    <xf numFmtId="181" fontId="19" fillId="0" borderId="32" xfId="0" applyNumberFormat="1" applyFont="1" applyBorder="1" applyAlignment="1">
      <alignment horizontal="center" vertical="center"/>
    </xf>
    <xf numFmtId="0" fontId="19" fillId="0" borderId="33" xfId="0" applyFont="1" applyBorder="1" applyAlignment="1">
      <alignment horizontal="center" vertical="center"/>
    </xf>
    <xf numFmtId="49" fontId="19" fillId="0" borderId="33" xfId="0" applyNumberFormat="1" applyFont="1" applyBorder="1" applyAlignment="1" applyProtection="1">
      <alignment horizontal="center" vertical="center"/>
      <protection locked="0"/>
    </xf>
    <xf numFmtId="49" fontId="19" fillId="0" borderId="33" xfId="0" applyNumberFormat="1" applyFont="1" applyBorder="1" applyAlignment="1">
      <alignment horizontal="center" vertical="center"/>
    </xf>
    <xf numFmtId="0" fontId="19" fillId="0" borderId="34" xfId="0" applyFont="1" applyBorder="1" applyAlignment="1">
      <alignment horizontal="center" vertical="center"/>
    </xf>
    <xf numFmtId="181" fontId="19" fillId="0" borderId="35" xfId="0" applyNumberFormat="1" applyFont="1" applyBorder="1" applyAlignment="1">
      <alignment horizontal="center" vertical="center"/>
    </xf>
    <xf numFmtId="0" fontId="19" fillId="0" borderId="36" xfId="0" applyFont="1" applyBorder="1" applyAlignment="1">
      <alignment horizontal="center" vertical="center"/>
    </xf>
    <xf numFmtId="49" fontId="19" fillId="0" borderId="36" xfId="0" applyNumberFormat="1" applyFont="1" applyBorder="1" applyAlignment="1" applyProtection="1">
      <alignment horizontal="center" vertical="center"/>
      <protection locked="0"/>
    </xf>
    <xf numFmtId="49" fontId="19" fillId="0" borderId="36" xfId="0" applyNumberFormat="1" applyFont="1" applyBorder="1" applyAlignment="1">
      <alignment horizontal="center" vertical="center"/>
    </xf>
    <xf numFmtId="0" fontId="19" fillId="0" borderId="37" xfId="0" applyFont="1" applyBorder="1" applyAlignment="1">
      <alignment horizontal="center" vertical="center"/>
    </xf>
    <xf numFmtId="181" fontId="19" fillId="0" borderId="38" xfId="0" applyNumberFormat="1" applyFont="1" applyBorder="1" applyAlignment="1">
      <alignment horizontal="center" vertical="center"/>
    </xf>
    <xf numFmtId="0" fontId="19" fillId="0" borderId="39" xfId="0" applyFont="1" applyBorder="1" applyAlignment="1">
      <alignment horizontal="center" vertical="center"/>
    </xf>
    <xf numFmtId="0" fontId="18" fillId="12" borderId="3" xfId="0" applyNumberFormat="1" applyFont="1" applyFill="1" applyBorder="1" applyAlignment="1" applyProtection="1">
      <alignment horizontal="center" vertical="center"/>
    </xf>
    <xf numFmtId="0" fontId="18" fillId="12" borderId="11" xfId="0" applyNumberFormat="1" applyFont="1" applyFill="1" applyBorder="1" applyAlignment="1" applyProtection="1">
      <alignment horizontal="center" vertical="center"/>
    </xf>
    <xf numFmtId="0" fontId="18" fillId="12" borderId="4" xfId="0" applyNumberFormat="1" applyFont="1" applyFill="1" applyBorder="1" applyAlignment="1" applyProtection="1">
      <alignment horizontal="center" vertical="center"/>
    </xf>
    <xf numFmtId="0" fontId="18" fillId="4" borderId="3" xfId="0" applyNumberFormat="1" applyFont="1" applyFill="1" applyBorder="1" applyAlignment="1" applyProtection="1">
      <alignment horizontal="center" vertical="center"/>
    </xf>
    <xf numFmtId="0" fontId="18" fillId="4" borderId="11" xfId="0" applyNumberFormat="1" applyFont="1" applyFill="1" applyBorder="1" applyAlignment="1" applyProtection="1">
      <alignment horizontal="center" vertical="center"/>
    </xf>
    <xf numFmtId="0" fontId="18" fillId="4" borderId="4" xfId="0" applyNumberFormat="1" applyFont="1" applyFill="1" applyBorder="1" applyAlignment="1" applyProtection="1">
      <alignment horizontal="center" vertical="center"/>
    </xf>
    <xf numFmtId="49" fontId="19" fillId="0" borderId="3" xfId="0" applyNumberFormat="1" applyFont="1" applyBorder="1" applyAlignment="1">
      <alignment horizontal="center" vertical="center"/>
    </xf>
    <xf numFmtId="49" fontId="19" fillId="0" borderId="4" xfId="0" applyNumberFormat="1" applyFont="1" applyBorder="1" applyAlignment="1">
      <alignment horizontal="center" vertical="center"/>
    </xf>
    <xf numFmtId="0" fontId="26" fillId="4" borderId="3" xfId="0" applyNumberFormat="1" applyFont="1" applyFill="1" applyBorder="1" applyAlignment="1" applyProtection="1">
      <alignment horizontal="center" vertical="center"/>
    </xf>
    <xf numFmtId="0" fontId="26" fillId="4" borderId="4" xfId="0" applyNumberFormat="1" applyFont="1" applyFill="1" applyBorder="1" applyAlignment="1" applyProtection="1">
      <alignment horizontal="center" vertical="center"/>
    </xf>
    <xf numFmtId="11" fontId="34" fillId="0" borderId="3" xfId="0" applyNumberFormat="1" applyFont="1" applyFill="1" applyBorder="1" applyAlignment="1" applyProtection="1">
      <alignment horizontal="center" vertical="center"/>
      <protection locked="0"/>
    </xf>
    <xf numFmtId="11" fontId="34" fillId="0" borderId="4" xfId="0" applyNumberFormat="1" applyFont="1" applyFill="1" applyBorder="1" applyAlignment="1" applyProtection="1">
      <alignment horizontal="center" vertical="center"/>
      <protection locked="0"/>
    </xf>
    <xf numFmtId="11" fontId="34" fillId="15" borderId="3" xfId="0" applyNumberFormat="1" applyFont="1" applyFill="1" applyBorder="1" applyAlignment="1" applyProtection="1">
      <alignment horizontal="center" vertical="center"/>
      <protection locked="0"/>
    </xf>
    <xf numFmtId="11" fontId="34" fillId="15" borderId="4" xfId="0" applyNumberFormat="1" applyFont="1" applyFill="1" applyBorder="1" applyAlignment="1" applyProtection="1">
      <alignment horizontal="center" vertical="center"/>
      <protection locked="0"/>
    </xf>
    <xf numFmtId="49" fontId="20" fillId="0" borderId="4" xfId="0" applyNumberFormat="1" applyFont="1" applyBorder="1"/>
    <xf numFmtId="0" fontId="26" fillId="12" borderId="3" xfId="0" applyNumberFormat="1" applyFont="1" applyFill="1" applyBorder="1" applyAlignment="1" applyProtection="1">
      <alignment horizontal="center" vertical="center"/>
    </xf>
    <xf numFmtId="0" fontId="26" fillId="12" borderId="4" xfId="0" applyNumberFormat="1" applyFont="1" applyFill="1" applyBorder="1" applyAlignment="1" applyProtection="1">
      <alignment horizontal="center" vertical="center"/>
    </xf>
    <xf numFmtId="0" fontId="19" fillId="0" borderId="12" xfId="0" applyFont="1" applyBorder="1" applyAlignment="1" applyProtection="1">
      <alignment horizontal="center" vertical="center"/>
      <protection locked="0"/>
    </xf>
    <xf numFmtId="0" fontId="19" fillId="0" borderId="0" xfId="0" applyFont="1" applyBorder="1" applyAlignment="1" applyProtection="1">
      <alignment horizontal="center" vertical="center"/>
      <protection locked="0"/>
    </xf>
    <xf numFmtId="49" fontId="16" fillId="8" borderId="1" xfId="0" applyNumberFormat="1" applyFont="1" applyFill="1" applyBorder="1" applyAlignment="1" applyProtection="1">
      <alignment horizontal="center" vertical="center"/>
    </xf>
    <xf numFmtId="0" fontId="19" fillId="0" borderId="12" xfId="0" applyFont="1" applyFill="1" applyBorder="1" applyAlignment="1" applyProtection="1">
      <alignment horizontal="center" vertical="center"/>
      <protection locked="0"/>
    </xf>
    <xf numFmtId="0" fontId="19" fillId="0" borderId="0" xfId="0" applyFont="1" applyFill="1" applyBorder="1" applyAlignment="1" applyProtection="1">
      <alignment horizontal="center" vertical="center"/>
      <protection locked="0"/>
    </xf>
    <xf numFmtId="0" fontId="18" fillId="15" borderId="5" xfId="0" applyNumberFormat="1" applyFont="1" applyFill="1" applyBorder="1" applyAlignment="1" applyProtection="1">
      <alignment horizontal="center" vertical="center"/>
      <protection locked="0"/>
    </xf>
    <xf numFmtId="0" fontId="18" fillId="15" borderId="8" xfId="0" applyNumberFormat="1" applyFont="1" applyFill="1" applyBorder="1" applyAlignment="1" applyProtection="1">
      <alignment horizontal="center" vertical="center"/>
      <protection locked="0"/>
    </xf>
    <xf numFmtId="0" fontId="18" fillId="8" borderId="3" xfId="0" applyFont="1" applyFill="1" applyBorder="1" applyAlignment="1" applyProtection="1">
      <alignment horizontal="center" vertical="center"/>
    </xf>
    <xf numFmtId="0" fontId="18" fillId="8" borderId="11" xfId="0" applyFont="1" applyFill="1" applyBorder="1" applyAlignment="1" applyProtection="1">
      <alignment horizontal="center" vertical="center"/>
    </xf>
    <xf numFmtId="49" fontId="18" fillId="8" borderId="3" xfId="0" applyNumberFormat="1" applyFont="1" applyFill="1" applyBorder="1" applyAlignment="1" applyProtection="1">
      <alignment horizontal="center" vertical="center"/>
    </xf>
    <xf numFmtId="49" fontId="18" fillId="8" borderId="4" xfId="0" applyNumberFormat="1" applyFont="1" applyFill="1" applyBorder="1" applyAlignment="1" applyProtection="1">
      <alignment horizontal="center" vertical="center"/>
    </xf>
    <xf numFmtId="0" fontId="18" fillId="8" borderId="4" xfId="0" applyFont="1" applyFill="1" applyBorder="1" applyAlignment="1" applyProtection="1">
      <alignment horizontal="center" vertical="center"/>
    </xf>
    <xf numFmtId="0" fontId="18" fillId="0" borderId="3" xfId="0" applyNumberFormat="1" applyFont="1" applyFill="1" applyBorder="1" applyAlignment="1" applyProtection="1">
      <alignment horizontal="center" vertical="center"/>
      <protection locked="0"/>
    </xf>
    <xf numFmtId="49" fontId="18" fillId="0" borderId="4" xfId="0" applyNumberFormat="1" applyFont="1" applyFill="1" applyBorder="1" applyAlignment="1" applyProtection="1">
      <alignment horizontal="center" vertical="center"/>
      <protection locked="0"/>
    </xf>
    <xf numFmtId="11" fontId="34" fillId="16" borderId="3" xfId="0" applyNumberFormat="1" applyFont="1" applyFill="1" applyBorder="1" applyAlignment="1" applyProtection="1">
      <alignment horizontal="center" vertical="center"/>
      <protection locked="0"/>
    </xf>
    <xf numFmtId="11" fontId="34" fillId="16" borderId="4" xfId="0" applyNumberFormat="1" applyFont="1" applyFill="1" applyBorder="1" applyAlignment="1" applyProtection="1">
      <alignment horizontal="center" vertical="center"/>
      <protection locked="0"/>
    </xf>
    <xf numFmtId="11" fontId="34" fillId="0" borderId="3" xfId="0" applyNumberFormat="1" applyFont="1" applyBorder="1" applyAlignment="1" applyProtection="1">
      <alignment horizontal="center" vertical="center"/>
      <protection locked="0"/>
    </xf>
    <xf numFmtId="11" fontId="34" fillId="0" borderId="4" xfId="0" applyNumberFormat="1" applyFont="1" applyBorder="1" applyAlignment="1" applyProtection="1">
      <alignment horizontal="center" vertical="center"/>
      <protection locked="0"/>
    </xf>
    <xf numFmtId="49" fontId="35" fillId="0" borderId="14" xfId="0" applyNumberFormat="1" applyFont="1" applyBorder="1" applyAlignment="1">
      <alignment horizontal="center" vertical="center"/>
    </xf>
    <xf numFmtId="49" fontId="19" fillId="0" borderId="1" xfId="0" applyNumberFormat="1" applyFont="1" applyBorder="1" applyAlignment="1">
      <alignment horizontal="center" vertical="center"/>
    </xf>
    <xf numFmtId="49" fontId="19" fillId="0" borderId="5" xfId="0" applyNumberFormat="1" applyFont="1" applyBorder="1" applyAlignment="1">
      <alignment horizontal="center" vertical="center"/>
    </xf>
    <xf numFmtId="49" fontId="19" fillId="0" borderId="9" xfId="0" applyNumberFormat="1" applyFont="1" applyBorder="1" applyAlignment="1">
      <alignment horizontal="center" vertical="center"/>
    </xf>
    <xf numFmtId="49" fontId="19" fillId="0" borderId="2" xfId="0" applyNumberFormat="1" applyFont="1" applyBorder="1" applyAlignment="1">
      <alignment horizontal="center" vertical="center"/>
    </xf>
    <xf numFmtId="49" fontId="19" fillId="0" borderId="11" xfId="0" applyNumberFormat="1" applyFont="1" applyBorder="1" applyAlignment="1">
      <alignment horizontal="center" vertical="center"/>
    </xf>
    <xf numFmtId="0" fontId="16" fillId="8" borderId="0" xfId="0" applyFont="1" applyFill="1" applyBorder="1" applyAlignment="1" applyProtection="1">
      <alignment horizontal="center" vertical="top" wrapText="1"/>
    </xf>
    <xf numFmtId="0" fontId="21" fillId="0" borderId="0" xfId="0" applyFont="1" applyBorder="1" applyAlignment="1" applyProtection="1">
      <alignment horizontal="left" vertical="top" wrapText="1"/>
      <protection locked="0"/>
    </xf>
    <xf numFmtId="0" fontId="21" fillId="0" borderId="12" xfId="0" applyFont="1" applyBorder="1" applyAlignment="1">
      <alignment horizontal="center" vertical="center"/>
    </xf>
    <xf numFmtId="49" fontId="28" fillId="0" borderId="1" xfId="0" applyNumberFormat="1" applyFont="1" applyBorder="1" applyAlignment="1">
      <alignment horizontal="center" vertical="center"/>
    </xf>
    <xf numFmtId="49" fontId="28" fillId="0" borderId="2" xfId="0" applyNumberFormat="1" applyFont="1" applyBorder="1" applyAlignment="1">
      <alignment horizontal="center" vertical="center"/>
    </xf>
    <xf numFmtId="49" fontId="35" fillId="0" borderId="33" xfId="0" applyNumberFormat="1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0" fontId="19" fillId="0" borderId="14" xfId="0" applyFont="1" applyBorder="1" applyAlignment="1">
      <alignment horizontal="center" vertical="center"/>
    </xf>
    <xf numFmtId="49" fontId="35" fillId="0" borderId="36" xfId="0" applyNumberFormat="1" applyFont="1" applyBorder="1" applyAlignment="1">
      <alignment horizontal="center" vertical="center"/>
    </xf>
    <xf numFmtId="0" fontId="16" fillId="2" borderId="14" xfId="0" applyFont="1" applyFill="1" applyBorder="1" applyAlignment="1" applyProtection="1">
      <alignment horizontal="center" vertical="center" wrapText="1"/>
    </xf>
    <xf numFmtId="0" fontId="16" fillId="2" borderId="15" xfId="0" applyFont="1" applyFill="1" applyBorder="1" applyAlignment="1" applyProtection="1">
      <alignment horizontal="center" vertical="center" wrapText="1"/>
    </xf>
    <xf numFmtId="49" fontId="18" fillId="0" borderId="3" xfId="0" applyNumberFormat="1" applyFont="1" applyFill="1" applyBorder="1" applyAlignment="1" applyProtection="1">
      <alignment horizontal="center" vertical="center"/>
      <protection locked="0"/>
    </xf>
    <xf numFmtId="49" fontId="18" fillId="0" borderId="11" xfId="0" applyNumberFormat="1" applyFont="1" applyFill="1" applyBorder="1" applyAlignment="1" applyProtection="1">
      <alignment horizontal="center" vertical="center"/>
      <protection locked="0"/>
    </xf>
    <xf numFmtId="49" fontId="18" fillId="15" borderId="14" xfId="0" applyNumberFormat="1" applyFont="1" applyFill="1" applyBorder="1" applyAlignment="1" applyProtection="1">
      <alignment horizontal="center" vertical="center" wrapText="1"/>
      <protection locked="0"/>
    </xf>
    <xf numFmtId="49" fontId="18" fillId="15" borderId="15" xfId="0" applyNumberFormat="1" applyFont="1" applyFill="1" applyBorder="1" applyAlignment="1" applyProtection="1">
      <alignment horizontal="center" vertical="center" wrapText="1"/>
      <protection locked="0"/>
    </xf>
    <xf numFmtId="49" fontId="18" fillId="15" borderId="2" xfId="0" applyNumberFormat="1" applyFont="1" applyFill="1" applyBorder="1" applyAlignment="1" applyProtection="1">
      <alignment horizontal="center" vertical="center" wrapText="1"/>
      <protection locked="0"/>
    </xf>
    <xf numFmtId="49" fontId="18" fillId="8" borderId="14" xfId="0" applyNumberFormat="1" applyFont="1" applyFill="1" applyBorder="1" applyAlignment="1" applyProtection="1">
      <alignment horizontal="center" vertical="center"/>
    </xf>
    <xf numFmtId="49" fontId="18" fillId="8" borderId="15" xfId="0" applyNumberFormat="1" applyFont="1" applyFill="1" applyBorder="1" applyAlignment="1" applyProtection="1">
      <alignment horizontal="center" vertical="center"/>
    </xf>
    <xf numFmtId="49" fontId="18" fillId="8" borderId="2" xfId="0" applyNumberFormat="1" applyFont="1" applyFill="1" applyBorder="1" applyAlignment="1" applyProtection="1">
      <alignment horizontal="center" vertical="center"/>
    </xf>
    <xf numFmtId="49" fontId="18" fillId="0" borderId="1" xfId="0" applyNumberFormat="1" applyFont="1" applyFill="1" applyBorder="1" applyAlignment="1" applyProtection="1">
      <alignment horizontal="center" vertical="center"/>
      <protection locked="0"/>
    </xf>
    <xf numFmtId="0" fontId="18" fillId="0" borderId="1" xfId="0" applyNumberFormat="1" applyFont="1" applyFill="1" applyBorder="1" applyAlignment="1" applyProtection="1">
      <alignment horizontal="center" vertical="center"/>
      <protection locked="0"/>
    </xf>
    <xf numFmtId="49" fontId="18" fillId="8" borderId="11" xfId="0" applyNumberFormat="1" applyFont="1" applyFill="1" applyBorder="1" applyAlignment="1" applyProtection="1">
      <alignment horizontal="center" vertical="center"/>
    </xf>
    <xf numFmtId="49" fontId="18" fillId="0" borderId="1" xfId="0" applyNumberFormat="1" applyFont="1" applyFill="1" applyBorder="1" applyAlignment="1" applyProtection="1">
      <alignment horizontal="center" vertical="center" wrapText="1"/>
      <protection locked="0"/>
    </xf>
    <xf numFmtId="16" fontId="18" fillId="0" borderId="1" xfId="0" applyNumberFormat="1" applyFont="1" applyFill="1" applyBorder="1" applyAlignment="1" applyProtection="1">
      <alignment horizontal="center" vertical="center" wrapText="1"/>
      <protection locked="0"/>
    </xf>
    <xf numFmtId="49" fontId="18" fillId="0" borderId="14" xfId="0" applyNumberFormat="1" applyFont="1" applyFill="1" applyBorder="1" applyAlignment="1" applyProtection="1">
      <alignment horizontal="center" vertical="center" wrapText="1"/>
      <protection locked="0"/>
    </xf>
    <xf numFmtId="16" fontId="18" fillId="0" borderId="14" xfId="0" applyNumberFormat="1" applyFont="1" applyFill="1" applyBorder="1" applyAlignment="1" applyProtection="1">
      <alignment horizontal="center" vertical="center" wrapText="1"/>
      <protection locked="0"/>
    </xf>
    <xf numFmtId="0" fontId="17" fillId="0" borderId="10" xfId="0" applyFont="1" applyFill="1" applyBorder="1" applyAlignment="1" applyProtection="1">
      <alignment horizontal="center" vertical="center"/>
    </xf>
    <xf numFmtId="0" fontId="17" fillId="0" borderId="6" xfId="0" applyFont="1" applyFill="1" applyBorder="1" applyAlignment="1" applyProtection="1">
      <alignment horizontal="center" vertical="center"/>
    </xf>
    <xf numFmtId="0" fontId="17" fillId="0" borderId="5" xfId="0" applyFont="1" applyFill="1" applyBorder="1" applyAlignment="1" applyProtection="1">
      <alignment horizontal="center" vertical="center"/>
    </xf>
    <xf numFmtId="0" fontId="17" fillId="0" borderId="8" xfId="0" applyFont="1" applyFill="1" applyBorder="1" applyAlignment="1" applyProtection="1">
      <alignment horizontal="center" vertical="center"/>
    </xf>
    <xf numFmtId="0" fontId="17" fillId="0" borderId="10" xfId="0" applyFont="1" applyFill="1" applyBorder="1" applyAlignment="1" applyProtection="1">
      <alignment horizontal="center" vertical="center"/>
      <protection locked="0"/>
    </xf>
    <xf numFmtId="0" fontId="17" fillId="0" borderId="6" xfId="0" applyFont="1" applyFill="1" applyBorder="1" applyAlignment="1" applyProtection="1">
      <alignment horizontal="center" vertical="center"/>
      <protection locked="0"/>
    </xf>
    <xf numFmtId="0" fontId="17" fillId="0" borderId="5" xfId="0" applyFont="1" applyFill="1" applyBorder="1" applyAlignment="1" applyProtection="1">
      <alignment horizontal="center" vertical="center"/>
      <protection locked="0"/>
    </xf>
    <xf numFmtId="0" fontId="17" fillId="0" borderId="8" xfId="0" applyFont="1" applyFill="1" applyBorder="1" applyAlignment="1" applyProtection="1">
      <alignment horizontal="center" vertical="center"/>
      <protection locked="0"/>
    </xf>
    <xf numFmtId="0" fontId="18" fillId="8" borderId="12" xfId="0" applyNumberFormat="1" applyFont="1" applyFill="1" applyBorder="1" applyAlignment="1" applyProtection="1">
      <alignment horizontal="center" vertical="center" wrapText="1"/>
    </xf>
    <xf numFmtId="0" fontId="18" fillId="8" borderId="0" xfId="0" applyNumberFormat="1" applyFont="1" applyFill="1" applyBorder="1" applyAlignment="1" applyProtection="1">
      <alignment horizontal="center" vertical="center" wrapText="1"/>
    </xf>
    <xf numFmtId="0" fontId="22" fillId="15" borderId="8" xfId="0" applyFont="1" applyFill="1" applyBorder="1" applyAlignment="1" applyProtection="1">
      <alignment horizontal="center" vertical="center"/>
    </xf>
    <xf numFmtId="0" fontId="22" fillId="15" borderId="9" xfId="0" applyFont="1" applyFill="1" applyBorder="1" applyAlignment="1" applyProtection="1">
      <alignment horizontal="center" vertical="center"/>
    </xf>
    <xf numFmtId="0" fontId="18" fillId="2" borderId="5" xfId="0" applyFont="1" applyFill="1" applyBorder="1" applyAlignment="1" applyProtection="1">
      <alignment horizontal="center" vertical="center"/>
    </xf>
    <xf numFmtId="0" fontId="18" fillId="2" borderId="8" xfId="0" applyFont="1" applyFill="1" applyBorder="1" applyAlignment="1" applyProtection="1">
      <alignment horizontal="center" vertical="center"/>
    </xf>
    <xf numFmtId="0" fontId="18" fillId="2" borderId="9" xfId="0" applyFont="1" applyFill="1" applyBorder="1" applyAlignment="1" applyProtection="1">
      <alignment horizontal="center" vertical="center"/>
    </xf>
    <xf numFmtId="0" fontId="18" fillId="3" borderId="3" xfId="0" applyFont="1" applyFill="1" applyBorder="1" applyAlignment="1" applyProtection="1">
      <alignment horizontal="center" vertical="center"/>
    </xf>
    <xf numFmtId="0" fontId="18" fillId="3" borderId="4" xfId="0" applyFont="1" applyFill="1" applyBorder="1" applyAlignment="1" applyProtection="1">
      <alignment horizontal="center" vertical="center"/>
    </xf>
    <xf numFmtId="0" fontId="18" fillId="0" borderId="12" xfId="0" applyFont="1" applyFill="1" applyBorder="1" applyAlignment="1" applyProtection="1">
      <alignment horizontal="left" vertical="center" wrapText="1"/>
      <protection locked="0"/>
    </xf>
    <xf numFmtId="0" fontId="18" fillId="0" borderId="0" xfId="0" applyFont="1" applyFill="1" applyBorder="1" applyAlignment="1" applyProtection="1">
      <alignment horizontal="left" vertical="center" wrapText="1"/>
      <protection locked="0"/>
    </xf>
    <xf numFmtId="0" fontId="18" fillId="0" borderId="13" xfId="0" applyFont="1" applyFill="1" applyBorder="1" applyAlignment="1" applyProtection="1">
      <alignment horizontal="left" vertical="center" wrapText="1"/>
      <protection locked="0"/>
    </xf>
    <xf numFmtId="0" fontId="17" fillId="0" borderId="6" xfId="0" applyFont="1" applyFill="1" applyBorder="1" applyAlignment="1" applyProtection="1">
      <alignment horizontal="left" vertical="center" wrapText="1"/>
      <protection locked="0"/>
    </xf>
    <xf numFmtId="0" fontId="17" fillId="0" borderId="7" xfId="0" applyFont="1" applyFill="1" applyBorder="1" applyAlignment="1" applyProtection="1">
      <alignment horizontal="left" vertical="center" wrapText="1"/>
      <protection locked="0"/>
    </xf>
    <xf numFmtId="0" fontId="17" fillId="0" borderId="0" xfId="0" applyFont="1" applyFill="1" applyBorder="1" applyAlignment="1" applyProtection="1">
      <alignment horizontal="left" vertical="center" wrapText="1"/>
      <protection locked="0"/>
    </xf>
    <xf numFmtId="0" fontId="17" fillId="0" borderId="13" xfId="0" applyFont="1" applyFill="1" applyBorder="1" applyAlignment="1" applyProtection="1">
      <alignment horizontal="left" vertical="center" wrapText="1"/>
      <protection locked="0"/>
    </xf>
    <xf numFmtId="0" fontId="15" fillId="0" borderId="10" xfId="0" applyNumberFormat="1" applyFont="1" applyFill="1" applyBorder="1" applyAlignment="1" applyProtection="1">
      <alignment horizontal="center" vertical="center"/>
      <protection locked="0"/>
    </xf>
    <xf numFmtId="0" fontId="15" fillId="0" borderId="7" xfId="0" applyNumberFormat="1" applyFont="1" applyFill="1" applyBorder="1" applyAlignment="1" applyProtection="1">
      <alignment horizontal="center" vertical="center"/>
      <protection locked="0"/>
    </xf>
    <xf numFmtId="0" fontId="15" fillId="0" borderId="5" xfId="0" applyNumberFormat="1" applyFont="1" applyFill="1" applyBorder="1" applyAlignment="1" applyProtection="1">
      <alignment horizontal="center" vertical="center"/>
      <protection locked="0"/>
    </xf>
    <xf numFmtId="0" fontId="15" fillId="0" borderId="9" xfId="0" applyNumberFormat="1" applyFont="1" applyFill="1" applyBorder="1" applyAlignment="1" applyProtection="1">
      <alignment horizontal="center" vertical="center"/>
      <protection locked="0"/>
    </xf>
    <xf numFmtId="0" fontId="16" fillId="2" borderId="14" xfId="0" applyFont="1" applyFill="1" applyBorder="1" applyAlignment="1" applyProtection="1">
      <alignment horizontal="left" vertical="center"/>
    </xf>
    <xf numFmtId="0" fontId="16" fillId="2" borderId="2" xfId="0" applyFont="1" applyFill="1" applyBorder="1" applyAlignment="1" applyProtection="1">
      <alignment horizontal="left" vertical="center"/>
    </xf>
    <xf numFmtId="49" fontId="18" fillId="3" borderId="14" xfId="0" applyNumberFormat="1" applyFont="1" applyFill="1" applyBorder="1" applyAlignment="1" applyProtection="1">
      <alignment horizontal="center" vertical="center" wrapText="1"/>
      <protection locked="0"/>
    </xf>
    <xf numFmtId="49" fontId="18" fillId="3" borderId="15" xfId="0" applyNumberFormat="1" applyFont="1" applyFill="1" applyBorder="1" applyAlignment="1" applyProtection="1">
      <alignment horizontal="center" vertical="center" wrapText="1"/>
      <protection locked="0"/>
    </xf>
    <xf numFmtId="49" fontId="18" fillId="3" borderId="2" xfId="0" applyNumberFormat="1" applyFont="1" applyFill="1" applyBorder="1" applyAlignment="1" applyProtection="1">
      <alignment horizontal="center" vertical="center" wrapText="1"/>
      <protection locked="0"/>
    </xf>
    <xf numFmtId="49" fontId="18" fillId="0" borderId="12" xfId="0" applyNumberFormat="1" applyFont="1" applyFill="1" applyBorder="1" applyAlignment="1" applyProtection="1">
      <alignment horizontal="left" vertical="center" wrapText="1"/>
      <protection locked="0"/>
    </xf>
    <xf numFmtId="49" fontId="18" fillId="0" borderId="0" xfId="0" applyNumberFormat="1" applyFont="1" applyFill="1" applyBorder="1" applyAlignment="1" applyProtection="1">
      <alignment horizontal="left" vertical="center" wrapText="1"/>
      <protection locked="0"/>
    </xf>
    <xf numFmtId="49" fontId="18" fillId="0" borderId="13" xfId="0" applyNumberFormat="1" applyFont="1" applyFill="1" applyBorder="1" applyAlignment="1" applyProtection="1">
      <alignment horizontal="left" vertical="center" wrapText="1"/>
      <protection locked="0"/>
    </xf>
    <xf numFmtId="0" fontId="18" fillId="0" borderId="12" xfId="0" applyFont="1" applyBorder="1" applyAlignment="1" applyProtection="1">
      <alignment horizontal="left" vertical="center" wrapText="1"/>
      <protection locked="0"/>
    </xf>
    <xf numFmtId="0" fontId="18" fillId="0" borderId="0" xfId="0" applyFont="1" applyBorder="1" applyAlignment="1" applyProtection="1">
      <alignment horizontal="left" vertical="center" wrapText="1"/>
      <protection locked="0"/>
    </xf>
    <xf numFmtId="0" fontId="18" fillId="0" borderId="13" xfId="0" applyFont="1" applyBorder="1" applyAlignment="1" applyProtection="1">
      <alignment horizontal="left" vertical="center" wrapText="1"/>
      <protection locked="0"/>
    </xf>
    <xf numFmtId="0" fontId="32" fillId="0" borderId="16" xfId="0" applyFont="1" applyBorder="1" applyAlignment="1">
      <alignment horizontal="left" vertical="center"/>
    </xf>
    <xf numFmtId="0" fontId="16" fillId="0" borderId="16" xfId="0" applyFont="1" applyBorder="1" applyAlignment="1">
      <alignment horizontal="left" vertical="center"/>
    </xf>
    <xf numFmtId="0" fontId="16" fillId="0" borderId="19" xfId="0" applyFont="1" applyBorder="1" applyAlignment="1">
      <alignment horizontal="center" vertical="center"/>
    </xf>
    <xf numFmtId="0" fontId="16" fillId="0" borderId="20" xfId="0" applyFont="1" applyBorder="1" applyAlignment="1">
      <alignment horizontal="center" vertical="center"/>
    </xf>
    <xf numFmtId="0" fontId="16" fillId="0" borderId="21" xfId="0" applyFont="1" applyBorder="1" applyAlignment="1">
      <alignment horizontal="center" vertical="center"/>
    </xf>
    <xf numFmtId="49" fontId="28" fillId="11" borderId="16" xfId="0" applyNumberFormat="1" applyFont="1" applyFill="1" applyBorder="1" applyAlignment="1">
      <alignment horizontal="center" vertical="center"/>
    </xf>
    <xf numFmtId="49" fontId="31" fillId="11" borderId="16" xfId="0" applyNumberFormat="1" applyFont="1" applyFill="1" applyBorder="1" applyAlignment="1">
      <alignment horizontal="center" vertical="center"/>
    </xf>
    <xf numFmtId="0" fontId="29" fillId="8" borderId="16" xfId="0" applyFont="1" applyFill="1" applyBorder="1" applyAlignment="1">
      <alignment horizontal="center" vertical="center"/>
    </xf>
    <xf numFmtId="0" fontId="30" fillId="8" borderId="22" xfId="0" applyFont="1" applyFill="1" applyBorder="1" applyAlignment="1">
      <alignment horizontal="center"/>
    </xf>
    <xf numFmtId="0" fontId="30" fillId="8" borderId="23" xfId="0" applyFont="1" applyFill="1" applyBorder="1" applyAlignment="1">
      <alignment horizontal="center"/>
    </xf>
    <xf numFmtId="0" fontId="30" fillId="8" borderId="24" xfId="0" applyFont="1" applyFill="1" applyBorder="1" applyAlignment="1">
      <alignment horizontal="center"/>
    </xf>
    <xf numFmtId="0" fontId="30" fillId="8" borderId="25" xfId="0" applyFont="1" applyFill="1" applyBorder="1" applyAlignment="1">
      <alignment horizontal="center"/>
    </xf>
    <xf numFmtId="0" fontId="30" fillId="8" borderId="0" xfId="0" applyFont="1" applyFill="1" applyBorder="1" applyAlignment="1">
      <alignment horizontal="center"/>
    </xf>
    <xf numFmtId="0" fontId="30" fillId="8" borderId="26" xfId="0" applyFont="1" applyFill="1" applyBorder="1" applyAlignment="1">
      <alignment horizontal="center"/>
    </xf>
    <xf numFmtId="0" fontId="30" fillId="8" borderId="27" xfId="0" applyFont="1" applyFill="1" applyBorder="1" applyAlignment="1">
      <alignment horizontal="center"/>
    </xf>
    <xf numFmtId="0" fontId="30" fillId="8" borderId="28" xfId="0" applyFont="1" applyFill="1" applyBorder="1" applyAlignment="1">
      <alignment horizontal="center"/>
    </xf>
    <xf numFmtId="0" fontId="30" fillId="8" borderId="29" xfId="0" applyFont="1" applyFill="1" applyBorder="1" applyAlignment="1">
      <alignment horizontal="center"/>
    </xf>
    <xf numFmtId="0" fontId="30" fillId="8" borderId="19" xfId="0" applyFont="1" applyFill="1" applyBorder="1" applyAlignment="1">
      <alignment horizontal="center"/>
    </xf>
    <xf numFmtId="0" fontId="30" fillId="8" borderId="20" xfId="0" applyFont="1" applyFill="1" applyBorder="1" applyAlignment="1">
      <alignment horizontal="center"/>
    </xf>
    <xf numFmtId="0" fontId="30" fillId="8" borderId="21" xfId="0" applyFont="1" applyFill="1" applyBorder="1" applyAlignment="1">
      <alignment horizontal="center"/>
    </xf>
    <xf numFmtId="0" fontId="32" fillId="0" borderId="19" xfId="0" applyFont="1" applyBorder="1" applyAlignment="1">
      <alignment horizontal="center" vertical="center"/>
    </xf>
    <xf numFmtId="0" fontId="32" fillId="0" borderId="21" xfId="0" applyFont="1" applyBorder="1" applyAlignment="1">
      <alignment horizontal="center" vertical="center"/>
    </xf>
    <xf numFmtId="0" fontId="3" fillId="11" borderId="28" xfId="0" applyFont="1" applyFill="1" applyBorder="1" applyAlignment="1">
      <alignment horizontal="center"/>
    </xf>
    <xf numFmtId="0" fontId="3" fillId="11" borderId="29" xfId="0" applyFont="1" applyFill="1" applyBorder="1" applyAlignment="1">
      <alignment horizontal="center"/>
    </xf>
    <xf numFmtId="0" fontId="8" fillId="8" borderId="17" xfId="0" applyFont="1" applyFill="1" applyBorder="1" applyAlignment="1">
      <alignment horizontal="center" vertical="center"/>
    </xf>
    <xf numFmtId="0" fontId="8" fillId="8" borderId="30" xfId="0" applyFont="1" applyFill="1" applyBorder="1" applyAlignment="1">
      <alignment horizontal="center" vertical="center"/>
    </xf>
    <xf numFmtId="49" fontId="3" fillId="8" borderId="16" xfId="0" applyNumberFormat="1" applyFont="1" applyFill="1" applyBorder="1" applyAlignment="1">
      <alignment horizontal="center" vertical="center" wrapText="1"/>
    </xf>
    <xf numFmtId="49" fontId="3" fillId="8" borderId="19" xfId="0" applyNumberFormat="1" applyFont="1" applyFill="1" applyBorder="1" applyAlignment="1">
      <alignment horizontal="center"/>
    </xf>
    <xf numFmtId="49" fontId="3" fillId="8" borderId="20" xfId="0" applyNumberFormat="1" applyFont="1" applyFill="1" applyBorder="1" applyAlignment="1">
      <alignment horizontal="center"/>
    </xf>
    <xf numFmtId="49" fontId="3" fillId="8" borderId="21" xfId="0" applyNumberFormat="1" applyFont="1" applyFill="1" applyBorder="1" applyAlignment="1">
      <alignment horizontal="center"/>
    </xf>
    <xf numFmtId="49" fontId="3" fillId="11" borderId="19" xfId="0" applyNumberFormat="1" applyFont="1" applyFill="1" applyBorder="1" applyAlignment="1">
      <alignment horizontal="center" vertical="center"/>
    </xf>
    <xf numFmtId="49" fontId="3" fillId="11" borderId="20" xfId="0" applyNumberFormat="1" applyFont="1" applyFill="1" applyBorder="1" applyAlignment="1">
      <alignment horizontal="center" vertical="center"/>
    </xf>
    <xf numFmtId="49" fontId="3" fillId="11" borderId="21" xfId="0" applyNumberFormat="1" applyFont="1" applyFill="1" applyBorder="1" applyAlignment="1">
      <alignment horizontal="center" vertical="center"/>
    </xf>
    <xf numFmtId="0" fontId="3" fillId="11" borderId="19" xfId="0" applyFont="1" applyFill="1" applyBorder="1" applyAlignment="1">
      <alignment horizontal="center" vertical="center"/>
    </xf>
    <xf numFmtId="0" fontId="3" fillId="11" borderId="20" xfId="0" applyFont="1" applyFill="1" applyBorder="1" applyAlignment="1">
      <alignment horizontal="center" vertical="center"/>
    </xf>
    <xf numFmtId="0" fontId="3" fillId="11" borderId="21" xfId="0" applyFont="1" applyFill="1" applyBorder="1" applyAlignment="1">
      <alignment horizontal="center" vertical="center"/>
    </xf>
    <xf numFmtId="49" fontId="3" fillId="11" borderId="17" xfId="0" applyNumberFormat="1" applyFont="1" applyFill="1" applyBorder="1" applyAlignment="1">
      <alignment vertical="center" textRotation="180" wrapText="1"/>
    </xf>
    <xf numFmtId="49" fontId="3" fillId="11" borderId="30" xfId="0" applyNumberFormat="1" applyFont="1" applyFill="1" applyBorder="1" applyAlignment="1">
      <alignment vertical="center" textRotation="180" wrapText="1"/>
    </xf>
    <xf numFmtId="49" fontId="3" fillId="11" borderId="18" xfId="0" applyNumberFormat="1" applyFont="1" applyFill="1" applyBorder="1" applyAlignment="1">
      <alignment vertical="center" textRotation="180" wrapText="1"/>
    </xf>
    <xf numFmtId="0" fontId="3" fillId="11" borderId="19" xfId="0" applyFont="1" applyFill="1" applyBorder="1" applyAlignment="1">
      <alignment horizontal="center"/>
    </xf>
    <xf numFmtId="0" fontId="3" fillId="11" borderId="20" xfId="0" applyFont="1" applyFill="1" applyBorder="1" applyAlignment="1">
      <alignment horizontal="center"/>
    </xf>
    <xf numFmtId="0" fontId="3" fillId="11" borderId="21" xfId="0" applyFont="1" applyFill="1" applyBorder="1" applyAlignment="1">
      <alignment horizontal="center"/>
    </xf>
    <xf numFmtId="0" fontId="3" fillId="11" borderId="17" xfId="0" applyFont="1" applyFill="1" applyBorder="1" applyAlignment="1">
      <alignment horizontal="center" vertical="center" wrapText="1"/>
    </xf>
    <xf numFmtId="0" fontId="3" fillId="11" borderId="18" xfId="0" applyFont="1" applyFill="1" applyBorder="1" applyAlignment="1">
      <alignment horizontal="center" vertical="center" wrapText="1"/>
    </xf>
    <xf numFmtId="49" fontId="3" fillId="8" borderId="16" xfId="0" applyNumberFormat="1" applyFont="1" applyFill="1" applyBorder="1" applyAlignment="1">
      <alignment horizontal="center"/>
    </xf>
    <xf numFmtId="49" fontId="3" fillId="10" borderId="19" xfId="0" applyNumberFormat="1" applyFont="1" applyFill="1" applyBorder="1" applyAlignment="1">
      <alignment horizontal="center"/>
    </xf>
    <xf numFmtId="49" fontId="3" fillId="10" borderId="21" xfId="0" applyNumberFormat="1" applyFont="1" applyFill="1" applyBorder="1" applyAlignment="1">
      <alignment horizontal="center"/>
    </xf>
    <xf numFmtId="49" fontId="3" fillId="8" borderId="16" xfId="0" applyNumberFormat="1" applyFont="1" applyFill="1" applyBorder="1" applyAlignment="1">
      <alignment horizontal="center" wrapText="1"/>
    </xf>
    <xf numFmtId="49" fontId="3" fillId="9" borderId="17" xfId="0" applyNumberFormat="1" applyFont="1" applyFill="1" applyBorder="1" applyAlignment="1">
      <alignment horizontal="center"/>
    </xf>
    <xf numFmtId="49" fontId="3" fillId="9" borderId="18" xfId="0" applyNumberFormat="1" applyFont="1" applyFill="1" applyBorder="1" applyAlignment="1">
      <alignment horizontal="center"/>
    </xf>
    <xf numFmtId="0" fontId="3" fillId="8" borderId="16" xfId="1" applyFont="1" applyFill="1" applyBorder="1" applyAlignment="1">
      <alignment horizontal="center" vertical="center"/>
    </xf>
    <xf numFmtId="49" fontId="3" fillId="0" borderId="16" xfId="0" applyNumberFormat="1" applyFont="1" applyFill="1" applyBorder="1" applyAlignment="1">
      <alignment horizontal="center" vertical="center"/>
    </xf>
  </cellXfs>
  <cellStyles count="2">
    <cellStyle name="표준" xfId="0" builtinId="0"/>
    <cellStyle name="표준_스펙트럼" xfId="1"/>
  </cellStyles>
  <dxfs count="0"/>
  <tableStyles count="0" defaultTableStyle="TableStyleMedium9" defaultPivotStyle="PivotStyleLight16"/>
  <colors>
    <mruColors>
      <color rgb="FF0000FF"/>
      <color rgb="FFFF99FF"/>
      <color rgb="FFCCFF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lm/w_J</a:t>
            </a:r>
          </a:p>
        </c:rich>
      </c:tx>
      <c:layout>
        <c:manualLayout>
          <c:xMode val="edge"/>
          <c:yMode val="edge"/>
          <c:x val="0.83650349650355238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7352270218559133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58700288"/>
        <c:axId val="158702208"/>
      </c:scatterChart>
      <c:valAx>
        <c:axId val="158700288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158702208"/>
        <c:crossesAt val="0"/>
        <c:crossBetween val="midCat"/>
        <c:majorUnit val="1"/>
      </c:valAx>
      <c:valAx>
        <c:axId val="158702208"/>
        <c:scaling>
          <c:orientation val="minMax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58700288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CIE-x_J</a:t>
            </a:r>
          </a:p>
        </c:rich>
      </c:tx>
      <c:layout>
        <c:manualLayout>
          <c:xMode val="edge"/>
          <c:yMode val="edge"/>
          <c:x val="0.83650349650355071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63805950430743E-2"/>
          <c:y val="3.0685564304461951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58709632"/>
        <c:axId val="158711168"/>
      </c:scatterChart>
      <c:valAx>
        <c:axId val="158709632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158711168"/>
        <c:crosses val="autoZero"/>
        <c:crossBetween val="midCat"/>
        <c:majorUnit val="1"/>
      </c:valAx>
      <c:valAx>
        <c:axId val="158711168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58709632"/>
        <c:crossesAt val="1.0000000000000005E-2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CIE-y_J</a:t>
            </a:r>
          </a:p>
        </c:rich>
      </c:tx>
      <c:layout>
        <c:manualLayout>
          <c:xMode val="edge"/>
          <c:yMode val="edge"/>
          <c:x val="0.83650349650355071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63805950430743E-2"/>
          <c:y val="3.0685564304461951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57158016"/>
        <c:axId val="157172096"/>
      </c:scatterChart>
      <c:valAx>
        <c:axId val="157158016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157172096"/>
        <c:crosses val="autoZero"/>
        <c:crossBetween val="midCat"/>
        <c:majorUnit val="1"/>
      </c:valAx>
      <c:valAx>
        <c:axId val="157172096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57158016"/>
        <c:crossesAt val="1.0000000000000005E-2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Spectrum_50 J(mA/cm2)</a:t>
            </a:r>
          </a:p>
        </c:rich>
      </c:tx>
      <c:layout>
        <c:manualLayout>
          <c:xMode val="edge"/>
          <c:yMode val="edge"/>
          <c:x val="0.83650349650355038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63805950430743E-2"/>
          <c:y val="3.0685564304461951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57201152"/>
        <c:axId val="157203072"/>
      </c:scatterChart>
      <c:valAx>
        <c:axId val="157201152"/>
        <c:scaling>
          <c:orientation val="minMax"/>
          <c:max val="780"/>
          <c:min val="380"/>
        </c:scaling>
        <c:delete val="0"/>
        <c:axPos val="b"/>
        <c:numFmt formatCode="General" sourceLinked="0"/>
        <c:majorTickMark val="out"/>
        <c:minorTickMark val="none"/>
        <c:tickLblPos val="nextTo"/>
        <c:crossAx val="157203072"/>
        <c:crosses val="autoZero"/>
        <c:crossBetween val="midCat"/>
      </c:valAx>
      <c:valAx>
        <c:axId val="157203072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57201152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CIE-x_J</a:t>
            </a:r>
          </a:p>
        </c:rich>
      </c:tx>
      <c:layout>
        <c:manualLayout>
          <c:xMode val="edge"/>
          <c:yMode val="edge"/>
          <c:x val="0.85364792687628765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2482414698162833E-2"/>
          <c:y val="3.9792377855877692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57215744"/>
        <c:axId val="158753920"/>
      </c:scatterChart>
      <c:valAx>
        <c:axId val="157215744"/>
        <c:scaling>
          <c:logBase val="10"/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58753920"/>
        <c:crossesAt val="0"/>
        <c:crossBetween val="midCat"/>
      </c:valAx>
      <c:valAx>
        <c:axId val="158753920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57215744"/>
        <c:crossesAt val="0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nit_V</a:t>
            </a:r>
          </a:p>
        </c:rich>
      </c:tx>
      <c:layout>
        <c:manualLayout>
          <c:xMode val="edge"/>
          <c:yMode val="edge"/>
          <c:x val="0.8629719362003484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58787072"/>
        <c:axId val="158788992"/>
      </c:scatterChart>
      <c:valAx>
        <c:axId val="158787072"/>
        <c:scaling>
          <c:orientation val="minMax"/>
          <c:max val="7"/>
          <c:min val="-3"/>
        </c:scaling>
        <c:delete val="0"/>
        <c:axPos val="b"/>
        <c:numFmt formatCode="#,##0_ " sourceLinked="0"/>
        <c:majorTickMark val="out"/>
        <c:minorTickMark val="none"/>
        <c:tickLblPos val="nextTo"/>
        <c:crossAx val="158788992"/>
        <c:crossesAt val="1.0000000000001261E-7"/>
        <c:crossBetween val="midCat"/>
        <c:majorUnit val="1"/>
      </c:valAx>
      <c:valAx>
        <c:axId val="158788992"/>
        <c:scaling>
          <c:logBase val="10"/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E+0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58787072"/>
        <c:crossesAt val="0"/>
        <c:crossBetween val="midCat"/>
      </c:valAx>
      <c:spPr>
        <a:noFill/>
        <a:ln w="25400">
          <a:noFill/>
        </a:ln>
      </c:spPr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CIE-y_J</a:t>
            </a:r>
          </a:p>
        </c:rich>
      </c:tx>
      <c:layout>
        <c:manualLayout>
          <c:xMode val="edge"/>
          <c:yMode val="edge"/>
          <c:x val="0.86297193620034773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58822400"/>
        <c:axId val="158824320"/>
      </c:scatterChart>
      <c:valAx>
        <c:axId val="158822400"/>
        <c:scaling>
          <c:orientation val="minMax"/>
          <c:min val="0"/>
        </c:scaling>
        <c:delete val="0"/>
        <c:axPos val="b"/>
        <c:numFmt formatCode="#,##0_ " sourceLinked="0"/>
        <c:majorTickMark val="out"/>
        <c:minorTickMark val="none"/>
        <c:tickLblPos val="nextTo"/>
        <c:crossAx val="158824320"/>
        <c:crossesAt val="1.0000000000001245E-7"/>
        <c:crossBetween val="midCat"/>
      </c:valAx>
      <c:valAx>
        <c:axId val="158824320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58822400"/>
        <c:crossesAt val="0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Cd/A_V</a:t>
            </a:r>
          </a:p>
        </c:rich>
      </c:tx>
      <c:layout>
        <c:manualLayout>
          <c:xMode val="edge"/>
          <c:yMode val="edge"/>
          <c:x val="0.83650349650355804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6718396564065849E-2"/>
          <c:y val="3.0685531496064049E-2"/>
          <c:w val="0.74520515390121689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66791424"/>
        <c:axId val="166793600"/>
      </c:scatterChart>
      <c:valAx>
        <c:axId val="166791424"/>
        <c:scaling>
          <c:orientation val="minMax"/>
          <c:max val="7"/>
          <c:min val="-3"/>
        </c:scaling>
        <c:delete val="0"/>
        <c:axPos val="b"/>
        <c:numFmt formatCode="General" sourceLinked="0"/>
        <c:majorTickMark val="out"/>
        <c:minorTickMark val="none"/>
        <c:tickLblPos val="nextTo"/>
        <c:crossAx val="166793600"/>
        <c:crosses val="autoZero"/>
        <c:crossBetween val="midCat"/>
        <c:majorUnit val="1"/>
      </c:valAx>
      <c:valAx>
        <c:axId val="166793600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66791424"/>
        <c:crossesAt val="0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Spectrum_10 J(mA/cm2)</a:t>
            </a:r>
          </a:p>
        </c:rich>
      </c:tx>
      <c:layout>
        <c:manualLayout>
          <c:xMode val="edge"/>
          <c:yMode val="edge"/>
          <c:x val="0.83650349650355182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7.6724982104509662E-2"/>
          <c:y val="5.7352362204724422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66810368"/>
        <c:axId val="166812288"/>
      </c:scatterChart>
      <c:valAx>
        <c:axId val="166810368"/>
        <c:scaling>
          <c:orientation val="minMax"/>
          <c:max val="780"/>
          <c:min val="380"/>
        </c:scaling>
        <c:delete val="0"/>
        <c:axPos val="b"/>
        <c:numFmt formatCode="General" sourceLinked="0"/>
        <c:majorTickMark val="out"/>
        <c:minorTickMark val="none"/>
        <c:tickLblPos val="nextTo"/>
        <c:crossAx val="166812288"/>
        <c:crosses val="autoZero"/>
        <c:crossBetween val="midCat"/>
      </c:valAx>
      <c:valAx>
        <c:axId val="166812288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66810368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QE_J</a:t>
            </a:r>
          </a:p>
        </c:rich>
      </c:tx>
      <c:layout>
        <c:manualLayout>
          <c:xMode val="edge"/>
          <c:yMode val="edge"/>
          <c:x val="0.83650349650355238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7352270218559133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66841344"/>
        <c:axId val="167134336"/>
      </c:scatterChart>
      <c:valAx>
        <c:axId val="166841344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167134336"/>
        <c:crossesAt val="0"/>
        <c:crossBetween val="midCat"/>
        <c:majorUnit val="1"/>
      </c:valAx>
      <c:valAx>
        <c:axId val="167134336"/>
        <c:scaling>
          <c:orientation val="minMax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66841344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Cd/A_nit</a:t>
            </a:r>
          </a:p>
        </c:rich>
      </c:tx>
      <c:layout>
        <c:manualLayout>
          <c:xMode val="edge"/>
          <c:yMode val="edge"/>
          <c:x val="0.85364792687628765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7352270218559133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67163392"/>
        <c:axId val="167165312"/>
      </c:scatterChart>
      <c:valAx>
        <c:axId val="167163392"/>
        <c:scaling>
          <c:orientation val="minMax"/>
          <c:min val="0"/>
        </c:scaling>
        <c:delete val="0"/>
        <c:axPos val="b"/>
        <c:numFmt formatCode="General" sourceLinked="0"/>
        <c:majorTickMark val="out"/>
        <c:minorTickMark val="none"/>
        <c:tickLblPos val="nextTo"/>
        <c:crossAx val="167165312"/>
        <c:crossesAt val="0"/>
        <c:crossBetween val="midCat"/>
      </c:valAx>
      <c:valAx>
        <c:axId val="167165312"/>
        <c:scaling>
          <c:orientation val="minMax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67163392"/>
        <c:crossesAt val="0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Spectrum_1 J(mA/cm2)</a:t>
            </a:r>
          </a:p>
        </c:rich>
      </c:tx>
      <c:layout>
        <c:manualLayout>
          <c:xMode val="edge"/>
          <c:yMode val="edge"/>
          <c:x val="0.85539396325460004"/>
          <c:y val="4.319702537182851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66940672"/>
        <c:axId val="166942592"/>
      </c:scatterChart>
      <c:valAx>
        <c:axId val="166940672"/>
        <c:scaling>
          <c:orientation val="minMax"/>
          <c:max val="780"/>
          <c:min val="380"/>
        </c:scaling>
        <c:delete val="0"/>
        <c:axPos val="b"/>
        <c:numFmt formatCode="#,##0_ " sourceLinked="0"/>
        <c:majorTickMark val="out"/>
        <c:minorTickMark val="none"/>
        <c:tickLblPos val="nextTo"/>
        <c:crossAx val="166942592"/>
        <c:crosses val="autoZero"/>
        <c:crossBetween val="midCat"/>
        <c:majorUnit val="50"/>
      </c:valAx>
      <c:valAx>
        <c:axId val="166942592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66940672"/>
        <c:crosses val="autoZero"/>
        <c:crossBetween val="midCat"/>
      </c:valAx>
      <c:spPr>
        <a:noFill/>
      </c:spPr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Cd/A_J</a:t>
            </a:r>
          </a:p>
        </c:rich>
      </c:tx>
      <c:layout>
        <c:manualLayout>
          <c:xMode val="edge"/>
          <c:yMode val="edge"/>
          <c:x val="0.85364792687628765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7352270218559133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66959360"/>
        <c:axId val="166969728"/>
      </c:scatterChart>
      <c:valAx>
        <c:axId val="166959360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166969728"/>
        <c:crossesAt val="0"/>
        <c:crossBetween val="midCat"/>
        <c:majorUnit val="1"/>
      </c:valAx>
      <c:valAx>
        <c:axId val="166969728"/>
        <c:scaling>
          <c:orientation val="minMax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66959360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dlog(J)/dV_V</a:t>
            </a:r>
          </a:p>
        </c:rich>
      </c:tx>
      <c:layout>
        <c:manualLayout>
          <c:xMode val="edge"/>
          <c:yMode val="edge"/>
          <c:x val="0.86297193620040658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67006976"/>
        <c:axId val="167008896"/>
      </c:scatterChart>
      <c:valAx>
        <c:axId val="167006976"/>
        <c:scaling>
          <c:orientation val="minMax"/>
          <c:max val="7"/>
          <c:min val="-3"/>
        </c:scaling>
        <c:delete val="0"/>
        <c:axPos val="b"/>
        <c:numFmt formatCode="#,##0_ " sourceLinked="0"/>
        <c:majorTickMark val="out"/>
        <c:minorTickMark val="none"/>
        <c:tickLblPos val="nextTo"/>
        <c:crossAx val="167008896"/>
        <c:crosses val="autoZero"/>
        <c:crossBetween val="midCat"/>
        <c:majorUnit val="1"/>
      </c:valAx>
      <c:valAx>
        <c:axId val="167008896"/>
        <c:scaling>
          <c:orientation val="minMax"/>
          <c:max val="35"/>
          <c:min val="-1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67006976"/>
        <c:crossesAt val="0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J_V</a:t>
            </a:r>
          </a:p>
        </c:rich>
      </c:tx>
      <c:layout>
        <c:manualLayout>
          <c:xMode val="edge"/>
          <c:yMode val="edge"/>
          <c:x val="0.86297193620042312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67464320"/>
        <c:axId val="167474688"/>
      </c:scatterChart>
      <c:valAx>
        <c:axId val="167464320"/>
        <c:scaling>
          <c:orientation val="minMax"/>
          <c:max val="7"/>
          <c:min val="-5"/>
        </c:scaling>
        <c:delete val="0"/>
        <c:axPos val="b"/>
        <c:numFmt formatCode="#,##0_ " sourceLinked="0"/>
        <c:majorTickMark val="out"/>
        <c:minorTickMark val="none"/>
        <c:tickLblPos val="nextTo"/>
        <c:crossAx val="167474688"/>
        <c:crossesAt val="1.0000000000002506E-7"/>
        <c:crossBetween val="midCat"/>
        <c:majorUnit val="1"/>
      </c:valAx>
      <c:valAx>
        <c:axId val="167474688"/>
        <c:scaling>
          <c:logBase val="10"/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E+0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67464320"/>
        <c:crossesAt val="0"/>
        <c:crossBetween val="midCat"/>
      </c:valAx>
    </c:plotArea>
    <c:legend>
      <c:legendPos val="r"/>
      <c:layout>
        <c:manualLayout>
          <c:xMode val="edge"/>
          <c:yMode val="edge"/>
          <c:x val="0.72329821045096665"/>
          <c:y val="0.37378582677166633"/>
          <c:w val="0.27670178954903368"/>
          <c:h val="0.33837882764657229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CIE-x_J</a:t>
            </a:r>
          </a:p>
        </c:rich>
      </c:tx>
      <c:layout>
        <c:manualLayout>
          <c:xMode val="edge"/>
          <c:yMode val="edge"/>
          <c:x val="0.83650349650355071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63805950430743E-2"/>
          <c:y val="3.0685564304461951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67490304"/>
        <c:axId val="167491840"/>
      </c:scatterChart>
      <c:valAx>
        <c:axId val="167490304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167491840"/>
        <c:crosses val="autoZero"/>
        <c:crossBetween val="midCat"/>
        <c:majorUnit val="1"/>
      </c:valAx>
      <c:valAx>
        <c:axId val="167491840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67490304"/>
        <c:crossesAt val="1.0000000000000005E-2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Cd/A_nit</a:t>
            </a:r>
          </a:p>
        </c:rich>
      </c:tx>
      <c:layout>
        <c:manualLayout>
          <c:xMode val="edge"/>
          <c:yMode val="edge"/>
          <c:x val="0.74718900055618798"/>
          <c:y val="8.312934333592478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725518518518521"/>
          <c:y val="5.1151076082803899E-2"/>
          <c:w val="0.79236629629629629"/>
          <c:h val="0.80655353535353536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408832256"/>
        <c:axId val="408977792"/>
      </c:scatterChart>
      <c:valAx>
        <c:axId val="408832256"/>
        <c:scaling>
          <c:orientation val="minMax"/>
          <c:max val="4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nit</a:t>
                </a:r>
                <a:endParaRPr lang="ko-KR"/>
              </a:p>
            </c:rich>
          </c:tx>
          <c:layout/>
          <c:overlay val="0"/>
        </c:title>
        <c:numFmt formatCode="General" sourceLinked="0"/>
        <c:majorTickMark val="none"/>
        <c:minorTickMark val="none"/>
        <c:tickLblPos val="nextTo"/>
        <c:crossAx val="408977792"/>
        <c:crossesAt val="0"/>
        <c:crossBetween val="midCat"/>
        <c:majorUnit val="1000"/>
      </c:valAx>
      <c:valAx>
        <c:axId val="408977792"/>
        <c:scaling>
          <c:orientation val="minMax"/>
          <c:max val="8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Cd/A</a:t>
                </a:r>
                <a:endParaRPr lang="ko-KR"/>
              </a:p>
            </c:rich>
          </c:tx>
          <c:layout/>
          <c:overlay val="0"/>
        </c:title>
        <c:numFmt formatCode="General" sourceLinked="0"/>
        <c:majorTickMark val="none"/>
        <c:minorTickMark val="none"/>
        <c:tickLblPos val="nextTo"/>
        <c:spPr>
          <a:ln>
            <a:solidFill>
              <a:schemeClr val="tx1"/>
            </a:solidFill>
          </a:ln>
        </c:spPr>
        <c:crossAx val="408832256"/>
        <c:crossesAt val="0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9990475089811036"/>
          <c:y val="0.54520008334348913"/>
          <c:w val="0.29473851851851851"/>
          <c:h val="0.15556003937007873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600" b="0">
          <a:latin typeface="Arial" panose="020B0604020202020204" pitchFamily="34" charset="0"/>
          <a:ea typeface="맑은 고딕" panose="020B0503020000020004" pitchFamily="50" charset="-127"/>
          <a:cs typeface="Arial" panose="020B0604020202020204" pitchFamily="34" charset="0"/>
        </a:defRPr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J_V</a:t>
            </a:r>
          </a:p>
        </c:rich>
      </c:tx>
      <c:layout>
        <c:manualLayout>
          <c:xMode val="edge"/>
          <c:yMode val="edge"/>
          <c:x val="0.21466182111851403"/>
          <c:y val="4.323553542760625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8719883577164353"/>
          <c:y val="4.6377771585061414E-2"/>
          <c:w val="0.76964100582256778"/>
          <c:h val="0.80987258948279461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561139712"/>
        <c:axId val="561141632"/>
      </c:scatterChart>
      <c:valAx>
        <c:axId val="561139712"/>
        <c:scaling>
          <c:orientation val="minMax"/>
          <c:max val="7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Voltage(V)</a:t>
                </a:r>
                <a:endParaRPr lang="ko-KR"/>
              </a:p>
            </c:rich>
          </c:tx>
          <c:layout/>
          <c:overlay val="0"/>
        </c:title>
        <c:numFmt formatCode="#,##0_ " sourceLinked="0"/>
        <c:majorTickMark val="none"/>
        <c:minorTickMark val="none"/>
        <c:tickLblPos val="nextTo"/>
        <c:crossAx val="561141632"/>
        <c:crossesAt val="1.0000000000002507E-11"/>
        <c:crossBetween val="midCat"/>
        <c:majorUnit val="1"/>
      </c:valAx>
      <c:valAx>
        <c:axId val="561141632"/>
        <c:scaling>
          <c:logBase val="10"/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J(mA/cm2)</a:t>
                </a:r>
                <a:endParaRPr lang="ko-KR"/>
              </a:p>
            </c:rich>
          </c:tx>
          <c:layout/>
          <c:overlay val="0"/>
        </c:title>
        <c:numFmt formatCode="0.E+00" sourceLinked="0"/>
        <c:majorTickMark val="none"/>
        <c:minorTickMark val="none"/>
        <c:tickLblPos val="nextTo"/>
        <c:spPr>
          <a:ln>
            <a:solidFill>
              <a:schemeClr val="tx1"/>
            </a:solidFill>
          </a:ln>
        </c:spPr>
        <c:crossAx val="561139712"/>
        <c:crossesAt val="0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52838962962962965"/>
          <c:y val="0.58999339833434894"/>
          <c:w val="0.38245444444444437"/>
          <c:h val="0.19779910623603494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600" b="0">
          <a:latin typeface="Arial" panose="020B0604020202020204" pitchFamily="34" charset="0"/>
          <a:ea typeface="맑은 고딕" panose="020B0503020000020004" pitchFamily="50" charset="-127"/>
          <a:cs typeface="Arial" panose="020B0604020202020204" pitchFamily="34" charset="0"/>
        </a:defRPr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image" Target="../media/image1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12" Type="http://schemas.openxmlformats.org/officeDocument/2006/relationships/image" Target="../media/image12.emf"/><Relationship Id="rId2" Type="http://schemas.openxmlformats.org/officeDocument/2006/relationships/image" Target="../media/image9.emf"/><Relationship Id="rId16" Type="http://schemas.openxmlformats.org/officeDocument/2006/relationships/image" Target="../media/image16.emf"/><Relationship Id="rId1" Type="http://schemas.openxmlformats.org/officeDocument/2006/relationships/image" Target="../media/image10.emf"/><Relationship Id="rId6" Type="http://schemas.openxmlformats.org/officeDocument/2006/relationships/image" Target="../media/image5.emf"/><Relationship Id="rId11" Type="http://schemas.openxmlformats.org/officeDocument/2006/relationships/image" Target="../media/image11.emf"/><Relationship Id="rId5" Type="http://schemas.openxmlformats.org/officeDocument/2006/relationships/image" Target="../media/image6.emf"/><Relationship Id="rId15" Type="http://schemas.openxmlformats.org/officeDocument/2006/relationships/image" Target="../media/image15.emf"/><Relationship Id="rId10" Type="http://schemas.openxmlformats.org/officeDocument/2006/relationships/image" Target="../media/image1.emf"/><Relationship Id="rId4" Type="http://schemas.openxmlformats.org/officeDocument/2006/relationships/image" Target="../media/image7.emf"/><Relationship Id="rId9" Type="http://schemas.openxmlformats.org/officeDocument/2006/relationships/image" Target="../media/image2.emf"/><Relationship Id="rId14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19050</xdr:colOff>
          <xdr:row>10</xdr:row>
          <xdr:rowOff>123825</xdr:rowOff>
        </xdr:from>
        <xdr:to>
          <xdr:col>13</xdr:col>
          <xdr:colOff>304800</xdr:colOff>
          <xdr:row>14</xdr:row>
          <xdr:rowOff>114300</xdr:rowOff>
        </xdr:to>
        <xdr:sp macro="" textlink="">
          <xdr:nvSpPr>
            <xdr:cNvPr id="93967" name="Button 783" hidden="1">
              <a:extLst>
                <a:ext uri="{63B3BB69-23CF-44E3-9099-C40C66FF867C}">
                  <a14:compatExt spid="_x0000_s939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Cut OFF</a:t>
              </a:r>
            </a:p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(%)</a:t>
              </a:r>
            </a:p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(</a:t>
              </a: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Symbol"/>
                  <a:ea typeface="돋움"/>
                </a:rPr>
                <a:t>D</a:t>
              </a: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19050</xdr:colOff>
          <xdr:row>11</xdr:row>
          <xdr:rowOff>9525</xdr:rowOff>
        </xdr:from>
        <xdr:to>
          <xdr:col>17</xdr:col>
          <xdr:colOff>9525</xdr:colOff>
          <xdr:row>14</xdr:row>
          <xdr:rowOff>114300</xdr:rowOff>
        </xdr:to>
        <xdr:sp macro="" textlink="">
          <xdr:nvSpPr>
            <xdr:cNvPr id="196327" name="Button 2791" hidden="1">
              <a:extLst>
                <a:ext uri="{63B3BB69-23CF-44E3-9099-C40C66FF867C}">
                  <a14:compatExt spid="_x0000_s196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Raw 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9525</xdr:colOff>
          <xdr:row>9</xdr:row>
          <xdr:rowOff>9525</xdr:rowOff>
        </xdr:from>
        <xdr:to>
          <xdr:col>19</xdr:col>
          <xdr:colOff>304800</xdr:colOff>
          <xdr:row>11</xdr:row>
          <xdr:rowOff>123825</xdr:rowOff>
        </xdr:to>
        <xdr:sp macro="" textlink="">
          <xdr:nvSpPr>
            <xdr:cNvPr id="196329" name="Button 2793" hidden="1">
              <a:extLst>
                <a:ext uri="{63B3BB69-23CF-44E3-9099-C40C66FF867C}">
                  <a14:compatExt spid="_x0000_s196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구조변경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9525</xdr:colOff>
          <xdr:row>11</xdr:row>
          <xdr:rowOff>9525</xdr:rowOff>
        </xdr:from>
        <xdr:to>
          <xdr:col>18</xdr:col>
          <xdr:colOff>0</xdr:colOff>
          <xdr:row>14</xdr:row>
          <xdr:rowOff>114300</xdr:rowOff>
        </xdr:to>
        <xdr:sp macro="" textlink="">
          <xdr:nvSpPr>
            <xdr:cNvPr id="196357" name="Button 2821" hidden="1">
              <a:extLst>
                <a:ext uri="{63B3BB69-23CF-44E3-9099-C40C66FF867C}">
                  <a14:compatExt spid="_x0000_s196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Sheet 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0</xdr:colOff>
          <xdr:row>11</xdr:row>
          <xdr:rowOff>9525</xdr:rowOff>
        </xdr:from>
        <xdr:to>
          <xdr:col>18</xdr:col>
          <xdr:colOff>304800</xdr:colOff>
          <xdr:row>14</xdr:row>
          <xdr:rowOff>114300</xdr:rowOff>
        </xdr:to>
        <xdr:sp macro="" textlink="">
          <xdr:nvSpPr>
            <xdr:cNvPr id="196358" name="Button 2822" hidden="1">
              <a:extLst>
                <a:ext uri="{63B3BB69-23CF-44E3-9099-C40C66FF867C}">
                  <a14:compatExt spid="_x0000_s1963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Sheet Del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9525</xdr:colOff>
          <xdr:row>12</xdr:row>
          <xdr:rowOff>9525</xdr:rowOff>
        </xdr:from>
        <xdr:to>
          <xdr:col>19</xdr:col>
          <xdr:colOff>304800</xdr:colOff>
          <xdr:row>14</xdr:row>
          <xdr:rowOff>123825</xdr:rowOff>
        </xdr:to>
        <xdr:sp macro="" textlink="">
          <xdr:nvSpPr>
            <xdr:cNvPr id="196369" name="Button 2833" hidden="1">
              <a:extLst>
                <a:ext uri="{63B3BB69-23CF-44E3-9099-C40C66FF867C}">
                  <a14:compatExt spid="_x0000_s196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Find   mA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0</xdr:colOff>
      <xdr:row>18</xdr:row>
      <xdr:rowOff>0</xdr:rowOff>
    </xdr:from>
    <xdr:to>
      <xdr:col>35</xdr:col>
      <xdr:colOff>368300</xdr:colOff>
      <xdr:row>29</xdr:row>
      <xdr:rowOff>146050</xdr:rowOff>
    </xdr:to>
    <xdr:graphicFrame macro="">
      <xdr:nvGraphicFramePr>
        <xdr:cNvPr id="40" name="차트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0</xdr:colOff>
      <xdr:row>42</xdr:row>
      <xdr:rowOff>0</xdr:rowOff>
    </xdr:from>
    <xdr:to>
      <xdr:col>35</xdr:col>
      <xdr:colOff>368300</xdr:colOff>
      <xdr:row>53</xdr:row>
      <xdr:rowOff>128731</xdr:rowOff>
    </xdr:to>
    <xdr:graphicFrame macro="">
      <xdr:nvGraphicFramePr>
        <xdr:cNvPr id="66" name="차트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36</xdr:col>
      <xdr:colOff>0</xdr:colOff>
      <xdr:row>42</xdr:row>
      <xdr:rowOff>0</xdr:rowOff>
    </xdr:from>
    <xdr:to>
      <xdr:col>44</xdr:col>
      <xdr:colOff>368300</xdr:colOff>
      <xdr:row>53</xdr:row>
      <xdr:rowOff>128731</xdr:rowOff>
    </xdr:to>
    <xdr:graphicFrame macro="">
      <xdr:nvGraphicFramePr>
        <xdr:cNvPr id="68" name="차트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36</xdr:col>
      <xdr:colOff>0</xdr:colOff>
      <xdr:row>30</xdr:row>
      <xdr:rowOff>0</xdr:rowOff>
    </xdr:from>
    <xdr:to>
      <xdr:col>44</xdr:col>
      <xdr:colOff>368300</xdr:colOff>
      <xdr:row>41</xdr:row>
      <xdr:rowOff>146050</xdr:rowOff>
    </xdr:to>
    <xdr:graphicFrame macro="">
      <xdr:nvGraphicFramePr>
        <xdr:cNvPr id="21" name="차트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0</xdr:colOff>
      <xdr:row>30</xdr:row>
      <xdr:rowOff>0</xdr:rowOff>
    </xdr:from>
    <xdr:to>
      <xdr:col>26</xdr:col>
      <xdr:colOff>368300</xdr:colOff>
      <xdr:row>41</xdr:row>
      <xdr:rowOff>146050</xdr:rowOff>
    </xdr:to>
    <xdr:graphicFrame macro="">
      <xdr:nvGraphicFramePr>
        <xdr:cNvPr id="32" name="차트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30</xdr:row>
      <xdr:rowOff>0</xdr:rowOff>
    </xdr:from>
    <xdr:to>
      <xdr:col>17</xdr:col>
      <xdr:colOff>368300</xdr:colOff>
      <xdr:row>41</xdr:row>
      <xdr:rowOff>146050</xdr:rowOff>
    </xdr:to>
    <xdr:graphicFrame macro="">
      <xdr:nvGraphicFramePr>
        <xdr:cNvPr id="29" name="차트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0</xdr:colOff>
      <xdr:row>30</xdr:row>
      <xdr:rowOff>0</xdr:rowOff>
    </xdr:from>
    <xdr:to>
      <xdr:col>35</xdr:col>
      <xdr:colOff>368300</xdr:colOff>
      <xdr:row>41</xdr:row>
      <xdr:rowOff>146050</xdr:rowOff>
    </xdr:to>
    <xdr:graphicFrame macro="">
      <xdr:nvGraphicFramePr>
        <xdr:cNvPr id="25" name="차트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42</xdr:row>
      <xdr:rowOff>0</xdr:rowOff>
    </xdr:from>
    <xdr:to>
      <xdr:col>17</xdr:col>
      <xdr:colOff>368300</xdr:colOff>
      <xdr:row>53</xdr:row>
      <xdr:rowOff>146050</xdr:rowOff>
    </xdr:to>
    <xdr:graphicFrame macro="">
      <xdr:nvGraphicFramePr>
        <xdr:cNvPr id="27" name="차트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36</xdr:col>
      <xdr:colOff>0</xdr:colOff>
      <xdr:row>18</xdr:row>
      <xdr:rowOff>0</xdr:rowOff>
    </xdr:from>
    <xdr:to>
      <xdr:col>44</xdr:col>
      <xdr:colOff>368300</xdr:colOff>
      <xdr:row>29</xdr:row>
      <xdr:rowOff>146050</xdr:rowOff>
    </xdr:to>
    <xdr:graphicFrame macro="">
      <xdr:nvGraphicFramePr>
        <xdr:cNvPr id="46" name="차트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27</xdr:col>
      <xdr:colOff>0</xdr:colOff>
      <xdr:row>7</xdr:row>
      <xdr:rowOff>0</xdr:rowOff>
    </xdr:from>
    <xdr:to>
      <xdr:col>35</xdr:col>
      <xdr:colOff>368300</xdr:colOff>
      <xdr:row>17</xdr:row>
      <xdr:rowOff>146050</xdr:rowOff>
    </xdr:to>
    <xdr:graphicFrame macro="">
      <xdr:nvGraphicFramePr>
        <xdr:cNvPr id="23" name="차트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18</xdr:col>
      <xdr:colOff>0</xdr:colOff>
      <xdr:row>18</xdr:row>
      <xdr:rowOff>0</xdr:rowOff>
    </xdr:from>
    <xdr:to>
      <xdr:col>26</xdr:col>
      <xdr:colOff>368300</xdr:colOff>
      <xdr:row>29</xdr:row>
      <xdr:rowOff>146050</xdr:rowOff>
    </xdr:to>
    <xdr:graphicFrame macro="">
      <xdr:nvGraphicFramePr>
        <xdr:cNvPr id="30" name="차트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36</xdr:col>
      <xdr:colOff>0</xdr:colOff>
      <xdr:row>7</xdr:row>
      <xdr:rowOff>0</xdr:rowOff>
    </xdr:from>
    <xdr:to>
      <xdr:col>44</xdr:col>
      <xdr:colOff>368300</xdr:colOff>
      <xdr:row>17</xdr:row>
      <xdr:rowOff>146050</xdr:rowOff>
    </xdr:to>
    <xdr:graphicFrame macro="">
      <xdr:nvGraphicFramePr>
        <xdr:cNvPr id="34" name="차트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18</xdr:col>
      <xdr:colOff>0</xdr:colOff>
      <xdr:row>7</xdr:row>
      <xdr:rowOff>0</xdr:rowOff>
    </xdr:from>
    <xdr:to>
      <xdr:col>26</xdr:col>
      <xdr:colOff>368300</xdr:colOff>
      <xdr:row>17</xdr:row>
      <xdr:rowOff>146050</xdr:rowOff>
    </xdr:to>
    <xdr:graphicFrame macro="">
      <xdr:nvGraphicFramePr>
        <xdr:cNvPr id="41" name="차트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9</xdr:col>
      <xdr:colOff>0</xdr:colOff>
      <xdr:row>18</xdr:row>
      <xdr:rowOff>0</xdr:rowOff>
    </xdr:from>
    <xdr:to>
      <xdr:col>17</xdr:col>
      <xdr:colOff>368300</xdr:colOff>
      <xdr:row>29</xdr:row>
      <xdr:rowOff>146050</xdr:rowOff>
    </xdr:to>
    <xdr:graphicFrame macro="">
      <xdr:nvGraphicFramePr>
        <xdr:cNvPr id="19" name="차트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28575</xdr:colOff>
          <xdr:row>8</xdr:row>
          <xdr:rowOff>142875</xdr:rowOff>
        </xdr:from>
        <xdr:to>
          <xdr:col>2</xdr:col>
          <xdr:colOff>361950</xdr:colOff>
          <xdr:row>10</xdr:row>
          <xdr:rowOff>133350</xdr:rowOff>
        </xdr:to>
        <xdr:sp macro="" textlink="">
          <xdr:nvSpPr>
            <xdr:cNvPr id="198657" name="Button 1" hidden="1">
              <a:extLst>
                <a:ext uri="{63B3BB69-23CF-44E3-9099-C40C66FF867C}">
                  <a14:compatExt spid="_x0000_s198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Graph Plot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28575</xdr:colOff>
          <xdr:row>6</xdr:row>
          <xdr:rowOff>123825</xdr:rowOff>
        </xdr:from>
        <xdr:to>
          <xdr:col>2</xdr:col>
          <xdr:colOff>371475</xdr:colOff>
          <xdr:row>8</xdr:row>
          <xdr:rowOff>133350</xdr:rowOff>
        </xdr:to>
        <xdr:sp macro="" textlink="">
          <xdr:nvSpPr>
            <xdr:cNvPr id="198658" name="Button 2" hidden="1">
              <a:extLst>
                <a:ext uri="{63B3BB69-23CF-44E3-9099-C40C66FF867C}">
                  <a14:compatExt spid="_x0000_s1986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Graph Initial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10</xdr:row>
          <xdr:rowOff>142875</xdr:rowOff>
        </xdr:from>
        <xdr:to>
          <xdr:col>2</xdr:col>
          <xdr:colOff>361950</xdr:colOff>
          <xdr:row>12</xdr:row>
          <xdr:rowOff>133350</xdr:rowOff>
        </xdr:to>
        <xdr:sp macro="" textlink="">
          <xdr:nvSpPr>
            <xdr:cNvPr id="198659" name="Button 3" hidden="1">
              <a:extLst>
                <a:ext uri="{63B3BB69-23CF-44E3-9099-C40C66FF867C}">
                  <a14:compatExt spid="_x0000_s1986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Graph 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12</xdr:row>
          <xdr:rowOff>142875</xdr:rowOff>
        </xdr:from>
        <xdr:to>
          <xdr:col>2</xdr:col>
          <xdr:colOff>371475</xdr:colOff>
          <xdr:row>14</xdr:row>
          <xdr:rowOff>133350</xdr:rowOff>
        </xdr:to>
        <xdr:sp macro="" textlink="">
          <xdr:nvSpPr>
            <xdr:cNvPr id="198660" name="Button 4" hidden="1">
              <a:extLst>
                <a:ext uri="{63B3BB69-23CF-44E3-9099-C40C66FF867C}">
                  <a14:compatExt spid="_x0000_s1986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Select Valuable Cells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14</xdr:row>
          <xdr:rowOff>142875</xdr:rowOff>
        </xdr:from>
        <xdr:to>
          <xdr:col>2</xdr:col>
          <xdr:colOff>371475</xdr:colOff>
          <xdr:row>16</xdr:row>
          <xdr:rowOff>114300</xdr:rowOff>
        </xdr:to>
        <xdr:sp macro="" textlink="">
          <xdr:nvSpPr>
            <xdr:cNvPr id="198661" name="Button 5" hidden="1">
              <a:extLst>
                <a:ext uri="{63B3BB69-23CF-44E3-9099-C40C66FF867C}">
                  <a14:compatExt spid="_x0000_s1986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Initalize Valuable Cells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</xdr:colOff>
          <xdr:row>16</xdr:row>
          <xdr:rowOff>142875</xdr:rowOff>
        </xdr:from>
        <xdr:to>
          <xdr:col>4</xdr:col>
          <xdr:colOff>228600</xdr:colOff>
          <xdr:row>18</xdr:row>
          <xdr:rowOff>123825</xdr:rowOff>
        </xdr:to>
        <xdr:sp macro="" textlink="">
          <xdr:nvSpPr>
            <xdr:cNvPr id="198673" name="ToggleButton1" hidden="1">
              <a:extLst>
                <a:ext uri="{63B3BB69-23CF-44E3-9099-C40C66FF867C}">
                  <a14:compatExt spid="_x0000_s198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219075</xdr:colOff>
          <xdr:row>16</xdr:row>
          <xdr:rowOff>142875</xdr:rowOff>
        </xdr:from>
        <xdr:to>
          <xdr:col>6</xdr:col>
          <xdr:colOff>28575</xdr:colOff>
          <xdr:row>18</xdr:row>
          <xdr:rowOff>123825</xdr:rowOff>
        </xdr:to>
        <xdr:sp macro="" textlink="">
          <xdr:nvSpPr>
            <xdr:cNvPr id="198702" name="ToggleButton2" hidden="1">
              <a:extLst>
                <a:ext uri="{63B3BB69-23CF-44E3-9099-C40C66FF867C}">
                  <a14:compatExt spid="_x0000_s198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16</xdr:row>
          <xdr:rowOff>142875</xdr:rowOff>
        </xdr:from>
        <xdr:to>
          <xdr:col>7</xdr:col>
          <xdr:colOff>219075</xdr:colOff>
          <xdr:row>18</xdr:row>
          <xdr:rowOff>123825</xdr:rowOff>
        </xdr:to>
        <xdr:sp macro="" textlink="">
          <xdr:nvSpPr>
            <xdr:cNvPr id="198703" name="ToggleButton3" hidden="1">
              <a:extLst>
                <a:ext uri="{63B3BB69-23CF-44E3-9099-C40C66FF867C}">
                  <a14:compatExt spid="_x0000_s198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209550</xdr:colOff>
          <xdr:row>16</xdr:row>
          <xdr:rowOff>142875</xdr:rowOff>
        </xdr:from>
        <xdr:to>
          <xdr:col>9</xdr:col>
          <xdr:colOff>19050</xdr:colOff>
          <xdr:row>18</xdr:row>
          <xdr:rowOff>123825</xdr:rowOff>
        </xdr:to>
        <xdr:sp macro="" textlink="">
          <xdr:nvSpPr>
            <xdr:cNvPr id="198704" name="ToggleButton4" hidden="1">
              <a:extLst>
                <a:ext uri="{63B3BB69-23CF-44E3-9099-C40C66FF867C}">
                  <a14:compatExt spid="_x0000_s198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</xdr:colOff>
          <xdr:row>18</xdr:row>
          <xdr:rowOff>114300</xdr:rowOff>
        </xdr:from>
        <xdr:to>
          <xdr:col>4</xdr:col>
          <xdr:colOff>228600</xdr:colOff>
          <xdr:row>20</xdr:row>
          <xdr:rowOff>114300</xdr:rowOff>
        </xdr:to>
        <xdr:sp macro="" textlink="">
          <xdr:nvSpPr>
            <xdr:cNvPr id="198705" name="ToggleButton5" hidden="1">
              <a:extLst>
                <a:ext uri="{63B3BB69-23CF-44E3-9099-C40C66FF867C}">
                  <a14:compatExt spid="_x0000_s198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209550</xdr:colOff>
          <xdr:row>18</xdr:row>
          <xdr:rowOff>114300</xdr:rowOff>
        </xdr:from>
        <xdr:to>
          <xdr:col>9</xdr:col>
          <xdr:colOff>19050</xdr:colOff>
          <xdr:row>20</xdr:row>
          <xdr:rowOff>114300</xdr:rowOff>
        </xdr:to>
        <xdr:sp macro="" textlink="">
          <xdr:nvSpPr>
            <xdr:cNvPr id="198708" name="ToggleButton8" hidden="1">
              <a:extLst>
                <a:ext uri="{63B3BB69-23CF-44E3-9099-C40C66FF867C}">
                  <a14:compatExt spid="_x0000_s1987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</xdr:colOff>
          <xdr:row>20</xdr:row>
          <xdr:rowOff>104775</xdr:rowOff>
        </xdr:from>
        <xdr:to>
          <xdr:col>4</xdr:col>
          <xdr:colOff>228600</xdr:colOff>
          <xdr:row>22</xdr:row>
          <xdr:rowOff>104775</xdr:rowOff>
        </xdr:to>
        <xdr:sp macro="" textlink="">
          <xdr:nvSpPr>
            <xdr:cNvPr id="198709" name="ToggleButton9" hidden="1">
              <a:extLst>
                <a:ext uri="{63B3BB69-23CF-44E3-9099-C40C66FF867C}">
                  <a14:compatExt spid="_x0000_s198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219075</xdr:colOff>
          <xdr:row>20</xdr:row>
          <xdr:rowOff>104775</xdr:rowOff>
        </xdr:from>
        <xdr:to>
          <xdr:col>6</xdr:col>
          <xdr:colOff>28575</xdr:colOff>
          <xdr:row>22</xdr:row>
          <xdr:rowOff>104775</xdr:rowOff>
        </xdr:to>
        <xdr:sp macro="" textlink="">
          <xdr:nvSpPr>
            <xdr:cNvPr id="198710" name="ToggleButton10" hidden="1">
              <a:extLst>
                <a:ext uri="{63B3BB69-23CF-44E3-9099-C40C66FF867C}">
                  <a14:compatExt spid="_x0000_s1987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20</xdr:row>
          <xdr:rowOff>104775</xdr:rowOff>
        </xdr:from>
        <xdr:to>
          <xdr:col>7</xdr:col>
          <xdr:colOff>219075</xdr:colOff>
          <xdr:row>22</xdr:row>
          <xdr:rowOff>104775</xdr:rowOff>
        </xdr:to>
        <xdr:sp macro="" textlink="">
          <xdr:nvSpPr>
            <xdr:cNvPr id="198711" name="ToggleButton11" hidden="1">
              <a:extLst>
                <a:ext uri="{63B3BB69-23CF-44E3-9099-C40C66FF867C}">
                  <a14:compatExt spid="_x0000_s198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209550</xdr:colOff>
          <xdr:row>20</xdr:row>
          <xdr:rowOff>104775</xdr:rowOff>
        </xdr:from>
        <xdr:to>
          <xdr:col>9</xdr:col>
          <xdr:colOff>19050</xdr:colOff>
          <xdr:row>22</xdr:row>
          <xdr:rowOff>104775</xdr:rowOff>
        </xdr:to>
        <xdr:sp macro="" textlink="">
          <xdr:nvSpPr>
            <xdr:cNvPr id="198712" name="ToggleButton12" hidden="1">
              <a:extLst>
                <a:ext uri="{63B3BB69-23CF-44E3-9099-C40C66FF867C}">
                  <a14:compatExt spid="_x0000_s198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219075</xdr:colOff>
          <xdr:row>18</xdr:row>
          <xdr:rowOff>114300</xdr:rowOff>
        </xdr:from>
        <xdr:to>
          <xdr:col>6</xdr:col>
          <xdr:colOff>28575</xdr:colOff>
          <xdr:row>20</xdr:row>
          <xdr:rowOff>114300</xdr:rowOff>
        </xdr:to>
        <xdr:sp macro="" textlink="">
          <xdr:nvSpPr>
            <xdr:cNvPr id="198713" name="ToggleButton6" hidden="1">
              <a:extLst>
                <a:ext uri="{63B3BB69-23CF-44E3-9099-C40C66FF867C}">
                  <a14:compatExt spid="_x0000_s198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18</xdr:row>
          <xdr:rowOff>114300</xdr:rowOff>
        </xdr:from>
        <xdr:to>
          <xdr:col>7</xdr:col>
          <xdr:colOff>219075</xdr:colOff>
          <xdr:row>20</xdr:row>
          <xdr:rowOff>114300</xdr:rowOff>
        </xdr:to>
        <xdr:sp macro="" textlink="">
          <xdr:nvSpPr>
            <xdr:cNvPr id="198714" name="ToggleButton7" hidden="1">
              <a:extLst>
                <a:ext uri="{63B3BB69-23CF-44E3-9099-C40C66FF867C}">
                  <a14:compatExt spid="_x0000_s198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16</xdr:row>
          <xdr:rowOff>142875</xdr:rowOff>
        </xdr:from>
        <xdr:to>
          <xdr:col>2</xdr:col>
          <xdr:colOff>371475</xdr:colOff>
          <xdr:row>24</xdr:row>
          <xdr:rowOff>76200</xdr:rowOff>
        </xdr:to>
        <xdr:sp macro="" textlink="">
          <xdr:nvSpPr>
            <xdr:cNvPr id="198715" name="Button 59" hidden="1">
              <a:extLst>
                <a:ext uri="{63B3BB69-23CF-44E3-9099-C40C66FF867C}">
                  <a14:compatExt spid="_x0000_s1987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Name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Change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</xdr:colOff>
          <xdr:row>22</xdr:row>
          <xdr:rowOff>95250</xdr:rowOff>
        </xdr:from>
        <xdr:to>
          <xdr:col>4</xdr:col>
          <xdr:colOff>228600</xdr:colOff>
          <xdr:row>24</xdr:row>
          <xdr:rowOff>95250</xdr:rowOff>
        </xdr:to>
        <xdr:sp macro="" textlink="">
          <xdr:nvSpPr>
            <xdr:cNvPr id="198717" name="ToggleButton13" hidden="1">
              <a:extLst>
                <a:ext uri="{63B3BB69-23CF-44E3-9099-C40C66FF867C}">
                  <a14:compatExt spid="_x0000_s198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219075</xdr:colOff>
          <xdr:row>22</xdr:row>
          <xdr:rowOff>95250</xdr:rowOff>
        </xdr:from>
        <xdr:to>
          <xdr:col>6</xdr:col>
          <xdr:colOff>28575</xdr:colOff>
          <xdr:row>24</xdr:row>
          <xdr:rowOff>95250</xdr:rowOff>
        </xdr:to>
        <xdr:sp macro="" textlink="">
          <xdr:nvSpPr>
            <xdr:cNvPr id="198718" name="ToggleButton14" hidden="1">
              <a:extLst>
                <a:ext uri="{63B3BB69-23CF-44E3-9099-C40C66FF867C}">
                  <a14:compatExt spid="_x0000_s198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22</xdr:row>
          <xdr:rowOff>95250</xdr:rowOff>
        </xdr:from>
        <xdr:to>
          <xdr:col>7</xdr:col>
          <xdr:colOff>219075</xdr:colOff>
          <xdr:row>24</xdr:row>
          <xdr:rowOff>95250</xdr:rowOff>
        </xdr:to>
        <xdr:sp macro="" textlink="">
          <xdr:nvSpPr>
            <xdr:cNvPr id="198719" name="ToggleButton15" hidden="1">
              <a:extLst>
                <a:ext uri="{63B3BB69-23CF-44E3-9099-C40C66FF867C}">
                  <a14:compatExt spid="_x0000_s1987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209550</xdr:colOff>
          <xdr:row>22</xdr:row>
          <xdr:rowOff>95250</xdr:rowOff>
        </xdr:from>
        <xdr:to>
          <xdr:col>9</xdr:col>
          <xdr:colOff>19050</xdr:colOff>
          <xdr:row>24</xdr:row>
          <xdr:rowOff>95250</xdr:rowOff>
        </xdr:to>
        <xdr:sp macro="" textlink="">
          <xdr:nvSpPr>
            <xdr:cNvPr id="198720" name="ToggleButton16" hidden="1">
              <a:extLst>
                <a:ext uri="{63B3BB69-23CF-44E3-9099-C40C66FF867C}">
                  <a14:compatExt spid="_x0000_s198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0</xdr:colOff>
      <xdr:row>7</xdr:row>
      <xdr:rowOff>0</xdr:rowOff>
    </xdr:from>
    <xdr:to>
      <xdr:col>17</xdr:col>
      <xdr:colOff>368300</xdr:colOff>
      <xdr:row>17</xdr:row>
      <xdr:rowOff>146050</xdr:rowOff>
    </xdr:to>
    <xdr:graphicFrame macro="">
      <xdr:nvGraphicFramePr>
        <xdr:cNvPr id="44" name="차트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18</xdr:col>
      <xdr:colOff>0</xdr:colOff>
      <xdr:row>42</xdr:row>
      <xdr:rowOff>0</xdr:rowOff>
    </xdr:from>
    <xdr:to>
      <xdr:col>26</xdr:col>
      <xdr:colOff>368300</xdr:colOff>
      <xdr:row>53</xdr:row>
      <xdr:rowOff>146050</xdr:rowOff>
    </xdr:to>
    <xdr:graphicFrame macro="">
      <xdr:nvGraphicFramePr>
        <xdr:cNvPr id="43" name="차트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518772</xdr:colOff>
      <xdr:row>3</xdr:row>
      <xdr:rowOff>7326</xdr:rowOff>
    </xdr:from>
    <xdr:to>
      <xdr:col>8</xdr:col>
      <xdr:colOff>170772</xdr:colOff>
      <xdr:row>14</xdr:row>
      <xdr:rowOff>101215</xdr:rowOff>
    </xdr:to>
    <xdr:graphicFrame macro="">
      <xdr:nvGraphicFramePr>
        <xdr:cNvPr id="4" name="차트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3</xdr:row>
      <xdr:rowOff>0</xdr:rowOff>
    </xdr:from>
    <xdr:to>
      <xdr:col>4</xdr:col>
      <xdr:colOff>414000</xdr:colOff>
      <xdr:row>14</xdr:row>
      <xdr:rowOff>93889</xdr:rowOff>
    </xdr:to>
    <xdr:graphicFrame macro="">
      <xdr:nvGraphicFramePr>
        <xdr:cNvPr id="5" name="차트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41" Type="http://schemas.openxmlformats.org/officeDocument/2006/relationships/ctrlProp" Target="../ctrlProps/ctrlProp1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ctrlProp" Target="../ctrlProps/ctrlProp8.xml"/><Relationship Id="rId40" Type="http://schemas.openxmlformats.org/officeDocument/2006/relationships/ctrlProp" Target="../ctrlProps/ctrlProp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trlProp" Target="../ctrlProps/ctrlProp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fitToPage="1"/>
  </sheetPr>
  <dimension ref="A1:AJ89"/>
  <sheetViews>
    <sheetView tabSelected="1" zoomScale="145" zoomScaleNormal="145" workbookViewId="0">
      <selection activeCell="U20" sqref="U20"/>
    </sheetView>
  </sheetViews>
  <sheetFormatPr defaultRowHeight="14.25" x14ac:dyDescent="0.2"/>
  <cols>
    <col min="1" max="1" width="4" style="91" customWidth="1"/>
    <col min="2" max="25" width="3.6640625" style="91" customWidth="1"/>
    <col min="26" max="26" width="3.44140625" style="91" customWidth="1"/>
    <col min="27" max="27" width="4.77734375" style="91" customWidth="1"/>
    <col min="28" max="28" width="4.109375" style="91" customWidth="1"/>
    <col min="29" max="29" width="3.44140625" style="91" customWidth="1"/>
    <col min="30" max="30" width="5.21875" style="91" customWidth="1"/>
    <col min="31" max="31" width="5.77734375" style="91" customWidth="1"/>
    <col min="32" max="35" width="3.44140625" style="91" customWidth="1"/>
    <col min="36" max="36" width="3.109375" style="91" customWidth="1"/>
    <col min="37" max="16384" width="8.88671875" style="91"/>
  </cols>
  <sheetData>
    <row r="1" spans="1:36" ht="11.1" customHeight="1" x14ac:dyDescent="0.2">
      <c r="A1" s="263"/>
      <c r="B1" s="264"/>
      <c r="C1" s="267" t="s">
        <v>534</v>
      </c>
      <c r="D1" s="239" t="s">
        <v>619</v>
      </c>
      <c r="E1" s="240"/>
      <c r="F1" s="243"/>
      <c r="G1" s="244"/>
      <c r="H1" s="259">
        <v>1103</v>
      </c>
      <c r="I1" s="259"/>
      <c r="J1" s="259"/>
      <c r="K1" s="259"/>
      <c r="L1" s="259"/>
      <c r="M1" s="259"/>
      <c r="N1" s="259"/>
      <c r="O1" s="259"/>
      <c r="P1" s="259"/>
      <c r="Q1" s="259"/>
      <c r="R1" s="259"/>
      <c r="S1" s="259"/>
      <c r="T1" s="260"/>
      <c r="U1" s="90" t="s">
        <v>178</v>
      </c>
      <c r="V1" s="178" t="s">
        <v>235</v>
      </c>
      <c r="W1" s="212"/>
      <c r="X1" s="212"/>
      <c r="Y1" s="179"/>
      <c r="Z1" s="213" t="s">
        <v>188</v>
      </c>
      <c r="AA1" s="213"/>
      <c r="AB1" s="213"/>
      <c r="AC1" s="213"/>
      <c r="AD1" s="213"/>
      <c r="AE1" s="213"/>
      <c r="AF1" s="213"/>
      <c r="AG1" s="213"/>
      <c r="AH1" s="213"/>
      <c r="AI1" s="213"/>
      <c r="AJ1" s="213"/>
    </row>
    <row r="2" spans="1:36" ht="11.1" customHeight="1" x14ac:dyDescent="0.2">
      <c r="A2" s="265"/>
      <c r="B2" s="266"/>
      <c r="C2" s="268"/>
      <c r="D2" s="241"/>
      <c r="E2" s="242"/>
      <c r="F2" s="245"/>
      <c r="G2" s="246"/>
      <c r="H2" s="261"/>
      <c r="I2" s="261"/>
      <c r="J2" s="261"/>
      <c r="K2" s="261"/>
      <c r="L2" s="261"/>
      <c r="M2" s="261"/>
      <c r="N2" s="261"/>
      <c r="O2" s="261"/>
      <c r="P2" s="261"/>
      <c r="Q2" s="261"/>
      <c r="R2" s="261"/>
      <c r="S2" s="261"/>
      <c r="T2" s="262"/>
      <c r="U2" s="90" t="s">
        <v>138</v>
      </c>
      <c r="V2" s="178" t="s">
        <v>235</v>
      </c>
      <c r="W2" s="212"/>
      <c r="X2" s="212"/>
      <c r="Y2" s="179"/>
      <c r="Z2" s="214" t="s">
        <v>692</v>
      </c>
      <c r="AA2" s="214"/>
      <c r="AB2" s="214"/>
      <c r="AC2" s="214"/>
      <c r="AD2" s="214"/>
      <c r="AE2" s="214"/>
      <c r="AF2" s="214"/>
      <c r="AG2" s="214"/>
      <c r="AH2" s="214"/>
      <c r="AI2" s="214"/>
      <c r="AJ2" s="214"/>
    </row>
    <row r="3" spans="1:36" ht="11.1" customHeight="1" x14ac:dyDescent="0.2">
      <c r="A3" s="222" t="s">
        <v>535</v>
      </c>
      <c r="B3" s="272" t="s">
        <v>668</v>
      </c>
      <c r="C3" s="273"/>
      <c r="D3" s="273"/>
      <c r="E3" s="273"/>
      <c r="F3" s="273"/>
      <c r="G3" s="273"/>
      <c r="H3" s="273"/>
      <c r="I3" s="273"/>
      <c r="J3" s="273"/>
      <c r="K3" s="273"/>
      <c r="L3" s="273"/>
      <c r="M3" s="273"/>
      <c r="N3" s="273"/>
      <c r="O3" s="273"/>
      <c r="P3" s="273"/>
      <c r="Q3" s="273"/>
      <c r="R3" s="273"/>
      <c r="S3" s="273"/>
      <c r="T3" s="274"/>
      <c r="U3" s="90" t="s">
        <v>139</v>
      </c>
      <c r="V3" s="178" t="s">
        <v>637</v>
      </c>
      <c r="W3" s="212"/>
      <c r="X3" s="212"/>
      <c r="Y3" s="179"/>
      <c r="Z3" s="214"/>
      <c r="AA3" s="214"/>
      <c r="AB3" s="214"/>
      <c r="AC3" s="214"/>
      <c r="AD3" s="214"/>
      <c r="AE3" s="214"/>
      <c r="AF3" s="214"/>
      <c r="AG3" s="214"/>
      <c r="AH3" s="214"/>
      <c r="AI3" s="214"/>
      <c r="AJ3" s="214"/>
    </row>
    <row r="4" spans="1:36" ht="11.1" customHeight="1" x14ac:dyDescent="0.2">
      <c r="A4" s="223"/>
      <c r="B4" s="272"/>
      <c r="C4" s="273"/>
      <c r="D4" s="273"/>
      <c r="E4" s="273"/>
      <c r="F4" s="273"/>
      <c r="G4" s="273"/>
      <c r="H4" s="273"/>
      <c r="I4" s="273"/>
      <c r="J4" s="273"/>
      <c r="K4" s="273"/>
      <c r="L4" s="273"/>
      <c r="M4" s="273"/>
      <c r="N4" s="273"/>
      <c r="O4" s="273"/>
      <c r="P4" s="273"/>
      <c r="Q4" s="273"/>
      <c r="R4" s="273"/>
      <c r="S4" s="273"/>
      <c r="T4" s="274"/>
      <c r="U4" s="90" t="s">
        <v>140</v>
      </c>
      <c r="V4" s="178" t="s">
        <v>235</v>
      </c>
      <c r="W4" s="212"/>
      <c r="X4" s="212"/>
      <c r="Y4" s="179"/>
      <c r="Z4" s="214"/>
      <c r="AA4" s="214"/>
      <c r="AB4" s="214"/>
      <c r="AC4" s="214"/>
      <c r="AD4" s="214"/>
      <c r="AE4" s="214"/>
      <c r="AF4" s="214"/>
      <c r="AG4" s="214"/>
      <c r="AH4" s="214"/>
      <c r="AI4" s="214"/>
      <c r="AJ4" s="214"/>
    </row>
    <row r="5" spans="1:36" ht="10.5" customHeight="1" x14ac:dyDescent="0.2">
      <c r="A5" s="223"/>
      <c r="B5" s="272"/>
      <c r="C5" s="273"/>
      <c r="D5" s="273"/>
      <c r="E5" s="273"/>
      <c r="F5" s="273"/>
      <c r="G5" s="273"/>
      <c r="H5" s="273"/>
      <c r="I5" s="273"/>
      <c r="J5" s="273"/>
      <c r="K5" s="273"/>
      <c r="L5" s="273"/>
      <c r="M5" s="273"/>
      <c r="N5" s="273"/>
      <c r="O5" s="273"/>
      <c r="P5" s="273"/>
      <c r="Q5" s="273"/>
      <c r="R5" s="273"/>
      <c r="S5" s="273"/>
      <c r="T5" s="274"/>
      <c r="U5" s="90" t="s">
        <v>141</v>
      </c>
      <c r="V5" s="178" t="s">
        <v>235</v>
      </c>
      <c r="W5" s="212"/>
      <c r="X5" s="212"/>
      <c r="Y5" s="179"/>
      <c r="Z5" s="214"/>
      <c r="AA5" s="214"/>
      <c r="AB5" s="214"/>
      <c r="AC5" s="214"/>
      <c r="AD5" s="214"/>
      <c r="AE5" s="214"/>
      <c r="AF5" s="214"/>
      <c r="AG5" s="214"/>
      <c r="AH5" s="214"/>
      <c r="AI5" s="214"/>
      <c r="AJ5" s="214"/>
    </row>
    <row r="6" spans="1:36" ht="11.1" customHeight="1" x14ac:dyDescent="0.2">
      <c r="A6" s="222" t="s">
        <v>536</v>
      </c>
      <c r="B6" s="275"/>
      <c r="C6" s="276"/>
      <c r="D6" s="276"/>
      <c r="E6" s="276"/>
      <c r="F6" s="276"/>
      <c r="G6" s="276"/>
      <c r="H6" s="276"/>
      <c r="I6" s="276"/>
      <c r="J6" s="276"/>
      <c r="K6" s="276"/>
      <c r="L6" s="276"/>
      <c r="M6" s="276"/>
      <c r="N6" s="276"/>
      <c r="O6" s="276"/>
      <c r="P6" s="276"/>
      <c r="Q6" s="276"/>
      <c r="R6" s="276"/>
      <c r="S6" s="276"/>
      <c r="T6" s="277"/>
      <c r="U6" s="90" t="s">
        <v>142</v>
      </c>
      <c r="V6" s="189"/>
      <c r="W6" s="190"/>
      <c r="X6" s="190"/>
      <c r="Y6" s="190"/>
      <c r="Z6" s="139" t="s">
        <v>152</v>
      </c>
      <c r="AA6" s="249" t="s">
        <v>601</v>
      </c>
      <c r="AB6" s="249"/>
      <c r="AC6" s="250"/>
      <c r="AD6" s="251" t="s">
        <v>153</v>
      </c>
      <c r="AE6" s="252"/>
      <c r="AF6" s="252"/>
      <c r="AG6" s="252"/>
      <c r="AH6" s="252"/>
      <c r="AI6" s="253"/>
      <c r="AJ6" s="215" t="s">
        <v>154</v>
      </c>
    </row>
    <row r="7" spans="1:36" ht="11.1" customHeight="1" x14ac:dyDescent="0.2">
      <c r="A7" s="223"/>
      <c r="B7" s="275"/>
      <c r="C7" s="276"/>
      <c r="D7" s="276"/>
      <c r="E7" s="276"/>
      <c r="F7" s="276"/>
      <c r="G7" s="276"/>
      <c r="H7" s="276"/>
      <c r="I7" s="276"/>
      <c r="J7" s="276"/>
      <c r="K7" s="276"/>
      <c r="L7" s="276"/>
      <c r="M7" s="276"/>
      <c r="N7" s="276"/>
      <c r="O7" s="276"/>
      <c r="P7" s="276"/>
      <c r="Q7" s="276"/>
      <c r="R7" s="276"/>
      <c r="S7" s="276"/>
      <c r="T7" s="277"/>
      <c r="U7" s="90" t="s">
        <v>143</v>
      </c>
      <c r="V7" s="189"/>
      <c r="W7" s="190"/>
      <c r="X7" s="190"/>
      <c r="Y7" s="190"/>
      <c r="Z7" s="92" t="s">
        <v>155</v>
      </c>
      <c r="AA7" s="92" t="s">
        <v>156</v>
      </c>
      <c r="AB7" s="92" t="s">
        <v>157</v>
      </c>
      <c r="AC7" s="92" t="s">
        <v>158</v>
      </c>
      <c r="AD7" s="254" t="s">
        <v>159</v>
      </c>
      <c r="AE7" s="255"/>
      <c r="AF7" s="92" t="s">
        <v>160</v>
      </c>
      <c r="AG7" s="92" t="s">
        <v>161</v>
      </c>
      <c r="AH7" s="92" t="s">
        <v>162</v>
      </c>
      <c r="AI7" s="92" t="s">
        <v>163</v>
      </c>
      <c r="AJ7" s="215"/>
    </row>
    <row r="8" spans="1:36" ht="11.1" customHeight="1" x14ac:dyDescent="0.2">
      <c r="A8" s="222" t="s">
        <v>537</v>
      </c>
      <c r="B8" s="256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57"/>
      <c r="N8" s="257"/>
      <c r="O8" s="257"/>
      <c r="P8" s="257"/>
      <c r="Q8" s="257"/>
      <c r="R8" s="257"/>
      <c r="S8" s="257"/>
      <c r="T8" s="258"/>
      <c r="U8" s="90" t="s">
        <v>144</v>
      </c>
      <c r="V8" s="189"/>
      <c r="W8" s="190"/>
      <c r="X8" s="190"/>
      <c r="Y8" s="190"/>
      <c r="Z8" s="117">
        <v>1</v>
      </c>
      <c r="AA8" s="153" t="s">
        <v>666</v>
      </c>
      <c r="AB8" s="94"/>
      <c r="AC8" s="153" t="s">
        <v>625</v>
      </c>
      <c r="AD8" s="219" t="s">
        <v>667</v>
      </c>
      <c r="AE8" s="219"/>
      <c r="AF8" s="153">
        <v>1300</v>
      </c>
      <c r="AG8" s="153"/>
      <c r="AH8" s="154"/>
      <c r="AI8" s="153" t="s">
        <v>530</v>
      </c>
      <c r="AJ8" s="95">
        <v>1</v>
      </c>
    </row>
    <row r="9" spans="1:36" ht="11.1" customHeight="1" x14ac:dyDescent="0.2">
      <c r="A9" s="223"/>
      <c r="B9" s="256"/>
      <c r="C9" s="257"/>
      <c r="D9" s="257"/>
      <c r="E9" s="257"/>
      <c r="F9" s="257"/>
      <c r="G9" s="257"/>
      <c r="H9" s="257"/>
      <c r="I9" s="257"/>
      <c r="J9" s="257"/>
      <c r="K9" s="257"/>
      <c r="L9" s="257"/>
      <c r="M9" s="257"/>
      <c r="N9" s="257"/>
      <c r="O9" s="257"/>
      <c r="P9" s="257"/>
      <c r="Q9" s="257"/>
      <c r="R9" s="257"/>
      <c r="S9" s="257"/>
      <c r="T9" s="258"/>
      <c r="U9" s="90" t="s">
        <v>145</v>
      </c>
      <c r="V9" s="189"/>
      <c r="W9" s="190"/>
      <c r="X9" s="190"/>
      <c r="Y9" s="190"/>
      <c r="Z9" s="117">
        <v>2</v>
      </c>
      <c r="AA9" s="153" t="s">
        <v>582</v>
      </c>
      <c r="AB9" s="94"/>
      <c r="AC9" s="153" t="s">
        <v>625</v>
      </c>
      <c r="AD9" s="219" t="s">
        <v>669</v>
      </c>
      <c r="AE9" s="219"/>
      <c r="AF9" s="153">
        <v>100</v>
      </c>
      <c r="AG9" s="153">
        <v>1</v>
      </c>
      <c r="AH9" s="154"/>
      <c r="AI9" s="153" t="s">
        <v>530</v>
      </c>
      <c r="AJ9" s="95">
        <v>2</v>
      </c>
    </row>
    <row r="10" spans="1:36" ht="11.1" customHeight="1" x14ac:dyDescent="0.2">
      <c r="A10" s="269" t="s">
        <v>581</v>
      </c>
      <c r="B10" s="138" t="s">
        <v>501</v>
      </c>
      <c r="C10" s="198" t="s">
        <v>502</v>
      </c>
      <c r="D10" s="199"/>
      <c r="E10" s="198" t="s">
        <v>503</v>
      </c>
      <c r="F10" s="199"/>
      <c r="G10" s="198" t="s">
        <v>504</v>
      </c>
      <c r="H10" s="199"/>
      <c r="I10" s="198" t="s">
        <v>505</v>
      </c>
      <c r="J10" s="199"/>
      <c r="K10" s="196" t="s">
        <v>506</v>
      </c>
      <c r="L10" s="197"/>
      <c r="M10" s="197"/>
      <c r="N10" s="200"/>
      <c r="O10" s="96" t="s">
        <v>507</v>
      </c>
      <c r="P10" s="97">
        <v>2</v>
      </c>
      <c r="Q10" s="247" t="s">
        <v>508</v>
      </c>
      <c r="R10" s="248"/>
      <c r="S10" s="248"/>
      <c r="T10" s="98"/>
      <c r="U10" s="90" t="s">
        <v>146</v>
      </c>
      <c r="V10" s="189"/>
      <c r="W10" s="190"/>
      <c r="X10" s="190"/>
      <c r="Y10" s="190"/>
      <c r="Z10" s="117">
        <v>2</v>
      </c>
      <c r="AA10" s="153" t="s">
        <v>582</v>
      </c>
      <c r="AB10" s="94"/>
      <c r="AC10" s="153" t="s">
        <v>625</v>
      </c>
      <c r="AD10" s="219" t="s">
        <v>670</v>
      </c>
      <c r="AE10" s="219"/>
      <c r="AF10" s="153">
        <v>850</v>
      </c>
      <c r="AG10" s="153">
        <v>2</v>
      </c>
      <c r="AH10" s="154"/>
      <c r="AI10" s="153" t="s">
        <v>530</v>
      </c>
      <c r="AJ10" s="95">
        <v>3</v>
      </c>
    </row>
    <row r="11" spans="1:36" ht="11.1" customHeight="1" thickBot="1" x14ac:dyDescent="0.25">
      <c r="A11" s="270"/>
      <c r="B11" s="138" t="s">
        <v>509</v>
      </c>
      <c r="C11" s="232" t="s">
        <v>626</v>
      </c>
      <c r="D11" s="232"/>
      <c r="E11" s="233">
        <v>10</v>
      </c>
      <c r="F11" s="232"/>
      <c r="G11" s="233">
        <v>150</v>
      </c>
      <c r="H11" s="232"/>
      <c r="I11" s="233">
        <v>1</v>
      </c>
      <c r="J11" s="232"/>
      <c r="K11" s="235" t="s">
        <v>578</v>
      </c>
      <c r="L11" s="236"/>
      <c r="M11" s="237"/>
      <c r="N11" s="238"/>
      <c r="O11" s="96" t="s">
        <v>510</v>
      </c>
      <c r="P11" s="97">
        <v>2</v>
      </c>
      <c r="Q11" s="194" t="s">
        <v>607</v>
      </c>
      <c r="R11" s="195"/>
      <c r="S11" s="195"/>
      <c r="T11" s="99"/>
      <c r="U11" s="90" t="s">
        <v>148</v>
      </c>
      <c r="V11" s="189"/>
      <c r="W11" s="190"/>
      <c r="X11" s="190"/>
      <c r="Y11" s="190"/>
      <c r="Z11" s="155">
        <v>3</v>
      </c>
      <c r="AA11" s="156" t="s">
        <v>631</v>
      </c>
      <c r="AB11" s="157"/>
      <c r="AC11" s="156" t="s">
        <v>625</v>
      </c>
      <c r="AD11" s="220" t="s">
        <v>671</v>
      </c>
      <c r="AE11" s="220"/>
      <c r="AF11" s="156">
        <v>900</v>
      </c>
      <c r="AG11" s="156">
        <v>1</v>
      </c>
      <c r="AH11" s="158"/>
      <c r="AI11" s="156" t="s">
        <v>530</v>
      </c>
      <c r="AJ11" s="95">
        <v>4</v>
      </c>
    </row>
    <row r="12" spans="1:36" ht="11.1" customHeight="1" thickTop="1" x14ac:dyDescent="0.2">
      <c r="A12" s="271"/>
      <c r="B12" s="138" t="s">
        <v>511</v>
      </c>
      <c r="C12" s="224"/>
      <c r="D12" s="202"/>
      <c r="E12" s="224"/>
      <c r="F12" s="202"/>
      <c r="G12" s="224"/>
      <c r="H12" s="202"/>
      <c r="I12" s="224"/>
      <c r="J12" s="202"/>
      <c r="K12" s="100" t="s">
        <v>524</v>
      </c>
      <c r="L12" s="235"/>
      <c r="M12" s="236"/>
      <c r="N12" s="101"/>
      <c r="O12" s="96" t="s">
        <v>512</v>
      </c>
      <c r="P12" s="97">
        <v>2</v>
      </c>
      <c r="Q12" s="97"/>
      <c r="R12" s="97"/>
      <c r="S12" s="97"/>
      <c r="T12" s="102"/>
      <c r="U12" s="90" t="s">
        <v>150</v>
      </c>
      <c r="V12" s="189"/>
      <c r="W12" s="190"/>
      <c r="X12" s="190"/>
      <c r="Y12" s="190"/>
      <c r="Z12" s="165">
        <v>4</v>
      </c>
      <c r="AA12" s="166" t="s">
        <v>672</v>
      </c>
      <c r="AB12" s="167"/>
      <c r="AC12" s="159" t="s">
        <v>686</v>
      </c>
      <c r="AD12" s="221" t="s">
        <v>235</v>
      </c>
      <c r="AE12" s="221"/>
      <c r="AF12" s="166">
        <v>50</v>
      </c>
      <c r="AG12" s="166">
        <v>1</v>
      </c>
      <c r="AH12" s="168"/>
      <c r="AI12" s="169" t="s">
        <v>530</v>
      </c>
      <c r="AJ12" s="95">
        <v>5</v>
      </c>
    </row>
    <row r="13" spans="1:36" ht="11.1" customHeight="1" x14ac:dyDescent="0.2">
      <c r="A13" s="226" t="s">
        <v>606</v>
      </c>
      <c r="B13" s="229" t="s">
        <v>513</v>
      </c>
      <c r="C13" s="198" t="s">
        <v>514</v>
      </c>
      <c r="D13" s="199"/>
      <c r="E13" s="196" t="s">
        <v>515</v>
      </c>
      <c r="F13" s="200"/>
      <c r="G13" s="196" t="s">
        <v>505</v>
      </c>
      <c r="H13" s="200"/>
      <c r="I13" s="196" t="s">
        <v>516</v>
      </c>
      <c r="J13" s="197"/>
      <c r="K13" s="197"/>
      <c r="L13" s="197"/>
      <c r="M13" s="197"/>
      <c r="N13" s="103"/>
      <c r="O13" s="96" t="s">
        <v>517</v>
      </c>
      <c r="P13" s="97">
        <v>2</v>
      </c>
      <c r="Q13" s="97"/>
      <c r="R13" s="97"/>
      <c r="S13" s="97"/>
      <c r="T13" s="102"/>
      <c r="U13" s="90" t="s">
        <v>181</v>
      </c>
      <c r="V13" s="189"/>
      <c r="W13" s="190"/>
      <c r="X13" s="190"/>
      <c r="Y13" s="190"/>
      <c r="Z13" s="170">
        <v>5</v>
      </c>
      <c r="AA13" s="156" t="s">
        <v>672</v>
      </c>
      <c r="AB13" s="157"/>
      <c r="AC13" s="153" t="s">
        <v>687</v>
      </c>
      <c r="AD13" s="207" t="s">
        <v>636</v>
      </c>
      <c r="AE13" s="207"/>
      <c r="AF13" s="156">
        <v>50</v>
      </c>
      <c r="AG13" s="156">
        <v>1</v>
      </c>
      <c r="AH13" s="158"/>
      <c r="AI13" s="171" t="s">
        <v>530</v>
      </c>
      <c r="AJ13" s="95">
        <v>6</v>
      </c>
    </row>
    <row r="14" spans="1:36" ht="11.1" customHeight="1" x14ac:dyDescent="0.2">
      <c r="A14" s="227"/>
      <c r="B14" s="230"/>
      <c r="C14" s="224" t="s">
        <v>592</v>
      </c>
      <c r="D14" s="202"/>
      <c r="E14" s="224" t="s">
        <v>593</v>
      </c>
      <c r="F14" s="202"/>
      <c r="G14" s="201">
        <v>4</v>
      </c>
      <c r="H14" s="202"/>
      <c r="I14" s="198" t="s">
        <v>518</v>
      </c>
      <c r="J14" s="199"/>
      <c r="K14" s="224" t="s">
        <v>613</v>
      </c>
      <c r="L14" s="225"/>
      <c r="M14" s="225"/>
      <c r="N14" s="103"/>
      <c r="O14" s="96" t="s">
        <v>519</v>
      </c>
      <c r="P14" s="97">
        <v>2E-3</v>
      </c>
      <c r="Q14" s="97"/>
      <c r="R14" s="97"/>
      <c r="S14" s="97"/>
      <c r="T14" s="102"/>
      <c r="U14" s="90" t="s">
        <v>179</v>
      </c>
      <c r="V14" s="189"/>
      <c r="W14" s="190"/>
      <c r="X14" s="190"/>
      <c r="Y14" s="190"/>
      <c r="Z14" s="170">
        <v>6</v>
      </c>
      <c r="AA14" s="156" t="s">
        <v>672</v>
      </c>
      <c r="AB14" s="157"/>
      <c r="AC14" s="156" t="s">
        <v>688</v>
      </c>
      <c r="AD14" s="207" t="s">
        <v>636</v>
      </c>
      <c r="AE14" s="207"/>
      <c r="AF14" s="156">
        <v>50</v>
      </c>
      <c r="AG14" s="156">
        <v>1</v>
      </c>
      <c r="AH14" s="158"/>
      <c r="AI14" s="171" t="s">
        <v>530</v>
      </c>
      <c r="AJ14" s="95">
        <v>7</v>
      </c>
    </row>
    <row r="15" spans="1:36" ht="11.1" customHeight="1" x14ac:dyDescent="0.2">
      <c r="A15" s="228"/>
      <c r="B15" s="231"/>
      <c r="C15" s="198" t="s">
        <v>520</v>
      </c>
      <c r="D15" s="199"/>
      <c r="E15" s="224" t="s">
        <v>618</v>
      </c>
      <c r="F15" s="225"/>
      <c r="G15" s="225"/>
      <c r="H15" s="202"/>
      <c r="I15" s="198" t="s">
        <v>521</v>
      </c>
      <c r="J15" s="234"/>
      <c r="K15" s="225"/>
      <c r="L15" s="225"/>
      <c r="M15" s="225"/>
      <c r="N15" s="103"/>
      <c r="O15" s="96" t="s">
        <v>522</v>
      </c>
      <c r="P15" s="97">
        <v>2E-3</v>
      </c>
      <c r="Q15" s="97"/>
      <c r="R15" s="97"/>
      <c r="S15" s="97"/>
      <c r="T15" s="104"/>
      <c r="U15" s="90" t="s">
        <v>151</v>
      </c>
      <c r="V15" s="192"/>
      <c r="W15" s="193"/>
      <c r="X15" s="193"/>
      <c r="Y15" s="193"/>
      <c r="Z15" s="170">
        <v>7</v>
      </c>
      <c r="AA15" s="156" t="s">
        <v>672</v>
      </c>
      <c r="AB15" s="157"/>
      <c r="AC15" s="156" t="s">
        <v>689</v>
      </c>
      <c r="AD15" s="207" t="s">
        <v>636</v>
      </c>
      <c r="AE15" s="207"/>
      <c r="AF15" s="156">
        <v>50</v>
      </c>
      <c r="AG15" s="156">
        <v>1</v>
      </c>
      <c r="AH15" s="158"/>
      <c r="AI15" s="171" t="s">
        <v>530</v>
      </c>
      <c r="AJ15" s="95">
        <v>8</v>
      </c>
    </row>
    <row r="16" spans="1:36" ht="9.75" customHeight="1" thickBot="1" x14ac:dyDescent="0.25">
      <c r="A16" s="105" t="s">
        <v>659</v>
      </c>
      <c r="B16" s="106">
        <v>2</v>
      </c>
      <c r="C16" s="106">
        <v>10</v>
      </c>
      <c r="D16" s="106">
        <v>20</v>
      </c>
      <c r="E16" s="106">
        <v>2</v>
      </c>
      <c r="F16" s="106">
        <v>10</v>
      </c>
      <c r="G16" s="106">
        <v>20</v>
      </c>
      <c r="H16" s="106">
        <v>2</v>
      </c>
      <c r="I16" s="106">
        <v>10</v>
      </c>
      <c r="J16" s="106">
        <v>20</v>
      </c>
      <c r="K16" s="106">
        <v>2</v>
      </c>
      <c r="L16" s="106">
        <v>10</v>
      </c>
      <c r="M16" s="106">
        <v>20</v>
      </c>
      <c r="N16" s="106">
        <v>2</v>
      </c>
      <c r="O16" s="106">
        <v>10</v>
      </c>
      <c r="P16" s="106">
        <v>20</v>
      </c>
      <c r="Q16" s="106">
        <v>2</v>
      </c>
      <c r="R16" s="106">
        <v>10</v>
      </c>
      <c r="S16" s="106">
        <v>20</v>
      </c>
      <c r="T16" s="191" t="s">
        <v>186</v>
      </c>
      <c r="U16" s="191"/>
      <c r="V16" s="107" t="s">
        <v>187</v>
      </c>
      <c r="W16" s="191" t="s">
        <v>182</v>
      </c>
      <c r="X16" s="191"/>
      <c r="Y16" s="129">
        <v>1</v>
      </c>
      <c r="Z16" s="160">
        <v>8</v>
      </c>
      <c r="AA16" s="161" t="s">
        <v>672</v>
      </c>
      <c r="AB16" s="162"/>
      <c r="AC16" s="161" t="s">
        <v>690</v>
      </c>
      <c r="AD16" s="218" t="s">
        <v>636</v>
      </c>
      <c r="AE16" s="218"/>
      <c r="AF16" s="161">
        <v>50</v>
      </c>
      <c r="AG16" s="161">
        <v>1</v>
      </c>
      <c r="AH16" s="163"/>
      <c r="AI16" s="164" t="s">
        <v>530</v>
      </c>
      <c r="AJ16" s="95">
        <v>9</v>
      </c>
    </row>
    <row r="17" spans="1:36" ht="9.75" customHeight="1" thickTop="1" x14ac:dyDescent="0.2">
      <c r="A17" s="108" t="s">
        <v>11</v>
      </c>
      <c r="B17" s="109" t="s">
        <v>5</v>
      </c>
      <c r="C17" s="187" t="str">
        <f>IF($V$1="",IF($V$10="","",$V$10),IF($V$10="",$V$1,$V$1 &amp; "/" &amp; $V$10))</f>
        <v>Ref.</v>
      </c>
      <c r="D17" s="188"/>
      <c r="E17" s="109" t="s">
        <v>6</v>
      </c>
      <c r="F17" s="187" t="str">
        <f>IF($V$1="",IF($V$11="","",$V$11),IF($V$11="",$V$1,$V$1 &amp; "/" &amp; $V$11))</f>
        <v>Ref.</v>
      </c>
      <c r="G17" s="188"/>
      <c r="H17" s="109" t="s">
        <v>20</v>
      </c>
      <c r="I17" s="187" t="str">
        <f>IF($V$1="",IF($V$12="","",$V$12),IF($V$12="",$V$1,$V$1 &amp; "/" &amp; $V$12))</f>
        <v>Ref.</v>
      </c>
      <c r="J17" s="188"/>
      <c r="K17" s="109" t="s">
        <v>7</v>
      </c>
      <c r="L17" s="187" t="str">
        <f>IF($V$1="",IF($V$13="","",$V$13),IF($V$13="",$V$1,$V$1 &amp; "/" &amp; $V$13))</f>
        <v>Ref.</v>
      </c>
      <c r="M17" s="188"/>
      <c r="N17" s="109" t="s">
        <v>8</v>
      </c>
      <c r="O17" s="187" t="str">
        <f>IF($V$1="",IF($V$14="","",$V$14),IF($V$14="",$V$1,$V$1 &amp; "/" &amp; $V$14))</f>
        <v>Ref.</v>
      </c>
      <c r="P17" s="188"/>
      <c r="Q17" s="109" t="s">
        <v>21</v>
      </c>
      <c r="R17" s="187" t="str">
        <f>IF($V$1="",IF($V$15="","",$V$15),IF($V$15="",$V$1,$V$1 &amp; "/" &amp; $V$15))</f>
        <v>Ref.</v>
      </c>
      <c r="S17" s="188"/>
      <c r="T17" s="110" t="str">
        <f>UPPER($V$16)&amp;"1"</f>
        <v>X1</v>
      </c>
      <c r="U17" s="172" t="str">
        <f>IF($V$16="x",IF($V$1&lt;&gt;"",$V$1,""),IF($V$16="y",IF($V$10&lt;&gt;"",$V$10,""),""))</f>
        <v>Ref.</v>
      </c>
      <c r="V17" s="173"/>
      <c r="W17" s="173"/>
      <c r="X17" s="173"/>
      <c r="Y17" s="173"/>
      <c r="Z17" s="132">
        <v>9</v>
      </c>
      <c r="AA17" s="136" t="s">
        <v>674</v>
      </c>
      <c r="AB17" s="134" t="s">
        <v>584</v>
      </c>
      <c r="AC17" s="136" t="s">
        <v>433</v>
      </c>
      <c r="AD17" s="217" t="s">
        <v>691</v>
      </c>
      <c r="AE17" s="217"/>
      <c r="AF17" s="136">
        <v>200</v>
      </c>
      <c r="AG17" s="136">
        <v>2</v>
      </c>
      <c r="AH17" s="133"/>
      <c r="AI17" s="136" t="s">
        <v>530</v>
      </c>
      <c r="AJ17" s="95">
        <v>10</v>
      </c>
    </row>
    <row r="18" spans="1:36" ht="9.75" customHeight="1" x14ac:dyDescent="0.2">
      <c r="A18" s="108" t="s">
        <v>664</v>
      </c>
      <c r="B18" s="140"/>
      <c r="C18" s="140"/>
      <c r="D18" s="141"/>
      <c r="E18" s="142"/>
      <c r="F18" s="142"/>
      <c r="G18" s="141"/>
      <c r="H18" s="142"/>
      <c r="I18" s="142"/>
      <c r="J18" s="141"/>
      <c r="K18" s="142"/>
      <c r="L18" s="142"/>
      <c r="M18" s="141"/>
      <c r="N18" s="142"/>
      <c r="O18" s="142"/>
      <c r="P18" s="141"/>
      <c r="Q18" s="142"/>
      <c r="R18" s="142"/>
      <c r="S18" s="141"/>
      <c r="T18" s="111" t="str">
        <f t="shared" ref="T18:U21" si="0">IF($V$16&lt;&gt;"",IF($V$16="x",IF(COUNT(B18,E18,H18,K18,N18,Q18)&lt;&gt;0,SUM(B18,E18,H18,K18,N18,Q18)/COUNT(B18,E18,H18,K18,N18,Q18),""),IF(COUNT(B18,B26,B34,B42,B50)&lt;&gt;0,SUM(B18,B26,B34,B42,B50)/COUNT(B18,B26,B34,B42,B50),"")),"")</f>
        <v/>
      </c>
      <c r="U18" s="111" t="str">
        <f t="shared" si="0"/>
        <v/>
      </c>
      <c r="V18" s="111" t="str">
        <f t="shared" ref="V18:V23" si="1">IF($V$16&lt;&gt;"",IF($V$16="x",IF(COUNT(D18,G18,J18,M18,P18,S18)&lt;&gt;0,SUM(D18,G18,J18,M18,P18,S18)/COUNT(D18,G18,J18,M18,P18,S18),""),IF(COUNT(D18,D26,D34,D42,D50)&lt;&gt;0,SUM(D18,D26,D34,D42,D50)/COUNT(D18,D26,D34,D42,D50),"")),"")</f>
        <v/>
      </c>
      <c r="W18" s="112" t="str">
        <f ca="1">IF($Y$16&lt;&gt;"",IF(OFFSET($T$18,($Y$16-1)*8,0,,)&lt;&gt;"",IF(T18&lt;&gt;"",T18/OFFSET($T$18,($Y$16-1)*8,0,,),""),""),"")</f>
        <v/>
      </c>
      <c r="X18" s="112" t="str">
        <f ca="1">IF($Y$16&lt;&gt;"",IF(OFFSET($U$18,($Y$16-1)*8,0,,)&lt;&gt;"",IF(U18&lt;&gt;"",U18/OFFSET($U$18,($Y$16-1)*8,0,,),""),""),"")</f>
        <v/>
      </c>
      <c r="Y18" s="130" t="str">
        <f ca="1">IF($Y$16&lt;&gt;"",IF(OFFSET($V$18,($Y$16-1)*8,0,,)&lt;&gt;"",IF(V18&lt;&gt;"",V18/OFFSET($V$18,($Y$16-1)*8,0,,),""),""),"")</f>
        <v/>
      </c>
      <c r="Z18" s="117">
        <v>9</v>
      </c>
      <c r="AA18" s="153" t="s">
        <v>674</v>
      </c>
      <c r="AB18" s="94" t="s">
        <v>523</v>
      </c>
      <c r="AC18" s="153" t="s">
        <v>433</v>
      </c>
      <c r="AD18" s="216" t="s">
        <v>673</v>
      </c>
      <c r="AE18" s="216"/>
      <c r="AF18" s="153">
        <v>16</v>
      </c>
      <c r="AG18" s="153">
        <v>0.16</v>
      </c>
      <c r="AH18" s="154"/>
      <c r="AI18" s="153" t="s">
        <v>530</v>
      </c>
      <c r="AJ18" s="95">
        <v>11</v>
      </c>
    </row>
    <row r="19" spans="1:36" ht="9.75" customHeight="1" x14ac:dyDescent="0.2">
      <c r="A19" s="108" t="s">
        <v>2</v>
      </c>
      <c r="B19" s="140"/>
      <c r="C19" s="140"/>
      <c r="D19" s="143"/>
      <c r="E19" s="142"/>
      <c r="F19" s="142"/>
      <c r="G19" s="143"/>
      <c r="H19" s="142"/>
      <c r="I19" s="142"/>
      <c r="J19" s="143"/>
      <c r="K19" s="142"/>
      <c r="L19" s="142"/>
      <c r="M19" s="143"/>
      <c r="N19" s="142"/>
      <c r="O19" s="142"/>
      <c r="P19" s="143"/>
      <c r="Q19" s="142"/>
      <c r="R19" s="142"/>
      <c r="S19" s="143"/>
      <c r="T19" s="111" t="str">
        <f t="shared" si="0"/>
        <v/>
      </c>
      <c r="U19" s="111" t="str">
        <f t="shared" si="0"/>
        <v/>
      </c>
      <c r="V19" s="111" t="str">
        <f t="shared" si="1"/>
        <v/>
      </c>
      <c r="W19" s="112" t="str">
        <f ca="1">IF($Y$16&lt;&gt;"",IF(OFFSET($T$19,($Y$16-1)*8,0,,)&lt;&gt;"",IF(T19&lt;&gt;"",T19/OFFSET($T$19,($Y$16-1)*8,0,,),""),""),"")</f>
        <v/>
      </c>
      <c r="X19" s="112" t="str">
        <f ca="1">IF($Y$16&lt;&gt;"",IF(OFFSET($U$19,($Y$16-1)*8,0,,)&lt;&gt;"",IF(U19&lt;&gt;"",U19/OFFSET($U$19,($Y$16-1)*8,0,,),""),""),"")</f>
        <v/>
      </c>
      <c r="Y19" s="130" t="str">
        <f ca="1">IF($Y$16&lt;&gt;"",IF(OFFSET($V$19,($Y$16-1)*8,0,,)&lt;&gt;"",IF(V19&lt;&gt;"",V19/OFFSET($V$19,($Y$16-1)*8,0,,),""),""),"")</f>
        <v/>
      </c>
      <c r="Z19" s="132">
        <v>10</v>
      </c>
      <c r="AA19" s="136" t="s">
        <v>585</v>
      </c>
      <c r="AB19" s="134"/>
      <c r="AC19" s="136" t="s">
        <v>625</v>
      </c>
      <c r="AD19" s="211" t="s">
        <v>675</v>
      </c>
      <c r="AE19" s="211"/>
      <c r="AF19" s="136">
        <v>50</v>
      </c>
      <c r="AG19" s="136">
        <v>1</v>
      </c>
      <c r="AH19" s="133"/>
      <c r="AI19" s="136" t="s">
        <v>530</v>
      </c>
      <c r="AJ19" s="95">
        <v>12</v>
      </c>
    </row>
    <row r="20" spans="1:36" ht="9.75" customHeight="1" x14ac:dyDescent="0.2">
      <c r="A20" s="108" t="s">
        <v>4</v>
      </c>
      <c r="B20" s="140"/>
      <c r="C20" s="140"/>
      <c r="D20" s="143"/>
      <c r="E20" s="142"/>
      <c r="F20" s="142"/>
      <c r="G20" s="143"/>
      <c r="H20" s="142"/>
      <c r="I20" s="142"/>
      <c r="J20" s="143"/>
      <c r="K20" s="142"/>
      <c r="L20" s="142"/>
      <c r="M20" s="143"/>
      <c r="N20" s="142"/>
      <c r="O20" s="142"/>
      <c r="P20" s="143"/>
      <c r="Q20" s="142"/>
      <c r="R20" s="142"/>
      <c r="S20" s="143"/>
      <c r="T20" s="111" t="str">
        <f t="shared" si="0"/>
        <v/>
      </c>
      <c r="U20" s="111" t="str">
        <f t="shared" si="0"/>
        <v/>
      </c>
      <c r="V20" s="111" t="str">
        <f t="shared" si="1"/>
        <v/>
      </c>
      <c r="W20" s="112" t="str">
        <f ca="1">IF($Y$16&lt;&gt;"",IF(OFFSET($T$20,($Y$16-1)*8,0,,)&lt;&gt;"",IF(T20&lt;&gt;"",T20/OFFSET($T$20,($Y$16-1)*8,0,,),""),""),"")</f>
        <v/>
      </c>
      <c r="X20" s="112" t="str">
        <f ca="1">IF($Y$16&lt;&gt;"",IF(OFFSET($U$20,($Y$16-1)*8,0,,)&lt;&gt;"",IF(U20&lt;&gt;"",U20/OFFSET($U$20,($Y$16-1)*8,0,,),""),""),"")</f>
        <v/>
      </c>
      <c r="Y20" s="130" t="str">
        <f ca="1">IF($Y$16&lt;&gt;"",IF(OFFSET($V$20,($Y$16-1)*8,0,,)&lt;&gt;"",IF(V20&lt;&gt;"",V20/OFFSET($V$20,($Y$16-1)*8,0,,),""),""),"")</f>
        <v/>
      </c>
      <c r="Z20" s="117">
        <v>11</v>
      </c>
      <c r="AA20" s="153" t="s">
        <v>676</v>
      </c>
      <c r="AB20" s="94"/>
      <c r="AC20" s="153" t="s">
        <v>625</v>
      </c>
      <c r="AD20" s="208" t="s">
        <v>677</v>
      </c>
      <c r="AE20" s="208"/>
      <c r="AF20" s="153">
        <v>150</v>
      </c>
      <c r="AG20" s="153">
        <v>1</v>
      </c>
      <c r="AH20" s="154"/>
      <c r="AI20" s="153" t="s">
        <v>530</v>
      </c>
      <c r="AJ20" s="95">
        <v>13</v>
      </c>
    </row>
    <row r="21" spans="1:36" ht="9.75" customHeight="1" x14ac:dyDescent="0.2">
      <c r="A21" s="108" t="s">
        <v>0</v>
      </c>
      <c r="B21" s="140"/>
      <c r="C21" s="140"/>
      <c r="D21" s="143"/>
      <c r="E21" s="142"/>
      <c r="F21" s="142"/>
      <c r="G21" s="143"/>
      <c r="H21" s="142"/>
      <c r="I21" s="142"/>
      <c r="J21" s="143"/>
      <c r="K21" s="142"/>
      <c r="L21" s="142"/>
      <c r="M21" s="143"/>
      <c r="N21" s="142"/>
      <c r="O21" s="142"/>
      <c r="P21" s="143"/>
      <c r="Q21" s="142"/>
      <c r="R21" s="142"/>
      <c r="S21" s="143"/>
      <c r="T21" s="111" t="str">
        <f t="shared" si="0"/>
        <v/>
      </c>
      <c r="U21" s="111" t="str">
        <f t="shared" si="0"/>
        <v/>
      </c>
      <c r="V21" s="111" t="str">
        <f t="shared" si="1"/>
        <v/>
      </c>
      <c r="W21" s="112" t="str">
        <f ca="1">IF($Y$16&lt;&gt;"",IF(OFFSET($T$21,($Y$16-1)*8,0,,)&lt;&gt;"",IF(T21&lt;&gt;"",T21/OFFSET($T$21,($Y$16-1)*8,0,,),""),""),"")</f>
        <v/>
      </c>
      <c r="X21" s="112" t="str">
        <f ca="1">IF($Y$16&lt;&gt;"",IF(OFFSET($U$21,($Y$16-1)*8,0,,)&lt;&gt;"",IF(U21&lt;&gt;"",U21/OFFSET($U$21,($Y$16-1)*8,0,,),""),""),"")</f>
        <v/>
      </c>
      <c r="Y21" s="130" t="str">
        <f ca="1">IF($Y$16&lt;&gt;"",IF(OFFSET($V$21,($Y$16-1)*8,0,,)&lt;&gt;"",IF(V21&lt;&gt;"",V21/OFFSET($V$21,($Y$16-1)*8,0,,),""),""),"")</f>
        <v/>
      </c>
      <c r="Z21" s="117">
        <v>11</v>
      </c>
      <c r="AA21" s="153" t="s">
        <v>676</v>
      </c>
      <c r="AB21" s="94"/>
      <c r="AC21" s="153" t="s">
        <v>625</v>
      </c>
      <c r="AD21" s="208" t="s">
        <v>678</v>
      </c>
      <c r="AE21" s="208"/>
      <c r="AF21" s="153">
        <v>150</v>
      </c>
      <c r="AG21" s="153">
        <v>1</v>
      </c>
      <c r="AH21" s="154"/>
      <c r="AI21" s="153" t="s">
        <v>530</v>
      </c>
      <c r="AJ21" s="95">
        <v>14</v>
      </c>
    </row>
    <row r="22" spans="1:36" ht="9.75" customHeight="1" x14ac:dyDescent="0.2">
      <c r="A22" s="108" t="s">
        <v>3</v>
      </c>
      <c r="B22" s="144"/>
      <c r="C22" s="144"/>
      <c r="D22" s="145"/>
      <c r="E22" s="146"/>
      <c r="F22" s="146"/>
      <c r="G22" s="147"/>
      <c r="H22" s="146"/>
      <c r="I22" s="146"/>
      <c r="J22" s="147"/>
      <c r="K22" s="146"/>
      <c r="L22" s="146"/>
      <c r="M22" s="147"/>
      <c r="N22" s="146"/>
      <c r="O22" s="146"/>
      <c r="P22" s="147"/>
      <c r="Q22" s="148"/>
      <c r="R22" s="148"/>
      <c r="S22" s="145"/>
      <c r="T22" s="113" t="str">
        <f>IF($V$16&lt;&gt;"",IF($V$16="x",IF(COUNT(B22,E22,H22,K22,N22,Q22)&lt;&gt;0,SUM(B22,E22,H22,K22,N22,Q22)/COUNT(B22,E22,H22,K22,N22,Q22),""),IF(COUNT(B22,B30,B38,B46,B54)&lt;&gt;0,SUM(B22,B30,B38,B46,B54)/COUNT(B22,B30,B38,B46,B54),"")),"")</f>
        <v/>
      </c>
      <c r="U22" s="113" t="str">
        <f>IF($V$16&lt;&gt;"",IF($V$16="x",IF(COUNT(C22,F22,I22,L22,O22,R22)&lt;&gt;0,SUM(C22,F22,I22,L22,O22,R22)/COUNT(C22,F22,I22,L22,O22,R22),""),IF(COUNT(C22,C30,C38,C46,C54)&lt;&gt;0,SUM(C22,C30,C38,C46,C54)/COUNT(C22,C30,C38,C46,C54),"")),"")</f>
        <v/>
      </c>
      <c r="V22" s="113" t="str">
        <f t="shared" si="1"/>
        <v/>
      </c>
      <c r="W22" s="114" t="str">
        <f ca="1">IF($Y$16&lt;&gt;"",IF(OFFSET($T$22,($Y$16-1)*8,0,,)&lt;&gt;"",IF(T22&lt;&gt;"",T22-OFFSET($T$22,($Y$16-1)*8,0,,),""),""),"")</f>
        <v/>
      </c>
      <c r="X22" s="114" t="str">
        <f ca="1">IF($Y$16&lt;&gt;"",IF(OFFSET($U$22,($Y$16-1)*8,0,,)&lt;&gt;"",IF(U22&lt;&gt;"",U22-OFFSET($U$22,($Y$16-1)*8,0,,),""),""),"")</f>
        <v/>
      </c>
      <c r="Y22" s="131" t="str">
        <f ca="1">IF($Y$16&lt;&gt;"",IF(OFFSET($V$22,($Y$16-1)*8,0,,)&lt;&gt;"",IF(V22&lt;&gt;"",V22-OFFSET($V$22,($Y$16-1)*8,0,,),""),""),"")</f>
        <v/>
      </c>
      <c r="Z22" s="132">
        <v>12</v>
      </c>
      <c r="AA22" s="133" t="s">
        <v>586</v>
      </c>
      <c r="AB22" s="134"/>
      <c r="AC22" s="134" t="s">
        <v>433</v>
      </c>
      <c r="AD22" s="209" t="s">
        <v>678</v>
      </c>
      <c r="AE22" s="210"/>
      <c r="AF22" s="135">
        <v>5</v>
      </c>
      <c r="AG22" s="135">
        <v>0.2</v>
      </c>
      <c r="AH22" s="133"/>
      <c r="AI22" s="136" t="s">
        <v>679</v>
      </c>
      <c r="AJ22" s="95">
        <v>15</v>
      </c>
    </row>
    <row r="23" spans="1:36" ht="9.75" customHeight="1" x14ac:dyDescent="0.2">
      <c r="A23" s="108" t="s">
        <v>1</v>
      </c>
      <c r="B23" s="144"/>
      <c r="C23" s="144"/>
      <c r="D23" s="145"/>
      <c r="E23" s="146"/>
      <c r="F23" s="146"/>
      <c r="G23" s="147"/>
      <c r="H23" s="146"/>
      <c r="I23" s="146"/>
      <c r="J23" s="147"/>
      <c r="K23" s="146"/>
      <c r="L23" s="146"/>
      <c r="M23" s="147"/>
      <c r="N23" s="146"/>
      <c r="O23" s="146"/>
      <c r="P23" s="147"/>
      <c r="Q23" s="148"/>
      <c r="R23" s="148"/>
      <c r="S23" s="145"/>
      <c r="T23" s="113" t="str">
        <f>IF($V$16&lt;&gt;"",IF($V$16="x",IF(COUNT(B23,E23,H23,K23,N23,Q23)&lt;&gt;0,SUM(B23,E23,H23,K23,N23,Q23)/COUNT(B23,E23,H23,K23,N23,Q23),""),IF(COUNT(B23,B31,B39,B47,B55)&lt;&gt;0,SUM(B23,B31,B39,B47,B55)/COUNT(B23,B31,B39,B47,B55),"")),"")</f>
        <v/>
      </c>
      <c r="U23" s="113" t="str">
        <f>IF($V$16&lt;&gt;"",IF($V$16="x",IF(COUNT(C23,F23,I23,L23,O23,R23)&lt;&gt;0,SUM(C23,F23,I23,L23,O23,R23)/COUNT(C23,F23,I23,L23,O23,R23),""),IF(COUNT(C23,C31,C39,C47,C55)&lt;&gt;0,SUM(C23,C31,C39,C47,C55)/COUNT(C23,C31,C39,C47,C55),"")),"")</f>
        <v/>
      </c>
      <c r="V23" s="113" t="str">
        <f t="shared" si="1"/>
        <v/>
      </c>
      <c r="W23" s="114" t="str">
        <f ca="1">IF($Y$16&lt;&gt;"",IF(OFFSET($T$23,($Y$16-1)*8,0,,)&lt;&gt;"",IF(T23&lt;&gt;"",T23-OFFSET($T$23,($Y$16-1)*8,0,,),""),""),"")</f>
        <v/>
      </c>
      <c r="X23" s="114" t="str">
        <f ca="1">IF($Y$16&lt;&gt;"",IF(OFFSET($U$23,($Y$16-1)*8,0,,)&lt;&gt;"",IF(U23&lt;&gt;"",U23-OFFSET($U$23,($Y$16-1)*8,0,,),""),""),"")</f>
        <v/>
      </c>
      <c r="Y23" s="131" t="str">
        <f ca="1">IF($Y$16&lt;&gt;"",IF(OFFSET($V$23,($Y$16-1)*8,0,,)&lt;&gt;"",IF(V23&lt;&gt;"",V23-OFFSET($V$23,($Y$16-1)*8,0,,),""),""),"")</f>
        <v/>
      </c>
      <c r="Z23" s="117">
        <v>13</v>
      </c>
      <c r="AA23" s="154" t="s">
        <v>614</v>
      </c>
      <c r="AB23" s="94"/>
      <c r="AC23" s="94" t="s">
        <v>680</v>
      </c>
      <c r="AD23" s="178" t="s">
        <v>681</v>
      </c>
      <c r="AE23" s="179"/>
      <c r="AF23" s="118">
        <v>130</v>
      </c>
      <c r="AG23" s="118">
        <v>1</v>
      </c>
      <c r="AH23" s="154"/>
      <c r="AI23" s="153" t="s">
        <v>682</v>
      </c>
      <c r="AJ23" s="95">
        <v>16</v>
      </c>
    </row>
    <row r="24" spans="1:36" ht="9.75" customHeight="1" x14ac:dyDescent="0.2">
      <c r="A24" s="108" t="s">
        <v>9</v>
      </c>
      <c r="B24" s="149"/>
      <c r="C24" s="182"/>
      <c r="D24" s="183"/>
      <c r="E24" s="149"/>
      <c r="F24" s="182"/>
      <c r="G24" s="183"/>
      <c r="H24" s="149"/>
      <c r="I24" s="203"/>
      <c r="J24" s="204"/>
      <c r="K24" s="149"/>
      <c r="L24" s="182"/>
      <c r="M24" s="183"/>
      <c r="N24" s="149"/>
      <c r="O24" s="182"/>
      <c r="P24" s="183"/>
      <c r="Q24" s="149"/>
      <c r="R24" s="182"/>
      <c r="S24" s="183"/>
      <c r="T24" s="115" t="str">
        <f>IF(T23&lt;&gt; "",T19/T23,"")</f>
        <v/>
      </c>
      <c r="U24" s="115" t="str">
        <f>IF(U23&lt;&gt; "",U19/U23,"")</f>
        <v/>
      </c>
      <c r="V24" s="115" t="str">
        <f>IF(V23&lt;&gt; "",V19/V23,"")</f>
        <v/>
      </c>
      <c r="W24" s="112" t="str">
        <f ca="1">IF($Y$16&lt;&gt;"",IF(OFFSET($T$24,($Y$16-1)*8,0,,)&lt;&gt;"",IF(T24&lt;&gt;"",T24/OFFSET($T$24,($Y$16-1)*8,0,,),""),""),"")</f>
        <v/>
      </c>
      <c r="X24" s="112" t="str">
        <f ca="1">IF($Y$16&lt;&gt;"",IF(OFFSET($U$24,($Y$16-1)*8,0,,)&lt;&gt;"",IF(U24&lt;&gt;"",U24/OFFSET($U$24,($Y$16-1)*8,0,,),""),""),"")</f>
        <v/>
      </c>
      <c r="Y24" s="130" t="str">
        <f ca="1">IF($Y$16&lt;&gt;"",IF(OFFSET($V$24,($Y$16-1)*8,0,,)&lt;&gt;"",IF(V24&lt;&gt;"",V24/OFFSET($V$24,($Y$16-1)*8,0,,),""),""),"")</f>
        <v/>
      </c>
      <c r="Z24" s="117">
        <v>13</v>
      </c>
      <c r="AA24" s="154" t="s">
        <v>614</v>
      </c>
      <c r="AB24" s="94"/>
      <c r="AC24" s="94" t="s">
        <v>680</v>
      </c>
      <c r="AD24" s="178" t="s">
        <v>683</v>
      </c>
      <c r="AE24" s="179"/>
      <c r="AF24" s="118">
        <v>13</v>
      </c>
      <c r="AG24" s="118">
        <v>0.1</v>
      </c>
      <c r="AH24" s="154"/>
      <c r="AI24" s="153" t="s">
        <v>362</v>
      </c>
      <c r="AJ24" s="95">
        <v>17</v>
      </c>
    </row>
    <row r="25" spans="1:36" ht="9.75" customHeight="1" x14ac:dyDescent="0.2">
      <c r="A25" s="108" t="s">
        <v>12</v>
      </c>
      <c r="B25" s="116" t="s">
        <v>27</v>
      </c>
      <c r="C25" s="180" t="str">
        <f>IF($V$2="",IF($V$10="","",$V$10),IF($V$10="",$V$2,$V$2 &amp; "/" &amp; $V$10))</f>
        <v>Ref.</v>
      </c>
      <c r="D25" s="181"/>
      <c r="E25" s="116" t="s">
        <v>26</v>
      </c>
      <c r="F25" s="180" t="str">
        <f>IF($V$2="",IF($V$11="","",$V$11),IF($V$11="",$V$2,$V$2 &amp; "/" &amp; $V$11))</f>
        <v>Ref.</v>
      </c>
      <c r="G25" s="181"/>
      <c r="H25" s="116" t="s">
        <v>25</v>
      </c>
      <c r="I25" s="180" t="str">
        <f>IF($V$2="",IF($V$12="","",$V$12),IF($V$12="",$V$2,$V$2 &amp; "/" &amp; $V$12))</f>
        <v>Ref.</v>
      </c>
      <c r="J25" s="181"/>
      <c r="K25" s="116" t="s">
        <v>24</v>
      </c>
      <c r="L25" s="180" t="str">
        <f>IF($V$2="",IF($V$13="","",$V$13),IF($V$13="",$V$2,$V$2 &amp; "/" &amp; $V$13))</f>
        <v>Ref.</v>
      </c>
      <c r="M25" s="181"/>
      <c r="N25" s="116" t="s">
        <v>23</v>
      </c>
      <c r="O25" s="180" t="str">
        <f>IF($V$2="",IF($V$14="","",$V$14),IF($V$14="",$V$2,$V$2 &amp; "/" &amp; $V$14))</f>
        <v>Ref.</v>
      </c>
      <c r="P25" s="181"/>
      <c r="Q25" s="116" t="s">
        <v>22</v>
      </c>
      <c r="R25" s="180" t="str">
        <f>IF($V$2="",IF($V$15="","",$V$15),IF($V$15="",$V$2,$V$2 &amp; "/" &amp; $V$15))</f>
        <v>Ref.</v>
      </c>
      <c r="S25" s="181"/>
      <c r="T25" s="110" t="str">
        <f>UPPER($V$16)&amp;"2"</f>
        <v>X2</v>
      </c>
      <c r="U25" s="172" t="str">
        <f>IF($V$16="x",IF($V$2&lt;&gt;"",$V$2,""),IF($V$16="y",IF($V$11&lt;&gt;"",$V$11,""),""))</f>
        <v>Ref.</v>
      </c>
      <c r="V25" s="173"/>
      <c r="W25" s="173"/>
      <c r="X25" s="173"/>
      <c r="Y25" s="173"/>
      <c r="Z25" s="117">
        <v>14</v>
      </c>
      <c r="AA25" s="154" t="s">
        <v>684</v>
      </c>
      <c r="AB25" s="94"/>
      <c r="AC25" s="94" t="s">
        <v>680</v>
      </c>
      <c r="AD25" s="178" t="s">
        <v>685</v>
      </c>
      <c r="AE25" s="179"/>
      <c r="AF25" s="118">
        <v>1000</v>
      </c>
      <c r="AG25" s="118">
        <v>2</v>
      </c>
      <c r="AH25" s="154"/>
      <c r="AI25" s="153" t="s">
        <v>679</v>
      </c>
      <c r="AJ25" s="95">
        <v>18</v>
      </c>
    </row>
    <row r="26" spans="1:36" ht="9.75" customHeight="1" x14ac:dyDescent="0.2">
      <c r="A26" s="108" t="s">
        <v>664</v>
      </c>
      <c r="B26" s="142"/>
      <c r="C26" s="142"/>
      <c r="D26" s="141"/>
      <c r="E26" s="142"/>
      <c r="F26" s="142"/>
      <c r="G26" s="141"/>
      <c r="H26" s="142"/>
      <c r="I26" s="142"/>
      <c r="J26" s="141"/>
      <c r="K26" s="142"/>
      <c r="L26" s="142"/>
      <c r="M26" s="141"/>
      <c r="N26" s="142"/>
      <c r="O26" s="142"/>
      <c r="P26" s="141"/>
      <c r="Q26" s="142"/>
      <c r="R26" s="142"/>
      <c r="S26" s="141"/>
      <c r="T26" s="111" t="str">
        <f t="shared" ref="T26:U29" si="2">IF($V$16&lt;&gt;"",IF($V$16="x",IF(COUNT(B26,E26,H26,K26,N26,Q26)&lt;&gt;0,SUM(B26,E26,H26,K26,N26,Q26)/COUNT(B26,E26,H26,K26,N26,Q26),""),IF(COUNT(E18,E26,E34,E42,E50)&lt;&gt;0,SUM(E18,E26,E34,E42,E50)/COUNT(E18,E26,E34,E42,E50),"")),"")</f>
        <v/>
      </c>
      <c r="U26" s="111" t="str">
        <f t="shared" si="2"/>
        <v/>
      </c>
      <c r="V26" s="111" t="str">
        <f t="shared" ref="V26:V31" si="3">IF($V$16&lt;&gt;"",IF($V$16="x",IF(COUNT(D26,G26,J26,M26,P26,S26)&lt;&gt;0,SUM(D26,G26,J26,M26,P26,S26)/COUNT(D26,G26,J26,M26,P26,S26),""),IF(COUNT(G18,G26,G34,G42,G50)&lt;&gt;0,SUM(G18,G26,G34,G42,G50)/COUNT(G18,G26,G34,G42,G50),"")),"")</f>
        <v/>
      </c>
      <c r="W26" s="112" t="str">
        <f ca="1">IF($Y$16&lt;&gt;"",IF(OFFSET($T$18,($Y$16-1)*8,0,,)&lt;&gt;"",IF(T26&lt;&gt;"",T26/OFFSET($T$18,($Y$16-1)*8,0,,),""),""),"")</f>
        <v/>
      </c>
      <c r="X26" s="112" t="str">
        <f ca="1">IF($Y$16&lt;&gt;"",IF(OFFSET($U$18,($Y$16-1)*8,0,,)&lt;&gt;"",IF(U26&lt;&gt;"",U26/OFFSET($U$18,($Y$16-1)*8,0,,),""),""),"")</f>
        <v/>
      </c>
      <c r="Y26" s="112" t="str">
        <f ca="1">IF($Y$16&lt;&gt;"",IF(OFFSET($V$18,($Y$16-1)*8,0,,)&lt;&gt;"",IF(V26&lt;&gt;"",V26/OFFSET($V$18,($Y$16-1)*8,0,,),""),""),"")</f>
        <v/>
      </c>
      <c r="Z26" s="132"/>
      <c r="AA26" s="133"/>
      <c r="AB26" s="134"/>
      <c r="AC26" s="134"/>
      <c r="AD26" s="178"/>
      <c r="AE26" s="179"/>
      <c r="AF26" s="135"/>
      <c r="AG26" s="135"/>
      <c r="AH26" s="133"/>
      <c r="AI26" s="134"/>
      <c r="AJ26" s="95">
        <v>19</v>
      </c>
    </row>
    <row r="27" spans="1:36" ht="9.75" customHeight="1" x14ac:dyDescent="0.2">
      <c r="A27" s="108" t="s">
        <v>2</v>
      </c>
      <c r="B27" s="142"/>
      <c r="C27" s="142"/>
      <c r="D27" s="143"/>
      <c r="E27" s="142"/>
      <c r="F27" s="142"/>
      <c r="G27" s="143"/>
      <c r="H27" s="142"/>
      <c r="I27" s="142"/>
      <c r="J27" s="143"/>
      <c r="K27" s="142"/>
      <c r="L27" s="142"/>
      <c r="M27" s="143"/>
      <c r="N27" s="142"/>
      <c r="O27" s="142"/>
      <c r="P27" s="143"/>
      <c r="Q27" s="142"/>
      <c r="R27" s="142"/>
      <c r="S27" s="143"/>
      <c r="T27" s="111" t="str">
        <f t="shared" si="2"/>
        <v/>
      </c>
      <c r="U27" s="111" t="str">
        <f t="shared" si="2"/>
        <v/>
      </c>
      <c r="V27" s="111" t="str">
        <f t="shared" si="3"/>
        <v/>
      </c>
      <c r="W27" s="112" t="str">
        <f ca="1">IF($Y$16&lt;&gt;"",IF(OFFSET($T$19,($Y$16-1)*8,0,,)&lt;&gt;"",IF(T27&lt;&gt;"",T27/OFFSET($T$19,($Y$16-1)*8,0,,),""),""),"")</f>
        <v/>
      </c>
      <c r="X27" s="112" t="str">
        <f ca="1">IF($Y$16&lt;&gt;"",IF(OFFSET($U$19,($Y$16-1)*8,0,,)&lt;&gt;"",IF(U27&lt;&gt;"",U27/OFFSET($U$19,($Y$16-1)*8,0,,),""),""),"")</f>
        <v/>
      </c>
      <c r="Y27" s="112" t="str">
        <f ca="1">IF($Y$16&lt;&gt;"",IF(OFFSET($V$19,($Y$16-1)*8,0,,)&lt;&gt;"",IF(V27&lt;&gt;"",V27/OFFSET($V$19,($Y$16-1)*8,0,,),""),""),"")</f>
        <v/>
      </c>
      <c r="Z27" s="117"/>
      <c r="AA27" s="137"/>
      <c r="AB27" s="94"/>
      <c r="AC27" s="94"/>
      <c r="AD27" s="178"/>
      <c r="AE27" s="179"/>
      <c r="AF27" s="118"/>
      <c r="AG27" s="118"/>
      <c r="AH27" s="137"/>
      <c r="AI27" s="94"/>
      <c r="AJ27" s="95">
        <v>20</v>
      </c>
    </row>
    <row r="28" spans="1:36" ht="9.75" customHeight="1" x14ac:dyDescent="0.2">
      <c r="A28" s="108" t="s">
        <v>4</v>
      </c>
      <c r="B28" s="142"/>
      <c r="C28" s="142"/>
      <c r="D28" s="143"/>
      <c r="E28" s="142"/>
      <c r="F28" s="142"/>
      <c r="G28" s="143"/>
      <c r="H28" s="142"/>
      <c r="I28" s="142"/>
      <c r="J28" s="143"/>
      <c r="K28" s="142"/>
      <c r="L28" s="142"/>
      <c r="M28" s="143"/>
      <c r="N28" s="142"/>
      <c r="O28" s="142"/>
      <c r="P28" s="143"/>
      <c r="Q28" s="142"/>
      <c r="R28" s="142"/>
      <c r="S28" s="143"/>
      <c r="T28" s="111" t="str">
        <f t="shared" si="2"/>
        <v/>
      </c>
      <c r="U28" s="111" t="str">
        <f t="shared" si="2"/>
        <v/>
      </c>
      <c r="V28" s="111" t="str">
        <f t="shared" si="3"/>
        <v/>
      </c>
      <c r="W28" s="112" t="str">
        <f ca="1">IF($Y$16&lt;&gt;"",IF(OFFSET($T$20,($Y$16-1)*8,0,,)&lt;&gt;"",IF(T28&lt;&gt;"",T28/OFFSET($T$20,($Y$16-1)*8,0,,),""),""),"")</f>
        <v/>
      </c>
      <c r="X28" s="112" t="str">
        <f ca="1">IF($Y$16&lt;&gt;"",IF(OFFSET($U$20,($Y$16-1)*8,0,,)&lt;&gt;"",IF(U28&lt;&gt;"",U28/OFFSET($U$20,($Y$16-1)*8,0,,),""),""),"")</f>
        <v/>
      </c>
      <c r="Y28" s="112" t="str">
        <f ca="1">IF($Y$16&lt;&gt;"",IF(OFFSET($V$20,($Y$16-1)*8,0,,)&lt;&gt;"",IF(V28&lt;&gt;"",V28/OFFSET($V$20,($Y$16-1)*8,0,,),""),""),"")</f>
        <v/>
      </c>
      <c r="Z28" s="117"/>
      <c r="AA28" s="137"/>
      <c r="AB28" s="94"/>
      <c r="AC28" s="93"/>
      <c r="AD28" s="178"/>
      <c r="AE28" s="179"/>
      <c r="AF28" s="93"/>
      <c r="AG28" s="93"/>
      <c r="AH28" s="137"/>
      <c r="AI28" s="93"/>
      <c r="AJ28" s="95">
        <v>21</v>
      </c>
    </row>
    <row r="29" spans="1:36" ht="9.75" customHeight="1" x14ac:dyDescent="0.2">
      <c r="A29" s="108" t="s">
        <v>0</v>
      </c>
      <c r="B29" s="142"/>
      <c r="C29" s="142"/>
      <c r="D29" s="143"/>
      <c r="E29" s="142"/>
      <c r="F29" s="142"/>
      <c r="G29" s="143"/>
      <c r="H29" s="142"/>
      <c r="I29" s="142"/>
      <c r="J29" s="143"/>
      <c r="K29" s="142"/>
      <c r="L29" s="142"/>
      <c r="M29" s="143"/>
      <c r="N29" s="142"/>
      <c r="O29" s="142"/>
      <c r="P29" s="143"/>
      <c r="Q29" s="142"/>
      <c r="R29" s="142"/>
      <c r="S29" s="143"/>
      <c r="T29" s="111" t="str">
        <f t="shared" si="2"/>
        <v/>
      </c>
      <c r="U29" s="111" t="str">
        <f t="shared" si="2"/>
        <v/>
      </c>
      <c r="V29" s="111" t="str">
        <f t="shared" si="3"/>
        <v/>
      </c>
      <c r="W29" s="112" t="str">
        <f ca="1">IF($Y$16&lt;&gt;"",IF(OFFSET($T$21,($Y$16-1)*8,0,,)&lt;&gt;"",IF(T29&lt;&gt;"",T29/OFFSET($T$21,($Y$16-1)*8,0,,),""),""),"")</f>
        <v/>
      </c>
      <c r="X29" s="112" t="str">
        <f ca="1">IF($Y$16&lt;&gt;"",IF(OFFSET($U$21,($Y$16-1)*8,0,,)&lt;&gt;"",IF(U29&lt;&gt;"",U29/OFFSET($U$21,($Y$16-1)*8,0,,),""),""),"")</f>
        <v/>
      </c>
      <c r="Y29" s="112" t="str">
        <f ca="1">IF($Y$16&lt;&gt;"",IF(OFFSET($V$21,($Y$16-1)*8,0,,)&lt;&gt;"",IF(V29&lt;&gt;"",V29/OFFSET($V$21,($Y$16-1)*8,0,,),""),""),"")</f>
        <v/>
      </c>
      <c r="Z29" s="117"/>
      <c r="AA29" s="137"/>
      <c r="AB29" s="94"/>
      <c r="AC29" s="94"/>
      <c r="AD29" s="178"/>
      <c r="AE29" s="179"/>
      <c r="AF29" s="118"/>
      <c r="AG29" s="118"/>
      <c r="AH29" s="137"/>
      <c r="AI29" s="94"/>
      <c r="AJ29" s="95">
        <v>22</v>
      </c>
    </row>
    <row r="30" spans="1:36" ht="9.75" customHeight="1" x14ac:dyDescent="0.2">
      <c r="A30" s="108" t="s">
        <v>3</v>
      </c>
      <c r="B30" s="146"/>
      <c r="C30" s="146"/>
      <c r="D30" s="147"/>
      <c r="E30" s="146"/>
      <c r="F30" s="146"/>
      <c r="G30" s="147"/>
      <c r="H30" s="146"/>
      <c r="I30" s="146"/>
      <c r="J30" s="147"/>
      <c r="K30" s="146"/>
      <c r="L30" s="146"/>
      <c r="M30" s="147"/>
      <c r="N30" s="146"/>
      <c r="O30" s="146"/>
      <c r="P30" s="147"/>
      <c r="Q30" s="146"/>
      <c r="R30" s="146"/>
      <c r="S30" s="147"/>
      <c r="T30" s="113" t="str">
        <f>IF($V$16&lt;&gt;"",IF($V$16="x",IF(COUNT(B30,E30,H30,K30,N30,Q30)&lt;&gt;0,SUM(B30,E30,H30,K30,N30,Q30)/COUNT(B30,E30,H30,K30,N30,Q30),""),IF(COUNT(E22,E30,E38,E46,E54)&lt;&gt;0,SUM(E22,E30,E38,E46,E54)/COUNT(E22,E30,E38,E46,E54),"")),"")</f>
        <v/>
      </c>
      <c r="U30" s="113" t="str">
        <f>IF($V$16&lt;&gt;"",IF($V$16="x",IF(COUNT(C30,F30,I30,L30,O30,R30)&lt;&gt;0,SUM(C30,F30,I30,L30,O30,R30)/COUNT(C30,F30,I30,L30,O30,R30),""),IF(COUNT(F22,F30,F38,F46,F54)&lt;&gt;0,SUM(F22,F30,F38,F46,F54)/COUNT(F22,F30,F38,F46,F54),"")),"")</f>
        <v/>
      </c>
      <c r="V30" s="113" t="str">
        <f t="shared" si="3"/>
        <v/>
      </c>
      <c r="W30" s="114" t="str">
        <f ca="1">IF($Y$16&lt;&gt;"",IF(OFFSET($T$22,($Y$16-1)*8,0,,)&lt;&gt;"",IF(T30&lt;&gt;"",T30-OFFSET($T$22,($Y$16-1)*8,0,,),""),""),"")</f>
        <v/>
      </c>
      <c r="X30" s="114" t="str">
        <f ca="1">IF($Y$16&lt;&gt;"",IF(OFFSET($U$22,($Y$16-1)*8,0,,)&lt;&gt;"",IF(U30&lt;&gt;"",U30-OFFSET($U$22,($Y$16-1)*8,0,,),""),""),"")</f>
        <v/>
      </c>
      <c r="Y30" s="114" t="str">
        <f ca="1">IF($Y$16&lt;&gt;"",IF(OFFSET($V$22,($Y$16-1)*8,0,,)&lt;&gt;"",IF(V30&lt;&gt;"",V30-OFFSET($V$22,($Y$16-1)*8,0,,),""),""),"")</f>
        <v/>
      </c>
      <c r="Z30" s="117"/>
      <c r="AA30" s="137"/>
      <c r="AB30" s="94"/>
      <c r="AC30" s="94"/>
      <c r="AD30" s="178"/>
      <c r="AE30" s="179"/>
      <c r="AF30" s="137"/>
      <c r="AG30" s="137"/>
      <c r="AH30" s="137"/>
      <c r="AI30" s="94"/>
      <c r="AJ30" s="95">
        <v>23</v>
      </c>
    </row>
    <row r="31" spans="1:36" ht="9.75" customHeight="1" x14ac:dyDescent="0.2">
      <c r="A31" s="108" t="s">
        <v>1</v>
      </c>
      <c r="B31" s="146"/>
      <c r="C31" s="146"/>
      <c r="D31" s="147"/>
      <c r="E31" s="146"/>
      <c r="F31" s="146"/>
      <c r="G31" s="147"/>
      <c r="H31" s="146"/>
      <c r="I31" s="146"/>
      <c r="J31" s="147"/>
      <c r="K31" s="146"/>
      <c r="L31" s="146"/>
      <c r="M31" s="147"/>
      <c r="N31" s="146"/>
      <c r="O31" s="146"/>
      <c r="P31" s="147"/>
      <c r="Q31" s="146"/>
      <c r="R31" s="146"/>
      <c r="S31" s="147"/>
      <c r="T31" s="113" t="str">
        <f>IF($V$16&lt;&gt;"",IF($V$16="x",IF(COUNT(B31,E31,H31,K31,N31,Q31)&lt;&gt;0,SUM(B31,E31,H31,K31,N31,Q31)/COUNT(B31,E31,H31,K31,N31,Q31),""),IF(COUNT(E23,E31,E39,E47,E55)&lt;&gt;0,SUM(E23,E31,E39,E47,E55)/COUNT(E23,E31,E39,E47,E55),"")),"")</f>
        <v/>
      </c>
      <c r="U31" s="113" t="str">
        <f>IF($V$16&lt;&gt;"",IF($V$16="x",IF(COUNT(C31,F31,I31,L31,O31,R31)&lt;&gt;0,SUM(C31,F31,I31,L31,O31,R31)/COUNT(C31,F31,I31,L31,O31,R31),""),IF(COUNT(F23,F31,F39,F47,F55)&lt;&gt;0,SUM(F23,F31,F39,F47,F55)/COUNT(F23,F31,F39,F47,F55),"")),"")</f>
        <v/>
      </c>
      <c r="V31" s="113" t="str">
        <f t="shared" si="3"/>
        <v/>
      </c>
      <c r="W31" s="114" t="str">
        <f ca="1">IF($Y$16&lt;&gt;"",IF(OFFSET($T$23,($Y$16-1)*8,0,,)&lt;&gt;"",IF(T31&lt;&gt;"",T31-OFFSET($T$23,($Y$16-1)*8,0,,),""),""),"")</f>
        <v/>
      </c>
      <c r="X31" s="114" t="str">
        <f ca="1">IF($Y$16&lt;&gt;"",IF(OFFSET($U$23,($Y$16-1)*8,0,,)&lt;&gt;"",IF(U31&lt;&gt;"",U31-OFFSET($U$23,($Y$16-1)*8,0,,),""),""),"")</f>
        <v/>
      </c>
      <c r="Y31" s="114" t="str">
        <f ca="1">IF($Y$16&lt;&gt;"",IF(OFFSET($V$23,($Y$16-1)*8,0,,)&lt;&gt;"",IF(V31&lt;&gt;"",V31-OFFSET($V$23,($Y$16-1)*8,0,,),""),""),"")</f>
        <v/>
      </c>
      <c r="Z31" s="117"/>
      <c r="AA31" s="137"/>
      <c r="AB31" s="94"/>
      <c r="AC31" s="94"/>
      <c r="AD31" s="178"/>
      <c r="AE31" s="179"/>
      <c r="AF31" s="137"/>
      <c r="AG31" s="137"/>
      <c r="AH31" s="137"/>
      <c r="AI31" s="94"/>
      <c r="AJ31" s="95">
        <v>24</v>
      </c>
    </row>
    <row r="32" spans="1:36" ht="9.75" customHeight="1" x14ac:dyDescent="0.2">
      <c r="A32" s="108" t="s">
        <v>9</v>
      </c>
      <c r="B32" s="149"/>
      <c r="C32" s="182"/>
      <c r="D32" s="183"/>
      <c r="E32" s="149"/>
      <c r="F32" s="182"/>
      <c r="G32" s="183"/>
      <c r="H32" s="149"/>
      <c r="I32" s="182"/>
      <c r="J32" s="183"/>
      <c r="K32" s="149"/>
      <c r="L32" s="182"/>
      <c r="M32" s="183"/>
      <c r="N32" s="149"/>
      <c r="O32" s="182"/>
      <c r="P32" s="183"/>
      <c r="Q32" s="149"/>
      <c r="R32" s="182"/>
      <c r="S32" s="183"/>
      <c r="T32" s="115" t="str">
        <f>IF(T31&lt;&gt; "",T27/T31,"")</f>
        <v/>
      </c>
      <c r="U32" s="115" t="str">
        <f>IF(U31&lt;&gt; "",U27/U31,"")</f>
        <v/>
      </c>
      <c r="V32" s="115" t="str">
        <f>IF(V31&lt;&gt; "",V27/V31,"")</f>
        <v/>
      </c>
      <c r="W32" s="112" t="str">
        <f ca="1">IF($Y$16&lt;&gt;"",IF(OFFSET($T$24,($Y$16-1)*8,0,,)&lt;&gt;"",IF(T32&lt;&gt;"",T32/OFFSET($T$24,($Y$16-1)*8,0,,),""),""),"")</f>
        <v/>
      </c>
      <c r="X32" s="112" t="str">
        <f ca="1">IF($Y$16&lt;&gt;"",IF(OFFSET($U$24,($Y$16-1)*8,0,,)&lt;&gt;"",IF(U32&lt;&gt;"",U32/OFFSET($U$24,($Y$16-1)*8,0,,),""),""),"")</f>
        <v/>
      </c>
      <c r="Y32" s="112" t="str">
        <f ca="1">IF($Y$16&lt;&gt;"",IF(OFFSET($V$24,($Y$16-1)*8,0,,)&lt;&gt;"",IF(V32&lt;&gt;"",V32/OFFSET($V$24,($Y$16-1)*8,0,,),""),""),"")</f>
        <v/>
      </c>
      <c r="Z32" s="117"/>
      <c r="AA32" s="137"/>
      <c r="AB32" s="94"/>
      <c r="AC32" s="94"/>
      <c r="AD32" s="178"/>
      <c r="AE32" s="179"/>
      <c r="AF32" s="137"/>
      <c r="AG32" s="137"/>
      <c r="AH32" s="137"/>
      <c r="AI32" s="94"/>
      <c r="AJ32" s="95">
        <v>25</v>
      </c>
    </row>
    <row r="33" spans="1:36" ht="9.75" customHeight="1" x14ac:dyDescent="0.2">
      <c r="A33" s="108" t="s">
        <v>13</v>
      </c>
      <c r="B33" s="116" t="s">
        <v>28</v>
      </c>
      <c r="C33" s="180" t="str">
        <f>IF($V$3="",IF($V$10="","",$V$10),IF($V$10="",$V$3,$V$3 &amp; "/" &amp; $V$10))</f>
        <v>Ref.</v>
      </c>
      <c r="D33" s="181"/>
      <c r="E33" s="116" t="s">
        <v>29</v>
      </c>
      <c r="F33" s="180" t="str">
        <f>IF($V$3="",IF($V$11="","",$V$11),IF($V$11="",$V$3,$V$3 &amp; "/" &amp; $V$11))</f>
        <v>Ref.</v>
      </c>
      <c r="G33" s="181"/>
      <c r="H33" s="116" t="s">
        <v>30</v>
      </c>
      <c r="I33" s="180" t="str">
        <f>IF($V$3="",IF($V$12="","",$V$12),IF($V$12="",$V$3,$V$3 &amp; "/" &amp; $V$12))</f>
        <v>Ref.</v>
      </c>
      <c r="J33" s="181"/>
      <c r="K33" s="116" t="s">
        <v>31</v>
      </c>
      <c r="L33" s="180" t="str">
        <f>IF($V$3="",IF($V$13="","",$V$13),IF($V$13="",$V$3,$V$3 &amp; "/" &amp; $V$13))</f>
        <v>Ref.</v>
      </c>
      <c r="M33" s="181"/>
      <c r="N33" s="116" t="s">
        <v>32</v>
      </c>
      <c r="O33" s="180" t="str">
        <f>IF($V$3="",IF($V$14="","",$V$14),IF($V$14="",$V$3,$V$3 &amp; "/" &amp; $V$14))</f>
        <v>Ref.</v>
      </c>
      <c r="P33" s="181"/>
      <c r="Q33" s="116" t="s">
        <v>33</v>
      </c>
      <c r="R33" s="180" t="str">
        <f>IF($V$3="",IF($V$15="","",$V$15),IF($V$15="",$V$3,$V$3 &amp; "/" &amp; $V$15))</f>
        <v>Ref.</v>
      </c>
      <c r="S33" s="181"/>
      <c r="T33" s="110" t="str">
        <f>UPPER($V$16)&amp;"3"</f>
        <v>X3</v>
      </c>
      <c r="U33" s="172" t="str">
        <f>IF($V$16="x",IF($V$3&lt;&gt;"",$V$3,""),IF($V$16="y",IF($V$12&lt;&gt;"",$V$12,""),""))</f>
        <v>Ref.</v>
      </c>
      <c r="V33" s="173"/>
      <c r="W33" s="173"/>
      <c r="X33" s="173"/>
      <c r="Y33" s="174"/>
      <c r="Z33" s="117"/>
      <c r="AA33" s="137"/>
      <c r="AB33" s="94"/>
      <c r="AC33" s="94"/>
      <c r="AD33" s="178"/>
      <c r="AE33" s="179"/>
      <c r="AF33" s="137"/>
      <c r="AG33" s="137"/>
      <c r="AH33" s="137"/>
      <c r="AI33" s="94"/>
      <c r="AJ33" s="95">
        <v>26</v>
      </c>
    </row>
    <row r="34" spans="1:36" ht="9.75" customHeight="1" x14ac:dyDescent="0.2">
      <c r="A34" s="108" t="s">
        <v>664</v>
      </c>
      <c r="B34" s="142"/>
      <c r="C34" s="142"/>
      <c r="D34" s="141"/>
      <c r="E34" s="142"/>
      <c r="F34" s="142"/>
      <c r="G34" s="141"/>
      <c r="H34" s="142"/>
      <c r="I34" s="142"/>
      <c r="J34" s="141"/>
      <c r="K34" s="142"/>
      <c r="L34" s="142"/>
      <c r="M34" s="141"/>
      <c r="N34" s="142"/>
      <c r="O34" s="142"/>
      <c r="P34" s="141"/>
      <c r="Q34" s="142"/>
      <c r="R34" s="142"/>
      <c r="S34" s="141"/>
      <c r="T34" s="111" t="str">
        <f t="shared" ref="T34:U37" si="4">IF($V$16&lt;&gt;"",IF($V$16="x",IF(COUNT(B34,E34,H34,K34,N34,Q34)&lt;&gt;0,SUM(B34,E34,H34,K34,N34,Q34)/COUNT(B34,E34,H34,K34,N34,Q34),""),IF(COUNT(H18,H26,H34,H42,H50)&lt;&gt;0,SUM(H18,H26,H34,H42,H50)/COUNT(H18,H26,H34,H42,H50),"")),"")</f>
        <v/>
      </c>
      <c r="U34" s="111" t="str">
        <f t="shared" si="4"/>
        <v/>
      </c>
      <c r="V34" s="111" t="str">
        <f t="shared" ref="V34:V39" si="5">IF($V$16&lt;&gt;"",IF($V$16="x",IF(COUNT(D34,G34,J34,M34,P34,S34)&lt;&gt;0,SUM(D34,G34,J34,M34,P34,S34)/COUNT(D34,G34,J34,M34,P34,S34),""),IF(COUNT(J18,J26,J34,J42,J50)&lt;&gt;0,SUM(J18,J26,J34,J42,J50)/COUNT(J18,J26,J34,J42,J50),"")),"")</f>
        <v/>
      </c>
      <c r="W34" s="112" t="str">
        <f ca="1">IF($Y$16&lt;&gt;"",IF(OFFSET($T$18,($Y$16-1)*8,0,,)&lt;&gt;"",IF(T34&lt;&gt;"",T34/OFFSET($T$18,($Y$16-1)*8,0,,),""),""),"")</f>
        <v/>
      </c>
      <c r="X34" s="112" t="str">
        <f ca="1">IF($Y$16&lt;&gt;"",IF(OFFSET($U$18,($Y$16-1)*8,0,,)&lt;&gt;"",IF(U34&lt;&gt;"",U34/OFFSET($U$18,($Y$16-1)*8,0,,),""),""),"")</f>
        <v/>
      </c>
      <c r="Y34" s="112" t="str">
        <f ca="1">IF($Y$16&lt;&gt;"",IF(OFFSET($V$18,($Y$16-1)*8,0,,)&lt;&gt;"",IF(V34&lt;&gt;"",V34/OFFSET($V$18,($Y$16-1)*8,0,,),""),""),"")</f>
        <v/>
      </c>
      <c r="Z34" s="117"/>
      <c r="AA34" s="137"/>
      <c r="AB34" s="94"/>
      <c r="AC34" s="94"/>
      <c r="AD34" s="178"/>
      <c r="AE34" s="179"/>
      <c r="AF34" s="137"/>
      <c r="AG34" s="137"/>
      <c r="AH34" s="137"/>
      <c r="AI34" s="94"/>
      <c r="AJ34" s="95">
        <v>27</v>
      </c>
    </row>
    <row r="35" spans="1:36" ht="9.75" customHeight="1" x14ac:dyDescent="0.2">
      <c r="A35" s="108" t="s">
        <v>2</v>
      </c>
      <c r="B35" s="142"/>
      <c r="C35" s="142"/>
      <c r="D35" s="143"/>
      <c r="E35" s="142"/>
      <c r="F35" s="142"/>
      <c r="G35" s="143"/>
      <c r="H35" s="142"/>
      <c r="I35" s="142"/>
      <c r="J35" s="143"/>
      <c r="K35" s="142"/>
      <c r="L35" s="142"/>
      <c r="M35" s="143"/>
      <c r="N35" s="142"/>
      <c r="O35" s="142"/>
      <c r="P35" s="143"/>
      <c r="Q35" s="142"/>
      <c r="R35" s="142"/>
      <c r="S35" s="143"/>
      <c r="T35" s="111" t="str">
        <f t="shared" si="4"/>
        <v/>
      </c>
      <c r="U35" s="111" t="str">
        <f t="shared" si="4"/>
        <v/>
      </c>
      <c r="V35" s="111" t="str">
        <f t="shared" si="5"/>
        <v/>
      </c>
      <c r="W35" s="112" t="str">
        <f ca="1">IF($Y$16&lt;&gt;"",IF(OFFSET($T$19,($Y$16-1)*8,0,,)&lt;&gt;"",IF(T35&lt;&gt;"",T35/OFFSET($T$19,($Y$16-1)*8,0,,),""),""),"")</f>
        <v/>
      </c>
      <c r="X35" s="112" t="str">
        <f ca="1">IF($Y$16&lt;&gt;"",IF(OFFSET($U$19,($Y$16-1)*8,0,,)&lt;&gt;"",IF(U35&lt;&gt;"",U35/OFFSET($U$19,($Y$16-1)*8,0,,),""),""),"")</f>
        <v/>
      </c>
      <c r="Y35" s="112" t="str">
        <f ca="1">IF($Y$16&lt;&gt;"",IF(OFFSET($V$19,($Y$16-1)*8,0,,)&lt;&gt;"",IF(V35&lt;&gt;"",V35/OFFSET($V$19,($Y$16-1)*8,0,,),""),""),"")</f>
        <v/>
      </c>
      <c r="Z35" s="117"/>
      <c r="AA35" s="137"/>
      <c r="AB35" s="94"/>
      <c r="AC35" s="94"/>
      <c r="AD35" s="178"/>
      <c r="AE35" s="179"/>
      <c r="AF35" s="137"/>
      <c r="AG35" s="137"/>
      <c r="AH35" s="137"/>
      <c r="AI35" s="94"/>
      <c r="AJ35" s="95">
        <v>28</v>
      </c>
    </row>
    <row r="36" spans="1:36" ht="9.75" customHeight="1" x14ac:dyDescent="0.2">
      <c r="A36" s="108" t="s">
        <v>4</v>
      </c>
      <c r="B36" s="142"/>
      <c r="C36" s="142"/>
      <c r="D36" s="143"/>
      <c r="E36" s="142"/>
      <c r="F36" s="142"/>
      <c r="G36" s="143"/>
      <c r="H36" s="142"/>
      <c r="I36" s="142"/>
      <c r="J36" s="143"/>
      <c r="K36" s="142"/>
      <c r="L36" s="142"/>
      <c r="M36" s="143"/>
      <c r="N36" s="142"/>
      <c r="O36" s="142"/>
      <c r="P36" s="143"/>
      <c r="Q36" s="142"/>
      <c r="R36" s="142"/>
      <c r="S36" s="143"/>
      <c r="T36" s="111" t="str">
        <f t="shared" si="4"/>
        <v/>
      </c>
      <c r="U36" s="111" t="str">
        <f t="shared" si="4"/>
        <v/>
      </c>
      <c r="V36" s="111" t="str">
        <f t="shared" si="5"/>
        <v/>
      </c>
      <c r="W36" s="112" t="str">
        <f ca="1">IF($Y$16&lt;&gt;"",IF(OFFSET($T$20,($Y$16-1)*8,0,,)&lt;&gt;"",IF(T36&lt;&gt;"",T36/OFFSET($T$20,($Y$16-1)*8,0,,),""),""),"")</f>
        <v/>
      </c>
      <c r="X36" s="112" t="str">
        <f ca="1">IF($Y$16&lt;&gt;"",IF(OFFSET($U$20,($Y$16-1)*8,0,,)&lt;&gt;"",IF(U36&lt;&gt;"",U36/OFFSET($U$20,($Y$16-1)*8,0,,),""),""),"")</f>
        <v/>
      </c>
      <c r="Y36" s="112" t="str">
        <f ca="1">IF($Y$16&lt;&gt;"",IF(OFFSET($V$20,($Y$16-1)*8,0,,)&lt;&gt;"",IF(V36&lt;&gt;"",V36/OFFSET($V$20,($Y$16-1)*8,0,,),""),""),"")</f>
        <v/>
      </c>
      <c r="Z36" s="117"/>
      <c r="AA36" s="137"/>
      <c r="AB36" s="94"/>
      <c r="AC36" s="94"/>
      <c r="AD36" s="178"/>
      <c r="AE36" s="179"/>
      <c r="AF36" s="137"/>
      <c r="AG36" s="137"/>
      <c r="AH36" s="137"/>
      <c r="AI36" s="94"/>
      <c r="AJ36" s="95">
        <v>29</v>
      </c>
    </row>
    <row r="37" spans="1:36" ht="9.75" customHeight="1" x14ac:dyDescent="0.2">
      <c r="A37" s="108" t="s">
        <v>0</v>
      </c>
      <c r="B37" s="142"/>
      <c r="C37" s="142"/>
      <c r="D37" s="143"/>
      <c r="E37" s="142"/>
      <c r="F37" s="142"/>
      <c r="G37" s="143"/>
      <c r="H37" s="142"/>
      <c r="I37" s="142"/>
      <c r="J37" s="143"/>
      <c r="K37" s="142"/>
      <c r="L37" s="142"/>
      <c r="M37" s="143"/>
      <c r="N37" s="142"/>
      <c r="O37" s="142"/>
      <c r="P37" s="143"/>
      <c r="Q37" s="142"/>
      <c r="R37" s="142"/>
      <c r="S37" s="143"/>
      <c r="T37" s="111" t="str">
        <f t="shared" si="4"/>
        <v/>
      </c>
      <c r="U37" s="111" t="str">
        <f t="shared" si="4"/>
        <v/>
      </c>
      <c r="V37" s="111" t="str">
        <f t="shared" si="5"/>
        <v/>
      </c>
      <c r="W37" s="112" t="str">
        <f ca="1">IF($Y$16&lt;&gt;"",IF(OFFSET($T$21,($Y$16-1)*8,0,,)&lt;&gt;"",IF(T37&lt;&gt;"",T37/OFFSET($T$21,($Y$16-1)*8,0,,),""),""),"")</f>
        <v/>
      </c>
      <c r="X37" s="112" t="str">
        <f ca="1">IF($Y$16&lt;&gt;"",IF(OFFSET($U$21,($Y$16-1)*8,0,,)&lt;&gt;"",IF(U37&lt;&gt;"",U37/OFFSET($U$21,($Y$16-1)*8,0,,),""),""),"")</f>
        <v/>
      </c>
      <c r="Y37" s="112" t="str">
        <f ca="1">IF($Y$16&lt;&gt;"",IF(OFFSET($V$21,($Y$16-1)*8,0,,)&lt;&gt;"",IF(V37&lt;&gt;"",V37/OFFSET($V$21,($Y$16-1)*8,0,,),""),""),"")</f>
        <v/>
      </c>
      <c r="Z37" s="117"/>
      <c r="AA37" s="137"/>
      <c r="AB37" s="94"/>
      <c r="AC37" s="94"/>
      <c r="AD37" s="178"/>
      <c r="AE37" s="179"/>
      <c r="AF37" s="137"/>
      <c r="AG37" s="137"/>
      <c r="AH37" s="137"/>
      <c r="AI37" s="94"/>
      <c r="AJ37" s="95">
        <v>30</v>
      </c>
    </row>
    <row r="38" spans="1:36" ht="9.75" customHeight="1" x14ac:dyDescent="0.2">
      <c r="A38" s="108" t="s">
        <v>3</v>
      </c>
      <c r="B38" s="146"/>
      <c r="C38" s="146"/>
      <c r="D38" s="147"/>
      <c r="E38" s="146"/>
      <c r="F38" s="146"/>
      <c r="G38" s="147"/>
      <c r="H38" s="146"/>
      <c r="I38" s="146"/>
      <c r="J38" s="147"/>
      <c r="K38" s="146"/>
      <c r="L38" s="146"/>
      <c r="M38" s="147"/>
      <c r="N38" s="146"/>
      <c r="O38" s="146"/>
      <c r="P38" s="147"/>
      <c r="Q38" s="146"/>
      <c r="R38" s="146"/>
      <c r="S38" s="147"/>
      <c r="T38" s="113" t="str">
        <f>IF($V$16&lt;&gt;"",IF($V$16="x",IF(COUNT(B38,E38,H38,K38,N38,Q38)&lt;&gt;0,SUM(B38,E38,H38,K38,N38,Q38)/COUNT(B38,E38,H38,K38,N38,Q38),""),IF(COUNT(H22,H30,H38,H46,H54)&lt;&gt;0,SUM(H22,H30,H38,H46,H54)/COUNT(H22,H30,H38,H46,H54),"")),"")</f>
        <v/>
      </c>
      <c r="U38" s="113" t="str">
        <f>IF($V$16&lt;&gt;"",IF($V$16="x",IF(COUNT(C38,F38,I38,L38,O38,R38)&lt;&gt;0,SUM(C38,F38,I38,L38,O38,R38)/COUNT(C38,F38,I38,L38,O38,R38),""),IF(COUNT(I22,I30,I38,I46,I54)&lt;&gt;0,SUM(I22,I30,I38,I46,I54)/COUNT(I22,I30,I38,I46,I54),"")),"")</f>
        <v/>
      </c>
      <c r="V38" s="113" t="str">
        <f t="shared" si="5"/>
        <v/>
      </c>
      <c r="W38" s="114" t="str">
        <f ca="1">IF($Y$16&lt;&gt;"",IF(OFFSET($T$22,($Y$16-1)*8,0,,)&lt;&gt;"",IF(T38&lt;&gt;"",T38-OFFSET($T$22,($Y$16-1)*8,0,,),""),""),"")</f>
        <v/>
      </c>
      <c r="X38" s="114" t="str">
        <f ca="1">IF($Y$16&lt;&gt;"",IF(OFFSET($U$22,($Y$16-1)*8,0,,)&lt;&gt;"",IF(U38&lt;&gt;"",U38-OFFSET($U$22,($Y$16-1)*8,0,,),""),""),"")</f>
        <v/>
      </c>
      <c r="Y38" s="114" t="str">
        <f ca="1">IF($Y$16&lt;&gt;"",IF(OFFSET($V$22,($Y$16-1)*8,0,,)&lt;&gt;"",IF(V38&lt;&gt;"",V38-OFFSET($V$22,($Y$16-1)*8,0,,),""),""),"")</f>
        <v/>
      </c>
      <c r="Z38" s="117"/>
      <c r="AA38" s="137"/>
      <c r="AB38" s="94"/>
      <c r="AC38" s="94"/>
      <c r="AD38" s="178"/>
      <c r="AE38" s="179"/>
      <c r="AF38" s="137"/>
      <c r="AG38" s="137"/>
      <c r="AH38" s="137"/>
      <c r="AI38" s="94"/>
      <c r="AJ38" s="95">
        <v>31</v>
      </c>
    </row>
    <row r="39" spans="1:36" ht="9.75" customHeight="1" x14ac:dyDescent="0.2">
      <c r="A39" s="108" t="s">
        <v>1</v>
      </c>
      <c r="B39" s="146"/>
      <c r="C39" s="146"/>
      <c r="D39" s="147"/>
      <c r="E39" s="146"/>
      <c r="F39" s="146"/>
      <c r="G39" s="147"/>
      <c r="H39" s="146"/>
      <c r="I39" s="146"/>
      <c r="J39" s="147"/>
      <c r="K39" s="146"/>
      <c r="L39" s="146"/>
      <c r="M39" s="147"/>
      <c r="N39" s="146"/>
      <c r="O39" s="146"/>
      <c r="P39" s="147"/>
      <c r="Q39" s="146"/>
      <c r="R39" s="146"/>
      <c r="S39" s="147"/>
      <c r="T39" s="113" t="str">
        <f>IF($V$16&lt;&gt;"",IF($V$16="x",IF(COUNT(B39,E39,H39,K39,N39,Q39)&lt;&gt;0,SUM(B39,E39,H39,K39,N39,Q39)/COUNT(B39,E39,H39,K39,N39,Q39),""),IF(COUNT(H23,H31,H39,H47,H55)&lt;&gt;0,SUM(H23,H31,H39,H47,H55)/COUNT(H23,H31,H39,H47,H55),"")),"")</f>
        <v/>
      </c>
      <c r="U39" s="113" t="str">
        <f>IF($V$16&lt;&gt;"",IF($V$16="x",IF(COUNT(C39,F39,I39,L39,O39,R39)&lt;&gt;0,SUM(C39,F39,I39,L39,O39,R39)/COUNT(C39,F39,I39,L39,O39,R39),""),IF(COUNT(I23,I31,I39,I47,I55)&lt;&gt;0,SUM(I23,I31,I39,I47,I55)/COUNT(I23,I31,I39,I47,I55),"")),"")</f>
        <v/>
      </c>
      <c r="V39" s="113" t="str">
        <f t="shared" si="5"/>
        <v/>
      </c>
      <c r="W39" s="114" t="str">
        <f ca="1">IF($Y$16&lt;&gt;"",IF(OFFSET($T$23,($Y$16-1)*8,0,,)&lt;&gt;"",IF(T39&lt;&gt;"",T39-OFFSET($T$23,($Y$16-1)*8,0,,),""),""),"")</f>
        <v/>
      </c>
      <c r="X39" s="114" t="str">
        <f ca="1">IF($Y$16&lt;&gt;"",IF(OFFSET($U$23,($Y$16-1)*8,0,,)&lt;&gt;"",IF(U39&lt;&gt;"",U39-OFFSET($U$23,($Y$16-1)*8,0,,),""),""),"")</f>
        <v/>
      </c>
      <c r="Y39" s="114" t="str">
        <f ca="1">IF($Y$16&lt;&gt;"",IF(OFFSET($V$23,($Y$16-1)*8,0,,)&lt;&gt;"",IF(V39&lt;&gt;"",V39-OFFSET($V$23,($Y$16-1)*8,0,,),""),""),"")</f>
        <v/>
      </c>
      <c r="Z39" s="117"/>
      <c r="AA39" s="137"/>
      <c r="AB39" s="94"/>
      <c r="AC39" s="94"/>
      <c r="AD39" s="178"/>
      <c r="AE39" s="179"/>
      <c r="AF39" s="137"/>
      <c r="AG39" s="137"/>
      <c r="AH39" s="137"/>
      <c r="AI39" s="94"/>
      <c r="AJ39" s="95">
        <v>32</v>
      </c>
    </row>
    <row r="40" spans="1:36" ht="9.75" customHeight="1" x14ac:dyDescent="0.2">
      <c r="A40" s="108" t="s">
        <v>9</v>
      </c>
      <c r="B40" s="149"/>
      <c r="C40" s="182"/>
      <c r="D40" s="183"/>
      <c r="E40" s="149"/>
      <c r="F40" s="182"/>
      <c r="G40" s="183"/>
      <c r="H40" s="149"/>
      <c r="I40" s="203"/>
      <c r="J40" s="204"/>
      <c r="K40" s="150"/>
      <c r="L40" s="203"/>
      <c r="M40" s="204"/>
      <c r="N40" s="149"/>
      <c r="O40" s="182"/>
      <c r="P40" s="183"/>
      <c r="Q40" s="149"/>
      <c r="R40" s="182"/>
      <c r="S40" s="183"/>
      <c r="T40" s="115" t="str">
        <f>IF(T39&lt;&gt; "",T35/T39,"")</f>
        <v/>
      </c>
      <c r="U40" s="115" t="str">
        <f>IF(U39&lt;&gt; "",U35/U39,"")</f>
        <v/>
      </c>
      <c r="V40" s="115" t="str">
        <f>IF(V39&lt;&gt; "",V35/V39,"")</f>
        <v/>
      </c>
      <c r="W40" s="112" t="str">
        <f ca="1">IF($Y$16&lt;&gt;"",IF(OFFSET($T$24,($Y$16-1)*8,0,,)&lt;&gt;"",IF(T40&lt;&gt;"",T40/OFFSET($T$24,($Y$16-1)*8,0,,),""),""),"")</f>
        <v/>
      </c>
      <c r="X40" s="112" t="str">
        <f ca="1">IF($Y$16&lt;&gt;"",IF(OFFSET($U$24,($Y$16-1)*8,0,,)&lt;&gt;"",IF(U40&lt;&gt;"",U40/OFFSET($U$24,($Y$16-1)*8,0,,),""),""),"")</f>
        <v/>
      </c>
      <c r="Y40" s="112" t="str">
        <f ca="1">IF($Y$16&lt;&gt;"",IF(OFFSET($V$24,($Y$16-1)*8,0,,)&lt;&gt;"",IF(V40&lt;&gt;"",V40/OFFSET($V$24,($Y$16-1)*8,0,,),""),""),"")</f>
        <v/>
      </c>
      <c r="Z40" s="117"/>
      <c r="AA40" s="137"/>
      <c r="AB40" s="94"/>
      <c r="AC40" s="94"/>
      <c r="AD40" s="178"/>
      <c r="AE40" s="179"/>
      <c r="AF40" s="137"/>
      <c r="AG40" s="137"/>
      <c r="AH40" s="137"/>
      <c r="AI40" s="94"/>
      <c r="AJ40" s="95">
        <v>33</v>
      </c>
    </row>
    <row r="41" spans="1:36" ht="9.75" customHeight="1" x14ac:dyDescent="0.2">
      <c r="A41" s="108" t="s">
        <v>14</v>
      </c>
      <c r="B41" s="116" t="s">
        <v>39</v>
      </c>
      <c r="C41" s="180" t="str">
        <f>IF($V$4="",IF($V$10="","",$V$10),IF($V$10="",$V$4,$V$4 &amp; "/" &amp; $V$10))</f>
        <v>Ref.</v>
      </c>
      <c r="D41" s="181"/>
      <c r="E41" s="116" t="s">
        <v>38</v>
      </c>
      <c r="F41" s="180" t="str">
        <f>IF($V$4="",IF($V$11="","",$V$11),IF($V$11="",$V$4,$V$4 &amp; "/" &amp; $V$11))</f>
        <v>Ref.</v>
      </c>
      <c r="G41" s="181"/>
      <c r="H41" s="116" t="s">
        <v>37</v>
      </c>
      <c r="I41" s="180" t="str">
        <f>IF($V$4="",IF($V$12="","",$V$12),IF($V$12="",$V$4,$V$4 &amp; "/" &amp; $V$12))</f>
        <v>Ref.</v>
      </c>
      <c r="J41" s="181"/>
      <c r="K41" s="116" t="s">
        <v>36</v>
      </c>
      <c r="L41" s="180" t="str">
        <f>IF($V$4="",IF($V$13="","",$V$13),IF($V$13="",$V$4,$V$4 &amp; "/" &amp; $V$13))</f>
        <v>Ref.</v>
      </c>
      <c r="M41" s="181"/>
      <c r="N41" s="116" t="s">
        <v>35</v>
      </c>
      <c r="O41" s="180" t="str">
        <f>IF($V$4="",IF($V$14="","",$V$14),IF($V$14="",$V$4,$V$4 &amp; "/" &amp; $V$14))</f>
        <v>Ref.</v>
      </c>
      <c r="P41" s="181"/>
      <c r="Q41" s="116" t="s">
        <v>34</v>
      </c>
      <c r="R41" s="180" t="str">
        <f>IF($V$4="",IF($V$15="","",$V$15),IF($V$15="",$V$4,$V$4 &amp; "/" &amp; $V$15))</f>
        <v>Ref.</v>
      </c>
      <c r="S41" s="181"/>
      <c r="T41" s="110" t="str">
        <f>UPPER($V$16)&amp;"4"</f>
        <v>X4</v>
      </c>
      <c r="U41" s="172" t="str">
        <f>IF($V$16="x",IF($V$4&lt;&gt;"",$V$4,""),IF($V$16="y",IF($V$13&lt;&gt;"",$V$13,""),""))</f>
        <v>Ref.</v>
      </c>
      <c r="V41" s="173"/>
      <c r="W41" s="173"/>
      <c r="X41" s="173"/>
      <c r="Y41" s="174"/>
      <c r="Z41" s="117"/>
      <c r="AA41" s="137"/>
      <c r="AB41" s="94"/>
      <c r="AC41" s="94"/>
      <c r="AD41" s="178"/>
      <c r="AE41" s="186"/>
      <c r="AF41" s="137"/>
      <c r="AG41" s="137"/>
      <c r="AH41" s="137"/>
      <c r="AI41" s="94"/>
      <c r="AJ41" s="95">
        <v>34</v>
      </c>
    </row>
    <row r="42" spans="1:36" ht="9.75" customHeight="1" x14ac:dyDescent="0.2">
      <c r="A42" s="108" t="s">
        <v>664</v>
      </c>
      <c r="B42" s="142"/>
      <c r="C42" s="142"/>
      <c r="D42" s="141"/>
      <c r="E42" s="142"/>
      <c r="F42" s="142"/>
      <c r="G42" s="141"/>
      <c r="H42" s="142"/>
      <c r="I42" s="142"/>
      <c r="J42" s="141"/>
      <c r="K42" s="142"/>
      <c r="L42" s="142"/>
      <c r="M42" s="141"/>
      <c r="N42" s="142"/>
      <c r="O42" s="142"/>
      <c r="P42" s="141"/>
      <c r="Q42" s="142"/>
      <c r="R42" s="142"/>
      <c r="S42" s="141"/>
      <c r="T42" s="111" t="str">
        <f t="shared" ref="T42:U45" si="6">IF($V$16&lt;&gt;"",IF($V$16="x",IF(COUNT(B42,E42,H42,K42,N42,Q42)&lt;&gt;0,SUM(B42,E42,H42,K42,N42,Q42)/COUNT(B42,E42,H42,K42,N42,Q42),""),IF(COUNT(K18,K26,K34,K42,K50)&lt;&gt;0,SUM(K18,K26,K34,K42,K50)/COUNT(K18,K26,K34,K42,K50),"")),"")</f>
        <v/>
      </c>
      <c r="U42" s="111" t="str">
        <f t="shared" si="6"/>
        <v/>
      </c>
      <c r="V42" s="111" t="str">
        <f t="shared" ref="V42:V47" si="7">IF($V$16&lt;&gt;"",IF($V$16="x",IF(COUNT(D42,G42,J42,M42,P42,S42)&lt;&gt;0,SUM(D42,G42,J42,M42,P42,S42)/COUNT(D42,G42,J42,M42,P42,S42),""),IF(COUNT(M18,M26,M34,M42,M50)&lt;&gt;0,SUM(M18,M26,M34,M42,M50)/COUNT(M18,M26,M34,M42,M50),"")),"")</f>
        <v/>
      </c>
      <c r="W42" s="112" t="str">
        <f ca="1">IF($Y$16&lt;&gt;"",IF(OFFSET($T$18,($Y$16-1)*8,0,,)&lt;&gt;"",IF(T42&lt;&gt;"",T42/OFFSET($T$18,($Y$16-1)*8,0,,),""),""),"")</f>
        <v/>
      </c>
      <c r="X42" s="112" t="str">
        <f ca="1">IF($Y$16&lt;&gt;"",IF(OFFSET($U$18,($Y$16-1)*8,0,,)&lt;&gt;"",IF(U42&lt;&gt;"",U42/OFFSET($U$18,($Y$16-1)*8,0,,),""),""),"")</f>
        <v/>
      </c>
      <c r="Y42" s="112" t="str">
        <f ca="1">IF($Y$16&lt;&gt;"",IF(OFFSET($V$18,($Y$16-1)*8,0,,)&lt;&gt;"",IF(V42&lt;&gt;"",V42/OFFSET($V$18,($Y$16-1)*8,0,,),""),""),"")</f>
        <v/>
      </c>
      <c r="Z42" s="117"/>
      <c r="AA42" s="137"/>
      <c r="AB42" s="94"/>
      <c r="AC42" s="94"/>
      <c r="AD42" s="178"/>
      <c r="AE42" s="186"/>
      <c r="AF42" s="137"/>
      <c r="AG42" s="137"/>
      <c r="AH42" s="137"/>
      <c r="AI42" s="94"/>
      <c r="AJ42" s="95">
        <v>35</v>
      </c>
    </row>
    <row r="43" spans="1:36" ht="9.75" customHeight="1" x14ac:dyDescent="0.2">
      <c r="A43" s="108" t="s">
        <v>2</v>
      </c>
      <c r="B43" s="142"/>
      <c r="C43" s="142"/>
      <c r="D43" s="143"/>
      <c r="E43" s="142"/>
      <c r="F43" s="142"/>
      <c r="G43" s="143"/>
      <c r="H43" s="142"/>
      <c r="I43" s="142"/>
      <c r="J43" s="143"/>
      <c r="K43" s="142"/>
      <c r="L43" s="142"/>
      <c r="M43" s="143"/>
      <c r="N43" s="142"/>
      <c r="O43" s="142"/>
      <c r="P43" s="143"/>
      <c r="Q43" s="142"/>
      <c r="R43" s="142"/>
      <c r="S43" s="143"/>
      <c r="T43" s="111" t="str">
        <f t="shared" si="6"/>
        <v/>
      </c>
      <c r="U43" s="111" t="str">
        <f t="shared" si="6"/>
        <v/>
      </c>
      <c r="V43" s="111" t="str">
        <f t="shared" si="7"/>
        <v/>
      </c>
      <c r="W43" s="112" t="str">
        <f ca="1">IF($Y$16&lt;&gt;"",IF(OFFSET($T$19,($Y$16-1)*8,0,,)&lt;&gt;"",IF(T43&lt;&gt;"",T43/OFFSET($T$19,($Y$16-1)*8,0,,),""),""),"")</f>
        <v/>
      </c>
      <c r="X43" s="112" t="str">
        <f ca="1">IF($Y$16&lt;&gt;"",IF(OFFSET($U$19,($Y$16-1)*8,0,,)&lt;&gt;"",IF(U43&lt;&gt;"",U43/OFFSET($U$19,($Y$16-1)*8,0,,),""),""),"")</f>
        <v/>
      </c>
      <c r="Y43" s="112" t="str">
        <f ca="1">IF($Y$16&lt;&gt;"",IF(OFFSET($V$19,($Y$16-1)*8,0,,)&lt;&gt;"",IF(V43&lt;&gt;"",V43/OFFSET($V$19,($Y$16-1)*8,0,,),""),""),"")</f>
        <v/>
      </c>
      <c r="Z43" s="117"/>
      <c r="AA43" s="137"/>
      <c r="AB43" s="94"/>
      <c r="AC43" s="94"/>
      <c r="AD43" s="178"/>
      <c r="AE43" s="186"/>
      <c r="AF43" s="137"/>
      <c r="AG43" s="137"/>
      <c r="AH43" s="137"/>
      <c r="AI43" s="94"/>
      <c r="AJ43" s="95">
        <v>36</v>
      </c>
    </row>
    <row r="44" spans="1:36" ht="9.75" customHeight="1" x14ac:dyDescent="0.2">
      <c r="A44" s="108" t="s">
        <v>4</v>
      </c>
      <c r="B44" s="142"/>
      <c r="C44" s="142"/>
      <c r="D44" s="143"/>
      <c r="E44" s="142"/>
      <c r="F44" s="142"/>
      <c r="G44" s="143"/>
      <c r="H44" s="142"/>
      <c r="I44" s="142"/>
      <c r="J44" s="143"/>
      <c r="K44" s="142"/>
      <c r="L44" s="142"/>
      <c r="M44" s="143"/>
      <c r="N44" s="142"/>
      <c r="O44" s="142"/>
      <c r="P44" s="143"/>
      <c r="Q44" s="142"/>
      <c r="R44" s="142"/>
      <c r="S44" s="143"/>
      <c r="T44" s="111" t="str">
        <f t="shared" si="6"/>
        <v/>
      </c>
      <c r="U44" s="111" t="str">
        <f t="shared" si="6"/>
        <v/>
      </c>
      <c r="V44" s="111" t="str">
        <f t="shared" si="7"/>
        <v/>
      </c>
      <c r="W44" s="112" t="str">
        <f ca="1">IF($Y$16&lt;&gt;"",IF(OFFSET($T$20,($Y$16-1)*8,0,,)&lt;&gt;"",IF(T44&lt;&gt;"",T44/OFFSET($T$20,($Y$16-1)*8,0,,),""),""),"")</f>
        <v/>
      </c>
      <c r="X44" s="112" t="str">
        <f ca="1">IF($Y$16&lt;&gt;"",IF(OFFSET($U$20,($Y$16-1)*8,0,,)&lt;&gt;"",IF(U44&lt;&gt;"",U44/OFFSET($U$20,($Y$16-1)*8,0,,),""),""),"")</f>
        <v/>
      </c>
      <c r="Y44" s="112" t="str">
        <f ca="1">IF($Y$16&lt;&gt;"",IF(OFFSET($V$20,($Y$16-1)*8,0,,)&lt;&gt;"",IF(V44&lt;&gt;"",V44/OFFSET($V$20,($Y$16-1)*8,0,,),""),""),"")</f>
        <v/>
      </c>
      <c r="Z44" s="117"/>
      <c r="AA44" s="137"/>
      <c r="AB44" s="94"/>
      <c r="AC44" s="94"/>
      <c r="AD44" s="178"/>
      <c r="AE44" s="186"/>
      <c r="AF44" s="137"/>
      <c r="AG44" s="137"/>
      <c r="AH44" s="137"/>
      <c r="AI44" s="94"/>
      <c r="AJ44" s="95">
        <v>37</v>
      </c>
    </row>
    <row r="45" spans="1:36" ht="9.75" customHeight="1" x14ac:dyDescent="0.2">
      <c r="A45" s="108" t="s">
        <v>0</v>
      </c>
      <c r="B45" s="142"/>
      <c r="C45" s="142"/>
      <c r="D45" s="143"/>
      <c r="E45" s="142"/>
      <c r="F45" s="142"/>
      <c r="G45" s="143"/>
      <c r="H45" s="142"/>
      <c r="I45" s="142"/>
      <c r="J45" s="143"/>
      <c r="K45" s="142"/>
      <c r="L45" s="142"/>
      <c r="M45" s="143"/>
      <c r="N45" s="142"/>
      <c r="O45" s="142"/>
      <c r="P45" s="143"/>
      <c r="Q45" s="142"/>
      <c r="R45" s="142"/>
      <c r="S45" s="143"/>
      <c r="T45" s="111" t="str">
        <f t="shared" si="6"/>
        <v/>
      </c>
      <c r="U45" s="111" t="str">
        <f t="shared" si="6"/>
        <v/>
      </c>
      <c r="V45" s="111" t="str">
        <f t="shared" si="7"/>
        <v/>
      </c>
      <c r="W45" s="112" t="str">
        <f ca="1">IF($Y$16&lt;&gt;"",IF(OFFSET($T$21,($Y$16-1)*8,0,,)&lt;&gt;"",IF(T45&lt;&gt;"",T45/OFFSET($T$21,($Y$16-1)*8,0,,),""),""),"")</f>
        <v/>
      </c>
      <c r="X45" s="112" t="str">
        <f ca="1">IF($Y$16&lt;&gt;"",IF(OFFSET($U$21,($Y$16-1)*8,0,,)&lt;&gt;"",IF(U45&lt;&gt;"",U45/OFFSET($U$21,($Y$16-1)*8,0,,),""),""),"")</f>
        <v/>
      </c>
      <c r="Y45" s="112" t="str">
        <f ca="1">IF($Y$16&lt;&gt;"",IF(OFFSET($V$21,($Y$16-1)*8,0,,)&lt;&gt;"",IF(V45&lt;&gt;"",V45/OFFSET($V$21,($Y$16-1)*8,0,,),""),""),"")</f>
        <v/>
      </c>
      <c r="Z45" s="117"/>
      <c r="AA45" s="137"/>
      <c r="AB45" s="94"/>
      <c r="AC45" s="94"/>
      <c r="AD45" s="178"/>
      <c r="AE45" s="186"/>
      <c r="AF45" s="137"/>
      <c r="AG45" s="137"/>
      <c r="AH45" s="137"/>
      <c r="AI45" s="94"/>
      <c r="AJ45" s="95">
        <v>38</v>
      </c>
    </row>
    <row r="46" spans="1:36" ht="9.75" customHeight="1" x14ac:dyDescent="0.2">
      <c r="A46" s="108" t="s">
        <v>3</v>
      </c>
      <c r="B46" s="146"/>
      <c r="C46" s="146"/>
      <c r="D46" s="147"/>
      <c r="E46" s="146"/>
      <c r="F46" s="146"/>
      <c r="G46" s="147"/>
      <c r="H46" s="146"/>
      <c r="I46" s="146"/>
      <c r="J46" s="147"/>
      <c r="K46" s="146"/>
      <c r="L46" s="146"/>
      <c r="M46" s="147"/>
      <c r="N46" s="146"/>
      <c r="O46" s="146"/>
      <c r="P46" s="147"/>
      <c r="Q46" s="146"/>
      <c r="R46" s="146"/>
      <c r="S46" s="147"/>
      <c r="T46" s="113" t="str">
        <f>IF($V$16&lt;&gt;"",IF($V$16="x",IF(COUNT(B46,E46,H46,K46,N46,Q46)&lt;&gt;0,SUM(B46,E46,H46,K46,N46,Q46)/COUNT(B46,E46,H46,K46,N46,Q46),""),IF(COUNT(K22,K30,K38,K46,K54)&lt;&gt;0,SUM(K22,K30,K38,K46,K54)/COUNT(K22,K30,K38,K46,K54),"")),"")</f>
        <v/>
      </c>
      <c r="U46" s="113" t="str">
        <f>IF($V$16&lt;&gt;"",IF($V$16="x",IF(COUNT(C46,F46,I46,L46,O46,R46)&lt;&gt;0,SUM(C46,F46,I46,L46,O46,R46)/COUNT(C46,F46,I46,L46,O46,R46),""),IF(COUNT(L22,L30,L38,L46,L54)&lt;&gt;0,SUM(L22,L30,L38,L46,L54)/COUNT(L22,L30,L38,L46,L54),"")),"")</f>
        <v/>
      </c>
      <c r="V46" s="113" t="str">
        <f t="shared" si="7"/>
        <v/>
      </c>
      <c r="W46" s="114" t="str">
        <f ca="1">IF($Y$16&lt;&gt;"",IF(OFFSET($T$22,($Y$16-1)*8,0,,)&lt;&gt;"",IF(T46&lt;&gt;"",T46-OFFSET($T$22,($Y$16-1)*8,0,,),""),""),"")</f>
        <v/>
      </c>
      <c r="X46" s="114" t="str">
        <f ca="1">IF($Y$16&lt;&gt;"",IF(OFFSET($U$22,($Y$16-1)*8,0,,)&lt;&gt;"",IF(U46&lt;&gt;"",U46-OFFSET($U$22,($Y$16-1)*8,0,,),""),""),"")</f>
        <v/>
      </c>
      <c r="Y46" s="114" t="str">
        <f ca="1">IF($Y$16&lt;&gt;"",IF(OFFSET($V$22,($Y$16-1)*8,0,,)&lt;&gt;"",IF(V46&lt;&gt;"",V46-OFFSET($V$22,($Y$16-1)*8,0,,),""),""),"")</f>
        <v/>
      </c>
      <c r="Z46" s="117"/>
      <c r="AA46" s="137"/>
      <c r="AB46" s="94"/>
      <c r="AC46" s="94"/>
      <c r="AD46" s="178"/>
      <c r="AE46" s="186"/>
      <c r="AF46" s="137"/>
      <c r="AG46" s="137"/>
      <c r="AH46" s="137"/>
      <c r="AI46" s="94"/>
      <c r="AJ46" s="95">
        <v>39</v>
      </c>
    </row>
    <row r="47" spans="1:36" ht="9.75" customHeight="1" x14ac:dyDescent="0.2">
      <c r="A47" s="108" t="s">
        <v>1</v>
      </c>
      <c r="B47" s="146"/>
      <c r="C47" s="146"/>
      <c r="D47" s="147"/>
      <c r="E47" s="146"/>
      <c r="F47" s="146"/>
      <c r="G47" s="147"/>
      <c r="H47" s="146"/>
      <c r="I47" s="146"/>
      <c r="J47" s="147"/>
      <c r="K47" s="146"/>
      <c r="L47" s="146"/>
      <c r="M47" s="147"/>
      <c r="N47" s="146"/>
      <c r="O47" s="146"/>
      <c r="P47" s="147"/>
      <c r="Q47" s="146"/>
      <c r="R47" s="146"/>
      <c r="S47" s="147"/>
      <c r="T47" s="113" t="str">
        <f>IF($V$16&lt;&gt;"",IF($V$16="x",IF(COUNT(B47,E47,H47,K47,N47,Q47)&lt;&gt;0,SUM(B47,E47,H47,K47,N47,Q47)/COUNT(B47,E47,H47,K47,N47,Q47),""),IF(COUNT(K23,K31,K39,K47,K55)&lt;&gt;0,SUM(K23,K31,K39,K47,K55)/COUNT(K23,K31,K39,K47,K55),"")),"")</f>
        <v/>
      </c>
      <c r="U47" s="113" t="str">
        <f>IF($V$16&lt;&gt;"",IF($V$16="x",IF(COUNT(C47,F47,I47,L47,O47,R47)&lt;&gt;0,SUM(C47,F47,I47,L47,O47,R47)/COUNT(C47,F47,I47,L47,O47,R47),""),IF(COUNT(L23,L31,L39,L47,L55)&lt;&gt;0,SUM(L23,L31,L39,L47,L55)/COUNT(L23,L31,L39,L47,L55),"")),"")</f>
        <v/>
      </c>
      <c r="V47" s="113" t="str">
        <f t="shared" si="7"/>
        <v/>
      </c>
      <c r="W47" s="114" t="str">
        <f ca="1">IF($Y$16&lt;&gt;"",IF(OFFSET($T$23,($Y$16-1)*8,0,,)&lt;&gt;"",IF(T47&lt;&gt;"",T47-OFFSET($T$23,($Y$16-1)*8,0,,),""),""),"")</f>
        <v/>
      </c>
      <c r="X47" s="114" t="str">
        <f ca="1">IF($Y$16&lt;&gt;"",IF(OFFSET($U$23,($Y$16-1)*8,0,,)&lt;&gt;"",IF(U47&lt;&gt;"",U47-OFFSET($U$23,($Y$16-1)*8,0,,),""),""),"")</f>
        <v/>
      </c>
      <c r="Y47" s="114" t="str">
        <f ca="1">IF($Y$16&lt;&gt;"",IF(OFFSET($V$23,($Y$16-1)*8,0,,)&lt;&gt;"",IF(V47&lt;&gt;"",V47-OFFSET($V$23,($Y$16-1)*8,0,,),""),""),"")</f>
        <v/>
      </c>
      <c r="Z47" s="117"/>
      <c r="AA47" s="137"/>
      <c r="AB47" s="94"/>
      <c r="AC47" s="94"/>
      <c r="AD47" s="178"/>
      <c r="AE47" s="186"/>
      <c r="AF47" s="137"/>
      <c r="AG47" s="137"/>
      <c r="AH47" s="137"/>
      <c r="AI47" s="94"/>
      <c r="AJ47" s="95">
        <v>40</v>
      </c>
    </row>
    <row r="48" spans="1:36" ht="9.75" customHeight="1" x14ac:dyDescent="0.2">
      <c r="A48" s="108" t="s">
        <v>9</v>
      </c>
      <c r="B48" s="149"/>
      <c r="C48" s="182"/>
      <c r="D48" s="183"/>
      <c r="E48" s="149"/>
      <c r="F48" s="182"/>
      <c r="G48" s="183"/>
      <c r="H48" s="149"/>
      <c r="I48" s="182"/>
      <c r="J48" s="183"/>
      <c r="K48" s="149"/>
      <c r="L48" s="182"/>
      <c r="M48" s="183"/>
      <c r="N48" s="149"/>
      <c r="O48" s="182"/>
      <c r="P48" s="183"/>
      <c r="Q48" s="149"/>
      <c r="R48" s="182"/>
      <c r="S48" s="183"/>
      <c r="T48" s="115" t="str">
        <f>IF(T47&lt;&gt; "",T43/T47,"")</f>
        <v/>
      </c>
      <c r="U48" s="115" t="str">
        <f>IF(U47&lt;&gt; "",U43/U47,"")</f>
        <v/>
      </c>
      <c r="V48" s="115" t="str">
        <f>IF(V47&lt;&gt; "",V43/V47,"")</f>
        <v/>
      </c>
      <c r="W48" s="112" t="str">
        <f ca="1">IF($Y$16&lt;&gt;"",IF(OFFSET($T$24,($Y$16-1)*8,0,,)&lt;&gt;"",IF(T48&lt;&gt;"",T48/OFFSET($T$24,($Y$16-1)*8,0,,),""),""),"")</f>
        <v/>
      </c>
      <c r="X48" s="112" t="str">
        <f ca="1">IF($Y$16&lt;&gt;"",IF(OFFSET($U$24,($Y$16-1)*8,0,,)&lt;&gt;"",IF(U48&lt;&gt;"",U48/OFFSET($U$24,($Y$16-1)*8,0,,),""),""),"")</f>
        <v/>
      </c>
      <c r="Y48" s="112" t="str">
        <f ca="1">IF($Y$16&lt;&gt;"",IF(OFFSET($V$24,($Y$16-1)*8,0,,)&lt;&gt;"",IF(V48&lt;&gt;"",V48/OFFSET($V$24,($Y$16-1)*8,0,,),""),""),"")</f>
        <v/>
      </c>
      <c r="Z48" s="117"/>
      <c r="AA48" s="137"/>
      <c r="AB48" s="94"/>
      <c r="AC48" s="94"/>
      <c r="AD48" s="178"/>
      <c r="AE48" s="186"/>
      <c r="AF48" s="137"/>
      <c r="AG48" s="137"/>
      <c r="AH48" s="137"/>
      <c r="AI48" s="94"/>
      <c r="AJ48" s="95">
        <v>41</v>
      </c>
    </row>
    <row r="49" spans="1:36" ht="9.75" customHeight="1" x14ac:dyDescent="0.2">
      <c r="A49" s="108" t="s">
        <v>15</v>
      </c>
      <c r="B49" s="116" t="s">
        <v>40</v>
      </c>
      <c r="C49" s="180" t="str">
        <f>IF($V$5="",IF($V$10="","",$V$10),IF($V$10="",$V$5,$V$5 &amp; "/" &amp; $V$10))</f>
        <v>Ref.</v>
      </c>
      <c r="D49" s="181"/>
      <c r="E49" s="116" t="s">
        <v>41</v>
      </c>
      <c r="F49" s="180" t="str">
        <f>IF($V$5="",IF($V$11="","",$V$11),IF($V$11="",$V$5,$V$5 &amp; "/" &amp; $V$11))</f>
        <v>Ref.</v>
      </c>
      <c r="G49" s="181"/>
      <c r="H49" s="116" t="s">
        <v>42</v>
      </c>
      <c r="I49" s="180" t="str">
        <f>IF($V$5="",IF($V$12="","",$V$12),IF($V$12="",$V$5,$V$5 &amp; "/" &amp; $V$12))</f>
        <v>Ref.</v>
      </c>
      <c r="J49" s="181"/>
      <c r="K49" s="116" t="s">
        <v>43</v>
      </c>
      <c r="L49" s="180" t="str">
        <f>IF($V$5="",IF($V$13="","",$V$13),IF($V$13="",$V$5,$V$5 &amp; "/" &amp; $V$13))</f>
        <v>Ref.</v>
      </c>
      <c r="M49" s="181"/>
      <c r="N49" s="116" t="s">
        <v>44</v>
      </c>
      <c r="O49" s="180" t="str">
        <f>IF($V$5="",IF($V$14="","",$V$14),IF($V$14="",$V$5,$V$5 &amp; "/" &amp; $V$14))</f>
        <v>Ref.</v>
      </c>
      <c r="P49" s="181"/>
      <c r="Q49" s="116" t="s">
        <v>45</v>
      </c>
      <c r="R49" s="180" t="str">
        <f>IF($V$5="",IF($V$15="","",$V$15),IF($V$15="",$V$5,$V$5 &amp; "/" &amp; $V$15))</f>
        <v>Ref.</v>
      </c>
      <c r="S49" s="181"/>
      <c r="T49" s="110" t="str">
        <f>UPPER($V$16)&amp;"5"</f>
        <v>X5</v>
      </c>
      <c r="U49" s="172" t="str">
        <f>IF($V$16="x",IF($V$5&lt;&gt;"",$V$5,""),IF($V$16="y",IF($V$14&lt;&gt;"",$V$14,""),""))</f>
        <v>Ref.</v>
      </c>
      <c r="V49" s="173"/>
      <c r="W49" s="173"/>
      <c r="X49" s="173"/>
      <c r="Y49" s="174"/>
      <c r="Z49" s="119"/>
      <c r="AA49" s="137"/>
      <c r="AB49" s="94"/>
      <c r="AC49" s="94"/>
      <c r="AD49" s="178"/>
      <c r="AE49" s="186"/>
      <c r="AF49" s="137"/>
      <c r="AG49" s="137"/>
      <c r="AH49" s="137"/>
      <c r="AI49" s="94"/>
      <c r="AJ49" s="95">
        <v>42</v>
      </c>
    </row>
    <row r="50" spans="1:36" ht="9.75" customHeight="1" x14ac:dyDescent="0.2">
      <c r="A50" s="108" t="s">
        <v>664</v>
      </c>
      <c r="B50" s="142"/>
      <c r="C50" s="142"/>
      <c r="D50" s="141"/>
      <c r="E50" s="142"/>
      <c r="F50" s="142"/>
      <c r="G50" s="141"/>
      <c r="H50" s="142"/>
      <c r="I50" s="142"/>
      <c r="J50" s="141"/>
      <c r="K50" s="142"/>
      <c r="L50" s="142"/>
      <c r="M50" s="141"/>
      <c r="N50" s="142"/>
      <c r="O50" s="142"/>
      <c r="P50" s="141"/>
      <c r="Q50" s="142"/>
      <c r="R50" s="142"/>
      <c r="S50" s="141"/>
      <c r="T50" s="111" t="str">
        <f t="shared" ref="T50:U53" si="8">IF($V$16&lt;&gt;"",IF($V$16="x",IF(COUNT(B50,E50,H50,K50,N50,Q50)&lt;&gt;0,SUM(B50,E50,H50,K50,N50,Q50)/COUNT(B50,E50,H50,K50,N50,Q50),""),IF(COUNT(N18,N26,N34,N42,N50)&lt;&gt;0,SUM(N18,N26,N34,N42,N50)/COUNT(N18,N26,N34,N42,N50),"")),"")</f>
        <v/>
      </c>
      <c r="U50" s="111" t="str">
        <f t="shared" si="8"/>
        <v/>
      </c>
      <c r="V50" s="111" t="str">
        <f>IF($V$16&lt;&gt;"",IF($V$16="x",IF(COUNT(D50,G50,J50,M50,P50,S50)&lt;&gt;0,SUM(D50,G50,J50,M50,P50,S50)/COUNT(D50,G50,J50,M50,P50,S50),""),IF(COUNT(P18,P26,P34,P42,P50)&lt;&gt;0,SUM(P18,P26,P34,P42,P50)/COUNT(P18,P26,P34,P42,P50),"")),"")</f>
        <v/>
      </c>
      <c r="W50" s="112" t="str">
        <f ca="1">IF($Y$16&lt;&gt;"",IF(OFFSET($T$18,($Y$16-1)*8,0,,)&lt;&gt;"",IF(T50&lt;&gt;"",T50/OFFSET($T$18,($Y$16-1)*8,0,,),""),""),"")</f>
        <v/>
      </c>
      <c r="X50" s="112" t="str">
        <f ca="1">IF($Y$16&lt;&gt;"",IF(OFFSET($U$18,($Y$16-1)*8,0,,)&lt;&gt;"",IF(U50&lt;&gt;"",U50/OFFSET($U$18,($Y$16-1)*8,0,,),""),""),"")</f>
        <v/>
      </c>
      <c r="Y50" s="112" t="str">
        <f ca="1">IF($Y$16&lt;&gt;"",IF(OFFSET($V$18,($Y$16-1)*8,0,,)&lt;&gt;"",IF(V50&lt;&gt;"",V50/OFFSET($V$18,($Y$16-1)*8,0,,),""),""),"")</f>
        <v/>
      </c>
      <c r="Z50" s="119"/>
      <c r="AA50" s="137"/>
      <c r="AB50" s="94"/>
      <c r="AC50" s="94"/>
      <c r="AD50" s="178"/>
      <c r="AE50" s="186"/>
      <c r="AF50" s="137"/>
      <c r="AG50" s="137"/>
      <c r="AH50" s="137"/>
      <c r="AI50" s="94"/>
      <c r="AJ50" s="95">
        <v>43</v>
      </c>
    </row>
    <row r="51" spans="1:36" ht="9.75" customHeight="1" x14ac:dyDescent="0.2">
      <c r="A51" s="108" t="s">
        <v>2</v>
      </c>
      <c r="B51" s="142"/>
      <c r="C51" s="142"/>
      <c r="D51" s="143"/>
      <c r="E51" s="142"/>
      <c r="F51" s="142"/>
      <c r="G51" s="143"/>
      <c r="H51" s="142"/>
      <c r="I51" s="142"/>
      <c r="J51" s="143"/>
      <c r="K51" s="142"/>
      <c r="L51" s="142"/>
      <c r="M51" s="143"/>
      <c r="N51" s="142"/>
      <c r="O51" s="142"/>
      <c r="P51" s="143"/>
      <c r="Q51" s="142"/>
      <c r="R51" s="142"/>
      <c r="S51" s="143"/>
      <c r="T51" s="111" t="str">
        <f t="shared" si="8"/>
        <v/>
      </c>
      <c r="U51" s="111" t="str">
        <f t="shared" si="8"/>
        <v/>
      </c>
      <c r="V51" s="111" t="str">
        <f>IF($V$16&lt;&gt;"",IF($V$16="x",IF(COUNT(D51,G51,J51,M51,P51,S51)&lt;&gt;0,SUM(D51,G51,J51,M51,P51,S51)/COUNT(D51,G51,J51,M51,P51,S51),""),IF(COUNT(P19,P27,P35,P43,P51)&lt;&gt;0,SUM(P19,P27,P35,P43,P51)/COUNT(P19,P27,P35,P43,P51),"")),"")</f>
        <v/>
      </c>
      <c r="W51" s="112" t="str">
        <f ca="1">IF($Y$16&lt;&gt;"",IF(OFFSET($T$19,($Y$16-1)*8,0,,)&lt;&gt;"",IF(T51&lt;&gt;"",T51/OFFSET($T$19,($Y$16-1)*8,0,,),""),""),"")</f>
        <v/>
      </c>
      <c r="X51" s="112" t="str">
        <f ca="1">IF($Y$16&lt;&gt;"",IF(OFFSET($U$19,($Y$16-1)*8,0,,)&lt;&gt;"",IF(U51&lt;&gt;"",U51/OFFSET($U$19,($Y$16-1)*8,0,,),""),""),"")</f>
        <v/>
      </c>
      <c r="Y51" s="112" t="str">
        <f ca="1">IF($Y$16&lt;&gt;"",IF(OFFSET($V$19,($Y$16-1)*8,0,,)&lt;&gt;"",IF(V51&lt;&gt;"",V51/OFFSET($V$19,($Y$16-1)*8,0,,),""),""),"")</f>
        <v/>
      </c>
      <c r="Z51" s="119"/>
      <c r="AA51" s="137"/>
      <c r="AB51" s="94"/>
      <c r="AC51" s="94"/>
      <c r="AD51" s="178"/>
      <c r="AE51" s="186"/>
      <c r="AF51" s="137"/>
      <c r="AG51" s="137"/>
      <c r="AH51" s="137"/>
      <c r="AI51" s="94"/>
      <c r="AJ51" s="95">
        <v>44</v>
      </c>
    </row>
    <row r="52" spans="1:36" ht="9.75" customHeight="1" x14ac:dyDescent="0.2">
      <c r="A52" s="108" t="s">
        <v>4</v>
      </c>
      <c r="B52" s="142"/>
      <c r="C52" s="142"/>
      <c r="D52" s="143"/>
      <c r="E52" s="142"/>
      <c r="F52" s="142"/>
      <c r="G52" s="143"/>
      <c r="H52" s="142"/>
      <c r="I52" s="142"/>
      <c r="J52" s="143"/>
      <c r="K52" s="142"/>
      <c r="L52" s="142"/>
      <c r="M52" s="143"/>
      <c r="N52" s="142"/>
      <c r="O52" s="142"/>
      <c r="P52" s="143"/>
      <c r="Q52" s="142"/>
      <c r="R52" s="142"/>
      <c r="S52" s="143"/>
      <c r="T52" s="111" t="str">
        <f t="shared" si="8"/>
        <v/>
      </c>
      <c r="U52" s="111" t="str">
        <f t="shared" si="8"/>
        <v/>
      </c>
      <c r="V52" s="111" t="str">
        <f>IF($V$16&lt;&gt;"",IF($V$16="x",IF(COUNT(D52,G52,J52,M52,P52,S52)&lt;&gt;0,SUM(D52,G52,J52,M52,P52,S52)/COUNT(D52,G52,J52,M52,P52,S52),""),IF(COUNT(P20,P28,P36,P44,P52)&lt;&gt;0,SUM(P20,P28,P36,P44,P52)/COUNT(P20,P28,P36,P44,P52),"")),"")</f>
        <v/>
      </c>
      <c r="W52" s="112" t="str">
        <f ca="1">IF($Y$16&lt;&gt;"",IF(OFFSET($T$20,($Y$16-1)*8,0,,)&lt;&gt;"",IF(T52&lt;&gt;"",T52/OFFSET($T$20,($Y$16-1)*8,0,,),""),""),"")</f>
        <v/>
      </c>
      <c r="X52" s="112" t="str">
        <f ca="1">IF($Y$16&lt;&gt;"",IF(OFFSET($U$20,($Y$16-1)*8,0,,)&lt;&gt;"",IF(U52&lt;&gt;"",U52/OFFSET($U$20,($Y$16-1)*8,0,,),""),""),"")</f>
        <v/>
      </c>
      <c r="Y52" s="112" t="str">
        <f ca="1">IF($Y$16&lt;&gt;"",IF(OFFSET($V$20,($Y$16-1)*8,0,,)&lt;&gt;"",IF(V52&lt;&gt;"",V52/OFFSET($V$20,($Y$16-1)*8,0,,),""),""),"")</f>
        <v/>
      </c>
      <c r="Z52" s="119"/>
      <c r="AA52" s="137"/>
      <c r="AB52" s="94"/>
      <c r="AC52" s="94"/>
      <c r="AD52" s="178"/>
      <c r="AE52" s="186"/>
      <c r="AF52" s="137"/>
      <c r="AG52" s="137"/>
      <c r="AH52" s="137"/>
      <c r="AI52" s="94"/>
      <c r="AJ52" s="95">
        <v>45</v>
      </c>
    </row>
    <row r="53" spans="1:36" ht="9.75" customHeight="1" x14ac:dyDescent="0.2">
      <c r="A53" s="108" t="s">
        <v>0</v>
      </c>
      <c r="B53" s="142"/>
      <c r="C53" s="142"/>
      <c r="D53" s="143"/>
      <c r="E53" s="142"/>
      <c r="F53" s="142"/>
      <c r="G53" s="143"/>
      <c r="H53" s="142"/>
      <c r="I53" s="142"/>
      <c r="J53" s="143"/>
      <c r="K53" s="142"/>
      <c r="L53" s="142"/>
      <c r="M53" s="143"/>
      <c r="N53" s="142"/>
      <c r="O53" s="142"/>
      <c r="P53" s="143"/>
      <c r="Q53" s="142"/>
      <c r="R53" s="142"/>
      <c r="S53" s="143"/>
      <c r="T53" s="111" t="str">
        <f t="shared" si="8"/>
        <v/>
      </c>
      <c r="U53" s="111" t="str">
        <f t="shared" si="8"/>
        <v/>
      </c>
      <c r="V53" s="111" t="str">
        <f>IF($V$16&lt;&gt;"",IF($V$16="x",IF(COUNT(D53,G53,J53,M53,P53,S53)&lt;&gt;0,SUM(D53,G53,J53,M53,P53,S53)/COUNT(D53,G53,J53,M53,P53,S53),""),IF(COUNT(P21,P29,P37,P45,P53)&lt;&gt;0,SUM(P21,P29,P37,P45,P53)/COUNT(P21,P29,P37,P45,P53),"")),"")</f>
        <v/>
      </c>
      <c r="W53" s="112" t="str">
        <f ca="1">IF($Y$16&lt;&gt;"",IF(OFFSET($T$21,($Y$16-1)*8,0,,)&lt;&gt;"",IF(T53&lt;&gt;"",T53/OFFSET($T$21,($Y$16-1)*8,0,,),""),""),"")</f>
        <v/>
      </c>
      <c r="X53" s="112" t="str">
        <f ca="1">IF($Y$16&lt;&gt;"",IF(OFFSET($U$21,($Y$16-1)*8,0,,)&lt;&gt;"",IF(U53&lt;&gt;"",U53/OFFSET($U$21,($Y$16-1)*8,0,,),""),""),"")</f>
        <v/>
      </c>
      <c r="Y53" s="112" t="str">
        <f ca="1">IF($Y$16&lt;&gt;"",IF(OFFSET($V$21,($Y$16-1)*8,0,,)&lt;&gt;"",IF(V53&lt;&gt;"",V53/OFFSET($V$21,($Y$16-1)*8,0,,),""),""),"")</f>
        <v/>
      </c>
      <c r="Z53" s="119"/>
      <c r="AA53" s="137"/>
      <c r="AB53" s="94"/>
      <c r="AC53" s="94"/>
      <c r="AD53" s="178"/>
      <c r="AE53" s="186"/>
      <c r="AF53" s="137"/>
      <c r="AG53" s="137"/>
      <c r="AH53" s="137"/>
      <c r="AI53" s="94"/>
      <c r="AJ53" s="95">
        <v>46</v>
      </c>
    </row>
    <row r="54" spans="1:36" ht="9.75" customHeight="1" x14ac:dyDescent="0.2">
      <c r="A54" s="108" t="s">
        <v>3</v>
      </c>
      <c r="B54" s="146"/>
      <c r="C54" s="146"/>
      <c r="D54" s="147"/>
      <c r="E54" s="146"/>
      <c r="F54" s="146"/>
      <c r="G54" s="147"/>
      <c r="H54" s="146"/>
      <c r="I54" s="146"/>
      <c r="J54" s="147"/>
      <c r="K54" s="146"/>
      <c r="L54" s="146"/>
      <c r="M54" s="147"/>
      <c r="N54" s="146"/>
      <c r="O54" s="146"/>
      <c r="P54" s="147"/>
      <c r="Q54" s="146"/>
      <c r="R54" s="146"/>
      <c r="S54" s="147"/>
      <c r="T54" s="113" t="str">
        <f t="shared" ref="T54:V55" si="9">IF($V$16&lt;&gt;"",IF($V$16="x",IF(COUNT(B54,E54,H54,K54,N54,Q54)&lt;&gt;0,SUM(B54,E54,H54,K54,N54,Q54)/COUNT(B54,E54,H54,K54,N54,Q54),""),IF(COUNT(N22,N30,N38,N46,N54,N62)&lt;&gt;0,SUM(N22,N30,N38,N46,N54,N62)/COUNT(N22,N30,N38,N46,N54,N62),"")),"")</f>
        <v/>
      </c>
      <c r="U54" s="113" t="str">
        <f t="shared" si="9"/>
        <v/>
      </c>
      <c r="V54" s="113" t="str">
        <f t="shared" si="9"/>
        <v/>
      </c>
      <c r="W54" s="114" t="str">
        <f ca="1">IF($Y$16&lt;&gt;"",IF(OFFSET($T$22,($Y$16-1)*8,0,,)&lt;&gt;"",IF(T54&lt;&gt;"",T54-OFFSET($T$22,($Y$16-1)*8,0,,),""),""),"")</f>
        <v/>
      </c>
      <c r="X54" s="114" t="str">
        <f ca="1">IF($Y$16&lt;&gt;"",IF(OFFSET($U$22,($Y$16-1)*8,0,,)&lt;&gt;"",IF(U54&lt;&gt;"",U54-OFFSET($U$22,($Y$16-1)*8,0,,),""),""),"")</f>
        <v/>
      </c>
      <c r="Y54" s="114" t="str">
        <f ca="1">IF($Y$16&lt;&gt;"",IF(OFFSET($V$22,($Y$16-1)*8,0,,)&lt;&gt;"",IF(V54&lt;&gt;"",V54-OFFSET($V$22,($Y$16-1)*8,0,,),""),""),"")</f>
        <v/>
      </c>
      <c r="Z54" s="119"/>
      <c r="AA54" s="137"/>
      <c r="AB54" s="94"/>
      <c r="AC54" s="94"/>
      <c r="AD54" s="178"/>
      <c r="AE54" s="186"/>
      <c r="AF54" s="137"/>
      <c r="AG54" s="137"/>
      <c r="AH54" s="137"/>
      <c r="AI54" s="94"/>
      <c r="AJ54" s="95">
        <v>47</v>
      </c>
    </row>
    <row r="55" spans="1:36" ht="9.75" customHeight="1" x14ac:dyDescent="0.2">
      <c r="A55" s="108" t="s">
        <v>1</v>
      </c>
      <c r="B55" s="146"/>
      <c r="C55" s="146"/>
      <c r="D55" s="147"/>
      <c r="E55" s="146"/>
      <c r="F55" s="146"/>
      <c r="G55" s="147"/>
      <c r="H55" s="146"/>
      <c r="I55" s="146"/>
      <c r="J55" s="147"/>
      <c r="K55" s="146"/>
      <c r="L55" s="146"/>
      <c r="M55" s="147"/>
      <c r="N55" s="146"/>
      <c r="O55" s="146"/>
      <c r="P55" s="147"/>
      <c r="Q55" s="146"/>
      <c r="R55" s="146"/>
      <c r="S55" s="147"/>
      <c r="T55" s="113" t="str">
        <f t="shared" si="9"/>
        <v/>
      </c>
      <c r="U55" s="113" t="str">
        <f t="shared" si="9"/>
        <v/>
      </c>
      <c r="V55" s="113" t="str">
        <f t="shared" si="9"/>
        <v/>
      </c>
      <c r="W55" s="114" t="str">
        <f ca="1">IF($Y$16&lt;&gt;"",IF(OFFSET($T$23,($Y$16-1)*8,0,,)&lt;&gt;"",IF(T55&lt;&gt;"",T55-OFFSET($T$23,($Y$16-1)*8,0,,),""),""),"")</f>
        <v/>
      </c>
      <c r="X55" s="114" t="str">
        <f ca="1">IF($Y$16&lt;&gt;"",IF(OFFSET($U$23,($Y$16-1)*8,0,,)&lt;&gt;"",IF(U55&lt;&gt;"",U55-OFFSET($U$23,($Y$16-1)*8,0,,),""),""),"")</f>
        <v/>
      </c>
      <c r="Y55" s="114" t="str">
        <f ca="1">IF($Y$16&lt;&gt;"",IF(OFFSET($V$23,($Y$16-1)*8,0,,)&lt;&gt;"",IF(V55&lt;&gt;"",V55-OFFSET($V$23,($Y$16-1)*8,0,,),""),""),"")</f>
        <v/>
      </c>
      <c r="Z55" s="119"/>
      <c r="AA55" s="137"/>
      <c r="AB55" s="94"/>
      <c r="AC55" s="94"/>
      <c r="AD55" s="178"/>
      <c r="AE55" s="186"/>
      <c r="AF55" s="137"/>
      <c r="AG55" s="137"/>
      <c r="AH55" s="137"/>
      <c r="AI55" s="94"/>
      <c r="AJ55" s="95">
        <v>48</v>
      </c>
    </row>
    <row r="56" spans="1:36" ht="9.75" customHeight="1" x14ac:dyDescent="0.2">
      <c r="A56" s="108" t="s">
        <v>9</v>
      </c>
      <c r="B56" s="151"/>
      <c r="C56" s="184"/>
      <c r="D56" s="185"/>
      <c r="E56" s="151"/>
      <c r="F56" s="184"/>
      <c r="G56" s="185"/>
      <c r="H56" s="151"/>
      <c r="I56" s="184"/>
      <c r="J56" s="185"/>
      <c r="K56" s="151"/>
      <c r="L56" s="184"/>
      <c r="M56" s="185"/>
      <c r="N56" s="151"/>
      <c r="O56" s="184"/>
      <c r="P56" s="185"/>
      <c r="Q56" s="149"/>
      <c r="R56" s="182"/>
      <c r="S56" s="183"/>
      <c r="T56" s="115" t="str">
        <f>IF(T55&lt;&gt; "",T51/T55,"")</f>
        <v/>
      </c>
      <c r="U56" s="115" t="str">
        <f>IF(U55&lt;&gt; "",U51/U55,"")</f>
        <v/>
      </c>
      <c r="V56" s="115" t="str">
        <f>IF(V55&lt;&gt; "",V51/V55,"")</f>
        <v/>
      </c>
      <c r="W56" s="112" t="str">
        <f ca="1">IF($Y$16&lt;&gt;"",IF(OFFSET($T$24,($Y$16-1)*8,0,,)&lt;&gt;"",IF(T56&lt;&gt;"",T56/OFFSET($T$24,($Y$16-1)*8,0,,),""),""),"")</f>
        <v/>
      </c>
      <c r="X56" s="112" t="str">
        <f ca="1">IF($Y$16&lt;&gt;"",IF(OFFSET($U$24,($Y$16-1)*8,0,,)&lt;&gt;"",IF(U56&lt;&gt;"",U56/OFFSET($U$24,($Y$16-1)*8,0,,),""),""),"")</f>
        <v/>
      </c>
      <c r="Y56" s="112" t="str">
        <f ca="1">IF($Y$16&lt;&gt;"",IF(OFFSET($V$24,($Y$16-1)*8,0,,)&lt;&gt;"",IF(V56&lt;&gt;"",V56/OFFSET($V$24,($Y$16-1)*8,0,,),""),""),"")</f>
        <v/>
      </c>
      <c r="Z56" s="119"/>
      <c r="AA56" s="137"/>
      <c r="AB56" s="94"/>
      <c r="AC56" s="94"/>
      <c r="AD56" s="178"/>
      <c r="AE56" s="186"/>
      <c r="AF56" s="137"/>
      <c r="AG56" s="137"/>
      <c r="AH56" s="137"/>
      <c r="AI56" s="94"/>
      <c r="AJ56" s="95">
        <v>49</v>
      </c>
    </row>
    <row r="57" spans="1:36" ht="9.75" customHeight="1" x14ac:dyDescent="0.2">
      <c r="A57" s="108" t="s">
        <v>16</v>
      </c>
      <c r="B57" s="116" t="s">
        <v>51</v>
      </c>
      <c r="C57" s="180" t="str">
        <f>IF($V$6="","",$V$6)</f>
        <v/>
      </c>
      <c r="D57" s="181"/>
      <c r="E57" s="116" t="s">
        <v>50</v>
      </c>
      <c r="F57" s="180" t="str">
        <f>IF($V$6="","",$V$6)</f>
        <v/>
      </c>
      <c r="G57" s="181"/>
      <c r="H57" s="116" t="s">
        <v>49</v>
      </c>
      <c r="I57" s="180" t="str">
        <f>IF($V$6="","",$V$6)</f>
        <v/>
      </c>
      <c r="J57" s="181"/>
      <c r="K57" s="116" t="s">
        <v>48</v>
      </c>
      <c r="L57" s="180" t="str">
        <f>IF($V$6="","",$V$6)</f>
        <v/>
      </c>
      <c r="M57" s="181"/>
      <c r="N57" s="116" t="s">
        <v>47</v>
      </c>
      <c r="O57" s="180" t="str">
        <f>IF($V$6="","",$V$6)</f>
        <v/>
      </c>
      <c r="P57" s="181"/>
      <c r="Q57" s="116" t="s">
        <v>46</v>
      </c>
      <c r="R57" s="180" t="str">
        <f>IF($V$6="","",$V$6)</f>
        <v/>
      </c>
      <c r="S57" s="181"/>
      <c r="T57" s="110" t="str">
        <f>UPPER($V$16)&amp;"6"</f>
        <v>X6</v>
      </c>
      <c r="U57" s="175" t="str">
        <f>IF($V$16="x",IF($V$6&lt;&gt;"",$V$6,""),IF($V$16="y","",""))</f>
        <v/>
      </c>
      <c r="V57" s="176"/>
      <c r="W57" s="176"/>
      <c r="X57" s="176"/>
      <c r="Y57" s="177"/>
      <c r="Z57" s="119"/>
      <c r="AA57" s="137"/>
      <c r="AB57" s="94"/>
      <c r="AC57" s="94"/>
      <c r="AD57" s="178"/>
      <c r="AE57" s="186"/>
      <c r="AF57" s="137"/>
      <c r="AG57" s="137"/>
      <c r="AH57" s="137"/>
      <c r="AI57" s="94"/>
      <c r="AJ57" s="95">
        <v>50</v>
      </c>
    </row>
    <row r="58" spans="1:36" ht="9.75" customHeight="1" x14ac:dyDescent="0.2">
      <c r="A58" s="108" t="s">
        <v>664</v>
      </c>
      <c r="B58" s="140"/>
      <c r="C58" s="140"/>
      <c r="D58" s="141"/>
      <c r="E58" s="142"/>
      <c r="F58" s="142"/>
      <c r="G58" s="141"/>
      <c r="H58" s="140"/>
      <c r="I58" s="140"/>
      <c r="J58" s="141"/>
      <c r="K58" s="142"/>
      <c r="L58" s="142"/>
      <c r="M58" s="141"/>
      <c r="N58" s="142"/>
      <c r="O58" s="142"/>
      <c r="P58" s="141"/>
      <c r="Q58" s="142"/>
      <c r="R58" s="142"/>
      <c r="S58" s="141"/>
      <c r="T58" s="111" t="str">
        <f t="shared" ref="T58:U63" si="10">IF($V$16&lt;&gt;"",IF($V$16="x",IF(COUNT(B58,E58,H58,K58,N58,Q58)&lt;&gt;0,SUM(B58,E58,H58,K58,N58,Q58)/COUNT(B58,E58,H58,K58,N58,Q58),""),""),"")</f>
        <v/>
      </c>
      <c r="U58" s="111" t="str">
        <f t="shared" si="10"/>
        <v/>
      </c>
      <c r="V58" s="111" t="str">
        <f t="shared" ref="V58:V63" si="11">IF($V$16&lt;&gt;"",IF($V$16="x",IF(COUNT(D58,G58,J58,M58,P58,S58)&lt;&gt;0,SUM(D58,G58,J58,M58,P58,S58)/COUNT(D58,G58,J58,M58,P58,S58),""),""),"")</f>
        <v/>
      </c>
      <c r="W58" s="112" t="str">
        <f ca="1">IF($Y$16&lt;&gt;"",IF(OFFSET($T$18,($Y$16-1)*8,0,,)&lt;&gt;"",IF(T58&lt;&gt;"",T58/OFFSET($T$18,($Y$16-1)*8,0,,),""),""),"")</f>
        <v/>
      </c>
      <c r="X58" s="112" t="str">
        <f ca="1">IF($Y$16&lt;&gt;"",IF(OFFSET($U$18,($Y$16-1)*8,0,,)&lt;&gt;"",IF(U58&lt;&gt;"",U58/OFFSET($U$18,($Y$16-1)*8,0,,),""),""),"")</f>
        <v/>
      </c>
      <c r="Y58" s="112" t="str">
        <f ca="1">IF($Y$16&lt;&gt;"",IF(OFFSET($V$18,($Y$16-1)*8,0,,)&lt;&gt;"",IF(V58&lt;&gt;"",V58/OFFSET($V$18,($Y$16-1)*8,0,,),""),""),"")</f>
        <v/>
      </c>
      <c r="Z58" s="119"/>
      <c r="AA58" s="137"/>
      <c r="AB58" s="94"/>
      <c r="AC58" s="94"/>
      <c r="AD58" s="178"/>
      <c r="AE58" s="186"/>
      <c r="AF58" s="137"/>
      <c r="AG58" s="137"/>
      <c r="AH58" s="137"/>
      <c r="AI58" s="94"/>
      <c r="AJ58" s="95">
        <v>51</v>
      </c>
    </row>
    <row r="59" spans="1:36" ht="9.75" customHeight="1" x14ac:dyDescent="0.2">
      <c r="A59" s="108" t="s">
        <v>2</v>
      </c>
      <c r="B59" s="140"/>
      <c r="C59" s="140"/>
      <c r="D59" s="143"/>
      <c r="E59" s="142"/>
      <c r="F59" s="142"/>
      <c r="G59" s="143"/>
      <c r="H59" s="140"/>
      <c r="I59" s="140"/>
      <c r="J59" s="152"/>
      <c r="K59" s="142"/>
      <c r="L59" s="142"/>
      <c r="M59" s="143"/>
      <c r="N59" s="142"/>
      <c r="O59" s="142"/>
      <c r="P59" s="143"/>
      <c r="Q59" s="142"/>
      <c r="R59" s="142"/>
      <c r="S59" s="143"/>
      <c r="T59" s="111" t="str">
        <f t="shared" si="10"/>
        <v/>
      </c>
      <c r="U59" s="111" t="str">
        <f t="shared" si="10"/>
        <v/>
      </c>
      <c r="V59" s="111" t="str">
        <f t="shared" si="11"/>
        <v/>
      </c>
      <c r="W59" s="112" t="str">
        <f ca="1">IF($Y$16&lt;&gt;"",IF(OFFSET($T$19,($Y$16-1)*8,0,,)&lt;&gt;"",IF(T59&lt;&gt;"",T59/OFFSET($T$19,($Y$16-1)*8,0,,),""),""),"")</f>
        <v/>
      </c>
      <c r="X59" s="112" t="str">
        <f ca="1">IF($Y$16&lt;&gt;"",IF(OFFSET($U$19,($Y$16-1)*8,0,,)&lt;&gt;"",IF(U59&lt;&gt;"",U59/OFFSET($U$19,($Y$16-1)*8,0,,),""),""),"")</f>
        <v/>
      </c>
      <c r="Y59" s="112" t="str">
        <f ca="1">IF($Y$16&lt;&gt;"",IF(OFFSET($V$19,($Y$16-1)*8,0,,)&lt;&gt;"",IF(V59&lt;&gt;"",V59/OFFSET($V$19,($Y$16-1)*8,0,,),""),""),"")</f>
        <v/>
      </c>
      <c r="Z59" s="119"/>
      <c r="AA59" s="137"/>
      <c r="AB59" s="94"/>
      <c r="AC59" s="94"/>
      <c r="AD59" s="178"/>
      <c r="AE59" s="186"/>
      <c r="AF59" s="137"/>
      <c r="AG59" s="137"/>
      <c r="AH59" s="137"/>
      <c r="AI59" s="94"/>
      <c r="AJ59" s="95">
        <v>52</v>
      </c>
    </row>
    <row r="60" spans="1:36" ht="9.75" customHeight="1" x14ac:dyDescent="0.2">
      <c r="A60" s="108" t="s">
        <v>4</v>
      </c>
      <c r="B60" s="140"/>
      <c r="C60" s="140"/>
      <c r="D60" s="143"/>
      <c r="E60" s="142"/>
      <c r="F60" s="142"/>
      <c r="G60" s="143"/>
      <c r="H60" s="140"/>
      <c r="I60" s="140"/>
      <c r="J60" s="152"/>
      <c r="K60" s="142"/>
      <c r="L60" s="142"/>
      <c r="M60" s="143"/>
      <c r="N60" s="142"/>
      <c r="O60" s="142"/>
      <c r="P60" s="143"/>
      <c r="Q60" s="142"/>
      <c r="R60" s="142"/>
      <c r="S60" s="143"/>
      <c r="T60" s="111" t="str">
        <f t="shared" si="10"/>
        <v/>
      </c>
      <c r="U60" s="111" t="str">
        <f t="shared" si="10"/>
        <v/>
      </c>
      <c r="V60" s="111" t="str">
        <f t="shared" si="11"/>
        <v/>
      </c>
      <c r="W60" s="112" t="str">
        <f ca="1">IF($Y$16&lt;&gt;"",IF(OFFSET($T$20,($Y$16-1)*8,0,,)&lt;&gt;"",IF(T60&lt;&gt;"",T60/OFFSET($T$20,($Y$16-1)*8,0,,),""),""),"")</f>
        <v/>
      </c>
      <c r="X60" s="112" t="str">
        <f ca="1">IF($Y$16&lt;&gt;"",IF(OFFSET($U$20,($Y$16-1)*8,0,,)&lt;&gt;"",IF(U60&lt;&gt;"",U60/OFFSET($U$20,($Y$16-1)*8,0,,),""),""),"")</f>
        <v/>
      </c>
      <c r="Y60" s="112" t="str">
        <f ca="1">IF($Y$16&lt;&gt;"",IF(OFFSET($V$20,($Y$16-1)*8,0,,)&lt;&gt;"",IF(V60&lt;&gt;"",V60/OFFSET($V$20,($Y$16-1)*8,0,,),""),""),"")</f>
        <v/>
      </c>
      <c r="Z60" s="119"/>
      <c r="AA60" s="137"/>
      <c r="AB60" s="94"/>
      <c r="AC60" s="94"/>
      <c r="AD60" s="178"/>
      <c r="AE60" s="186"/>
      <c r="AF60" s="137"/>
      <c r="AG60" s="137"/>
      <c r="AH60" s="137"/>
      <c r="AI60" s="94"/>
      <c r="AJ60" s="95">
        <v>53</v>
      </c>
    </row>
    <row r="61" spans="1:36" ht="9.75" customHeight="1" x14ac:dyDescent="0.2">
      <c r="A61" s="108" t="s">
        <v>0</v>
      </c>
      <c r="B61" s="140"/>
      <c r="C61" s="140"/>
      <c r="D61" s="143"/>
      <c r="E61" s="142"/>
      <c r="F61" s="142"/>
      <c r="G61" s="143"/>
      <c r="H61" s="140"/>
      <c r="I61" s="140"/>
      <c r="J61" s="152"/>
      <c r="K61" s="142"/>
      <c r="L61" s="142"/>
      <c r="M61" s="143"/>
      <c r="N61" s="142"/>
      <c r="O61" s="142"/>
      <c r="P61" s="143"/>
      <c r="Q61" s="142"/>
      <c r="R61" s="142"/>
      <c r="S61" s="143"/>
      <c r="T61" s="111" t="str">
        <f t="shared" si="10"/>
        <v/>
      </c>
      <c r="U61" s="111" t="str">
        <f t="shared" si="10"/>
        <v/>
      </c>
      <c r="V61" s="111" t="str">
        <f t="shared" si="11"/>
        <v/>
      </c>
      <c r="W61" s="112" t="str">
        <f ca="1">IF($Y$16&lt;&gt;"",IF(OFFSET($T$21,($Y$16-1)*8,0,,)&lt;&gt;"",IF(T61&lt;&gt;"",T61/OFFSET($T$21,($Y$16-1)*8,0,,),""),""),"")</f>
        <v/>
      </c>
      <c r="X61" s="112" t="str">
        <f ca="1">IF($Y$16&lt;&gt;"",IF(OFFSET($U$21,($Y$16-1)*8,0,,)&lt;&gt;"",IF(U61&lt;&gt;"",U61/OFFSET($U$21,($Y$16-1)*8,0,,),""),""),"")</f>
        <v/>
      </c>
      <c r="Y61" s="112" t="str">
        <f ca="1">IF($Y$16&lt;&gt;"",IF(OFFSET($V$21,($Y$16-1)*8,0,,)&lt;&gt;"",IF(V61&lt;&gt;"",V61/OFFSET($V$21,($Y$16-1)*8,0,,),""),""),"")</f>
        <v/>
      </c>
      <c r="Z61" s="119"/>
      <c r="AA61" s="137"/>
      <c r="AB61" s="94"/>
      <c r="AC61" s="94"/>
      <c r="AD61" s="178"/>
      <c r="AE61" s="186"/>
      <c r="AF61" s="137"/>
      <c r="AG61" s="137"/>
      <c r="AH61" s="137"/>
      <c r="AI61" s="94"/>
      <c r="AJ61" s="95">
        <v>54</v>
      </c>
    </row>
    <row r="62" spans="1:36" ht="9.75" customHeight="1" x14ac:dyDescent="0.2">
      <c r="A62" s="108" t="s">
        <v>3</v>
      </c>
      <c r="B62" s="144"/>
      <c r="C62" s="144"/>
      <c r="D62" s="145"/>
      <c r="E62" s="148"/>
      <c r="F62" s="148"/>
      <c r="G62" s="145"/>
      <c r="H62" s="144"/>
      <c r="I62" s="144"/>
      <c r="J62" s="145"/>
      <c r="K62" s="148"/>
      <c r="L62" s="148"/>
      <c r="M62" s="145"/>
      <c r="N62" s="148"/>
      <c r="O62" s="148"/>
      <c r="P62" s="145"/>
      <c r="Q62" s="146"/>
      <c r="R62" s="146"/>
      <c r="S62" s="147"/>
      <c r="T62" s="113" t="str">
        <f t="shared" si="10"/>
        <v/>
      </c>
      <c r="U62" s="113" t="str">
        <f t="shared" si="10"/>
        <v/>
      </c>
      <c r="V62" s="113" t="str">
        <f t="shared" si="11"/>
        <v/>
      </c>
      <c r="W62" s="114" t="str">
        <f ca="1">IF($Y$16&lt;&gt;"",IF(OFFSET($T$22,($Y$16-1)*8,0,,)&lt;&gt;"",IF(T62&lt;&gt;"",T62-OFFSET($T$22,($Y$16-1)*8,0,,),""),""),"")</f>
        <v/>
      </c>
      <c r="X62" s="114" t="str">
        <f ca="1">IF($Y$16&lt;&gt;"",IF(OFFSET($U$22,($Y$16-1)*8,0,,)&lt;&gt;"",IF(U62&lt;&gt;"",U62-OFFSET($U$22,($Y$16-1)*8,0,,),""),""),"")</f>
        <v/>
      </c>
      <c r="Y62" s="114" t="str">
        <f ca="1">IF($Y$16&lt;&gt;"",IF(OFFSET($V$22,($Y$16-1)*8,0,,)&lt;&gt;"",IF(V62&lt;&gt;"",V62-OFFSET($V$22,($Y$16-1)*8,0,,),""),""),"")</f>
        <v/>
      </c>
      <c r="Z62" s="119"/>
      <c r="AA62" s="137"/>
      <c r="AB62" s="94"/>
      <c r="AC62" s="94"/>
      <c r="AD62" s="178"/>
      <c r="AE62" s="186"/>
      <c r="AF62" s="137"/>
      <c r="AG62" s="137"/>
      <c r="AH62" s="137"/>
      <c r="AI62" s="94"/>
      <c r="AJ62" s="95">
        <v>55</v>
      </c>
    </row>
    <row r="63" spans="1:36" ht="9.75" customHeight="1" x14ac:dyDescent="0.2">
      <c r="A63" s="108" t="s">
        <v>1</v>
      </c>
      <c r="B63" s="144"/>
      <c r="C63" s="144"/>
      <c r="D63" s="145"/>
      <c r="E63" s="148"/>
      <c r="F63" s="148"/>
      <c r="G63" s="145"/>
      <c r="H63" s="144"/>
      <c r="I63" s="144"/>
      <c r="J63" s="145"/>
      <c r="K63" s="148"/>
      <c r="L63" s="148"/>
      <c r="M63" s="145"/>
      <c r="N63" s="148"/>
      <c r="O63" s="148"/>
      <c r="P63" s="145"/>
      <c r="Q63" s="146"/>
      <c r="R63" s="146"/>
      <c r="S63" s="147"/>
      <c r="T63" s="113" t="str">
        <f t="shared" si="10"/>
        <v/>
      </c>
      <c r="U63" s="113" t="str">
        <f t="shared" si="10"/>
        <v/>
      </c>
      <c r="V63" s="113" t="str">
        <f t="shared" si="11"/>
        <v/>
      </c>
      <c r="W63" s="114" t="str">
        <f ca="1">IF($Y$16&lt;&gt;"",IF(OFFSET($T$23,($Y$16-1)*8,0,,)&lt;&gt;"",IF(T63&lt;&gt;"",T63-OFFSET($T$23,($Y$16-1)*8,0,,),""),""),"")</f>
        <v/>
      </c>
      <c r="X63" s="114" t="str">
        <f ca="1">IF($Y$16&lt;&gt;"",IF(OFFSET($U$23,($Y$16-1)*8,0,,)&lt;&gt;"",IF(U63&lt;&gt;"",U63-OFFSET($U$23,($Y$16-1)*8,0,,),""),""),"")</f>
        <v/>
      </c>
      <c r="Y63" s="114" t="str">
        <f ca="1">IF($Y$16&lt;&gt;"",IF(OFFSET($V$23,($Y$16-1)*8,0,,)&lt;&gt;"",IF(V63&lt;&gt;"",V63-OFFSET($V$23,($Y$16-1)*8,0,,),""),""),"")</f>
        <v/>
      </c>
      <c r="Z63" s="119"/>
      <c r="AA63" s="137"/>
      <c r="AB63" s="94"/>
      <c r="AC63" s="94"/>
      <c r="AD63" s="178"/>
      <c r="AE63" s="186"/>
      <c r="AF63" s="137"/>
      <c r="AG63" s="137"/>
      <c r="AH63" s="137"/>
      <c r="AI63" s="94"/>
      <c r="AJ63" s="95">
        <v>56</v>
      </c>
    </row>
    <row r="64" spans="1:36" ht="9.75" customHeight="1" x14ac:dyDescent="0.2">
      <c r="A64" s="108" t="s">
        <v>9</v>
      </c>
      <c r="B64" s="149"/>
      <c r="C64" s="182"/>
      <c r="D64" s="183"/>
      <c r="E64" s="149"/>
      <c r="F64" s="182"/>
      <c r="G64" s="183"/>
      <c r="H64" s="149"/>
      <c r="I64" s="182"/>
      <c r="J64" s="183"/>
      <c r="K64" s="149"/>
      <c r="L64" s="205"/>
      <c r="M64" s="206"/>
      <c r="N64" s="149"/>
      <c r="O64" s="182"/>
      <c r="P64" s="183"/>
      <c r="Q64" s="149"/>
      <c r="R64" s="182"/>
      <c r="S64" s="183"/>
      <c r="T64" s="115" t="str">
        <f>IF(T63&lt;&gt; "",T59/T63,"")</f>
        <v/>
      </c>
      <c r="U64" s="115" t="str">
        <f>IF(U63&lt;&gt; "",U59/U63,"")</f>
        <v/>
      </c>
      <c r="V64" s="115" t="str">
        <f>IF(V63&lt;&gt; "",V59/V63,"")</f>
        <v/>
      </c>
      <c r="W64" s="112" t="str">
        <f ca="1">IF($Y$16&lt;&gt;"",IF(OFFSET($T$24,($Y$16-1)*8,0,,)&lt;&gt;"",IF(T64&lt;&gt;"",T64/OFFSET($T$24,($Y$16-1)*8,0,,),""),""),"")</f>
        <v/>
      </c>
      <c r="X64" s="112" t="str">
        <f ca="1">IF($Y$16&lt;&gt;"",IF(OFFSET($U$24,($Y$16-1)*8,0,,)&lt;&gt;"",IF(U64&lt;&gt;"",U64/OFFSET($U$24,($Y$16-1)*8,0,,),""),""),"")</f>
        <v/>
      </c>
      <c r="Y64" s="112" t="str">
        <f ca="1">IF($Y$16&lt;&gt;"",IF(OFFSET($V$24,($Y$16-1)*8,0,,)&lt;&gt;"",IF(V64&lt;&gt;"",V64/OFFSET($V$24,($Y$16-1)*8,0,,),""),""),"")</f>
        <v/>
      </c>
      <c r="Z64" s="119"/>
      <c r="AA64" s="137"/>
      <c r="AB64" s="94"/>
      <c r="AC64" s="94"/>
      <c r="AD64" s="178"/>
      <c r="AE64" s="186"/>
      <c r="AF64" s="137"/>
      <c r="AG64" s="137"/>
      <c r="AH64" s="137"/>
      <c r="AI64" s="94"/>
      <c r="AJ64" s="95">
        <v>57</v>
      </c>
    </row>
    <row r="65" spans="1:36" ht="9.75" customHeight="1" x14ac:dyDescent="0.2">
      <c r="A65" s="108" t="s">
        <v>17</v>
      </c>
      <c r="B65" s="116" t="s">
        <v>52</v>
      </c>
      <c r="C65" s="180" t="str">
        <f>IF($V$7="","",$V$7)</f>
        <v/>
      </c>
      <c r="D65" s="181"/>
      <c r="E65" s="116" t="s">
        <v>53</v>
      </c>
      <c r="F65" s="180" t="str">
        <f>IF($V$7="","",$V$7)</f>
        <v/>
      </c>
      <c r="G65" s="181"/>
      <c r="H65" s="116" t="s">
        <v>54</v>
      </c>
      <c r="I65" s="180" t="str">
        <f>IF($V$7="","",$V$7)</f>
        <v/>
      </c>
      <c r="J65" s="181"/>
      <c r="K65" s="116" t="s">
        <v>55</v>
      </c>
      <c r="L65" s="180" t="str">
        <f>IF($V$7="","",$V$7)</f>
        <v/>
      </c>
      <c r="M65" s="181"/>
      <c r="N65" s="116" t="s">
        <v>56</v>
      </c>
      <c r="O65" s="180" t="str">
        <f>IF($V$7="","",$V$7)</f>
        <v/>
      </c>
      <c r="P65" s="181"/>
      <c r="Q65" s="116" t="s">
        <v>57</v>
      </c>
      <c r="R65" s="180" t="str">
        <f>IF($V$7="","",$V$7)</f>
        <v/>
      </c>
      <c r="S65" s="181"/>
      <c r="T65" s="110" t="str">
        <f>UPPER($V$16)&amp;"7"</f>
        <v>X7</v>
      </c>
      <c r="U65" s="175" t="str">
        <f>IF($V$16="x",IF($V$7&lt;&gt;"",$V$7,""),IF($V$16="y","",""))</f>
        <v/>
      </c>
      <c r="V65" s="176"/>
      <c r="W65" s="176"/>
      <c r="X65" s="176"/>
      <c r="Y65" s="177"/>
      <c r="Z65" s="119"/>
      <c r="AA65" s="137"/>
      <c r="AB65" s="94"/>
      <c r="AC65" s="94"/>
      <c r="AD65" s="178"/>
      <c r="AE65" s="186"/>
      <c r="AF65" s="137"/>
      <c r="AG65" s="137"/>
      <c r="AH65" s="137"/>
      <c r="AI65" s="94"/>
      <c r="AJ65" s="95">
        <v>58</v>
      </c>
    </row>
    <row r="66" spans="1:36" ht="9.75" customHeight="1" x14ac:dyDescent="0.2">
      <c r="A66" s="108" t="s">
        <v>664</v>
      </c>
      <c r="B66" s="142"/>
      <c r="C66" s="142"/>
      <c r="D66" s="141"/>
      <c r="E66" s="142"/>
      <c r="F66" s="142"/>
      <c r="G66" s="141"/>
      <c r="H66" s="142"/>
      <c r="I66" s="142"/>
      <c r="J66" s="141"/>
      <c r="K66" s="142"/>
      <c r="L66" s="142"/>
      <c r="M66" s="141"/>
      <c r="N66" s="142"/>
      <c r="O66" s="142"/>
      <c r="P66" s="141"/>
      <c r="Q66" s="142"/>
      <c r="R66" s="142"/>
      <c r="S66" s="141"/>
      <c r="T66" s="111" t="str">
        <f t="shared" ref="T66:U71" si="12">IF($V$16&lt;&gt;"",IF($V$16="x",IF(COUNT(B66,E66,H66,K66,N66,Q66)&lt;&gt;0,SUM(B66,E66,H66,K66,N66,Q66)/COUNT(B66,E66,H66,K66,N66,Q66),""),""),"")</f>
        <v/>
      </c>
      <c r="U66" s="111" t="str">
        <f t="shared" si="12"/>
        <v/>
      </c>
      <c r="V66" s="111" t="str">
        <f t="shared" ref="V66:V71" si="13">IF($V$16&lt;&gt;"",IF($V$16="x",IF(COUNT(D66,G66,J66,M66,P66,S66)&lt;&gt;0,SUM(D66,G66,J66,M66,P66,S66)/COUNT(D66,G66,J66,M66,P66,S66),""),""),"")</f>
        <v/>
      </c>
      <c r="W66" s="112" t="str">
        <f ca="1">IF($Y$16&lt;&gt;"",IF(OFFSET($T$18,($Y$16-1)*8,0,,)&lt;&gt;"",IF(T66&lt;&gt;"",T66/OFFSET($T$18,($Y$16-1)*8,0,,),""),""),"")</f>
        <v/>
      </c>
      <c r="X66" s="112" t="str">
        <f ca="1">IF($Y$16&lt;&gt;"",IF(OFFSET($U$18,($Y$16-1)*8,0,,)&lt;&gt;"",IF(U66&lt;&gt;"",U66/OFFSET($U$18,($Y$16-1)*8,0,,),""),""),"")</f>
        <v/>
      </c>
      <c r="Y66" s="112" t="str">
        <f ca="1">IF($Y$16&lt;&gt;"",IF(OFFSET($V$18,($Y$16-1)*8,0,,)&lt;&gt;"",IF(V66&lt;&gt;"",V66/OFFSET($V$18,($Y$16-1)*8,0,,),""),""),"")</f>
        <v/>
      </c>
      <c r="Z66" s="119"/>
      <c r="AA66" s="137"/>
      <c r="AB66" s="94"/>
      <c r="AC66" s="94"/>
      <c r="AD66" s="178"/>
      <c r="AE66" s="186"/>
      <c r="AF66" s="137"/>
      <c r="AG66" s="137"/>
      <c r="AH66" s="137"/>
      <c r="AI66" s="94"/>
      <c r="AJ66" s="95">
        <v>59</v>
      </c>
    </row>
    <row r="67" spans="1:36" ht="9.75" customHeight="1" x14ac:dyDescent="0.2">
      <c r="A67" s="108" t="s">
        <v>2</v>
      </c>
      <c r="B67" s="142"/>
      <c r="C67" s="142"/>
      <c r="D67" s="143"/>
      <c r="E67" s="142"/>
      <c r="F67" s="142"/>
      <c r="G67" s="143"/>
      <c r="H67" s="142"/>
      <c r="I67" s="142"/>
      <c r="J67" s="143"/>
      <c r="K67" s="142"/>
      <c r="L67" s="142"/>
      <c r="M67" s="143"/>
      <c r="N67" s="142"/>
      <c r="O67" s="142"/>
      <c r="P67" s="143"/>
      <c r="Q67" s="142"/>
      <c r="R67" s="142"/>
      <c r="S67" s="143"/>
      <c r="T67" s="111" t="str">
        <f t="shared" si="12"/>
        <v/>
      </c>
      <c r="U67" s="111" t="str">
        <f t="shared" si="12"/>
        <v/>
      </c>
      <c r="V67" s="111" t="str">
        <f t="shared" si="13"/>
        <v/>
      </c>
      <c r="W67" s="112" t="str">
        <f ca="1">IF($Y$16&lt;&gt;"",IF(OFFSET($T$19,($Y$16-1)*8,0,,)&lt;&gt;"",IF(T67&lt;&gt;"",T67/OFFSET($T$19,($Y$16-1)*8,0,,),""),""),"")</f>
        <v/>
      </c>
      <c r="X67" s="112" t="str">
        <f ca="1">IF($Y$16&lt;&gt;"",IF(OFFSET($U$19,($Y$16-1)*8,0,,)&lt;&gt;"",IF(U67&lt;&gt;"",U67/OFFSET($U$19,($Y$16-1)*8,0,,),""),""),"")</f>
        <v/>
      </c>
      <c r="Y67" s="112" t="str">
        <f ca="1">IF($Y$16&lt;&gt;"",IF(OFFSET($V$19,($Y$16-1)*8,0,,)&lt;&gt;"",IF(V67&lt;&gt;"",V67/OFFSET($V$19,($Y$16-1)*8,0,,),""),""),"")</f>
        <v/>
      </c>
      <c r="Z67" s="119"/>
      <c r="AA67" s="137"/>
      <c r="AB67" s="94"/>
      <c r="AC67" s="94"/>
      <c r="AD67" s="178"/>
      <c r="AE67" s="186"/>
      <c r="AF67" s="137"/>
      <c r="AG67" s="137"/>
      <c r="AH67" s="137"/>
      <c r="AI67" s="94"/>
      <c r="AJ67" s="95">
        <v>60</v>
      </c>
    </row>
    <row r="68" spans="1:36" ht="9.75" customHeight="1" x14ac:dyDescent="0.2">
      <c r="A68" s="108" t="s">
        <v>4</v>
      </c>
      <c r="B68" s="142"/>
      <c r="C68" s="142"/>
      <c r="D68" s="143"/>
      <c r="E68" s="142"/>
      <c r="F68" s="142"/>
      <c r="G68" s="143"/>
      <c r="H68" s="142"/>
      <c r="I68" s="142"/>
      <c r="J68" s="143"/>
      <c r="K68" s="142"/>
      <c r="L68" s="142"/>
      <c r="M68" s="143"/>
      <c r="N68" s="142"/>
      <c r="O68" s="142"/>
      <c r="P68" s="143"/>
      <c r="Q68" s="142"/>
      <c r="R68" s="142"/>
      <c r="S68" s="143"/>
      <c r="T68" s="111" t="str">
        <f t="shared" si="12"/>
        <v/>
      </c>
      <c r="U68" s="111" t="str">
        <f t="shared" si="12"/>
        <v/>
      </c>
      <c r="V68" s="111" t="str">
        <f t="shared" si="13"/>
        <v/>
      </c>
      <c r="W68" s="112" t="str">
        <f ca="1">IF($Y$16&lt;&gt;"",IF(OFFSET($T$20,($Y$16-1)*8,0,,)&lt;&gt;"",IF(T68&lt;&gt;"",T68/OFFSET($T$20,($Y$16-1)*8,0,,),""),""),"")</f>
        <v/>
      </c>
      <c r="X68" s="112" t="str">
        <f ca="1">IF($Y$16&lt;&gt;"",IF(OFFSET($U$20,($Y$16-1)*8,0,,)&lt;&gt;"",IF(U68&lt;&gt;"",U68/OFFSET($U$20,($Y$16-1)*8,0,,),""),""),"")</f>
        <v/>
      </c>
      <c r="Y68" s="112" t="str">
        <f ca="1">IF($Y$16&lt;&gt;"",IF(OFFSET($V$20,($Y$16-1)*8,0,,)&lt;&gt;"",IF(V68&lt;&gt;"",V68/OFFSET($V$20,($Y$16-1)*8,0,,),""),""),"")</f>
        <v/>
      </c>
      <c r="Z68" s="119"/>
      <c r="AA68" s="137"/>
      <c r="AB68" s="94"/>
      <c r="AC68" s="94"/>
      <c r="AD68" s="178"/>
      <c r="AE68" s="186"/>
      <c r="AF68" s="137"/>
      <c r="AG68" s="137"/>
      <c r="AH68" s="137"/>
      <c r="AI68" s="94"/>
      <c r="AJ68" s="95">
        <v>61</v>
      </c>
    </row>
    <row r="69" spans="1:36" ht="9.75" customHeight="1" x14ac:dyDescent="0.2">
      <c r="A69" s="108" t="s">
        <v>0</v>
      </c>
      <c r="B69" s="142"/>
      <c r="C69" s="142"/>
      <c r="D69" s="143"/>
      <c r="E69" s="142"/>
      <c r="F69" s="142"/>
      <c r="G69" s="143"/>
      <c r="H69" s="142"/>
      <c r="I69" s="142"/>
      <c r="J69" s="143"/>
      <c r="K69" s="142"/>
      <c r="L69" s="142"/>
      <c r="M69" s="143"/>
      <c r="N69" s="142"/>
      <c r="O69" s="142"/>
      <c r="P69" s="143"/>
      <c r="Q69" s="142"/>
      <c r="R69" s="142"/>
      <c r="S69" s="143"/>
      <c r="T69" s="111" t="str">
        <f t="shared" si="12"/>
        <v/>
      </c>
      <c r="U69" s="111" t="str">
        <f t="shared" si="12"/>
        <v/>
      </c>
      <c r="V69" s="111" t="str">
        <f t="shared" si="13"/>
        <v/>
      </c>
      <c r="W69" s="112" t="str">
        <f ca="1">IF($Y$16&lt;&gt;"",IF(OFFSET($T$21,($Y$16-1)*8,0,,)&lt;&gt;"",IF(T69&lt;&gt;"",T69/OFFSET($T$21,($Y$16-1)*8,0,,),""),""),"")</f>
        <v/>
      </c>
      <c r="X69" s="112" t="str">
        <f ca="1">IF($Y$16&lt;&gt;"",IF(OFFSET($U$21,($Y$16-1)*8,0,,)&lt;&gt;"",IF(U69&lt;&gt;"",U69/OFFSET($U$21,($Y$16-1)*8,0,,),""),""),"")</f>
        <v/>
      </c>
      <c r="Y69" s="112" t="str">
        <f ca="1">IF($Y$16&lt;&gt;"",IF(OFFSET($V$21,($Y$16-1)*8,0,,)&lt;&gt;"",IF(V69&lt;&gt;"",V69/OFFSET($V$21,($Y$16-1)*8,0,,),""),""),"")</f>
        <v/>
      </c>
      <c r="Z69" s="119"/>
      <c r="AA69" s="137"/>
      <c r="AB69" s="94"/>
      <c r="AC69" s="94"/>
      <c r="AD69" s="178"/>
      <c r="AE69" s="186"/>
      <c r="AF69" s="137"/>
      <c r="AG69" s="137"/>
      <c r="AH69" s="137"/>
      <c r="AI69" s="94"/>
      <c r="AJ69" s="95">
        <v>62</v>
      </c>
    </row>
    <row r="70" spans="1:36" ht="9.75" customHeight="1" x14ac:dyDescent="0.2">
      <c r="A70" s="108" t="s">
        <v>3</v>
      </c>
      <c r="B70" s="146"/>
      <c r="C70" s="146"/>
      <c r="D70" s="147"/>
      <c r="E70" s="146"/>
      <c r="F70" s="146"/>
      <c r="G70" s="147"/>
      <c r="H70" s="146"/>
      <c r="I70" s="146"/>
      <c r="J70" s="147"/>
      <c r="K70" s="146"/>
      <c r="L70" s="146"/>
      <c r="M70" s="147"/>
      <c r="N70" s="146"/>
      <c r="O70" s="146"/>
      <c r="P70" s="147"/>
      <c r="Q70" s="146"/>
      <c r="R70" s="146"/>
      <c r="S70" s="147"/>
      <c r="T70" s="113" t="str">
        <f t="shared" si="12"/>
        <v/>
      </c>
      <c r="U70" s="113" t="str">
        <f t="shared" si="12"/>
        <v/>
      </c>
      <c r="V70" s="113" t="str">
        <f t="shared" si="13"/>
        <v/>
      </c>
      <c r="W70" s="114" t="str">
        <f ca="1">IF($Y$16&lt;&gt;"",IF(OFFSET($T$22,($Y$16-1)*8,0,,)&lt;&gt;"",IF(T70&lt;&gt;"",T70-OFFSET($T$22,($Y$16-1)*8,0,,),""),""),"")</f>
        <v/>
      </c>
      <c r="X70" s="114" t="str">
        <f ca="1">IF($Y$16&lt;&gt;"",IF(OFFSET($U$22,($Y$16-1)*8,0,,)&lt;&gt;"",IF(U70&lt;&gt;"",U70-OFFSET($U$22,($Y$16-1)*8,0,,),""),""),"")</f>
        <v/>
      </c>
      <c r="Y70" s="114" t="str">
        <f ca="1">IF($Y$16&lt;&gt;"",IF(OFFSET($V$22,($Y$16-1)*8,0,,)&lt;&gt;"",IF(V70&lt;&gt;"",V70-OFFSET($V$22,($Y$16-1)*8,0,,),""),""),"")</f>
        <v/>
      </c>
      <c r="Z70" s="119"/>
      <c r="AA70" s="137"/>
      <c r="AB70" s="94"/>
      <c r="AC70" s="94"/>
      <c r="AD70" s="178"/>
      <c r="AE70" s="186"/>
      <c r="AF70" s="137"/>
      <c r="AG70" s="137"/>
      <c r="AH70" s="137"/>
      <c r="AI70" s="94"/>
      <c r="AJ70" s="95">
        <v>63</v>
      </c>
    </row>
    <row r="71" spans="1:36" ht="9.75" customHeight="1" x14ac:dyDescent="0.2">
      <c r="A71" s="108" t="s">
        <v>1</v>
      </c>
      <c r="B71" s="146"/>
      <c r="C71" s="146"/>
      <c r="D71" s="147"/>
      <c r="E71" s="146"/>
      <c r="F71" s="146"/>
      <c r="G71" s="147"/>
      <c r="H71" s="146"/>
      <c r="I71" s="146"/>
      <c r="J71" s="147"/>
      <c r="K71" s="146"/>
      <c r="L71" s="146"/>
      <c r="M71" s="147"/>
      <c r="N71" s="146"/>
      <c r="O71" s="146"/>
      <c r="P71" s="147"/>
      <c r="Q71" s="146"/>
      <c r="R71" s="146"/>
      <c r="S71" s="147"/>
      <c r="T71" s="113" t="str">
        <f t="shared" si="12"/>
        <v/>
      </c>
      <c r="U71" s="113" t="str">
        <f t="shared" si="12"/>
        <v/>
      </c>
      <c r="V71" s="113" t="str">
        <f t="shared" si="13"/>
        <v/>
      </c>
      <c r="W71" s="114" t="str">
        <f ca="1">IF($Y$16&lt;&gt;"",IF(OFFSET($T$23,($Y$16-1)*8,0,,)&lt;&gt;"",IF(T71&lt;&gt;"",T71-OFFSET($T$23,($Y$16-1)*8,0,,),""),""),"")</f>
        <v/>
      </c>
      <c r="X71" s="114" t="str">
        <f ca="1">IF($Y$16&lt;&gt;"",IF(OFFSET($U$23,($Y$16-1)*8,0,,)&lt;&gt;"",IF(U71&lt;&gt;"",U71-OFFSET($U$23,($Y$16-1)*8,0,,),""),""),"")</f>
        <v/>
      </c>
      <c r="Y71" s="114" t="str">
        <f ca="1">IF($Y$16&lt;&gt;"",IF(OFFSET($V$23,($Y$16-1)*8,0,,)&lt;&gt;"",IF(V71&lt;&gt;"",V71-OFFSET($V$23,($Y$16-1)*8,0,,),""),""),"")</f>
        <v/>
      </c>
      <c r="Z71" s="119"/>
      <c r="AA71" s="137"/>
      <c r="AB71" s="94"/>
      <c r="AC71" s="94"/>
      <c r="AD71" s="178"/>
      <c r="AE71" s="186"/>
      <c r="AF71" s="137"/>
      <c r="AG71" s="137"/>
      <c r="AH71" s="137"/>
      <c r="AI71" s="94"/>
      <c r="AJ71" s="95">
        <v>64</v>
      </c>
    </row>
    <row r="72" spans="1:36" ht="9.75" customHeight="1" x14ac:dyDescent="0.2">
      <c r="A72" s="108" t="s">
        <v>9</v>
      </c>
      <c r="B72" s="149"/>
      <c r="C72" s="182"/>
      <c r="D72" s="183"/>
      <c r="E72" s="149"/>
      <c r="F72" s="182"/>
      <c r="G72" s="183"/>
      <c r="H72" s="149"/>
      <c r="I72" s="182"/>
      <c r="J72" s="183"/>
      <c r="K72" s="149"/>
      <c r="L72" s="182"/>
      <c r="M72" s="183"/>
      <c r="N72" s="149"/>
      <c r="O72" s="182"/>
      <c r="P72" s="183"/>
      <c r="Q72" s="149"/>
      <c r="R72" s="182"/>
      <c r="S72" s="183"/>
      <c r="T72" s="115" t="str">
        <f>IF(T71&lt;&gt; "",T67/T71,"")</f>
        <v/>
      </c>
      <c r="U72" s="115" t="str">
        <f>IF(U71&lt;&gt; "",U67/U71,"")</f>
        <v/>
      </c>
      <c r="V72" s="115" t="str">
        <f>IF(V71&lt;&gt; "",V67/V71,"")</f>
        <v/>
      </c>
      <c r="W72" s="112" t="str">
        <f ca="1">IF($Y$16&lt;&gt;"",IF(OFFSET($T$24,($Y$16-1)*8,0,,)&lt;&gt;"",IF(T72&lt;&gt;"",T72/OFFSET($T$24,($Y$16-1)*8,0,,),""),""),"")</f>
        <v/>
      </c>
      <c r="X72" s="112" t="str">
        <f ca="1">IF($Y$16&lt;&gt;"",IF(OFFSET($U$24,($Y$16-1)*8,0,,)&lt;&gt;"",IF(U72&lt;&gt;"",U72/OFFSET($U$24,($Y$16-1)*8,0,,),""),""),"")</f>
        <v/>
      </c>
      <c r="Y72" s="112" t="str">
        <f ca="1">IF($Y$16&lt;&gt;"",IF(OFFSET($V$24,($Y$16-1)*8,0,,)&lt;&gt;"",IF(V72&lt;&gt;"",V72/OFFSET($V$24,($Y$16-1)*8,0,,),""),""),"")</f>
        <v/>
      </c>
      <c r="Z72" s="119"/>
      <c r="AA72" s="137"/>
      <c r="AB72" s="94"/>
      <c r="AC72" s="94"/>
      <c r="AD72" s="178"/>
      <c r="AE72" s="186"/>
      <c r="AF72" s="137"/>
      <c r="AG72" s="137"/>
      <c r="AH72" s="137"/>
      <c r="AI72" s="94"/>
      <c r="AJ72" s="95">
        <v>65</v>
      </c>
    </row>
    <row r="73" spans="1:36" ht="9.75" customHeight="1" x14ac:dyDescent="0.2">
      <c r="A73" s="108" t="s">
        <v>18</v>
      </c>
      <c r="B73" s="116" t="s">
        <v>63</v>
      </c>
      <c r="C73" s="180" t="str">
        <f>IF($V$8="","",$V$8)</f>
        <v/>
      </c>
      <c r="D73" s="181"/>
      <c r="E73" s="116" t="s">
        <v>62</v>
      </c>
      <c r="F73" s="180" t="str">
        <f>IF($V$8="","",$V$8)</f>
        <v/>
      </c>
      <c r="G73" s="181"/>
      <c r="H73" s="116" t="s">
        <v>61</v>
      </c>
      <c r="I73" s="180" t="str">
        <f>IF($V$8="","",$V$8)</f>
        <v/>
      </c>
      <c r="J73" s="181"/>
      <c r="K73" s="116" t="s">
        <v>60</v>
      </c>
      <c r="L73" s="180" t="str">
        <f>IF($V$8="","",$V$8)</f>
        <v/>
      </c>
      <c r="M73" s="181"/>
      <c r="N73" s="116" t="s">
        <v>59</v>
      </c>
      <c r="O73" s="180" t="str">
        <f>IF($V$8="","",$V$8)</f>
        <v/>
      </c>
      <c r="P73" s="181"/>
      <c r="Q73" s="116" t="s">
        <v>58</v>
      </c>
      <c r="R73" s="180" t="str">
        <f>IF($V$8="","",$V$8)</f>
        <v/>
      </c>
      <c r="S73" s="181"/>
      <c r="T73" s="110" t="str">
        <f>UPPER($V$16)&amp;"8"</f>
        <v>X8</v>
      </c>
      <c r="U73" s="175" t="str">
        <f>IF($V$16="x",IF($V$8&lt;&gt;"",$V$8,""),IF($V$16="y","",""))</f>
        <v/>
      </c>
      <c r="V73" s="176"/>
      <c r="W73" s="176"/>
      <c r="X73" s="176"/>
      <c r="Y73" s="177"/>
      <c r="Z73" s="119"/>
      <c r="AA73" s="137"/>
      <c r="AB73" s="94"/>
      <c r="AC73" s="94"/>
      <c r="AD73" s="178"/>
      <c r="AE73" s="186"/>
      <c r="AF73" s="137"/>
      <c r="AG73" s="137"/>
      <c r="AH73" s="137"/>
      <c r="AI73" s="94"/>
      <c r="AJ73" s="95">
        <v>66</v>
      </c>
    </row>
    <row r="74" spans="1:36" ht="9.75" customHeight="1" x14ac:dyDescent="0.2">
      <c r="A74" s="108" t="s">
        <v>664</v>
      </c>
      <c r="B74" s="142"/>
      <c r="C74" s="142"/>
      <c r="D74" s="141"/>
      <c r="E74" s="142"/>
      <c r="F74" s="142"/>
      <c r="G74" s="141"/>
      <c r="H74" s="142"/>
      <c r="I74" s="142"/>
      <c r="J74" s="141"/>
      <c r="K74" s="142"/>
      <c r="L74" s="142"/>
      <c r="M74" s="141"/>
      <c r="N74" s="142"/>
      <c r="O74" s="142"/>
      <c r="P74" s="141"/>
      <c r="Q74" s="142"/>
      <c r="R74" s="142"/>
      <c r="S74" s="141"/>
      <c r="T74" s="111" t="str">
        <f t="shared" ref="T74:U79" si="14">IF($V$16&lt;&gt;"",IF($V$16="x",IF(COUNT(B74,E74,H74,K74,N74,Q74)&lt;&gt;0,SUM(B74,E74,H74,K74,N74,Q74)/COUNT(B74,E74,H74,K74,N74,Q74),""),""),"")</f>
        <v/>
      </c>
      <c r="U74" s="111" t="str">
        <f t="shared" si="14"/>
        <v/>
      </c>
      <c r="V74" s="111" t="str">
        <f t="shared" ref="V74:V79" si="15">IF($V$16&lt;&gt;"",IF($V$16="x",IF(COUNT(D74,G74,J74,M74,P74,S74)&lt;&gt;0,SUM(D74,G74,J74,M74,P74,S74)/COUNT(D74,G74,J74,M74,P74,S74),""),""),"")</f>
        <v/>
      </c>
      <c r="W74" s="112" t="str">
        <f ca="1">IF($Y$16&lt;&gt;"",IF(OFFSET($T$18,($Y$16-1)*8,0,,)&lt;&gt;"",IF(T74&lt;&gt;"",T74/OFFSET($T$18,($Y$16-1)*8,0,,),""),""),"")</f>
        <v/>
      </c>
      <c r="X74" s="112" t="str">
        <f ca="1">IF($Y$16&lt;&gt;"",IF(OFFSET($U$18,($Y$16-1)*8,0,,)&lt;&gt;"",IF(U74&lt;&gt;"",U74/OFFSET($U$18,($Y$16-1)*8,0,,),""),""),"")</f>
        <v/>
      </c>
      <c r="Y74" s="112" t="str">
        <f ca="1">IF($Y$16&lt;&gt;"",IF(OFFSET($V$18,($Y$16-1)*8,0,,)&lt;&gt;"",IF(V74&lt;&gt;"",V74/OFFSET($V$18,($Y$16-1)*8,0,,),""),""),"")</f>
        <v/>
      </c>
      <c r="Z74" s="119"/>
      <c r="AA74" s="137"/>
      <c r="AB74" s="94"/>
      <c r="AC74" s="94"/>
      <c r="AD74" s="178"/>
      <c r="AE74" s="186"/>
      <c r="AF74" s="137"/>
      <c r="AG74" s="137"/>
      <c r="AH74" s="137"/>
      <c r="AI74" s="94"/>
      <c r="AJ74" s="95">
        <v>67</v>
      </c>
    </row>
    <row r="75" spans="1:36" ht="9.75" customHeight="1" x14ac:dyDescent="0.2">
      <c r="A75" s="108" t="s">
        <v>2</v>
      </c>
      <c r="B75" s="142"/>
      <c r="C75" s="142"/>
      <c r="D75" s="143"/>
      <c r="E75" s="142"/>
      <c r="F75" s="142"/>
      <c r="G75" s="143"/>
      <c r="H75" s="142"/>
      <c r="I75" s="142"/>
      <c r="J75" s="143"/>
      <c r="K75" s="142"/>
      <c r="L75" s="142"/>
      <c r="M75" s="143"/>
      <c r="N75" s="142"/>
      <c r="O75" s="142"/>
      <c r="P75" s="143"/>
      <c r="Q75" s="142"/>
      <c r="R75" s="142"/>
      <c r="S75" s="143"/>
      <c r="T75" s="111" t="str">
        <f t="shared" si="14"/>
        <v/>
      </c>
      <c r="U75" s="111" t="str">
        <f t="shared" si="14"/>
        <v/>
      </c>
      <c r="V75" s="111" t="str">
        <f t="shared" si="15"/>
        <v/>
      </c>
      <c r="W75" s="112" t="str">
        <f ca="1">IF($Y$16&lt;&gt;"",IF(OFFSET($T$19,($Y$16-1)*8,0,,)&lt;&gt;"",IF(T75&lt;&gt;"",T75/OFFSET($T$19,($Y$16-1)*8,0,,),""),""),"")</f>
        <v/>
      </c>
      <c r="X75" s="112" t="str">
        <f ca="1">IF($Y$16&lt;&gt;"",IF(OFFSET($U$19,($Y$16-1)*8,0,,)&lt;&gt;"",IF(U75&lt;&gt;"",U75/OFFSET($U$19,($Y$16-1)*8,0,,),""),""),"")</f>
        <v/>
      </c>
      <c r="Y75" s="112" t="str">
        <f ca="1">IF($Y$16&lt;&gt;"",IF(OFFSET($V$19,($Y$16-1)*8,0,,)&lt;&gt;"",IF(V75&lt;&gt;"",V75/OFFSET($V$19,($Y$16-1)*8,0,,),""),""),"")</f>
        <v/>
      </c>
      <c r="Z75" s="119"/>
      <c r="AA75" s="137"/>
      <c r="AB75" s="94"/>
      <c r="AC75" s="94"/>
      <c r="AD75" s="178"/>
      <c r="AE75" s="186"/>
      <c r="AF75" s="137"/>
      <c r="AG75" s="137"/>
      <c r="AH75" s="94"/>
      <c r="AI75" s="94"/>
      <c r="AJ75" s="95">
        <v>68</v>
      </c>
    </row>
    <row r="76" spans="1:36" ht="9.75" customHeight="1" x14ac:dyDescent="0.2">
      <c r="A76" s="108" t="s">
        <v>4</v>
      </c>
      <c r="B76" s="142"/>
      <c r="C76" s="142"/>
      <c r="D76" s="143"/>
      <c r="E76" s="142"/>
      <c r="F76" s="142"/>
      <c r="G76" s="143"/>
      <c r="H76" s="142"/>
      <c r="I76" s="142"/>
      <c r="J76" s="143"/>
      <c r="K76" s="142"/>
      <c r="L76" s="142"/>
      <c r="M76" s="143"/>
      <c r="N76" s="142"/>
      <c r="O76" s="142"/>
      <c r="P76" s="143"/>
      <c r="Q76" s="142"/>
      <c r="R76" s="142"/>
      <c r="S76" s="143"/>
      <c r="T76" s="111" t="str">
        <f t="shared" si="14"/>
        <v/>
      </c>
      <c r="U76" s="111" t="str">
        <f t="shared" si="14"/>
        <v/>
      </c>
      <c r="V76" s="111" t="str">
        <f t="shared" si="15"/>
        <v/>
      </c>
      <c r="W76" s="112" t="str">
        <f ca="1">IF($Y$16&lt;&gt;"",IF(OFFSET($T$20,($Y$16-1)*8,0,,)&lt;&gt;"",IF(T76&lt;&gt;"",T76/OFFSET($T$20,($Y$16-1)*8,0,,),""),""),"")</f>
        <v/>
      </c>
      <c r="X76" s="112" t="str">
        <f ca="1">IF($Y$16&lt;&gt;"",IF(OFFSET($U$20,($Y$16-1)*8,0,,)&lt;&gt;"",IF(U76&lt;&gt;"",U76/OFFSET($U$20,($Y$16-1)*8,0,,),""),""),"")</f>
        <v/>
      </c>
      <c r="Y76" s="112" t="str">
        <f ca="1">IF($Y$16&lt;&gt;"",IF(OFFSET($V$20,($Y$16-1)*8,0,,)&lt;&gt;"",IF(V76&lt;&gt;"",V76/OFFSET($V$20,($Y$16-1)*8,0,,),""),""),"")</f>
        <v/>
      </c>
      <c r="Z76" s="119"/>
      <c r="AA76" s="137"/>
      <c r="AB76" s="94"/>
      <c r="AC76" s="94"/>
      <c r="AD76" s="178"/>
      <c r="AE76" s="186"/>
      <c r="AF76" s="137"/>
      <c r="AG76" s="137"/>
      <c r="AH76" s="94"/>
      <c r="AI76" s="94"/>
      <c r="AJ76" s="95">
        <v>69</v>
      </c>
    </row>
    <row r="77" spans="1:36" ht="9.75" customHeight="1" x14ac:dyDescent="0.2">
      <c r="A77" s="108" t="s">
        <v>0</v>
      </c>
      <c r="B77" s="142"/>
      <c r="C77" s="142"/>
      <c r="D77" s="143"/>
      <c r="E77" s="142"/>
      <c r="F77" s="142"/>
      <c r="G77" s="143"/>
      <c r="H77" s="142"/>
      <c r="I77" s="142"/>
      <c r="J77" s="143"/>
      <c r="K77" s="142"/>
      <c r="L77" s="142"/>
      <c r="M77" s="143"/>
      <c r="N77" s="142"/>
      <c r="O77" s="142"/>
      <c r="P77" s="143"/>
      <c r="Q77" s="142"/>
      <c r="R77" s="142"/>
      <c r="S77" s="143"/>
      <c r="T77" s="111" t="str">
        <f t="shared" si="14"/>
        <v/>
      </c>
      <c r="U77" s="111" t="str">
        <f t="shared" si="14"/>
        <v/>
      </c>
      <c r="V77" s="111" t="str">
        <f t="shared" si="15"/>
        <v/>
      </c>
      <c r="W77" s="112" t="str">
        <f ca="1">IF($Y$16&lt;&gt;"",IF(OFFSET($T$21,($Y$16-1)*8,0,,)&lt;&gt;"",IF(T77&lt;&gt;"",T77/OFFSET($T$21,($Y$16-1)*8,0,,),""),""),"")</f>
        <v/>
      </c>
      <c r="X77" s="112" t="str">
        <f ca="1">IF($Y$16&lt;&gt;"",IF(OFFSET($U$21,($Y$16-1)*8,0,,)&lt;&gt;"",IF(U77&lt;&gt;"",U77/OFFSET($U$21,($Y$16-1)*8,0,,),""),""),"")</f>
        <v/>
      </c>
      <c r="Y77" s="112" t="str">
        <f ca="1">IF($Y$16&lt;&gt;"",IF(OFFSET($V$21,($Y$16-1)*8,0,,)&lt;&gt;"",IF(V77&lt;&gt;"",V77/OFFSET($V$21,($Y$16-1)*8,0,,),""),""),"")</f>
        <v/>
      </c>
      <c r="Z77" s="119"/>
      <c r="AA77" s="137"/>
      <c r="AB77" s="94"/>
      <c r="AC77" s="94"/>
      <c r="AD77" s="178"/>
      <c r="AE77" s="186"/>
      <c r="AF77" s="137"/>
      <c r="AG77" s="137"/>
      <c r="AH77" s="94"/>
      <c r="AI77" s="94"/>
      <c r="AJ77" s="95">
        <v>70</v>
      </c>
    </row>
    <row r="78" spans="1:36" ht="9.75" customHeight="1" x14ac:dyDescent="0.2">
      <c r="A78" s="108" t="s">
        <v>3</v>
      </c>
      <c r="B78" s="146"/>
      <c r="C78" s="146"/>
      <c r="D78" s="147"/>
      <c r="E78" s="146"/>
      <c r="F78" s="146"/>
      <c r="G78" s="147"/>
      <c r="H78" s="146"/>
      <c r="I78" s="146"/>
      <c r="J78" s="147"/>
      <c r="K78" s="146"/>
      <c r="L78" s="146"/>
      <c r="M78" s="147"/>
      <c r="N78" s="146"/>
      <c r="O78" s="146"/>
      <c r="P78" s="147"/>
      <c r="Q78" s="146"/>
      <c r="R78" s="146"/>
      <c r="S78" s="147"/>
      <c r="T78" s="113" t="str">
        <f t="shared" si="14"/>
        <v/>
      </c>
      <c r="U78" s="113" t="str">
        <f t="shared" si="14"/>
        <v/>
      </c>
      <c r="V78" s="113" t="str">
        <f t="shared" si="15"/>
        <v/>
      </c>
      <c r="W78" s="114" t="str">
        <f ca="1">IF($Y$16&lt;&gt;"",IF(OFFSET($T$22,($Y$16-1)*8,0,,)&lt;&gt;"",IF(T78&lt;&gt;"",T78-OFFSET($T$22,($Y$16-1)*8,0,,),""),""),"")</f>
        <v/>
      </c>
      <c r="X78" s="114" t="str">
        <f ca="1">IF($Y$16&lt;&gt;"",IF(OFFSET($U$22,($Y$16-1)*8,0,,)&lt;&gt;"",IF(U78&lt;&gt;"",U78-OFFSET($U$22,($Y$16-1)*8,0,,),""),""),"")</f>
        <v/>
      </c>
      <c r="Y78" s="114" t="str">
        <f ca="1">IF($Y$16&lt;&gt;"",IF(OFFSET($V$22,($Y$16-1)*8,0,,)&lt;&gt;"",IF(V78&lt;&gt;"",V78-OFFSET($V$22,($Y$16-1)*8,0,,),""),""),"")</f>
        <v/>
      </c>
      <c r="Z78" s="119"/>
      <c r="AA78" s="137"/>
      <c r="AB78" s="94"/>
      <c r="AC78" s="94"/>
      <c r="AD78" s="178"/>
      <c r="AE78" s="186"/>
      <c r="AF78" s="137"/>
      <c r="AG78" s="137"/>
      <c r="AH78" s="94"/>
      <c r="AI78" s="94"/>
      <c r="AJ78" s="95">
        <v>71</v>
      </c>
    </row>
    <row r="79" spans="1:36" ht="9.75" customHeight="1" x14ac:dyDescent="0.2">
      <c r="A79" s="108" t="s">
        <v>1</v>
      </c>
      <c r="B79" s="146"/>
      <c r="C79" s="146"/>
      <c r="D79" s="147"/>
      <c r="E79" s="146"/>
      <c r="F79" s="146"/>
      <c r="G79" s="147"/>
      <c r="H79" s="146"/>
      <c r="I79" s="146"/>
      <c r="J79" s="147"/>
      <c r="K79" s="146"/>
      <c r="L79" s="146"/>
      <c r="M79" s="147"/>
      <c r="N79" s="146"/>
      <c r="O79" s="146"/>
      <c r="P79" s="147"/>
      <c r="Q79" s="146"/>
      <c r="R79" s="146"/>
      <c r="S79" s="147"/>
      <c r="T79" s="113" t="str">
        <f t="shared" si="14"/>
        <v/>
      </c>
      <c r="U79" s="113" t="str">
        <f t="shared" si="14"/>
        <v/>
      </c>
      <c r="V79" s="113" t="str">
        <f t="shared" si="15"/>
        <v/>
      </c>
      <c r="W79" s="114" t="str">
        <f ca="1">IF($Y$16&lt;&gt;"",IF(OFFSET($T$23,($Y$16-1)*8,0,,)&lt;&gt;"",IF(T79&lt;&gt;"",T79-OFFSET($T$23,($Y$16-1)*8,0,,),""),""),"")</f>
        <v/>
      </c>
      <c r="X79" s="114" t="str">
        <f ca="1">IF($Y$16&lt;&gt;"",IF(OFFSET($U$23,($Y$16-1)*8,0,,)&lt;&gt;"",IF(U79&lt;&gt;"",U79-OFFSET($U$23,($Y$16-1)*8,0,,),""),""),"")</f>
        <v/>
      </c>
      <c r="Y79" s="114" t="str">
        <f ca="1">IF($Y$16&lt;&gt;"",IF(OFFSET($V$23,($Y$16-1)*8,0,,)&lt;&gt;"",IF(V79&lt;&gt;"",V79-OFFSET($V$23,($Y$16-1)*8,0,,),""),""),"")</f>
        <v/>
      </c>
      <c r="Z79" s="119"/>
      <c r="AA79" s="137"/>
      <c r="AB79" s="94"/>
      <c r="AC79" s="94"/>
      <c r="AD79" s="178"/>
      <c r="AE79" s="186"/>
      <c r="AF79" s="137"/>
      <c r="AG79" s="137"/>
      <c r="AH79" s="94"/>
      <c r="AI79" s="94"/>
      <c r="AJ79" s="95">
        <v>72</v>
      </c>
    </row>
    <row r="80" spans="1:36" ht="9.75" customHeight="1" x14ac:dyDescent="0.2">
      <c r="A80" s="108" t="s">
        <v>9</v>
      </c>
      <c r="B80" s="149"/>
      <c r="C80" s="182"/>
      <c r="D80" s="183"/>
      <c r="E80" s="149"/>
      <c r="F80" s="182"/>
      <c r="G80" s="183"/>
      <c r="H80" s="149"/>
      <c r="I80" s="182"/>
      <c r="J80" s="183"/>
      <c r="K80" s="149"/>
      <c r="L80" s="182"/>
      <c r="M80" s="183"/>
      <c r="N80" s="149"/>
      <c r="O80" s="182"/>
      <c r="P80" s="183"/>
      <c r="Q80" s="149"/>
      <c r="R80" s="182"/>
      <c r="S80" s="183"/>
      <c r="T80" s="115" t="str">
        <f>IF(T79&lt;&gt; "",T75/T79,"")</f>
        <v/>
      </c>
      <c r="U80" s="115" t="str">
        <f>IF(U79&lt;&gt; "",U75/U79,"")</f>
        <v/>
      </c>
      <c r="V80" s="115" t="str">
        <f>IF(V79&lt;&gt; "",V75/V79,"")</f>
        <v/>
      </c>
      <c r="W80" s="112" t="str">
        <f ca="1">IF($Y$16&lt;&gt;"",IF(OFFSET($T$24,($Y$16-1)*8,0,,)&lt;&gt;"",IF(T80&lt;&gt;"",T80/OFFSET($T$24,($Y$16-1)*8,0,,),""),""),"")</f>
        <v/>
      </c>
      <c r="X80" s="112" t="str">
        <f ca="1">IF($Y$16&lt;&gt;"",IF(OFFSET($U$24,($Y$16-1)*8,0,,)&lt;&gt;"",IF(U80&lt;&gt;"",U80/OFFSET($U$24,($Y$16-1)*8,0,,),""),""),"")</f>
        <v/>
      </c>
      <c r="Y80" s="112" t="str">
        <f ca="1">IF($Y$16&lt;&gt;"",IF(OFFSET($V$24,($Y$16-1)*8,0,,)&lt;&gt;"",IF(V80&lt;&gt;"",V80/OFFSET($V$24,($Y$16-1)*8,0,,),""),""),"")</f>
        <v/>
      </c>
      <c r="Z80" s="119"/>
      <c r="AA80" s="137"/>
      <c r="AB80" s="94"/>
      <c r="AC80" s="94"/>
      <c r="AD80" s="178"/>
      <c r="AE80" s="186"/>
      <c r="AF80" s="137"/>
      <c r="AG80" s="137"/>
      <c r="AH80" s="94"/>
      <c r="AI80" s="94"/>
      <c r="AJ80" s="95">
        <v>73</v>
      </c>
    </row>
    <row r="81" spans="1:36" ht="9.75" customHeight="1" x14ac:dyDescent="0.2">
      <c r="A81" s="108" t="s">
        <v>19</v>
      </c>
      <c r="B81" s="116" t="s">
        <v>64</v>
      </c>
      <c r="C81" s="180" t="str">
        <f>IF($V$9="","",$V$9)</f>
        <v/>
      </c>
      <c r="D81" s="181"/>
      <c r="E81" s="116" t="s">
        <v>65</v>
      </c>
      <c r="F81" s="180" t="str">
        <f>IF($V$9="","",$V$9)</f>
        <v/>
      </c>
      <c r="G81" s="181"/>
      <c r="H81" s="116" t="s">
        <v>66</v>
      </c>
      <c r="I81" s="180" t="str">
        <f>IF($V$9="","",$V$9)</f>
        <v/>
      </c>
      <c r="J81" s="181"/>
      <c r="K81" s="116" t="s">
        <v>67</v>
      </c>
      <c r="L81" s="180" t="str">
        <f>IF($V$9="","",$V$9)</f>
        <v/>
      </c>
      <c r="M81" s="181"/>
      <c r="N81" s="116" t="s">
        <v>68</v>
      </c>
      <c r="O81" s="180" t="str">
        <f>IF($V$9="","",$V$9)</f>
        <v/>
      </c>
      <c r="P81" s="181"/>
      <c r="Q81" s="116" t="s">
        <v>69</v>
      </c>
      <c r="R81" s="180" t="str">
        <f>IF($V$9="","",$V$9)</f>
        <v/>
      </c>
      <c r="S81" s="181"/>
      <c r="T81" s="110" t="str">
        <f>UPPER($V$16)&amp;"9"</f>
        <v>X9</v>
      </c>
      <c r="U81" s="175" t="str">
        <f>IF($V$16="x",IF($V$9&lt;&gt;"",$V$9,""),IF($V$16="y","",""))</f>
        <v/>
      </c>
      <c r="V81" s="176"/>
      <c r="W81" s="176"/>
      <c r="X81" s="176"/>
      <c r="Y81" s="177"/>
      <c r="Z81" s="119"/>
      <c r="AA81" s="137"/>
      <c r="AB81" s="94"/>
      <c r="AC81" s="94"/>
      <c r="AD81" s="178"/>
      <c r="AE81" s="186"/>
      <c r="AF81" s="137"/>
      <c r="AG81" s="137"/>
      <c r="AH81" s="94"/>
      <c r="AI81" s="94"/>
      <c r="AJ81" s="95">
        <v>74</v>
      </c>
    </row>
    <row r="82" spans="1:36" ht="9.75" customHeight="1" x14ac:dyDescent="0.2">
      <c r="A82" s="108" t="s">
        <v>664</v>
      </c>
      <c r="B82" s="142"/>
      <c r="C82" s="142"/>
      <c r="D82" s="141"/>
      <c r="E82" s="142"/>
      <c r="F82" s="142"/>
      <c r="G82" s="141"/>
      <c r="H82" s="142"/>
      <c r="I82" s="142"/>
      <c r="J82" s="141"/>
      <c r="K82" s="142"/>
      <c r="L82" s="142"/>
      <c r="M82" s="141"/>
      <c r="N82" s="142"/>
      <c r="O82" s="142"/>
      <c r="P82" s="141"/>
      <c r="Q82" s="142"/>
      <c r="R82" s="142"/>
      <c r="S82" s="141"/>
      <c r="T82" s="111" t="str">
        <f t="shared" ref="T82:U87" si="16">IF($V$16&lt;&gt;"",IF($V$16="x",IF(COUNT(B82,E82,H82,K82,N82,Q82)&lt;&gt;0,SUM(B82,E82,H82,K82,N82,Q82)/COUNT(B82,E82,H82,K82,N82,Q82),""),""),"")</f>
        <v/>
      </c>
      <c r="U82" s="111" t="str">
        <f t="shared" si="16"/>
        <v/>
      </c>
      <c r="V82" s="111" t="str">
        <f t="shared" ref="V82:V87" si="17">IF($V$16&lt;&gt;"",IF($V$16="x",IF(COUNT(D82,G82,J82,M82,P82,S82)&lt;&gt;0,SUM(D82,G82,J82,M82,P82,S82)/COUNT(D82,G82,J82,M82,P82,S82),""),""),"")</f>
        <v/>
      </c>
      <c r="W82" s="112" t="str">
        <f ca="1">IF($Y$16&lt;&gt;"",IF(OFFSET($T$18,($Y$16-1)*8,0,,)&lt;&gt;"",IF(T82&lt;&gt;"",T82/OFFSET($T$18,($Y$16-1)*8,0,,),""),""),"")</f>
        <v/>
      </c>
      <c r="X82" s="112" t="str">
        <f ca="1">IF($Y$16&lt;&gt;"",IF(OFFSET($U$18,($Y$16-1)*8,0,,)&lt;&gt;"",IF(U82&lt;&gt;"",U82/OFFSET($U$18,($Y$16-1)*8,0,,),""),""),"")</f>
        <v/>
      </c>
      <c r="Y82" s="112" t="str">
        <f ca="1">IF($Y$16&lt;&gt;"",IF(OFFSET($V$18,($Y$16-1)*8,0,,)&lt;&gt;"",IF(V82&lt;&gt;"",V82/OFFSET($V$18,($Y$16-1)*8,0,,),""),""),"")</f>
        <v/>
      </c>
      <c r="Z82" s="119"/>
      <c r="AA82" s="137"/>
      <c r="AB82" s="94"/>
      <c r="AC82" s="94"/>
      <c r="AD82" s="178"/>
      <c r="AE82" s="186"/>
      <c r="AF82" s="137"/>
      <c r="AG82" s="137"/>
      <c r="AH82" s="94"/>
      <c r="AI82" s="94"/>
      <c r="AJ82" s="95">
        <v>75</v>
      </c>
    </row>
    <row r="83" spans="1:36" ht="9.75" customHeight="1" x14ac:dyDescent="0.2">
      <c r="A83" s="108" t="s">
        <v>2</v>
      </c>
      <c r="B83" s="142"/>
      <c r="C83" s="142"/>
      <c r="D83" s="143"/>
      <c r="E83" s="142"/>
      <c r="F83" s="142"/>
      <c r="G83" s="143"/>
      <c r="H83" s="142"/>
      <c r="I83" s="142"/>
      <c r="J83" s="143"/>
      <c r="K83" s="142"/>
      <c r="L83" s="142"/>
      <c r="M83" s="143"/>
      <c r="N83" s="142"/>
      <c r="O83" s="142"/>
      <c r="P83" s="143"/>
      <c r="Q83" s="142"/>
      <c r="R83" s="142"/>
      <c r="S83" s="143"/>
      <c r="T83" s="111" t="str">
        <f t="shared" si="16"/>
        <v/>
      </c>
      <c r="U83" s="111" t="str">
        <f t="shared" si="16"/>
        <v/>
      </c>
      <c r="V83" s="111" t="str">
        <f t="shared" si="17"/>
        <v/>
      </c>
      <c r="W83" s="112" t="str">
        <f ca="1">IF($Y$16&lt;&gt;"",IF(OFFSET($T$19,($Y$16-1)*8,0,,)&lt;&gt;"",IF(T83&lt;&gt;"",T83/OFFSET($T$19,($Y$16-1)*8,0,,),""),""),"")</f>
        <v/>
      </c>
      <c r="X83" s="112" t="str">
        <f ca="1">IF($Y$16&lt;&gt;"",IF(OFFSET($U$19,($Y$16-1)*8,0,,)&lt;&gt;"",IF(U83&lt;&gt;"",U83/OFFSET($U$19,($Y$16-1)*8,0,,),""),""),"")</f>
        <v/>
      </c>
      <c r="Y83" s="112" t="str">
        <f ca="1">IF($Y$16&lt;&gt;"",IF(OFFSET($V$19,($Y$16-1)*8,0,,)&lt;&gt;"",IF(V83&lt;&gt;"",V83/OFFSET($V$19,($Y$16-1)*8,0,,),""),""),"")</f>
        <v/>
      </c>
      <c r="Z83" s="119"/>
      <c r="AA83" s="137"/>
      <c r="AB83" s="94"/>
      <c r="AC83" s="94"/>
      <c r="AD83" s="178"/>
      <c r="AE83" s="186"/>
      <c r="AF83" s="137"/>
      <c r="AG83" s="137"/>
      <c r="AH83" s="94"/>
      <c r="AI83" s="94"/>
      <c r="AJ83" s="95">
        <v>76</v>
      </c>
    </row>
    <row r="84" spans="1:36" ht="9.75" customHeight="1" x14ac:dyDescent="0.2">
      <c r="A84" s="108" t="s">
        <v>4</v>
      </c>
      <c r="B84" s="142"/>
      <c r="C84" s="142"/>
      <c r="D84" s="143"/>
      <c r="E84" s="142"/>
      <c r="F84" s="142"/>
      <c r="G84" s="143"/>
      <c r="H84" s="142"/>
      <c r="I84" s="142"/>
      <c r="J84" s="143"/>
      <c r="K84" s="142"/>
      <c r="L84" s="142"/>
      <c r="M84" s="143"/>
      <c r="N84" s="142"/>
      <c r="O84" s="142"/>
      <c r="P84" s="143"/>
      <c r="Q84" s="142"/>
      <c r="R84" s="142"/>
      <c r="S84" s="143"/>
      <c r="T84" s="111" t="str">
        <f t="shared" si="16"/>
        <v/>
      </c>
      <c r="U84" s="111" t="str">
        <f t="shared" si="16"/>
        <v/>
      </c>
      <c r="V84" s="111" t="str">
        <f t="shared" si="17"/>
        <v/>
      </c>
      <c r="W84" s="112" t="str">
        <f ca="1">IF($Y$16&lt;&gt;"",IF(OFFSET($T$20,($Y$16-1)*8,0,,)&lt;&gt;"",IF(T84&lt;&gt;"",T84/OFFSET($T$20,($Y$16-1)*8,0,,),""),""),"")</f>
        <v/>
      </c>
      <c r="X84" s="112" t="str">
        <f ca="1">IF($Y$16&lt;&gt;"",IF(OFFSET($U$20,($Y$16-1)*8,0,,)&lt;&gt;"",IF(U84&lt;&gt;"",U84/OFFSET($U$20,($Y$16-1)*8,0,,),""),""),"")</f>
        <v/>
      </c>
      <c r="Y84" s="112" t="str">
        <f ca="1">IF($Y$16&lt;&gt;"",IF(OFFSET($V$20,($Y$16-1)*8,0,,)&lt;&gt;"",IF(V84&lt;&gt;"",V84/OFFSET($V$20,($Y$16-1)*8,0,,),""),""),"")</f>
        <v/>
      </c>
      <c r="Z84" s="95">
        <v>26</v>
      </c>
      <c r="AA84" s="95">
        <v>27</v>
      </c>
      <c r="AB84" s="95">
        <v>28</v>
      </c>
      <c r="AC84" s="95">
        <v>29</v>
      </c>
      <c r="AD84" s="95">
        <v>30</v>
      </c>
      <c r="AE84" s="95">
        <v>31</v>
      </c>
      <c r="AF84" s="95">
        <v>32</v>
      </c>
      <c r="AG84" s="95">
        <v>33</v>
      </c>
      <c r="AH84" s="95">
        <v>34</v>
      </c>
      <c r="AI84" s="95">
        <v>35</v>
      </c>
      <c r="AJ84" s="95">
        <v>77</v>
      </c>
    </row>
    <row r="85" spans="1:36" ht="9.75" customHeight="1" x14ac:dyDescent="0.2">
      <c r="A85" s="108" t="s">
        <v>0</v>
      </c>
      <c r="B85" s="142"/>
      <c r="C85" s="142"/>
      <c r="D85" s="143"/>
      <c r="E85" s="142"/>
      <c r="F85" s="142"/>
      <c r="G85" s="143"/>
      <c r="H85" s="142"/>
      <c r="I85" s="142"/>
      <c r="J85" s="143"/>
      <c r="K85" s="142"/>
      <c r="L85" s="142"/>
      <c r="M85" s="143"/>
      <c r="N85" s="142"/>
      <c r="O85" s="142"/>
      <c r="P85" s="143"/>
      <c r="Q85" s="142"/>
      <c r="R85" s="142"/>
      <c r="S85" s="143"/>
      <c r="T85" s="111" t="str">
        <f t="shared" si="16"/>
        <v/>
      </c>
      <c r="U85" s="111" t="str">
        <f t="shared" si="16"/>
        <v/>
      </c>
      <c r="V85" s="111" t="str">
        <f t="shared" si="17"/>
        <v/>
      </c>
      <c r="W85" s="112" t="str">
        <f ca="1">IF($Y$16&lt;&gt;"",IF(OFFSET($T$21,($Y$16-1)*8,0,,)&lt;&gt;"",IF(T85&lt;&gt;"",T85/OFFSET($T$21,($Y$16-1)*8,0,,),""),""),"")</f>
        <v/>
      </c>
      <c r="X85" s="112" t="str">
        <f ca="1">IF($Y$16&lt;&gt;"",IF(OFFSET($U$21,($Y$16-1)*8,0,,)&lt;&gt;"",IF(U85&lt;&gt;"",U85/OFFSET($U$21,($Y$16-1)*8,0,,),""),""),"")</f>
        <v/>
      </c>
      <c r="Y85" s="112" t="str">
        <f ca="1">IF($Y$16&lt;&gt;"",IF(OFFSET($V$21,($Y$16-1)*8,0,,)&lt;&gt;"",IF(V85&lt;&gt;"",V85/OFFSET($V$21,($Y$16-1)*8,0,,),""),""),"")</f>
        <v/>
      </c>
      <c r="AJ85" s="95">
        <v>78</v>
      </c>
    </row>
    <row r="86" spans="1:36" ht="9.75" customHeight="1" x14ac:dyDescent="0.2">
      <c r="A86" s="108" t="s">
        <v>3</v>
      </c>
      <c r="B86" s="146"/>
      <c r="C86" s="146"/>
      <c r="D86" s="147"/>
      <c r="E86" s="146"/>
      <c r="F86" s="146"/>
      <c r="G86" s="147"/>
      <c r="H86" s="146"/>
      <c r="I86" s="146"/>
      <c r="J86" s="147"/>
      <c r="K86" s="146"/>
      <c r="L86" s="146"/>
      <c r="M86" s="147"/>
      <c r="N86" s="146"/>
      <c r="O86" s="146"/>
      <c r="P86" s="147"/>
      <c r="Q86" s="146"/>
      <c r="R86" s="146"/>
      <c r="S86" s="147"/>
      <c r="T86" s="113" t="str">
        <f t="shared" si="16"/>
        <v/>
      </c>
      <c r="U86" s="113" t="str">
        <f t="shared" si="16"/>
        <v/>
      </c>
      <c r="V86" s="113" t="str">
        <f t="shared" si="17"/>
        <v/>
      </c>
      <c r="W86" s="114" t="str">
        <f ca="1">IF($Y$16&lt;&gt;"",IF(OFFSET($T$22,($Y$16-1)*8,0,,)&lt;&gt;"",IF(T86&lt;&gt;"",T86-OFFSET($T$22,($Y$16-1)*8,0,,),""),""),"")</f>
        <v/>
      </c>
      <c r="X86" s="114" t="str">
        <f ca="1">IF($Y$16&lt;&gt;"",IF(OFFSET($U$22,($Y$16-1)*8,0,,)&lt;&gt;"",IF(U86&lt;&gt;"",U86-OFFSET($U$22,($Y$16-1)*8,0,,),""),""),"")</f>
        <v/>
      </c>
      <c r="Y86" s="114" t="str">
        <f ca="1">IF($Y$16&lt;&gt;"",IF(OFFSET($V$22,($Y$16-1)*8,0,,)&lt;&gt;"",IF(V86&lt;&gt;"",V86-OFFSET($V$22,($Y$16-1)*8,0,,),""),""),"")</f>
        <v/>
      </c>
      <c r="AJ86" s="95">
        <v>79</v>
      </c>
    </row>
    <row r="87" spans="1:36" ht="9.75" customHeight="1" x14ac:dyDescent="0.2">
      <c r="A87" s="108" t="s">
        <v>1</v>
      </c>
      <c r="B87" s="146"/>
      <c r="C87" s="146"/>
      <c r="D87" s="147"/>
      <c r="E87" s="146"/>
      <c r="F87" s="146"/>
      <c r="G87" s="147"/>
      <c r="H87" s="146"/>
      <c r="I87" s="146"/>
      <c r="J87" s="147"/>
      <c r="K87" s="146"/>
      <c r="L87" s="146"/>
      <c r="M87" s="147"/>
      <c r="N87" s="146"/>
      <c r="O87" s="146"/>
      <c r="P87" s="147"/>
      <c r="Q87" s="146"/>
      <c r="R87" s="146"/>
      <c r="S87" s="147"/>
      <c r="T87" s="113" t="str">
        <f t="shared" si="16"/>
        <v/>
      </c>
      <c r="U87" s="113" t="str">
        <f t="shared" si="16"/>
        <v/>
      </c>
      <c r="V87" s="113" t="str">
        <f t="shared" si="17"/>
        <v/>
      </c>
      <c r="W87" s="114" t="str">
        <f ca="1">IF($Y$16&lt;&gt;"",IF(OFFSET($T$23,($Y$16-1)*8,0,,)&lt;&gt;"",IF(T87&lt;&gt;"",T87-OFFSET($T$23,($Y$16-1)*8,0,,),""),""),"")</f>
        <v/>
      </c>
      <c r="X87" s="114" t="str">
        <f ca="1">IF($Y$16&lt;&gt;"",IF(OFFSET($U$23,($Y$16-1)*8,0,,)&lt;&gt;"",IF(U87&lt;&gt;"",U87-OFFSET($U$23,($Y$16-1)*8,0,,),""),""),"")</f>
        <v/>
      </c>
      <c r="Y87" s="114" t="str">
        <f ca="1">IF($Y$16&lt;&gt;"",IF(OFFSET($V$23,($Y$16-1)*8,0,,)&lt;&gt;"",IF(V87&lt;&gt;"",V87-OFFSET($V$23,($Y$16-1)*8,0,,),""),""),"")</f>
        <v/>
      </c>
      <c r="AJ87" s="95">
        <v>80</v>
      </c>
    </row>
    <row r="88" spans="1:36" ht="9.75" customHeight="1" x14ac:dyDescent="0.2">
      <c r="A88" s="108" t="s">
        <v>9</v>
      </c>
      <c r="B88" s="149"/>
      <c r="C88" s="182"/>
      <c r="D88" s="183"/>
      <c r="E88" s="149"/>
      <c r="F88" s="182"/>
      <c r="G88" s="183"/>
      <c r="H88" s="149"/>
      <c r="I88" s="182"/>
      <c r="J88" s="183"/>
      <c r="K88" s="149"/>
      <c r="L88" s="182"/>
      <c r="M88" s="183"/>
      <c r="N88" s="149"/>
      <c r="O88" s="182"/>
      <c r="P88" s="183"/>
      <c r="Q88" s="149"/>
      <c r="R88" s="182"/>
      <c r="S88" s="183"/>
      <c r="T88" s="115" t="str">
        <f>IF(T87&lt;&gt; "",T83/T87,"")</f>
        <v/>
      </c>
      <c r="U88" s="115" t="str">
        <f>IF(U87&lt;&gt; "",U83/U87,"")</f>
        <v/>
      </c>
      <c r="V88" s="115" t="str">
        <f>IF(V87&lt;&gt; "",V83/V87,"")</f>
        <v/>
      </c>
      <c r="W88" s="112" t="str">
        <f ca="1">IF($Y$16&lt;&gt;"",IF(OFFSET($T$24,($Y$16-1)*8,0,,)&lt;&gt;"",IF(T88&lt;&gt;"",T88/OFFSET($T$24,($Y$16-1)*8,0,,),""),""),"")</f>
        <v/>
      </c>
      <c r="X88" s="112" t="str">
        <f ca="1">IF($Y$16&lt;&gt;"",IF(OFFSET($U$24,($Y$16-1)*8,0,,)&lt;&gt;"",IF(U88&lt;&gt;"",U88/OFFSET($U$24,($Y$16-1)*8,0,,),""),""),"")</f>
        <v/>
      </c>
      <c r="Y88" s="112" t="str">
        <f ca="1">IF($Y$16&lt;&gt;"",IF(OFFSET($V$24,($Y$16-1)*8,0,,)&lt;&gt;"",IF(V88&lt;&gt;"",V88/OFFSET($V$24,($Y$16-1)*8,0,,),""),""),"")</f>
        <v/>
      </c>
      <c r="AJ88" s="95">
        <v>81</v>
      </c>
    </row>
    <row r="89" spans="1:36" x14ac:dyDescent="0.2">
      <c r="A89" s="95">
        <v>1</v>
      </c>
      <c r="B89" s="95">
        <v>2</v>
      </c>
      <c r="C89" s="95">
        <v>3</v>
      </c>
      <c r="D89" s="95">
        <v>4</v>
      </c>
      <c r="E89" s="95">
        <v>5</v>
      </c>
      <c r="F89" s="95">
        <v>6</v>
      </c>
      <c r="G89" s="95">
        <v>7</v>
      </c>
      <c r="H89" s="95">
        <v>8</v>
      </c>
      <c r="I89" s="95">
        <v>9</v>
      </c>
      <c r="J89" s="95">
        <v>10</v>
      </c>
      <c r="K89" s="95">
        <v>11</v>
      </c>
      <c r="L89" s="95">
        <v>12</v>
      </c>
      <c r="M89" s="95">
        <v>13</v>
      </c>
      <c r="N89" s="95">
        <v>14</v>
      </c>
      <c r="O89" s="95">
        <v>15</v>
      </c>
      <c r="P89" s="95">
        <v>16</v>
      </c>
      <c r="Q89" s="95">
        <v>17</v>
      </c>
      <c r="R89" s="95">
        <v>18</v>
      </c>
      <c r="S89" s="95">
        <v>19</v>
      </c>
      <c r="T89" s="95">
        <v>20</v>
      </c>
      <c r="U89" s="95">
        <v>21</v>
      </c>
      <c r="V89" s="95">
        <v>22</v>
      </c>
      <c r="W89" s="95">
        <v>23</v>
      </c>
      <c r="X89" s="95">
        <v>24</v>
      </c>
      <c r="Y89" s="95">
        <v>25</v>
      </c>
    </row>
  </sheetData>
  <mergeCells count="261">
    <mergeCell ref="A6:A7"/>
    <mergeCell ref="E15:H15"/>
    <mergeCell ref="D1:E2"/>
    <mergeCell ref="F1:G2"/>
    <mergeCell ref="Q10:S10"/>
    <mergeCell ref="AA6:AC6"/>
    <mergeCell ref="AD6:AI6"/>
    <mergeCell ref="AD7:AE7"/>
    <mergeCell ref="AD8:AE8"/>
    <mergeCell ref="V4:Y4"/>
    <mergeCell ref="B8:T9"/>
    <mergeCell ref="H1:T2"/>
    <mergeCell ref="A1:B2"/>
    <mergeCell ref="C1:C2"/>
    <mergeCell ref="C10:D10"/>
    <mergeCell ref="E10:F10"/>
    <mergeCell ref="A10:A12"/>
    <mergeCell ref="I11:J11"/>
    <mergeCell ref="I12:J12"/>
    <mergeCell ref="E12:F12"/>
    <mergeCell ref="G12:H12"/>
    <mergeCell ref="I10:J10"/>
    <mergeCell ref="B3:T5"/>
    <mergeCell ref="B6:T7"/>
    <mergeCell ref="A3:A5"/>
    <mergeCell ref="AD9:AE9"/>
    <mergeCell ref="AD52:AE52"/>
    <mergeCell ref="AD53:AE53"/>
    <mergeCell ref="A8:A9"/>
    <mergeCell ref="K14:M14"/>
    <mergeCell ref="A13:A15"/>
    <mergeCell ref="B13:B15"/>
    <mergeCell ref="C12:D12"/>
    <mergeCell ref="E13:F13"/>
    <mergeCell ref="E14:F14"/>
    <mergeCell ref="C11:D11"/>
    <mergeCell ref="E11:F11"/>
    <mergeCell ref="C13:D13"/>
    <mergeCell ref="C14:D14"/>
    <mergeCell ref="C15:D15"/>
    <mergeCell ref="K15:M15"/>
    <mergeCell ref="I15:J15"/>
    <mergeCell ref="G10:H10"/>
    <mergeCell ref="L12:M12"/>
    <mergeCell ref="K10:N10"/>
    <mergeCell ref="K11:L11"/>
    <mergeCell ref="M11:N11"/>
    <mergeCell ref="G11:H11"/>
    <mergeCell ref="Z1:AJ1"/>
    <mergeCell ref="Z2:AJ5"/>
    <mergeCell ref="AJ6:AJ7"/>
    <mergeCell ref="AD54:AE54"/>
    <mergeCell ref="AD55:AE55"/>
    <mergeCell ref="AD56:AE56"/>
    <mergeCell ref="AD57:AE57"/>
    <mergeCell ref="AD18:AE18"/>
    <mergeCell ref="AD17:AE17"/>
    <mergeCell ref="AD35:AE35"/>
    <mergeCell ref="AD36:AE36"/>
    <mergeCell ref="AD42:AE42"/>
    <mergeCell ref="AD39:AE39"/>
    <mergeCell ref="AD37:AE37"/>
    <mergeCell ref="AD16:AE16"/>
    <mergeCell ref="AD15:AE15"/>
    <mergeCell ref="AD38:AE38"/>
    <mergeCell ref="AD41:AE41"/>
    <mergeCell ref="AD40:AE40"/>
    <mergeCell ref="AD28:AE28"/>
    <mergeCell ref="AD32:AE32"/>
    <mergeCell ref="AD10:AE10"/>
    <mergeCell ref="AD11:AE11"/>
    <mergeCell ref="AD12:AE12"/>
    <mergeCell ref="V1:Y1"/>
    <mergeCell ref="V2:Y2"/>
    <mergeCell ref="V3:Y3"/>
    <mergeCell ref="V5:Y5"/>
    <mergeCell ref="V6:Y6"/>
    <mergeCell ref="V7:Y7"/>
    <mergeCell ref="V8:Y8"/>
    <mergeCell ref="V9:Y9"/>
    <mergeCell ref="V10:Y10"/>
    <mergeCell ref="AD13:AE13"/>
    <mergeCell ref="AD14:AE14"/>
    <mergeCell ref="AD33:AE33"/>
    <mergeCell ref="AD34:AE34"/>
    <mergeCell ref="AD51:AE51"/>
    <mergeCell ref="AD45:AE45"/>
    <mergeCell ref="AD46:AE46"/>
    <mergeCell ref="AD47:AE47"/>
    <mergeCell ref="AD48:AE48"/>
    <mergeCell ref="AD49:AE49"/>
    <mergeCell ref="AD44:AE44"/>
    <mergeCell ref="AD50:AE50"/>
    <mergeCell ref="AD21:AE21"/>
    <mergeCell ref="AD22:AE22"/>
    <mergeCell ref="AD31:AE31"/>
    <mergeCell ref="AD24:AE24"/>
    <mergeCell ref="AD43:AE43"/>
    <mergeCell ref="AD20:AE20"/>
    <mergeCell ref="AD19:AE19"/>
    <mergeCell ref="AD83:AE83"/>
    <mergeCell ref="U81:Y81"/>
    <mergeCell ref="AD76:AE76"/>
    <mergeCell ref="AD77:AE77"/>
    <mergeCell ref="AD78:AE78"/>
    <mergeCell ref="AD79:AE79"/>
    <mergeCell ref="AD80:AE80"/>
    <mergeCell ref="AD81:AE81"/>
    <mergeCell ref="AD64:AE64"/>
    <mergeCell ref="AD65:AE65"/>
    <mergeCell ref="AD66:AE66"/>
    <mergeCell ref="AD67:AE67"/>
    <mergeCell ref="AD68:AE68"/>
    <mergeCell ref="AD70:AE70"/>
    <mergeCell ref="AD71:AE71"/>
    <mergeCell ref="AD72:AE72"/>
    <mergeCell ref="AD73:AE73"/>
    <mergeCell ref="AD74:AE74"/>
    <mergeCell ref="AD75:AE75"/>
    <mergeCell ref="AD69:AE69"/>
    <mergeCell ref="U73:Y73"/>
    <mergeCell ref="AD82:AE82"/>
    <mergeCell ref="O80:P80"/>
    <mergeCell ref="R80:S80"/>
    <mergeCell ref="O73:P73"/>
    <mergeCell ref="C80:D80"/>
    <mergeCell ref="C73:D73"/>
    <mergeCell ref="F73:G73"/>
    <mergeCell ref="O72:P72"/>
    <mergeCell ref="R72:S72"/>
    <mergeCell ref="R73:S73"/>
    <mergeCell ref="C72:D72"/>
    <mergeCell ref="F72:G72"/>
    <mergeCell ref="I72:J72"/>
    <mergeCell ref="O88:P88"/>
    <mergeCell ref="R88:S88"/>
    <mergeCell ref="C81:D81"/>
    <mergeCell ref="F81:G81"/>
    <mergeCell ref="I81:J81"/>
    <mergeCell ref="L81:M81"/>
    <mergeCell ref="O81:P81"/>
    <mergeCell ref="R81:S81"/>
    <mergeCell ref="C88:D88"/>
    <mergeCell ref="F88:G88"/>
    <mergeCell ref="I88:J88"/>
    <mergeCell ref="L88:M88"/>
    <mergeCell ref="I40:J40"/>
    <mergeCell ref="C40:D40"/>
    <mergeCell ref="R57:S57"/>
    <mergeCell ref="AD58:AE58"/>
    <mergeCell ref="AD59:AE59"/>
    <mergeCell ref="L72:M72"/>
    <mergeCell ref="F80:G80"/>
    <mergeCell ref="I80:J80"/>
    <mergeCell ref="L80:M80"/>
    <mergeCell ref="I73:J73"/>
    <mergeCell ref="L73:M73"/>
    <mergeCell ref="F64:G64"/>
    <mergeCell ref="I64:J64"/>
    <mergeCell ref="L64:M64"/>
    <mergeCell ref="L65:M65"/>
    <mergeCell ref="AD60:AE60"/>
    <mergeCell ref="C65:D65"/>
    <mergeCell ref="F65:G65"/>
    <mergeCell ref="I65:J65"/>
    <mergeCell ref="C57:D57"/>
    <mergeCell ref="F57:G57"/>
    <mergeCell ref="I57:J57"/>
    <mergeCell ref="L57:M57"/>
    <mergeCell ref="O65:P65"/>
    <mergeCell ref="G13:H13"/>
    <mergeCell ref="G14:H14"/>
    <mergeCell ref="C56:D56"/>
    <mergeCell ref="AD23:AE23"/>
    <mergeCell ref="AD26:AE26"/>
    <mergeCell ref="AD25:AE25"/>
    <mergeCell ref="AD30:AE30"/>
    <mergeCell ref="AD27:AE27"/>
    <mergeCell ref="C25:D25"/>
    <mergeCell ref="F25:G25"/>
    <mergeCell ref="O49:P49"/>
    <mergeCell ref="I41:J41"/>
    <mergeCell ref="I24:J24"/>
    <mergeCell ref="L24:M24"/>
    <mergeCell ref="O48:P48"/>
    <mergeCell ref="L40:M40"/>
    <mergeCell ref="O40:P40"/>
    <mergeCell ref="L41:M41"/>
    <mergeCell ref="I48:J48"/>
    <mergeCell ref="I56:J56"/>
    <mergeCell ref="R25:S25"/>
    <mergeCell ref="R32:S32"/>
    <mergeCell ref="R56:S56"/>
    <mergeCell ref="C17:D17"/>
    <mergeCell ref="V11:Y11"/>
    <mergeCell ref="V12:Y12"/>
    <mergeCell ref="V13:Y13"/>
    <mergeCell ref="I25:J25"/>
    <mergeCell ref="L25:M25"/>
    <mergeCell ref="R40:S40"/>
    <mergeCell ref="R41:S41"/>
    <mergeCell ref="R48:S48"/>
    <mergeCell ref="U41:Y41"/>
    <mergeCell ref="L48:M48"/>
    <mergeCell ref="O41:P41"/>
    <mergeCell ref="T16:U16"/>
    <mergeCell ref="V14:Y14"/>
    <mergeCell ref="V15:Y15"/>
    <mergeCell ref="U17:Y17"/>
    <mergeCell ref="U25:Y25"/>
    <mergeCell ref="Q11:S11"/>
    <mergeCell ref="I13:M13"/>
    <mergeCell ref="I14:J14"/>
    <mergeCell ref="W16:X16"/>
    <mergeCell ref="U33:Y33"/>
    <mergeCell ref="O17:P17"/>
    <mergeCell ref="R17:S17"/>
    <mergeCell ref="I32:J32"/>
    <mergeCell ref="F17:G17"/>
    <mergeCell ref="I17:J17"/>
    <mergeCell ref="I49:J49"/>
    <mergeCell ref="L49:M49"/>
    <mergeCell ref="L56:M56"/>
    <mergeCell ref="C64:D64"/>
    <mergeCell ref="C24:D24"/>
    <mergeCell ref="F24:G24"/>
    <mergeCell ref="C48:D48"/>
    <mergeCell ref="F56:G56"/>
    <mergeCell ref="C49:D49"/>
    <mergeCell ref="F49:G49"/>
    <mergeCell ref="F48:G48"/>
    <mergeCell ref="C41:D41"/>
    <mergeCell ref="F41:G41"/>
    <mergeCell ref="L17:M17"/>
    <mergeCell ref="C33:D33"/>
    <mergeCell ref="F33:G33"/>
    <mergeCell ref="I33:J33"/>
    <mergeCell ref="C32:D32"/>
    <mergeCell ref="F32:G32"/>
    <mergeCell ref="L33:M33"/>
    <mergeCell ref="L32:M32"/>
    <mergeCell ref="F40:G40"/>
    <mergeCell ref="U49:Y49"/>
    <mergeCell ref="U57:Y57"/>
    <mergeCell ref="U65:Y65"/>
    <mergeCell ref="AD29:AE29"/>
    <mergeCell ref="R33:S33"/>
    <mergeCell ref="O24:P24"/>
    <mergeCell ref="O25:P25"/>
    <mergeCell ref="O33:P33"/>
    <mergeCell ref="O32:P32"/>
    <mergeCell ref="R24:S24"/>
    <mergeCell ref="R49:S49"/>
    <mergeCell ref="R65:S65"/>
    <mergeCell ref="O57:P57"/>
    <mergeCell ref="O56:P56"/>
    <mergeCell ref="O64:P64"/>
    <mergeCell ref="R64:S64"/>
    <mergeCell ref="AD61:AE61"/>
    <mergeCell ref="AD62:AE62"/>
    <mergeCell ref="AD63:AE63"/>
  </mergeCells>
  <phoneticPr fontId="2" type="noConversion"/>
  <dataValidations count="2">
    <dataValidation allowBlank="1" showInputMessage="1" showErrorMessage="1" promptTitle="Input" prompt="Mode" sqref="T11"/>
    <dataValidation operator="notBetween" allowBlank="1" showInputMessage="1" showErrorMessage="1" sqref="Y16"/>
  </dataValidations>
  <printOptions horizontalCentered="1" verticalCentered="1"/>
  <pageMargins left="0.39370078740157483" right="0" top="0" bottom="0" header="0" footer="0"/>
  <pageSetup paperSize="9" scale="93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967" r:id="rId4" name="Button 783">
              <controlPr defaultSize="0" print="0" autoFill="0" autoPict="0" macro="[0]!CutOFFData">
                <anchor>
                  <from>
                    <xdr:col>13</xdr:col>
                    <xdr:colOff>19050</xdr:colOff>
                    <xdr:row>10</xdr:row>
                    <xdr:rowOff>123825</xdr:rowOff>
                  </from>
                  <to>
                    <xdr:col>13</xdr:col>
                    <xdr:colOff>304800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27" r:id="rId5" name="Button 2791">
              <controlPr defaultSize="0" print="0" autoFill="0" autoPict="0" macro="[0]!ShowUserForm">
                <anchor>
                  <from>
                    <xdr:col>16</xdr:col>
                    <xdr:colOff>19050</xdr:colOff>
                    <xdr:row>11</xdr:row>
                    <xdr:rowOff>9525</xdr:rowOff>
                  </from>
                  <to>
                    <xdr:col>17</xdr:col>
                    <xdr:colOff>9525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29" r:id="rId6" name="Button 2793">
              <controlPr defaultSize="0" print="0" autoFill="0" autoPict="0" macro="[0]!ChangeStructure">
                <anchor>
                  <from>
                    <xdr:col>19</xdr:col>
                    <xdr:colOff>9525</xdr:colOff>
                    <xdr:row>9</xdr:row>
                    <xdr:rowOff>9525</xdr:rowOff>
                  </from>
                  <to>
                    <xdr:col>19</xdr:col>
                    <xdr:colOff>304800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57" r:id="rId7" name="Button 2821">
              <controlPr defaultSize="0" print="0" autoFill="0" autoPict="0" macro="[0]!InputDataSheet">
                <anchor>
                  <from>
                    <xdr:col>17</xdr:col>
                    <xdr:colOff>9525</xdr:colOff>
                    <xdr:row>11</xdr:row>
                    <xdr:rowOff>9525</xdr:rowOff>
                  </from>
                  <to>
                    <xdr:col>18</xdr:col>
                    <xdr:colOff>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58" r:id="rId8" name="Button 2822">
              <controlPr defaultSize="0" print="0" autoFill="0" autoPict="0" macro="[0]!SheetDelete">
                <anchor>
                  <from>
                    <xdr:col>18</xdr:col>
                    <xdr:colOff>0</xdr:colOff>
                    <xdr:row>11</xdr:row>
                    <xdr:rowOff>9525</xdr:rowOff>
                  </from>
                  <to>
                    <xdr:col>18</xdr:col>
                    <xdr:colOff>304800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69" r:id="rId9" name="Button 2833">
              <controlPr defaultSize="0" print="0" autoFill="0" autoPict="0" macro="[0]!FindCurrent">
                <anchor>
                  <from>
                    <xdr:col>19</xdr:col>
                    <xdr:colOff>9525</xdr:colOff>
                    <xdr:row>12</xdr:row>
                    <xdr:rowOff>9525</xdr:rowOff>
                  </from>
                  <to>
                    <xdr:col>19</xdr:col>
                    <xdr:colOff>304800</xdr:colOff>
                    <xdr:row>14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Settings!$AC$22:$AC$23</xm:f>
          </x14:formula1>
          <xm:sqref>V16</xm:sqref>
        </x14:dataValidation>
        <x14:dataValidation type="list" allowBlank="1" showInputMessage="1" showErrorMessage="1">
          <x14:formula1>
            <xm:f>Settings!$B$5:$B$60</xm:f>
          </x14:formula1>
          <xm:sqref>D1:E2</xm:sqref>
        </x14:dataValidation>
        <x14:dataValidation type="list" allowBlank="1" showInputMessage="1" showErrorMessage="1">
          <x14:formula1>
            <xm:f>Settings!$M$4:$U$4</xm:f>
          </x14:formula1>
          <xm:sqref>K11:L11</xm:sqref>
        </x14:dataValidation>
        <x14:dataValidation type="list" allowBlank="1" showInputMessage="1" showErrorMessage="1">
          <x14:formula1>
            <xm:f>Settings!$E$5:$E$60</xm:f>
          </x14:formula1>
          <xm:sqref>Q11:S11</xm:sqref>
        </x14:dataValidation>
        <x14:dataValidation type="list" allowBlank="1" showInputMessage="1" showErrorMessage="1">
          <x14:formula1>
            <xm:f>Settings!$C$5:$C$60</xm:f>
          </x14:formula1>
          <xm:sqref>F1:G2</xm:sqref>
        </x14:dataValidation>
        <x14:dataValidation type="list" allowBlank="1" showInputMessage="1" showErrorMessage="1">
          <x14:formula1>
            <xm:f>Settings!$F$34:$I$34</xm:f>
          </x14:formula1>
          <xm:sqref>AI8:AI88</xm:sqref>
        </x14:dataValidation>
        <x14:dataValidation type="list" allowBlank="1" showInputMessage="1" showErrorMessage="1">
          <x14:formula1>
            <xm:f>Settings!$F$35:$H$35</xm:f>
          </x14:formula1>
          <xm:sqref>AB8:AB88</xm:sqref>
        </x14:dataValidation>
        <x14:dataValidation type="list" allowBlank="1" showInputMessage="1" showErrorMessage="1">
          <x14:formula1>
            <xm:f>Settings!$B$63:$AN$63</xm:f>
          </x14:formula1>
          <xm:sqref>AC8:AC88</xm:sqref>
        </x14:dataValidation>
        <x14:dataValidation type="list" allowBlank="1" showInputMessage="1" showErrorMessage="1">
          <x14:formula1>
            <xm:f>Settings!$AE$21:$AE$60</xm:f>
          </x14:formula1>
          <xm:sqref>AA8:AA88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S88"/>
  <sheetViews>
    <sheetView zoomScaleNormal="100" workbookViewId="0">
      <selection activeCell="D32" sqref="D32:I32"/>
    </sheetView>
  </sheetViews>
  <sheetFormatPr defaultRowHeight="14.25" x14ac:dyDescent="0.2"/>
  <cols>
    <col min="1" max="53" width="4.5546875" style="91" customWidth="1"/>
    <col min="54" max="16384" width="8.88671875" style="91"/>
  </cols>
  <sheetData>
    <row r="1" spans="1:45" x14ac:dyDescent="0.2">
      <c r="A1" s="122" t="s">
        <v>95</v>
      </c>
      <c r="B1" s="285" t="s">
        <v>96</v>
      </c>
      <c r="C1" s="285"/>
      <c r="D1" s="285"/>
      <c r="E1" s="285"/>
      <c r="F1" s="122" t="s">
        <v>95</v>
      </c>
      <c r="G1" s="285" t="s">
        <v>96</v>
      </c>
      <c r="H1" s="285"/>
      <c r="I1" s="285"/>
      <c r="J1" s="285"/>
      <c r="K1" s="122" t="s">
        <v>95</v>
      </c>
      <c r="L1" s="285" t="s">
        <v>96</v>
      </c>
      <c r="M1" s="285"/>
      <c r="N1" s="285"/>
      <c r="O1" s="285"/>
      <c r="P1" s="122" t="s">
        <v>95</v>
      </c>
      <c r="Q1" s="285" t="s">
        <v>96</v>
      </c>
      <c r="R1" s="285"/>
      <c r="S1" s="285"/>
      <c r="T1" s="285"/>
      <c r="U1" s="122" t="s">
        <v>95</v>
      </c>
      <c r="V1" s="285" t="s">
        <v>96</v>
      </c>
      <c r="W1" s="285"/>
      <c r="X1" s="285"/>
      <c r="Y1" s="285"/>
      <c r="Z1" s="122" t="s">
        <v>95</v>
      </c>
      <c r="AA1" s="285" t="s">
        <v>96</v>
      </c>
      <c r="AB1" s="285"/>
      <c r="AC1" s="285"/>
      <c r="AD1" s="285"/>
      <c r="AE1" s="122" t="s">
        <v>95</v>
      </c>
      <c r="AF1" s="285" t="s">
        <v>96</v>
      </c>
      <c r="AG1" s="285"/>
      <c r="AH1" s="285"/>
      <c r="AI1" s="285"/>
      <c r="AJ1" s="122" t="s">
        <v>95</v>
      </c>
      <c r="AK1" s="285" t="s">
        <v>96</v>
      </c>
      <c r="AL1" s="285"/>
      <c r="AM1" s="285"/>
      <c r="AN1" s="285"/>
      <c r="AO1" s="122" t="s">
        <v>95</v>
      </c>
      <c r="AP1" s="285" t="s">
        <v>96</v>
      </c>
      <c r="AQ1" s="285"/>
      <c r="AR1" s="285"/>
      <c r="AS1" s="285"/>
    </row>
    <row r="2" spans="1:45" x14ac:dyDescent="0.2">
      <c r="A2" s="127">
        <v>11</v>
      </c>
      <c r="B2" s="280" t="s">
        <v>235</v>
      </c>
      <c r="C2" s="281"/>
      <c r="D2" s="281"/>
      <c r="E2" s="282"/>
      <c r="F2" s="127">
        <v>21</v>
      </c>
      <c r="G2" s="280" t="s">
        <v>643</v>
      </c>
      <c r="H2" s="281"/>
      <c r="I2" s="281"/>
      <c r="J2" s="282"/>
      <c r="K2" s="127">
        <v>31</v>
      </c>
      <c r="L2" s="280" t="s">
        <v>643</v>
      </c>
      <c r="M2" s="281"/>
      <c r="N2" s="281"/>
      <c r="O2" s="282"/>
      <c r="P2" s="127">
        <v>41</v>
      </c>
      <c r="Q2" s="280" t="s">
        <v>643</v>
      </c>
      <c r="R2" s="281"/>
      <c r="S2" s="281"/>
      <c r="T2" s="282"/>
      <c r="U2" s="127">
        <v>51</v>
      </c>
      <c r="V2" s="280" t="s">
        <v>643</v>
      </c>
      <c r="W2" s="281"/>
      <c r="X2" s="281"/>
      <c r="Y2" s="282"/>
      <c r="Z2" s="126">
        <v>61</v>
      </c>
      <c r="AA2" s="280" t="s">
        <v>137</v>
      </c>
      <c r="AB2" s="281"/>
      <c r="AC2" s="281"/>
      <c r="AD2" s="282"/>
      <c r="AE2" s="126">
        <v>71</v>
      </c>
      <c r="AF2" s="280" t="s">
        <v>137</v>
      </c>
      <c r="AG2" s="281"/>
      <c r="AH2" s="281"/>
      <c r="AI2" s="282"/>
      <c r="AJ2" s="126">
        <v>81</v>
      </c>
      <c r="AK2" s="280" t="s">
        <v>137</v>
      </c>
      <c r="AL2" s="281"/>
      <c r="AM2" s="281"/>
      <c r="AN2" s="282"/>
      <c r="AO2" s="126">
        <v>91</v>
      </c>
      <c r="AP2" s="280" t="s">
        <v>137</v>
      </c>
      <c r="AQ2" s="281"/>
      <c r="AR2" s="281"/>
      <c r="AS2" s="282"/>
    </row>
    <row r="3" spans="1:45" x14ac:dyDescent="0.2">
      <c r="A3" s="127">
        <v>12</v>
      </c>
      <c r="B3" s="280" t="s">
        <v>643</v>
      </c>
      <c r="C3" s="281"/>
      <c r="D3" s="281"/>
      <c r="E3" s="282"/>
      <c r="F3" s="127">
        <v>22</v>
      </c>
      <c r="G3" s="280" t="s">
        <v>643</v>
      </c>
      <c r="H3" s="281"/>
      <c r="I3" s="281"/>
      <c r="J3" s="282"/>
      <c r="K3" s="127">
        <v>32</v>
      </c>
      <c r="L3" s="280" t="s">
        <v>643</v>
      </c>
      <c r="M3" s="281"/>
      <c r="N3" s="281"/>
      <c r="O3" s="282"/>
      <c r="P3" s="127">
        <v>42</v>
      </c>
      <c r="Q3" s="280" t="s">
        <v>644</v>
      </c>
      <c r="R3" s="281"/>
      <c r="S3" s="281"/>
      <c r="T3" s="282"/>
      <c r="U3" s="127">
        <v>52</v>
      </c>
      <c r="V3" s="280" t="s">
        <v>643</v>
      </c>
      <c r="W3" s="281"/>
      <c r="X3" s="281"/>
      <c r="Y3" s="282"/>
      <c r="Z3" s="126">
        <v>62</v>
      </c>
      <c r="AA3" s="280" t="s">
        <v>137</v>
      </c>
      <c r="AB3" s="281"/>
      <c r="AC3" s="281"/>
      <c r="AD3" s="282"/>
      <c r="AE3" s="126">
        <v>72</v>
      </c>
      <c r="AF3" s="280" t="s">
        <v>137</v>
      </c>
      <c r="AG3" s="281"/>
      <c r="AH3" s="281"/>
      <c r="AI3" s="282"/>
      <c r="AJ3" s="126">
        <v>82</v>
      </c>
      <c r="AK3" s="280" t="s">
        <v>137</v>
      </c>
      <c r="AL3" s="281"/>
      <c r="AM3" s="281"/>
      <c r="AN3" s="282"/>
      <c r="AO3" s="126">
        <v>92</v>
      </c>
      <c r="AP3" s="280" t="s">
        <v>137</v>
      </c>
      <c r="AQ3" s="281"/>
      <c r="AR3" s="281"/>
      <c r="AS3" s="282"/>
    </row>
    <row r="4" spans="1:45" x14ac:dyDescent="0.2">
      <c r="A4" s="127">
        <v>13</v>
      </c>
      <c r="B4" s="280" t="s">
        <v>643</v>
      </c>
      <c r="C4" s="281"/>
      <c r="D4" s="281"/>
      <c r="E4" s="282"/>
      <c r="F4" s="127">
        <v>23</v>
      </c>
      <c r="G4" s="280" t="s">
        <v>643</v>
      </c>
      <c r="H4" s="281"/>
      <c r="I4" s="281"/>
      <c r="J4" s="282"/>
      <c r="K4" s="127">
        <v>33</v>
      </c>
      <c r="L4" s="280" t="s">
        <v>643</v>
      </c>
      <c r="M4" s="281"/>
      <c r="N4" s="281"/>
      <c r="O4" s="282"/>
      <c r="P4" s="127">
        <v>43</v>
      </c>
      <c r="Q4" s="280" t="s">
        <v>643</v>
      </c>
      <c r="R4" s="281"/>
      <c r="S4" s="281"/>
      <c r="T4" s="282"/>
      <c r="U4" s="127">
        <v>53</v>
      </c>
      <c r="V4" s="280" t="s">
        <v>643</v>
      </c>
      <c r="W4" s="281"/>
      <c r="X4" s="281"/>
      <c r="Y4" s="282"/>
      <c r="Z4" s="126">
        <v>63</v>
      </c>
      <c r="AA4" s="280" t="s">
        <v>137</v>
      </c>
      <c r="AB4" s="281"/>
      <c r="AC4" s="281"/>
      <c r="AD4" s="282"/>
      <c r="AE4" s="126">
        <v>73</v>
      </c>
      <c r="AF4" s="280" t="s">
        <v>137</v>
      </c>
      <c r="AG4" s="281"/>
      <c r="AH4" s="281"/>
      <c r="AI4" s="282"/>
      <c r="AJ4" s="126">
        <v>83</v>
      </c>
      <c r="AK4" s="280" t="s">
        <v>137</v>
      </c>
      <c r="AL4" s="281"/>
      <c r="AM4" s="281"/>
      <c r="AN4" s="282"/>
      <c r="AO4" s="126">
        <v>93</v>
      </c>
      <c r="AP4" s="280" t="s">
        <v>137</v>
      </c>
      <c r="AQ4" s="281"/>
      <c r="AR4" s="281"/>
      <c r="AS4" s="282"/>
    </row>
    <row r="5" spans="1:45" x14ac:dyDescent="0.2">
      <c r="A5" s="127">
        <v>14</v>
      </c>
      <c r="B5" s="280" t="s">
        <v>235</v>
      </c>
      <c r="C5" s="281"/>
      <c r="D5" s="281"/>
      <c r="E5" s="282"/>
      <c r="F5" s="127">
        <v>24</v>
      </c>
      <c r="G5" s="280" t="s">
        <v>643</v>
      </c>
      <c r="H5" s="281"/>
      <c r="I5" s="281"/>
      <c r="J5" s="282"/>
      <c r="K5" s="127">
        <v>34</v>
      </c>
      <c r="L5" s="280" t="s">
        <v>643</v>
      </c>
      <c r="M5" s="281"/>
      <c r="N5" s="281"/>
      <c r="O5" s="282"/>
      <c r="P5" s="127">
        <v>44</v>
      </c>
      <c r="Q5" s="280" t="s">
        <v>643</v>
      </c>
      <c r="R5" s="281"/>
      <c r="S5" s="281"/>
      <c r="T5" s="282"/>
      <c r="U5" s="127">
        <v>54</v>
      </c>
      <c r="V5" s="280" t="s">
        <v>643</v>
      </c>
      <c r="W5" s="281"/>
      <c r="X5" s="281"/>
      <c r="Y5" s="282"/>
      <c r="Z5" s="126">
        <v>64</v>
      </c>
      <c r="AA5" s="280" t="s">
        <v>137</v>
      </c>
      <c r="AB5" s="281"/>
      <c r="AC5" s="281"/>
      <c r="AD5" s="282"/>
      <c r="AE5" s="126">
        <v>74</v>
      </c>
      <c r="AF5" s="280" t="s">
        <v>137</v>
      </c>
      <c r="AG5" s="281"/>
      <c r="AH5" s="281"/>
      <c r="AI5" s="282"/>
      <c r="AJ5" s="126">
        <v>84</v>
      </c>
      <c r="AK5" s="280" t="s">
        <v>137</v>
      </c>
      <c r="AL5" s="281"/>
      <c r="AM5" s="281"/>
      <c r="AN5" s="282"/>
      <c r="AO5" s="126">
        <v>94</v>
      </c>
      <c r="AP5" s="280" t="s">
        <v>137</v>
      </c>
      <c r="AQ5" s="281"/>
      <c r="AR5" s="281"/>
      <c r="AS5" s="282"/>
    </row>
    <row r="6" spans="1:45" x14ac:dyDescent="0.2">
      <c r="A6" s="127">
        <v>15</v>
      </c>
      <c r="B6" s="280" t="s">
        <v>643</v>
      </c>
      <c r="C6" s="281"/>
      <c r="D6" s="281"/>
      <c r="E6" s="282"/>
      <c r="F6" s="127">
        <v>25</v>
      </c>
      <c r="G6" s="280" t="s">
        <v>643</v>
      </c>
      <c r="H6" s="281"/>
      <c r="I6" s="281"/>
      <c r="J6" s="282"/>
      <c r="K6" s="127">
        <v>35</v>
      </c>
      <c r="L6" s="280" t="s">
        <v>643</v>
      </c>
      <c r="M6" s="281"/>
      <c r="N6" s="281"/>
      <c r="O6" s="282"/>
      <c r="P6" s="127">
        <v>45</v>
      </c>
      <c r="Q6" s="280" t="s">
        <v>643</v>
      </c>
      <c r="R6" s="281"/>
      <c r="S6" s="281"/>
      <c r="T6" s="282"/>
      <c r="U6" s="127">
        <v>55</v>
      </c>
      <c r="V6" s="280" t="s">
        <v>643</v>
      </c>
      <c r="W6" s="281"/>
      <c r="X6" s="281"/>
      <c r="Y6" s="282"/>
      <c r="Z6" s="126">
        <v>65</v>
      </c>
      <c r="AA6" s="280" t="s">
        <v>137</v>
      </c>
      <c r="AB6" s="281"/>
      <c r="AC6" s="281"/>
      <c r="AD6" s="282"/>
      <c r="AE6" s="126">
        <v>75</v>
      </c>
      <c r="AF6" s="280" t="s">
        <v>137</v>
      </c>
      <c r="AG6" s="281"/>
      <c r="AH6" s="281"/>
      <c r="AI6" s="282"/>
      <c r="AJ6" s="126">
        <v>85</v>
      </c>
      <c r="AK6" s="280" t="s">
        <v>137</v>
      </c>
      <c r="AL6" s="281"/>
      <c r="AM6" s="281"/>
      <c r="AN6" s="282"/>
      <c r="AO6" s="126">
        <v>95</v>
      </c>
      <c r="AP6" s="280" t="s">
        <v>137</v>
      </c>
      <c r="AQ6" s="281"/>
      <c r="AR6" s="281"/>
      <c r="AS6" s="282"/>
    </row>
    <row r="7" spans="1:45" x14ac:dyDescent="0.2">
      <c r="A7" s="126">
        <v>16</v>
      </c>
      <c r="B7" s="280" t="s">
        <v>643</v>
      </c>
      <c r="C7" s="281"/>
      <c r="D7" s="281"/>
      <c r="E7" s="282"/>
      <c r="F7" s="126">
        <v>26</v>
      </c>
      <c r="G7" s="280" t="s">
        <v>644</v>
      </c>
      <c r="H7" s="281"/>
      <c r="I7" s="281"/>
      <c r="J7" s="282"/>
      <c r="K7" s="126">
        <v>36</v>
      </c>
      <c r="L7" s="280" t="s">
        <v>644</v>
      </c>
      <c r="M7" s="281"/>
      <c r="N7" s="281"/>
      <c r="O7" s="282"/>
      <c r="P7" s="126">
        <v>46</v>
      </c>
      <c r="Q7" s="280" t="s">
        <v>643</v>
      </c>
      <c r="R7" s="281"/>
      <c r="S7" s="281"/>
      <c r="T7" s="282"/>
      <c r="U7" s="126">
        <v>56</v>
      </c>
      <c r="V7" s="280" t="s">
        <v>643</v>
      </c>
      <c r="W7" s="281"/>
      <c r="X7" s="281"/>
      <c r="Y7" s="282"/>
      <c r="Z7" s="126">
        <v>66</v>
      </c>
      <c r="AA7" s="280" t="s">
        <v>137</v>
      </c>
      <c r="AB7" s="281"/>
      <c r="AC7" s="281"/>
      <c r="AD7" s="282"/>
      <c r="AE7" s="126">
        <v>76</v>
      </c>
      <c r="AF7" s="280" t="s">
        <v>137</v>
      </c>
      <c r="AG7" s="281"/>
      <c r="AH7" s="281"/>
      <c r="AI7" s="282"/>
      <c r="AJ7" s="126">
        <v>86</v>
      </c>
      <c r="AK7" s="280" t="s">
        <v>137</v>
      </c>
      <c r="AL7" s="281"/>
      <c r="AM7" s="281"/>
      <c r="AN7" s="282"/>
      <c r="AO7" s="126">
        <v>96</v>
      </c>
      <c r="AP7" s="280" t="s">
        <v>137</v>
      </c>
      <c r="AQ7" s="281"/>
      <c r="AR7" s="281"/>
      <c r="AS7" s="282"/>
    </row>
    <row r="8" spans="1:45" x14ac:dyDescent="0.2">
      <c r="A8" s="286"/>
      <c r="B8" s="287"/>
      <c r="C8" s="288"/>
      <c r="D8" s="295" t="s">
        <v>660</v>
      </c>
      <c r="E8" s="296"/>
      <c r="F8" s="296"/>
      <c r="G8" s="296"/>
      <c r="H8" s="296"/>
      <c r="I8" s="297"/>
    </row>
    <row r="9" spans="1:45" ht="15" customHeight="1" x14ac:dyDescent="0.2">
      <c r="A9" s="289"/>
      <c r="B9" s="290"/>
      <c r="C9" s="291"/>
      <c r="D9" s="127">
        <v>11</v>
      </c>
      <c r="E9" s="127">
        <v>12</v>
      </c>
      <c r="F9" s="127">
        <v>13</v>
      </c>
      <c r="G9" s="127">
        <v>14</v>
      </c>
      <c r="H9" s="127">
        <v>15</v>
      </c>
      <c r="I9" s="126">
        <v>16</v>
      </c>
    </row>
    <row r="10" spans="1:45" ht="15" customHeight="1" x14ac:dyDescent="0.2">
      <c r="A10" s="289"/>
      <c r="B10" s="290"/>
      <c r="C10" s="291"/>
      <c r="D10" s="127">
        <v>21</v>
      </c>
      <c r="E10" s="127">
        <v>22</v>
      </c>
      <c r="F10" s="127">
        <v>23</v>
      </c>
      <c r="G10" s="127">
        <v>24</v>
      </c>
      <c r="H10" s="127">
        <v>25</v>
      </c>
      <c r="I10" s="126">
        <v>26</v>
      </c>
    </row>
    <row r="11" spans="1:45" ht="15" customHeight="1" x14ac:dyDescent="0.2">
      <c r="A11" s="289"/>
      <c r="B11" s="290"/>
      <c r="C11" s="291"/>
      <c r="D11" s="127">
        <v>31</v>
      </c>
      <c r="E11" s="127">
        <v>32</v>
      </c>
      <c r="F11" s="127">
        <v>33</v>
      </c>
      <c r="G11" s="127">
        <v>34</v>
      </c>
      <c r="H11" s="127">
        <v>35</v>
      </c>
      <c r="I11" s="126">
        <v>36</v>
      </c>
    </row>
    <row r="12" spans="1:45" ht="15" customHeight="1" x14ac:dyDescent="0.2">
      <c r="A12" s="289"/>
      <c r="B12" s="290"/>
      <c r="C12" s="291"/>
      <c r="D12" s="127">
        <v>41</v>
      </c>
      <c r="E12" s="127">
        <v>42</v>
      </c>
      <c r="F12" s="127">
        <v>43</v>
      </c>
      <c r="G12" s="127">
        <v>44</v>
      </c>
      <c r="H12" s="127">
        <v>45</v>
      </c>
      <c r="I12" s="126">
        <v>46</v>
      </c>
    </row>
    <row r="13" spans="1:45" ht="15" customHeight="1" x14ac:dyDescent="0.2">
      <c r="A13" s="289"/>
      <c r="B13" s="290"/>
      <c r="C13" s="291"/>
      <c r="D13" s="127">
        <v>51</v>
      </c>
      <c r="E13" s="127">
        <v>52</v>
      </c>
      <c r="F13" s="127">
        <v>53</v>
      </c>
      <c r="G13" s="127">
        <v>54</v>
      </c>
      <c r="H13" s="127">
        <v>55</v>
      </c>
      <c r="I13" s="126">
        <v>56</v>
      </c>
    </row>
    <row r="14" spans="1:45" ht="15" customHeight="1" x14ac:dyDescent="0.2">
      <c r="A14" s="289"/>
      <c r="B14" s="290"/>
      <c r="C14" s="291"/>
      <c r="D14" s="126">
        <v>61</v>
      </c>
      <c r="E14" s="126">
        <v>62</v>
      </c>
      <c r="F14" s="126">
        <v>63</v>
      </c>
      <c r="G14" s="126">
        <v>64</v>
      </c>
      <c r="H14" s="126">
        <v>65</v>
      </c>
      <c r="I14" s="126">
        <v>66</v>
      </c>
    </row>
    <row r="15" spans="1:45" ht="15" customHeight="1" x14ac:dyDescent="0.2">
      <c r="A15" s="289"/>
      <c r="B15" s="290"/>
      <c r="C15" s="291"/>
      <c r="D15" s="126">
        <v>71</v>
      </c>
      <c r="E15" s="126">
        <v>72</v>
      </c>
      <c r="F15" s="126">
        <v>73</v>
      </c>
      <c r="G15" s="126">
        <v>74</v>
      </c>
      <c r="H15" s="126">
        <v>75</v>
      </c>
      <c r="I15" s="126">
        <v>76</v>
      </c>
    </row>
    <row r="16" spans="1:45" ht="15" customHeight="1" x14ac:dyDescent="0.2">
      <c r="A16" s="289"/>
      <c r="B16" s="290"/>
      <c r="C16" s="291"/>
      <c r="D16" s="126">
        <v>81</v>
      </c>
      <c r="E16" s="126">
        <v>82</v>
      </c>
      <c r="F16" s="126">
        <v>83</v>
      </c>
      <c r="G16" s="126">
        <v>84</v>
      </c>
      <c r="H16" s="126">
        <v>85</v>
      </c>
      <c r="I16" s="126">
        <v>86</v>
      </c>
    </row>
    <row r="17" spans="1:19" ht="15" customHeight="1" x14ac:dyDescent="0.2">
      <c r="A17" s="292"/>
      <c r="B17" s="293"/>
      <c r="C17" s="294"/>
      <c r="D17" s="126">
        <v>91</v>
      </c>
      <c r="E17" s="126">
        <v>92</v>
      </c>
      <c r="F17" s="126">
        <v>93</v>
      </c>
      <c r="G17" s="126">
        <v>94</v>
      </c>
      <c r="H17" s="126">
        <v>95</v>
      </c>
      <c r="I17" s="126">
        <v>96</v>
      </c>
    </row>
    <row r="18" spans="1:19" ht="13.5" customHeight="1" x14ac:dyDescent="0.2">
      <c r="A18" s="283"/>
      <c r="B18" s="283"/>
      <c r="C18" s="283"/>
      <c r="D18" s="283" t="s">
        <v>665</v>
      </c>
      <c r="E18" s="283"/>
      <c r="F18" s="283"/>
      <c r="G18" s="283"/>
      <c r="H18" s="283"/>
      <c r="I18" s="283"/>
      <c r="J18" s="123"/>
      <c r="K18" s="123"/>
      <c r="L18" s="123"/>
      <c r="M18" s="123"/>
      <c r="N18" s="123"/>
      <c r="O18" s="123"/>
      <c r="P18" s="123"/>
      <c r="Q18" s="123"/>
      <c r="R18" s="123"/>
      <c r="S18" s="123"/>
    </row>
    <row r="19" spans="1:19" ht="13.5" customHeight="1" x14ac:dyDescent="0.2">
      <c r="A19" s="283"/>
      <c r="B19" s="283"/>
      <c r="C19" s="283"/>
      <c r="D19" s="283"/>
      <c r="E19" s="283"/>
      <c r="F19" s="283"/>
      <c r="G19" s="283"/>
      <c r="H19" s="283"/>
      <c r="I19" s="283"/>
      <c r="J19" s="123"/>
      <c r="K19" s="123"/>
      <c r="L19" s="123"/>
      <c r="M19" s="123"/>
      <c r="N19" s="123"/>
      <c r="O19" s="123"/>
      <c r="P19" s="123"/>
      <c r="Q19" s="123"/>
      <c r="R19" s="123"/>
      <c r="S19" s="123"/>
    </row>
    <row r="20" spans="1:19" ht="13.5" customHeight="1" x14ac:dyDescent="0.2">
      <c r="A20" s="283"/>
      <c r="B20" s="283"/>
      <c r="C20" s="283"/>
      <c r="D20" s="283"/>
      <c r="E20" s="283"/>
      <c r="F20" s="283"/>
      <c r="G20" s="283"/>
      <c r="H20" s="283"/>
      <c r="I20" s="283"/>
      <c r="J20" s="123"/>
      <c r="K20" s="123"/>
      <c r="L20" s="123"/>
      <c r="M20" s="123"/>
      <c r="N20" s="123"/>
      <c r="O20" s="123"/>
      <c r="P20" s="123"/>
      <c r="Q20" s="123"/>
      <c r="R20" s="123"/>
      <c r="S20" s="123"/>
    </row>
    <row r="21" spans="1:19" ht="13.5" customHeight="1" x14ac:dyDescent="0.2">
      <c r="A21" s="283"/>
      <c r="B21" s="283"/>
      <c r="C21" s="283"/>
      <c r="D21" s="283"/>
      <c r="E21" s="283"/>
      <c r="F21" s="283"/>
      <c r="G21" s="283"/>
      <c r="H21" s="283"/>
      <c r="I21" s="283"/>
      <c r="J21" s="123"/>
      <c r="K21" s="123"/>
      <c r="L21" s="123"/>
      <c r="M21" s="123"/>
      <c r="N21" s="123"/>
      <c r="O21" s="123"/>
      <c r="P21" s="123"/>
      <c r="Q21" s="123"/>
      <c r="R21" s="123"/>
      <c r="S21" s="123"/>
    </row>
    <row r="22" spans="1:19" ht="13.5" customHeight="1" x14ac:dyDescent="0.2">
      <c r="A22" s="283"/>
      <c r="B22" s="283"/>
      <c r="C22" s="283"/>
      <c r="D22" s="283"/>
      <c r="E22" s="283"/>
      <c r="F22" s="283"/>
      <c r="G22" s="283"/>
      <c r="H22" s="283"/>
      <c r="I22" s="283"/>
      <c r="J22" s="123"/>
      <c r="K22" s="123"/>
      <c r="L22" s="123"/>
      <c r="M22" s="123"/>
      <c r="N22" s="123"/>
      <c r="O22" s="123"/>
      <c r="P22" s="123"/>
      <c r="Q22" s="123"/>
      <c r="R22" s="123"/>
      <c r="S22" s="123"/>
    </row>
    <row r="23" spans="1:19" ht="13.5" customHeight="1" x14ac:dyDescent="0.2">
      <c r="A23" s="283"/>
      <c r="B23" s="283"/>
      <c r="C23" s="283"/>
      <c r="D23" s="283"/>
      <c r="E23" s="283"/>
      <c r="F23" s="283"/>
      <c r="G23" s="283"/>
      <c r="H23" s="283"/>
      <c r="I23" s="283"/>
      <c r="J23" s="123"/>
      <c r="K23" s="123"/>
      <c r="L23" s="123"/>
      <c r="M23" s="123"/>
      <c r="N23" s="123"/>
      <c r="O23" s="123"/>
      <c r="P23" s="123"/>
      <c r="Q23" s="123"/>
      <c r="R23" s="123"/>
      <c r="S23" s="123"/>
    </row>
    <row r="24" spans="1:19" ht="13.5" customHeight="1" x14ac:dyDescent="0.2">
      <c r="A24" s="283"/>
      <c r="B24" s="283"/>
      <c r="C24" s="283"/>
      <c r="D24" s="283"/>
      <c r="E24" s="283"/>
      <c r="F24" s="283"/>
      <c r="G24" s="283"/>
      <c r="H24" s="283"/>
      <c r="I24" s="283"/>
      <c r="J24" s="123"/>
      <c r="K24" s="123"/>
      <c r="L24" s="123"/>
      <c r="M24" s="123"/>
      <c r="N24" s="123"/>
      <c r="O24" s="123"/>
      <c r="P24" s="123"/>
      <c r="Q24" s="123"/>
      <c r="R24" s="123"/>
      <c r="S24" s="123"/>
    </row>
    <row r="25" spans="1:19" ht="13.5" customHeight="1" x14ac:dyDescent="0.2">
      <c r="A25" s="283"/>
      <c r="B25" s="283"/>
      <c r="C25" s="283"/>
      <c r="D25" s="283"/>
      <c r="E25" s="283"/>
      <c r="F25" s="283"/>
      <c r="G25" s="283"/>
      <c r="H25" s="283"/>
      <c r="I25" s="283"/>
      <c r="J25" s="123"/>
      <c r="K25" s="123"/>
      <c r="L25" s="123"/>
      <c r="M25" s="123"/>
      <c r="N25" s="123"/>
      <c r="O25" s="123"/>
      <c r="P25" s="123"/>
      <c r="Q25" s="123"/>
      <c r="R25" s="123"/>
      <c r="S25" s="123"/>
    </row>
    <row r="26" spans="1:19" ht="13.5" customHeight="1" x14ac:dyDescent="0.2">
      <c r="A26" s="284" t="s">
        <v>131</v>
      </c>
      <c r="B26" s="284"/>
      <c r="C26" s="284" t="s">
        <v>132</v>
      </c>
      <c r="D26" s="284" t="s">
        <v>133</v>
      </c>
      <c r="E26" s="284"/>
      <c r="F26" s="284"/>
      <c r="G26" s="284"/>
      <c r="H26" s="284"/>
      <c r="I26" s="284"/>
      <c r="J26" s="123"/>
      <c r="K26" s="123"/>
      <c r="L26" s="123"/>
      <c r="M26" s="123"/>
      <c r="N26" s="123"/>
      <c r="O26" s="123"/>
      <c r="P26" s="123"/>
      <c r="Q26" s="123"/>
      <c r="R26" s="123"/>
      <c r="S26" s="123"/>
    </row>
    <row r="27" spans="1:19" ht="13.5" customHeight="1" x14ac:dyDescent="0.2">
      <c r="A27" s="284"/>
      <c r="B27" s="284"/>
      <c r="C27" s="284"/>
      <c r="D27" s="284"/>
      <c r="E27" s="284"/>
      <c r="F27" s="284"/>
      <c r="G27" s="284"/>
      <c r="H27" s="284"/>
      <c r="I27" s="284"/>
      <c r="J27" s="123"/>
      <c r="K27" s="123"/>
      <c r="L27" s="123"/>
      <c r="M27" s="123"/>
      <c r="N27" s="123"/>
      <c r="O27" s="123"/>
      <c r="P27" s="123"/>
      <c r="Q27" s="123"/>
      <c r="R27" s="123"/>
      <c r="S27" s="123"/>
    </row>
    <row r="28" spans="1:19" ht="13.5" customHeight="1" x14ac:dyDescent="0.2">
      <c r="A28" s="298"/>
      <c r="B28" s="299"/>
      <c r="C28" s="124"/>
      <c r="D28" s="278"/>
      <c r="E28" s="278"/>
      <c r="F28" s="278"/>
      <c r="G28" s="278"/>
      <c r="H28" s="278"/>
      <c r="I28" s="278"/>
      <c r="J28" s="123"/>
      <c r="K28" s="123"/>
      <c r="L28" s="123"/>
      <c r="M28" s="123"/>
      <c r="N28" s="123"/>
      <c r="O28" s="123"/>
      <c r="P28" s="123"/>
      <c r="Q28" s="123"/>
      <c r="R28" s="123"/>
      <c r="S28" s="123"/>
    </row>
    <row r="29" spans="1:19" ht="13.5" customHeight="1" x14ac:dyDescent="0.2">
      <c r="A29" s="298"/>
      <c r="B29" s="299"/>
      <c r="C29" s="124"/>
      <c r="D29" s="278"/>
      <c r="E29" s="278"/>
      <c r="F29" s="278"/>
      <c r="G29" s="278"/>
      <c r="H29" s="278"/>
      <c r="I29" s="278"/>
      <c r="J29" s="123"/>
      <c r="K29" s="123"/>
      <c r="L29" s="123"/>
      <c r="M29" s="123"/>
      <c r="N29" s="123"/>
      <c r="O29" s="123"/>
      <c r="P29" s="123"/>
      <c r="Q29" s="123"/>
      <c r="R29" s="123"/>
      <c r="S29" s="123"/>
    </row>
    <row r="30" spans="1:19" x14ac:dyDescent="0.2">
      <c r="A30" s="298"/>
      <c r="B30" s="299"/>
      <c r="C30" s="124"/>
      <c r="D30" s="278"/>
      <c r="E30" s="278"/>
      <c r="F30" s="278"/>
      <c r="G30" s="278"/>
      <c r="H30" s="278"/>
      <c r="I30" s="278"/>
      <c r="J30" s="123"/>
      <c r="K30" s="123"/>
      <c r="L30" s="123"/>
      <c r="M30" s="123"/>
      <c r="N30" s="123"/>
      <c r="O30" s="123"/>
      <c r="P30" s="123"/>
      <c r="Q30" s="123"/>
      <c r="R30" s="123"/>
      <c r="S30" s="123"/>
    </row>
    <row r="31" spans="1:19" x14ac:dyDescent="0.2">
      <c r="A31" s="298"/>
      <c r="B31" s="299"/>
      <c r="C31" s="124"/>
      <c r="D31" s="278"/>
      <c r="E31" s="278"/>
      <c r="F31" s="278"/>
      <c r="G31" s="278"/>
      <c r="H31" s="278"/>
      <c r="I31" s="278"/>
      <c r="J31" s="123"/>
      <c r="K31" s="123"/>
      <c r="L31" s="123"/>
      <c r="M31" s="123"/>
      <c r="N31" s="123"/>
      <c r="O31" s="123"/>
      <c r="P31" s="123"/>
      <c r="Q31" s="123"/>
      <c r="R31" s="123"/>
      <c r="S31" s="123"/>
    </row>
    <row r="32" spans="1:19" x14ac:dyDescent="0.2">
      <c r="A32" s="298"/>
      <c r="B32" s="299"/>
      <c r="C32" s="124"/>
      <c r="D32" s="278"/>
      <c r="E32" s="278"/>
      <c r="F32" s="278"/>
      <c r="G32" s="278"/>
      <c r="H32" s="278"/>
      <c r="I32" s="278"/>
      <c r="J32" s="123"/>
      <c r="K32" s="123"/>
      <c r="L32" s="123"/>
      <c r="M32" s="123"/>
      <c r="N32" s="123"/>
      <c r="O32" s="123"/>
      <c r="P32" s="123"/>
      <c r="Q32" s="123"/>
      <c r="R32" s="123"/>
      <c r="S32" s="123"/>
    </row>
    <row r="33" spans="1:19" x14ac:dyDescent="0.2">
      <c r="A33" s="298"/>
      <c r="B33" s="299"/>
      <c r="C33" s="125"/>
      <c r="D33" s="279"/>
      <c r="E33" s="279"/>
      <c r="F33" s="279"/>
      <c r="G33" s="279"/>
      <c r="H33" s="279"/>
      <c r="I33" s="279"/>
    </row>
    <row r="34" spans="1:19" x14ac:dyDescent="0.2">
      <c r="A34" s="298"/>
      <c r="B34" s="299"/>
      <c r="C34" s="124"/>
      <c r="D34" s="278"/>
      <c r="E34" s="278"/>
      <c r="F34" s="278"/>
      <c r="G34" s="278"/>
      <c r="H34" s="278"/>
      <c r="I34" s="278"/>
      <c r="J34" s="123"/>
      <c r="K34" s="123"/>
      <c r="L34" s="123"/>
      <c r="M34" s="123"/>
      <c r="N34" s="123"/>
      <c r="O34" s="123"/>
      <c r="P34" s="123"/>
      <c r="Q34" s="123"/>
      <c r="R34" s="123"/>
      <c r="S34" s="123"/>
    </row>
    <row r="35" spans="1:19" x14ac:dyDescent="0.2">
      <c r="A35" s="298"/>
      <c r="B35" s="299"/>
      <c r="C35" s="124"/>
      <c r="D35" s="278"/>
      <c r="E35" s="278"/>
      <c r="F35" s="278"/>
      <c r="G35" s="278"/>
      <c r="H35" s="278"/>
      <c r="I35" s="278"/>
      <c r="J35" s="123"/>
      <c r="K35" s="123"/>
      <c r="L35" s="123"/>
      <c r="M35" s="123"/>
      <c r="N35" s="123"/>
      <c r="O35" s="123"/>
      <c r="P35" s="123"/>
      <c r="Q35" s="123"/>
      <c r="R35" s="123"/>
      <c r="S35" s="123"/>
    </row>
    <row r="36" spans="1:19" x14ac:dyDescent="0.2">
      <c r="A36" s="298"/>
      <c r="B36" s="299"/>
      <c r="C36" s="124"/>
      <c r="D36" s="278"/>
      <c r="E36" s="278"/>
      <c r="F36" s="278"/>
      <c r="G36" s="278"/>
      <c r="H36" s="278"/>
      <c r="I36" s="278"/>
      <c r="J36" s="123"/>
      <c r="K36" s="123"/>
      <c r="L36" s="123"/>
      <c r="M36" s="123"/>
      <c r="N36" s="123"/>
      <c r="O36" s="123"/>
      <c r="P36" s="123"/>
      <c r="Q36" s="123"/>
      <c r="R36" s="123"/>
      <c r="S36" s="123"/>
    </row>
    <row r="37" spans="1:19" x14ac:dyDescent="0.2">
      <c r="A37" s="298"/>
      <c r="B37" s="299"/>
      <c r="C37" s="124"/>
      <c r="D37" s="278"/>
      <c r="E37" s="278"/>
      <c r="F37" s="278"/>
      <c r="G37" s="278"/>
      <c r="H37" s="278"/>
      <c r="I37" s="278"/>
      <c r="J37" s="123"/>
      <c r="K37" s="123"/>
      <c r="L37" s="123"/>
      <c r="M37" s="123"/>
      <c r="N37" s="123"/>
      <c r="O37" s="123"/>
      <c r="P37" s="123"/>
      <c r="Q37" s="123"/>
      <c r="R37" s="123"/>
      <c r="S37" s="123"/>
    </row>
    <row r="38" spans="1:19" x14ac:dyDescent="0.2">
      <c r="A38" s="298"/>
      <c r="B38" s="299"/>
      <c r="C38" s="124"/>
      <c r="D38" s="278"/>
      <c r="E38" s="278"/>
      <c r="F38" s="278"/>
      <c r="G38" s="278"/>
      <c r="H38" s="278"/>
      <c r="I38" s="278"/>
      <c r="J38" s="123"/>
      <c r="K38" s="123"/>
      <c r="L38" s="123"/>
      <c r="M38" s="123"/>
      <c r="N38" s="123"/>
      <c r="O38" s="123"/>
      <c r="P38" s="123"/>
      <c r="Q38" s="123"/>
      <c r="R38" s="123"/>
      <c r="S38" s="123"/>
    </row>
    <row r="39" spans="1:19" x14ac:dyDescent="0.2">
      <c r="A39" s="298"/>
      <c r="B39" s="299"/>
      <c r="C39" s="124"/>
      <c r="D39" s="278"/>
      <c r="E39" s="278"/>
      <c r="F39" s="278"/>
      <c r="G39" s="278"/>
      <c r="H39" s="278"/>
      <c r="I39" s="278"/>
      <c r="J39" s="123"/>
      <c r="K39" s="123"/>
      <c r="L39" s="123"/>
      <c r="M39" s="123"/>
      <c r="N39" s="123"/>
      <c r="O39" s="123"/>
      <c r="P39" s="123"/>
      <c r="Q39" s="123"/>
      <c r="R39" s="123"/>
      <c r="S39" s="123"/>
    </row>
    <row r="40" spans="1:19" x14ac:dyDescent="0.2">
      <c r="A40" s="298"/>
      <c r="B40" s="299"/>
      <c r="C40" s="124"/>
      <c r="D40" s="278"/>
      <c r="E40" s="278"/>
      <c r="F40" s="278"/>
      <c r="G40" s="278"/>
      <c r="H40" s="278"/>
      <c r="I40" s="278"/>
      <c r="J40" s="123"/>
      <c r="K40" s="123"/>
      <c r="L40" s="123"/>
      <c r="M40" s="123"/>
      <c r="N40" s="123"/>
      <c r="O40" s="123"/>
      <c r="P40" s="123"/>
      <c r="Q40" s="123"/>
      <c r="R40" s="123"/>
      <c r="S40" s="123"/>
    </row>
    <row r="41" spans="1:19" x14ac:dyDescent="0.2">
      <c r="A41" s="298"/>
      <c r="B41" s="299"/>
      <c r="C41" s="125"/>
      <c r="D41" s="279"/>
      <c r="E41" s="279"/>
      <c r="F41" s="279"/>
      <c r="G41" s="279"/>
      <c r="H41" s="279"/>
      <c r="I41" s="279"/>
    </row>
    <row r="42" spans="1:19" x14ac:dyDescent="0.2">
      <c r="A42" s="298"/>
      <c r="B42" s="299"/>
      <c r="C42" s="124"/>
      <c r="D42" s="278"/>
      <c r="E42" s="278"/>
      <c r="F42" s="278"/>
      <c r="G42" s="278"/>
      <c r="H42" s="278"/>
      <c r="I42" s="278"/>
      <c r="J42" s="123"/>
      <c r="K42" s="123"/>
      <c r="L42" s="123"/>
      <c r="M42" s="123"/>
      <c r="N42" s="123"/>
      <c r="O42" s="123"/>
      <c r="P42" s="123"/>
      <c r="Q42" s="123"/>
      <c r="R42" s="123"/>
      <c r="S42" s="123"/>
    </row>
    <row r="43" spans="1:19" x14ac:dyDescent="0.2">
      <c r="A43" s="298"/>
      <c r="B43" s="299"/>
      <c r="C43" s="124"/>
      <c r="D43" s="278"/>
      <c r="E43" s="278"/>
      <c r="F43" s="278"/>
      <c r="G43" s="278"/>
      <c r="H43" s="278"/>
      <c r="I43" s="278"/>
      <c r="J43" s="123"/>
      <c r="K43" s="123"/>
      <c r="L43" s="123"/>
      <c r="M43" s="123"/>
      <c r="N43" s="123"/>
      <c r="O43" s="123"/>
      <c r="P43" s="123"/>
      <c r="Q43" s="123"/>
      <c r="R43" s="123"/>
      <c r="S43" s="123"/>
    </row>
    <row r="44" spans="1:19" x14ac:dyDescent="0.2">
      <c r="A44" s="298"/>
      <c r="B44" s="299"/>
      <c r="C44" s="124"/>
      <c r="D44" s="278"/>
      <c r="E44" s="278"/>
      <c r="F44" s="278"/>
      <c r="G44" s="278"/>
      <c r="H44" s="278"/>
      <c r="I44" s="278"/>
      <c r="J44" s="123"/>
      <c r="K44" s="123"/>
      <c r="L44" s="123"/>
      <c r="M44" s="123"/>
      <c r="N44" s="123"/>
      <c r="O44" s="123"/>
      <c r="P44" s="123"/>
      <c r="Q44" s="123"/>
      <c r="R44" s="123"/>
      <c r="S44" s="123"/>
    </row>
    <row r="45" spans="1:19" x14ac:dyDescent="0.2">
      <c r="A45" s="298"/>
      <c r="B45" s="299"/>
      <c r="C45" s="124"/>
      <c r="D45" s="278"/>
      <c r="E45" s="278"/>
      <c r="F45" s="278"/>
      <c r="G45" s="278"/>
      <c r="H45" s="278"/>
      <c r="I45" s="278"/>
      <c r="J45" s="123"/>
      <c r="K45" s="123"/>
      <c r="L45" s="123"/>
      <c r="M45" s="123"/>
      <c r="N45" s="123"/>
      <c r="O45" s="123"/>
      <c r="P45" s="123"/>
      <c r="Q45" s="123"/>
      <c r="R45" s="123"/>
      <c r="S45" s="123"/>
    </row>
    <row r="46" spans="1:19" x14ac:dyDescent="0.2">
      <c r="A46" s="298"/>
      <c r="B46" s="299"/>
      <c r="C46" s="124"/>
      <c r="D46" s="278"/>
      <c r="E46" s="278"/>
      <c r="F46" s="278"/>
      <c r="G46" s="278"/>
      <c r="H46" s="278"/>
      <c r="I46" s="278"/>
      <c r="J46" s="123"/>
      <c r="K46" s="123"/>
      <c r="L46" s="123"/>
      <c r="M46" s="123"/>
      <c r="N46" s="123"/>
      <c r="O46" s="123"/>
      <c r="P46" s="123"/>
      <c r="Q46" s="123"/>
      <c r="R46" s="123"/>
      <c r="S46" s="123"/>
    </row>
    <row r="47" spans="1:19" x14ac:dyDescent="0.2">
      <c r="A47" s="298"/>
      <c r="B47" s="299"/>
      <c r="C47" s="124"/>
      <c r="D47" s="278"/>
      <c r="E47" s="278"/>
      <c r="F47" s="278"/>
      <c r="G47" s="278"/>
      <c r="H47" s="278"/>
      <c r="I47" s="278"/>
      <c r="J47" s="123"/>
      <c r="K47" s="123"/>
      <c r="L47" s="123"/>
      <c r="M47" s="123"/>
      <c r="N47" s="123"/>
      <c r="O47" s="123"/>
      <c r="P47" s="123"/>
      <c r="Q47" s="123"/>
      <c r="R47" s="123"/>
      <c r="S47" s="123"/>
    </row>
    <row r="48" spans="1:19" x14ac:dyDescent="0.2">
      <c r="A48" s="298"/>
      <c r="B48" s="299"/>
      <c r="C48" s="124"/>
      <c r="D48" s="278"/>
      <c r="E48" s="278"/>
      <c r="F48" s="278"/>
      <c r="G48" s="278"/>
      <c r="H48" s="278"/>
      <c r="I48" s="278"/>
      <c r="J48" s="123"/>
      <c r="K48" s="123"/>
      <c r="L48" s="123"/>
      <c r="M48" s="123"/>
      <c r="N48" s="123"/>
      <c r="O48" s="123"/>
      <c r="P48" s="123"/>
      <c r="Q48" s="123"/>
      <c r="R48" s="123"/>
      <c r="S48" s="123"/>
    </row>
    <row r="49" spans="1:45" x14ac:dyDescent="0.2">
      <c r="A49" s="298"/>
      <c r="B49" s="299"/>
      <c r="C49" s="125"/>
      <c r="D49" s="279"/>
      <c r="E49" s="279"/>
      <c r="F49" s="279"/>
      <c r="G49" s="279"/>
      <c r="H49" s="279"/>
      <c r="I49" s="279"/>
    </row>
    <row r="50" spans="1:45" x14ac:dyDescent="0.2">
      <c r="A50" s="298"/>
      <c r="B50" s="299"/>
      <c r="C50" s="124"/>
      <c r="D50" s="278"/>
      <c r="E50" s="278"/>
      <c r="F50" s="278"/>
      <c r="G50" s="278"/>
      <c r="H50" s="278"/>
      <c r="I50" s="278"/>
      <c r="J50" s="123"/>
      <c r="K50" s="123"/>
      <c r="L50" s="123"/>
      <c r="M50" s="123"/>
      <c r="N50" s="123"/>
      <c r="O50" s="123"/>
      <c r="P50" s="123"/>
      <c r="Q50" s="123"/>
      <c r="R50" s="123"/>
      <c r="S50" s="123"/>
    </row>
    <row r="51" spans="1:45" x14ac:dyDescent="0.2">
      <c r="A51" s="298"/>
      <c r="B51" s="299"/>
      <c r="C51" s="124"/>
      <c r="D51" s="278"/>
      <c r="E51" s="278"/>
      <c r="F51" s="278"/>
      <c r="G51" s="278"/>
      <c r="H51" s="278"/>
      <c r="I51" s="278"/>
      <c r="J51" s="123"/>
      <c r="K51" s="123"/>
      <c r="L51" s="123"/>
      <c r="M51" s="123"/>
      <c r="N51" s="123"/>
      <c r="O51" s="123"/>
      <c r="P51" s="123"/>
      <c r="Q51" s="123"/>
      <c r="R51" s="123"/>
      <c r="S51" s="123"/>
    </row>
    <row r="52" spans="1:45" x14ac:dyDescent="0.2">
      <c r="A52" s="298"/>
      <c r="B52" s="299"/>
      <c r="C52" s="124"/>
      <c r="D52" s="278"/>
      <c r="E52" s="278"/>
      <c r="F52" s="278"/>
      <c r="G52" s="278"/>
      <c r="H52" s="278"/>
      <c r="I52" s="278"/>
      <c r="J52" s="123"/>
      <c r="K52" s="123"/>
      <c r="L52" s="123"/>
      <c r="M52" s="123"/>
      <c r="N52" s="123"/>
      <c r="O52" s="123"/>
      <c r="P52" s="123"/>
      <c r="Q52" s="123"/>
      <c r="R52" s="123"/>
      <c r="S52" s="123"/>
    </row>
    <row r="53" spans="1:45" x14ac:dyDescent="0.2">
      <c r="A53" s="298"/>
      <c r="B53" s="299"/>
      <c r="C53" s="124"/>
      <c r="D53" s="278"/>
      <c r="E53" s="278"/>
      <c r="F53" s="278"/>
      <c r="G53" s="278"/>
      <c r="H53" s="278"/>
      <c r="I53" s="278"/>
      <c r="J53" s="123"/>
      <c r="K53" s="123"/>
      <c r="L53" s="123"/>
      <c r="M53" s="123"/>
      <c r="N53" s="123"/>
      <c r="O53" s="123"/>
      <c r="P53" s="123"/>
      <c r="Q53" s="123"/>
      <c r="R53" s="123"/>
      <c r="S53" s="123"/>
    </row>
    <row r="54" spans="1:45" x14ac:dyDescent="0.2">
      <c r="A54" s="298"/>
      <c r="B54" s="299"/>
      <c r="C54" s="124"/>
      <c r="D54" s="278"/>
      <c r="E54" s="278"/>
      <c r="F54" s="278"/>
      <c r="G54" s="278"/>
      <c r="H54" s="278"/>
      <c r="I54" s="278"/>
      <c r="J54" s="123"/>
      <c r="K54" s="123"/>
      <c r="L54" s="123"/>
      <c r="M54" s="123"/>
      <c r="N54" s="123"/>
      <c r="O54" s="123"/>
      <c r="P54" s="123"/>
      <c r="Q54" s="123"/>
      <c r="R54" s="123"/>
      <c r="S54" s="123"/>
    </row>
    <row r="55" spans="1:45" x14ac:dyDescent="0.2">
      <c r="A55" s="123"/>
      <c r="B55" s="123"/>
      <c r="C55" s="123"/>
      <c r="D55" s="123"/>
      <c r="E55" s="123"/>
      <c r="F55" s="123"/>
      <c r="G55" s="123"/>
      <c r="H55" s="123"/>
      <c r="I55" s="123"/>
      <c r="J55" s="123"/>
      <c r="K55" s="123"/>
      <c r="L55" s="123"/>
      <c r="M55" s="123"/>
      <c r="N55" s="123"/>
      <c r="O55" s="123"/>
      <c r="P55" s="123"/>
      <c r="Q55" s="123"/>
      <c r="R55" s="123"/>
      <c r="S55" s="123"/>
      <c r="T55" s="91">
        <v>20</v>
      </c>
      <c r="U55" s="91">
        <v>21</v>
      </c>
      <c r="V55" s="91">
        <v>22</v>
      </c>
      <c r="W55" s="91">
        <v>23</v>
      </c>
      <c r="X55" s="91">
        <v>24</v>
      </c>
      <c r="Y55" s="91">
        <v>25</v>
      </c>
      <c r="Z55" s="91">
        <v>26</v>
      </c>
      <c r="AA55" s="91">
        <v>27</v>
      </c>
      <c r="AB55" s="91">
        <v>28</v>
      </c>
      <c r="AC55" s="91">
        <v>29</v>
      </c>
      <c r="AD55" s="91">
        <v>30</v>
      </c>
      <c r="AE55" s="91">
        <v>31</v>
      </c>
      <c r="AF55" s="91">
        <v>32</v>
      </c>
      <c r="AG55" s="91">
        <v>33</v>
      </c>
      <c r="AH55" s="91">
        <v>34</v>
      </c>
      <c r="AI55" s="91">
        <v>35</v>
      </c>
      <c r="AJ55" s="91">
        <v>36</v>
      </c>
      <c r="AK55" s="91">
        <v>37</v>
      </c>
      <c r="AL55" s="91">
        <v>38</v>
      </c>
      <c r="AM55" s="91">
        <v>39</v>
      </c>
      <c r="AN55" s="91">
        <v>40</v>
      </c>
      <c r="AO55" s="91">
        <v>41</v>
      </c>
      <c r="AP55" s="91">
        <v>42</v>
      </c>
      <c r="AQ55" s="91">
        <v>43</v>
      </c>
      <c r="AR55" s="91">
        <v>44</v>
      </c>
      <c r="AS55" s="91">
        <v>45</v>
      </c>
    </row>
    <row r="56" spans="1:45" x14ac:dyDescent="0.2">
      <c r="A56" s="123"/>
      <c r="B56" s="123"/>
      <c r="C56" s="123"/>
      <c r="D56" s="123"/>
      <c r="E56" s="123"/>
      <c r="F56" s="123"/>
      <c r="G56" s="123"/>
      <c r="H56" s="123"/>
      <c r="I56" s="123"/>
      <c r="J56" s="123"/>
      <c r="K56" s="123"/>
      <c r="L56" s="123"/>
      <c r="M56" s="123"/>
      <c r="N56" s="123"/>
      <c r="O56" s="123"/>
      <c r="P56" s="123"/>
      <c r="Q56" s="123"/>
      <c r="R56" s="123"/>
      <c r="S56" s="123"/>
    </row>
    <row r="58" spans="1:45" x14ac:dyDescent="0.2">
      <c r="B58" s="123"/>
      <c r="C58" s="123"/>
      <c r="D58" s="123"/>
      <c r="E58" s="123"/>
      <c r="F58" s="123"/>
      <c r="G58" s="123"/>
      <c r="H58" s="123"/>
      <c r="I58" s="123"/>
      <c r="J58" s="123"/>
      <c r="K58" s="123"/>
      <c r="L58" s="123"/>
      <c r="M58" s="123"/>
      <c r="N58" s="123"/>
      <c r="O58" s="123"/>
      <c r="P58" s="123"/>
      <c r="Q58" s="123"/>
      <c r="R58" s="123"/>
      <c r="S58" s="123"/>
    </row>
    <row r="59" spans="1:45" x14ac:dyDescent="0.2">
      <c r="B59" s="123"/>
      <c r="C59" s="123"/>
      <c r="D59" s="123"/>
      <c r="E59" s="123"/>
      <c r="F59" s="123"/>
      <c r="G59" s="123"/>
      <c r="H59" s="123"/>
      <c r="I59" s="123"/>
      <c r="J59" s="123"/>
      <c r="K59" s="123"/>
      <c r="L59" s="123"/>
      <c r="M59" s="123"/>
      <c r="N59" s="123"/>
      <c r="O59" s="123"/>
      <c r="P59" s="123"/>
      <c r="Q59" s="123"/>
      <c r="R59" s="123"/>
      <c r="S59" s="123"/>
    </row>
    <row r="60" spans="1:45" x14ac:dyDescent="0.2">
      <c r="B60" s="123"/>
      <c r="C60" s="123"/>
      <c r="D60" s="123"/>
      <c r="E60" s="123"/>
      <c r="F60" s="123"/>
      <c r="G60" s="123"/>
      <c r="H60" s="123"/>
      <c r="I60" s="123"/>
      <c r="J60" s="123"/>
      <c r="K60" s="123"/>
      <c r="L60" s="123"/>
      <c r="M60" s="123"/>
      <c r="N60" s="123"/>
      <c r="O60" s="123"/>
      <c r="P60" s="123"/>
      <c r="Q60" s="123"/>
      <c r="R60" s="123"/>
      <c r="S60" s="123"/>
    </row>
    <row r="61" spans="1:45" x14ac:dyDescent="0.2">
      <c r="B61" s="123"/>
      <c r="C61" s="123"/>
      <c r="D61" s="123"/>
      <c r="E61" s="123"/>
      <c r="F61" s="123"/>
      <c r="G61" s="123"/>
      <c r="H61" s="123"/>
      <c r="I61" s="123"/>
      <c r="J61" s="123"/>
      <c r="K61" s="123"/>
      <c r="L61" s="123"/>
      <c r="M61" s="123"/>
      <c r="N61" s="123"/>
      <c r="O61" s="123"/>
      <c r="P61" s="123"/>
      <c r="Q61" s="123"/>
      <c r="R61" s="123"/>
      <c r="S61" s="123"/>
    </row>
    <row r="62" spans="1:45" x14ac:dyDescent="0.2">
      <c r="B62" s="123"/>
      <c r="C62" s="123"/>
      <c r="D62" s="123"/>
      <c r="E62" s="123"/>
      <c r="F62" s="123"/>
      <c r="G62" s="123"/>
      <c r="H62" s="123"/>
      <c r="I62" s="123"/>
      <c r="J62" s="123"/>
      <c r="K62" s="123"/>
      <c r="L62" s="123"/>
      <c r="M62" s="123"/>
      <c r="N62" s="123"/>
      <c r="O62" s="123"/>
      <c r="P62" s="123"/>
      <c r="Q62" s="123"/>
      <c r="R62" s="123"/>
      <c r="S62" s="123"/>
    </row>
    <row r="63" spans="1:45" x14ac:dyDescent="0.2">
      <c r="B63" s="123"/>
      <c r="C63" s="123"/>
      <c r="D63" s="123"/>
      <c r="E63" s="123"/>
      <c r="F63" s="123"/>
      <c r="G63" s="123"/>
      <c r="H63" s="123"/>
      <c r="I63" s="123"/>
      <c r="J63" s="123"/>
      <c r="K63" s="123"/>
      <c r="L63" s="123"/>
      <c r="M63" s="123"/>
      <c r="N63" s="123"/>
      <c r="O63" s="123"/>
      <c r="P63" s="123"/>
      <c r="Q63" s="123"/>
      <c r="R63" s="123"/>
      <c r="S63" s="123"/>
    </row>
    <row r="64" spans="1:45" x14ac:dyDescent="0.2">
      <c r="B64" s="123"/>
      <c r="C64" s="123"/>
      <c r="D64" s="123"/>
      <c r="E64" s="123"/>
      <c r="F64" s="123"/>
      <c r="G64" s="123"/>
      <c r="H64" s="123"/>
      <c r="I64" s="123"/>
      <c r="J64" s="123"/>
      <c r="K64" s="123"/>
      <c r="L64" s="123"/>
      <c r="M64" s="123"/>
      <c r="N64" s="123"/>
      <c r="O64" s="123"/>
      <c r="P64" s="123"/>
      <c r="Q64" s="123"/>
      <c r="R64" s="123"/>
      <c r="S64" s="123"/>
    </row>
    <row r="66" spans="2:19" x14ac:dyDescent="0.2">
      <c r="B66" s="123"/>
      <c r="C66" s="123"/>
      <c r="D66" s="123"/>
      <c r="E66" s="123"/>
      <c r="F66" s="123"/>
      <c r="G66" s="123"/>
      <c r="H66" s="123"/>
      <c r="I66" s="123"/>
      <c r="J66" s="123"/>
      <c r="K66" s="123"/>
      <c r="L66" s="123"/>
      <c r="M66" s="123"/>
      <c r="N66" s="123"/>
      <c r="O66" s="123"/>
      <c r="P66" s="123"/>
      <c r="Q66" s="123"/>
      <c r="R66" s="123"/>
      <c r="S66" s="123"/>
    </row>
    <row r="67" spans="2:19" x14ac:dyDescent="0.2">
      <c r="B67" s="123"/>
      <c r="C67" s="123"/>
      <c r="D67" s="123"/>
      <c r="E67" s="123"/>
      <c r="F67" s="123"/>
      <c r="G67" s="123"/>
      <c r="H67" s="123"/>
      <c r="I67" s="123"/>
      <c r="J67" s="123"/>
      <c r="K67" s="123"/>
      <c r="L67" s="123"/>
      <c r="M67" s="123"/>
      <c r="N67" s="123"/>
      <c r="O67" s="123"/>
      <c r="P67" s="123"/>
      <c r="Q67" s="123"/>
      <c r="R67" s="123"/>
      <c r="S67" s="123"/>
    </row>
    <row r="68" spans="2:19" x14ac:dyDescent="0.2">
      <c r="B68" s="123"/>
      <c r="C68" s="123"/>
      <c r="D68" s="123"/>
      <c r="E68" s="123"/>
      <c r="F68" s="123"/>
      <c r="G68" s="123"/>
      <c r="H68" s="123"/>
      <c r="I68" s="123"/>
      <c r="J68" s="123"/>
      <c r="K68" s="123"/>
      <c r="L68" s="123"/>
      <c r="M68" s="123"/>
      <c r="N68" s="123"/>
      <c r="O68" s="123"/>
      <c r="P68" s="123"/>
      <c r="Q68" s="123"/>
      <c r="R68" s="123"/>
      <c r="S68" s="123"/>
    </row>
    <row r="69" spans="2:19" x14ac:dyDescent="0.2">
      <c r="B69" s="123"/>
      <c r="C69" s="123"/>
      <c r="D69" s="123"/>
      <c r="E69" s="123"/>
      <c r="F69" s="123"/>
      <c r="G69" s="123"/>
      <c r="H69" s="123"/>
      <c r="I69" s="123"/>
      <c r="J69" s="123"/>
      <c r="K69" s="123"/>
      <c r="L69" s="123"/>
      <c r="M69" s="123"/>
      <c r="N69" s="123"/>
      <c r="O69" s="123"/>
      <c r="P69" s="123"/>
      <c r="Q69" s="123"/>
      <c r="R69" s="123"/>
      <c r="S69" s="123"/>
    </row>
    <row r="70" spans="2:19" x14ac:dyDescent="0.2">
      <c r="B70" s="123"/>
      <c r="C70" s="123"/>
      <c r="D70" s="123"/>
      <c r="E70" s="123"/>
      <c r="F70" s="123"/>
      <c r="G70" s="123"/>
      <c r="H70" s="123"/>
      <c r="I70" s="123"/>
      <c r="J70" s="123"/>
      <c r="K70" s="123"/>
      <c r="L70" s="123"/>
      <c r="M70" s="123"/>
      <c r="N70" s="123"/>
      <c r="O70" s="123"/>
      <c r="P70" s="123"/>
      <c r="Q70" s="123"/>
      <c r="R70" s="123"/>
      <c r="S70" s="123"/>
    </row>
    <row r="71" spans="2:19" x14ac:dyDescent="0.2">
      <c r="B71" s="123"/>
      <c r="C71" s="123"/>
      <c r="D71" s="123"/>
      <c r="E71" s="123"/>
      <c r="F71" s="123"/>
      <c r="G71" s="123"/>
      <c r="H71" s="123"/>
      <c r="I71" s="123"/>
      <c r="J71" s="123"/>
      <c r="K71" s="123"/>
      <c r="L71" s="123"/>
      <c r="M71" s="123"/>
      <c r="N71" s="123"/>
      <c r="O71" s="123"/>
      <c r="P71" s="123"/>
      <c r="Q71" s="123"/>
      <c r="R71" s="123"/>
      <c r="S71" s="123"/>
    </row>
    <row r="72" spans="2:19" x14ac:dyDescent="0.2">
      <c r="B72" s="123"/>
      <c r="C72" s="123"/>
      <c r="D72" s="123"/>
      <c r="E72" s="123"/>
      <c r="F72" s="123"/>
      <c r="G72" s="123"/>
      <c r="H72" s="123"/>
      <c r="I72" s="123"/>
      <c r="J72" s="123"/>
      <c r="K72" s="123"/>
      <c r="L72" s="123"/>
      <c r="M72" s="123"/>
      <c r="N72" s="123"/>
      <c r="O72" s="123"/>
      <c r="P72" s="123"/>
      <c r="Q72" s="123"/>
      <c r="R72" s="123"/>
      <c r="S72" s="123"/>
    </row>
    <row r="74" spans="2:19" x14ac:dyDescent="0.2">
      <c r="B74" s="123"/>
      <c r="C74" s="123"/>
      <c r="D74" s="123"/>
      <c r="E74" s="123"/>
      <c r="F74" s="123"/>
      <c r="G74" s="123"/>
      <c r="H74" s="123"/>
      <c r="I74" s="123"/>
      <c r="J74" s="123"/>
      <c r="K74" s="123"/>
      <c r="L74" s="123"/>
      <c r="M74" s="123"/>
      <c r="N74" s="123"/>
      <c r="O74" s="123"/>
      <c r="P74" s="123"/>
      <c r="Q74" s="123"/>
      <c r="R74" s="123"/>
      <c r="S74" s="123"/>
    </row>
    <row r="75" spans="2:19" x14ac:dyDescent="0.2">
      <c r="B75" s="123"/>
      <c r="C75" s="123"/>
      <c r="D75" s="123"/>
      <c r="E75" s="123"/>
      <c r="F75" s="123"/>
      <c r="G75" s="123"/>
      <c r="H75" s="123"/>
      <c r="I75" s="123"/>
      <c r="J75" s="123"/>
      <c r="K75" s="123"/>
      <c r="L75" s="123"/>
      <c r="M75" s="123"/>
      <c r="N75" s="123"/>
      <c r="O75" s="123"/>
      <c r="P75" s="123"/>
      <c r="Q75" s="123"/>
      <c r="R75" s="123"/>
      <c r="S75" s="123"/>
    </row>
    <row r="76" spans="2:19" x14ac:dyDescent="0.2">
      <c r="B76" s="123"/>
      <c r="C76" s="123"/>
      <c r="D76" s="123"/>
      <c r="E76" s="123"/>
      <c r="F76" s="123"/>
      <c r="G76" s="123"/>
      <c r="H76" s="123"/>
      <c r="I76" s="123"/>
      <c r="J76" s="123"/>
      <c r="K76" s="123"/>
      <c r="L76" s="123"/>
      <c r="M76" s="123"/>
      <c r="N76" s="123"/>
      <c r="O76" s="123"/>
      <c r="P76" s="123"/>
      <c r="Q76" s="123"/>
      <c r="R76" s="123"/>
      <c r="S76" s="123"/>
    </row>
    <row r="77" spans="2:19" x14ac:dyDescent="0.2">
      <c r="B77" s="123"/>
      <c r="C77" s="123"/>
      <c r="D77" s="123"/>
      <c r="E77" s="123"/>
      <c r="F77" s="123"/>
      <c r="G77" s="123"/>
      <c r="H77" s="123"/>
      <c r="I77" s="123"/>
      <c r="J77" s="123"/>
      <c r="K77" s="123"/>
      <c r="L77" s="123"/>
      <c r="M77" s="123"/>
      <c r="N77" s="123"/>
      <c r="O77" s="123"/>
      <c r="P77" s="123"/>
      <c r="Q77" s="123"/>
      <c r="R77" s="123"/>
      <c r="S77" s="123"/>
    </row>
    <row r="78" spans="2:19" x14ac:dyDescent="0.2">
      <c r="B78" s="123"/>
      <c r="C78" s="123"/>
      <c r="D78" s="123"/>
      <c r="E78" s="123"/>
      <c r="F78" s="123"/>
      <c r="G78" s="123"/>
      <c r="H78" s="123"/>
      <c r="I78" s="123"/>
      <c r="J78" s="123"/>
      <c r="K78" s="123"/>
      <c r="L78" s="123"/>
      <c r="M78" s="123"/>
      <c r="N78" s="123"/>
      <c r="O78" s="123"/>
      <c r="P78" s="123"/>
      <c r="Q78" s="123"/>
      <c r="R78" s="123"/>
      <c r="S78" s="123"/>
    </row>
    <row r="79" spans="2:19" x14ac:dyDescent="0.2">
      <c r="B79" s="123"/>
      <c r="C79" s="123"/>
      <c r="D79" s="123"/>
      <c r="E79" s="123"/>
      <c r="F79" s="123"/>
      <c r="G79" s="123"/>
      <c r="H79" s="123"/>
      <c r="I79" s="123"/>
      <c r="J79" s="123"/>
      <c r="K79" s="123"/>
      <c r="L79" s="123"/>
      <c r="M79" s="123"/>
      <c r="N79" s="123"/>
      <c r="O79" s="123"/>
      <c r="P79" s="123"/>
      <c r="Q79" s="123"/>
      <c r="R79" s="123"/>
      <c r="S79" s="123"/>
    </row>
    <row r="80" spans="2:19" x14ac:dyDescent="0.2">
      <c r="B80" s="123"/>
      <c r="C80" s="123"/>
      <c r="D80" s="123"/>
      <c r="E80" s="123"/>
      <c r="F80" s="123"/>
      <c r="G80" s="123"/>
      <c r="H80" s="123"/>
      <c r="I80" s="123"/>
      <c r="J80" s="123"/>
      <c r="K80" s="123"/>
      <c r="L80" s="123"/>
      <c r="M80" s="123"/>
      <c r="N80" s="123"/>
      <c r="O80" s="123"/>
      <c r="P80" s="123"/>
      <c r="Q80" s="123"/>
      <c r="R80" s="123"/>
      <c r="S80" s="123"/>
    </row>
    <row r="82" spans="2:19" x14ac:dyDescent="0.2">
      <c r="B82" s="123"/>
      <c r="C82" s="123"/>
      <c r="D82" s="123"/>
      <c r="E82" s="123"/>
      <c r="F82" s="123"/>
      <c r="G82" s="123"/>
      <c r="H82" s="123"/>
      <c r="I82" s="123"/>
      <c r="J82" s="123"/>
      <c r="K82" s="123"/>
      <c r="L82" s="123"/>
      <c r="M82" s="123"/>
      <c r="N82" s="123"/>
      <c r="O82" s="123"/>
      <c r="P82" s="123"/>
      <c r="Q82" s="123"/>
      <c r="R82" s="123"/>
      <c r="S82" s="123"/>
    </row>
    <row r="83" spans="2:19" x14ac:dyDescent="0.2">
      <c r="B83" s="123"/>
      <c r="C83" s="123"/>
      <c r="D83" s="123"/>
      <c r="E83" s="123"/>
      <c r="F83" s="123"/>
      <c r="G83" s="123"/>
      <c r="H83" s="123"/>
      <c r="I83" s="123"/>
      <c r="J83" s="123"/>
      <c r="K83" s="123"/>
      <c r="L83" s="123"/>
      <c r="M83" s="123"/>
      <c r="N83" s="123"/>
      <c r="O83" s="123"/>
      <c r="P83" s="123"/>
      <c r="Q83" s="123"/>
      <c r="R83" s="123"/>
      <c r="S83" s="123"/>
    </row>
    <row r="84" spans="2:19" x14ac:dyDescent="0.2">
      <c r="B84" s="123"/>
      <c r="C84" s="123"/>
      <c r="D84" s="123"/>
      <c r="E84" s="123"/>
      <c r="F84" s="123"/>
      <c r="G84" s="123"/>
      <c r="H84" s="123"/>
      <c r="I84" s="123"/>
      <c r="J84" s="123"/>
      <c r="K84" s="123"/>
      <c r="L84" s="123"/>
      <c r="M84" s="123"/>
      <c r="N84" s="123"/>
      <c r="O84" s="123"/>
      <c r="P84" s="123"/>
      <c r="Q84" s="123"/>
      <c r="R84" s="123"/>
      <c r="S84" s="123"/>
    </row>
    <row r="85" spans="2:19" x14ac:dyDescent="0.2">
      <c r="B85" s="123"/>
      <c r="C85" s="123"/>
      <c r="D85" s="123"/>
      <c r="E85" s="123"/>
      <c r="F85" s="123"/>
      <c r="G85" s="123"/>
      <c r="H85" s="123"/>
      <c r="I85" s="123"/>
      <c r="J85" s="123"/>
      <c r="K85" s="123"/>
      <c r="L85" s="123"/>
      <c r="M85" s="123"/>
      <c r="N85" s="123"/>
      <c r="O85" s="123"/>
      <c r="P85" s="123"/>
      <c r="Q85" s="123"/>
      <c r="R85" s="123"/>
      <c r="S85" s="123"/>
    </row>
    <row r="86" spans="2:19" x14ac:dyDescent="0.2">
      <c r="B86" s="123"/>
      <c r="C86" s="123"/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3"/>
      <c r="O86" s="123"/>
      <c r="P86" s="123"/>
      <c r="Q86" s="123"/>
      <c r="R86" s="123"/>
      <c r="S86" s="123"/>
    </row>
    <row r="87" spans="2:19" x14ac:dyDescent="0.2">
      <c r="B87" s="123"/>
      <c r="C87" s="123"/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3"/>
      <c r="O87" s="123"/>
      <c r="P87" s="123"/>
      <c r="Q87" s="123"/>
      <c r="R87" s="123"/>
      <c r="S87" s="123"/>
    </row>
    <row r="88" spans="2:19" x14ac:dyDescent="0.2">
      <c r="B88" s="123"/>
      <c r="C88" s="123"/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3"/>
      <c r="O88" s="123"/>
      <c r="P88" s="123"/>
      <c r="Q88" s="123"/>
      <c r="R88" s="123"/>
      <c r="S88" s="123"/>
    </row>
  </sheetData>
  <mergeCells count="124">
    <mergeCell ref="A18:C25"/>
    <mergeCell ref="A52:B52"/>
    <mergeCell ref="A53:B53"/>
    <mergeCell ref="A54:B54"/>
    <mergeCell ref="A47:B47"/>
    <mergeCell ref="A48:B48"/>
    <mergeCell ref="A49:B49"/>
    <mergeCell ref="A50:B50"/>
    <mergeCell ref="A51:B51"/>
    <mergeCell ref="A42:B42"/>
    <mergeCell ref="A43:B43"/>
    <mergeCell ref="A44:B44"/>
    <mergeCell ref="A45:B45"/>
    <mergeCell ref="A46:B46"/>
    <mergeCell ref="A37:B37"/>
    <mergeCell ref="A38:B38"/>
    <mergeCell ref="A39:B39"/>
    <mergeCell ref="A40:B40"/>
    <mergeCell ref="A41:B41"/>
    <mergeCell ref="A32:B32"/>
    <mergeCell ref="A33:B33"/>
    <mergeCell ref="A34:B34"/>
    <mergeCell ref="A35:B35"/>
    <mergeCell ref="A36:B36"/>
    <mergeCell ref="D33:I33"/>
    <mergeCell ref="D34:I34"/>
    <mergeCell ref="D35:I35"/>
    <mergeCell ref="D36:I36"/>
    <mergeCell ref="A26:B27"/>
    <mergeCell ref="A28:B28"/>
    <mergeCell ref="A29:B29"/>
    <mergeCell ref="A30:B30"/>
    <mergeCell ref="A31:B31"/>
    <mergeCell ref="D28:I28"/>
    <mergeCell ref="D29:I29"/>
    <mergeCell ref="D30:I30"/>
    <mergeCell ref="D31:I31"/>
    <mergeCell ref="C26:C27"/>
    <mergeCell ref="A8:C17"/>
    <mergeCell ref="D8:I8"/>
    <mergeCell ref="G7:J7"/>
    <mergeCell ref="B7:E7"/>
    <mergeCell ref="Q7:T7"/>
    <mergeCell ref="AP7:AS7"/>
    <mergeCell ref="AF6:AI6"/>
    <mergeCell ref="AF7:AI7"/>
    <mergeCell ref="Q5:T5"/>
    <mergeCell ref="Q6:T6"/>
    <mergeCell ref="L5:O5"/>
    <mergeCell ref="G5:J5"/>
    <mergeCell ref="G6:J6"/>
    <mergeCell ref="B5:E5"/>
    <mergeCell ref="B6:E6"/>
    <mergeCell ref="L6:O6"/>
    <mergeCell ref="V6:Y6"/>
    <mergeCell ref="L7:O7"/>
    <mergeCell ref="AK7:AN7"/>
    <mergeCell ref="V7:Y7"/>
    <mergeCell ref="AA7:AD7"/>
    <mergeCell ref="B1:E1"/>
    <mergeCell ref="G1:J1"/>
    <mergeCell ref="L1:O1"/>
    <mergeCell ref="Q1:T1"/>
    <mergeCell ref="V1:Y1"/>
    <mergeCell ref="Q2:T2"/>
    <mergeCell ref="Q3:T3"/>
    <mergeCell ref="Q4:T4"/>
    <mergeCell ref="AK2:AN2"/>
    <mergeCell ref="AK3:AN3"/>
    <mergeCell ref="AK4:AN4"/>
    <mergeCell ref="AF2:AI2"/>
    <mergeCell ref="AF3:AI3"/>
    <mergeCell ref="AF4:AI4"/>
    <mergeCell ref="V2:Y2"/>
    <mergeCell ref="L2:O2"/>
    <mergeCell ref="L3:O3"/>
    <mergeCell ref="L4:O4"/>
    <mergeCell ref="G2:J2"/>
    <mergeCell ref="G3:J3"/>
    <mergeCell ref="G4:J4"/>
    <mergeCell ref="B2:E2"/>
    <mergeCell ref="B3:E3"/>
    <mergeCell ref="B4:E4"/>
    <mergeCell ref="AP2:AS2"/>
    <mergeCell ref="AP3:AS3"/>
    <mergeCell ref="AP4:AS4"/>
    <mergeCell ref="AF1:AI1"/>
    <mergeCell ref="AK1:AN1"/>
    <mergeCell ref="AP1:AS1"/>
    <mergeCell ref="AA1:AD1"/>
    <mergeCell ref="AK5:AN5"/>
    <mergeCell ref="AK6:AN6"/>
    <mergeCell ref="AF5:AI5"/>
    <mergeCell ref="AP5:AS5"/>
    <mergeCell ref="AP6:AS6"/>
    <mergeCell ref="AA2:AD2"/>
    <mergeCell ref="AA3:AD3"/>
    <mergeCell ref="AA4:AD4"/>
    <mergeCell ref="AA5:AD5"/>
    <mergeCell ref="AA6:AD6"/>
    <mergeCell ref="D40:I40"/>
    <mergeCell ref="D41:I41"/>
    <mergeCell ref="D32:I32"/>
    <mergeCell ref="V3:Y3"/>
    <mergeCell ref="V4:Y4"/>
    <mergeCell ref="V5:Y5"/>
    <mergeCell ref="D53:I53"/>
    <mergeCell ref="D54:I54"/>
    <mergeCell ref="D18:I25"/>
    <mergeCell ref="D26:I27"/>
    <mergeCell ref="D48:I48"/>
    <mergeCell ref="D49:I49"/>
    <mergeCell ref="D50:I50"/>
    <mergeCell ref="D51:I51"/>
    <mergeCell ref="D52:I52"/>
    <mergeCell ref="D43:I43"/>
    <mergeCell ref="D44:I44"/>
    <mergeCell ref="D45:I45"/>
    <mergeCell ref="D46:I46"/>
    <mergeCell ref="D47:I47"/>
    <mergeCell ref="D42:I42"/>
    <mergeCell ref="D37:I37"/>
    <mergeCell ref="D38:I38"/>
    <mergeCell ref="D39:I39"/>
  </mergeCells>
  <phoneticPr fontId="2" type="noConversion"/>
  <printOptions horizontalCentered="1" verticalCentered="1"/>
  <pageMargins left="0.55118110236220474" right="0" top="0" bottom="0" header="0.31496062992125984" footer="0.31496062992125984"/>
  <pageSetup paperSize="9" scale="59" orientation="landscape" horizontalDpi="200" verticalDpi="2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98712" r:id="rId4" name="ToggleButton12">
          <controlPr defaultSize="0" autoLine="0" r:id="rId5">
            <anchor>
              <from>
                <xdr:col>7</xdr:col>
                <xdr:colOff>209550</xdr:colOff>
                <xdr:row>20</xdr:row>
                <xdr:rowOff>104775</xdr:rowOff>
              </from>
              <to>
                <xdr:col>9</xdr:col>
                <xdr:colOff>19050</xdr:colOff>
                <xdr:row>22</xdr:row>
                <xdr:rowOff>104775</xdr:rowOff>
              </to>
            </anchor>
          </controlPr>
        </control>
      </mc:Choice>
      <mc:Fallback>
        <control shapeId="198712" r:id="rId4" name="ToggleButton12"/>
      </mc:Fallback>
    </mc:AlternateContent>
    <mc:AlternateContent xmlns:mc="http://schemas.openxmlformats.org/markup-compatibility/2006">
      <mc:Choice Requires="x14">
        <control shapeId="198711" r:id="rId6" name="ToggleButton11">
          <controlPr defaultSize="0" autoLine="0" r:id="rId7">
            <anchor>
              <from>
                <xdr:col>6</xdr:col>
                <xdr:colOff>19050</xdr:colOff>
                <xdr:row>20</xdr:row>
                <xdr:rowOff>104775</xdr:rowOff>
              </from>
              <to>
                <xdr:col>7</xdr:col>
                <xdr:colOff>219075</xdr:colOff>
                <xdr:row>22</xdr:row>
                <xdr:rowOff>104775</xdr:rowOff>
              </to>
            </anchor>
          </controlPr>
        </control>
      </mc:Choice>
      <mc:Fallback>
        <control shapeId="198711" r:id="rId6" name="ToggleButton11"/>
      </mc:Fallback>
    </mc:AlternateContent>
    <mc:AlternateContent xmlns:mc="http://schemas.openxmlformats.org/markup-compatibility/2006">
      <mc:Choice Requires="x14">
        <control shapeId="198710" r:id="rId8" name="ToggleButton10">
          <controlPr defaultSize="0" autoLine="0" r:id="rId9">
            <anchor>
              <from>
                <xdr:col>4</xdr:col>
                <xdr:colOff>219075</xdr:colOff>
                <xdr:row>20</xdr:row>
                <xdr:rowOff>104775</xdr:rowOff>
              </from>
              <to>
                <xdr:col>6</xdr:col>
                <xdr:colOff>28575</xdr:colOff>
                <xdr:row>22</xdr:row>
                <xdr:rowOff>104775</xdr:rowOff>
              </to>
            </anchor>
          </controlPr>
        </control>
      </mc:Choice>
      <mc:Fallback>
        <control shapeId="198710" r:id="rId8" name="ToggleButton10"/>
      </mc:Fallback>
    </mc:AlternateContent>
    <mc:AlternateContent xmlns:mc="http://schemas.openxmlformats.org/markup-compatibility/2006">
      <mc:Choice Requires="x14">
        <control shapeId="198709" r:id="rId10" name="ToggleButton9">
          <controlPr defaultSize="0" autoLine="0" r:id="rId11">
            <anchor>
              <from>
                <xdr:col>3</xdr:col>
                <xdr:colOff>28575</xdr:colOff>
                <xdr:row>20</xdr:row>
                <xdr:rowOff>104775</xdr:rowOff>
              </from>
              <to>
                <xdr:col>4</xdr:col>
                <xdr:colOff>228600</xdr:colOff>
                <xdr:row>22</xdr:row>
                <xdr:rowOff>104775</xdr:rowOff>
              </to>
            </anchor>
          </controlPr>
        </control>
      </mc:Choice>
      <mc:Fallback>
        <control shapeId="198709" r:id="rId10" name="ToggleButton9"/>
      </mc:Fallback>
    </mc:AlternateContent>
    <mc:AlternateContent xmlns:mc="http://schemas.openxmlformats.org/markup-compatibility/2006">
      <mc:Choice Requires="x14">
        <control shapeId="198708" r:id="rId12" name="ToggleButton8">
          <controlPr defaultSize="0" autoLine="0" r:id="rId13">
            <anchor>
              <from>
                <xdr:col>7</xdr:col>
                <xdr:colOff>209550</xdr:colOff>
                <xdr:row>18</xdr:row>
                <xdr:rowOff>114300</xdr:rowOff>
              </from>
              <to>
                <xdr:col>9</xdr:col>
                <xdr:colOff>19050</xdr:colOff>
                <xdr:row>20</xdr:row>
                <xdr:rowOff>114300</xdr:rowOff>
              </to>
            </anchor>
          </controlPr>
        </control>
      </mc:Choice>
      <mc:Fallback>
        <control shapeId="198708" r:id="rId12" name="ToggleButton8"/>
      </mc:Fallback>
    </mc:AlternateContent>
    <mc:AlternateContent xmlns:mc="http://schemas.openxmlformats.org/markup-compatibility/2006">
      <mc:Choice Requires="x14">
        <control shapeId="198705" r:id="rId14" name="ToggleButton5">
          <controlPr defaultSize="0" autoLine="0" r:id="rId15">
            <anchor>
              <from>
                <xdr:col>3</xdr:col>
                <xdr:colOff>28575</xdr:colOff>
                <xdr:row>18</xdr:row>
                <xdr:rowOff>114300</xdr:rowOff>
              </from>
              <to>
                <xdr:col>4</xdr:col>
                <xdr:colOff>228600</xdr:colOff>
                <xdr:row>20</xdr:row>
                <xdr:rowOff>114300</xdr:rowOff>
              </to>
            </anchor>
          </controlPr>
        </control>
      </mc:Choice>
      <mc:Fallback>
        <control shapeId="198705" r:id="rId14" name="ToggleButton5"/>
      </mc:Fallback>
    </mc:AlternateContent>
    <mc:AlternateContent xmlns:mc="http://schemas.openxmlformats.org/markup-compatibility/2006">
      <mc:Choice Requires="x14">
        <control shapeId="198704" r:id="rId16" name="ToggleButton4">
          <controlPr defaultSize="0" autoLine="0" r:id="rId17">
            <anchor>
              <from>
                <xdr:col>7</xdr:col>
                <xdr:colOff>209550</xdr:colOff>
                <xdr:row>16</xdr:row>
                <xdr:rowOff>142875</xdr:rowOff>
              </from>
              <to>
                <xdr:col>9</xdr:col>
                <xdr:colOff>19050</xdr:colOff>
                <xdr:row>18</xdr:row>
                <xdr:rowOff>123825</xdr:rowOff>
              </to>
            </anchor>
          </controlPr>
        </control>
      </mc:Choice>
      <mc:Fallback>
        <control shapeId="198704" r:id="rId16" name="ToggleButton4"/>
      </mc:Fallback>
    </mc:AlternateContent>
    <mc:AlternateContent xmlns:mc="http://schemas.openxmlformats.org/markup-compatibility/2006">
      <mc:Choice Requires="x14">
        <control shapeId="198703" r:id="rId18" name="ToggleButton3">
          <controlPr defaultSize="0" autoLine="0" r:id="rId19">
            <anchor>
              <from>
                <xdr:col>6</xdr:col>
                <xdr:colOff>19050</xdr:colOff>
                <xdr:row>16</xdr:row>
                <xdr:rowOff>142875</xdr:rowOff>
              </from>
              <to>
                <xdr:col>7</xdr:col>
                <xdr:colOff>219075</xdr:colOff>
                <xdr:row>18</xdr:row>
                <xdr:rowOff>123825</xdr:rowOff>
              </to>
            </anchor>
          </controlPr>
        </control>
      </mc:Choice>
      <mc:Fallback>
        <control shapeId="198703" r:id="rId18" name="ToggleButton3"/>
      </mc:Fallback>
    </mc:AlternateContent>
    <mc:AlternateContent xmlns:mc="http://schemas.openxmlformats.org/markup-compatibility/2006">
      <mc:Choice Requires="x14">
        <control shapeId="198702" r:id="rId20" name="ToggleButton2">
          <controlPr defaultSize="0" autoLine="0" r:id="rId21">
            <anchor>
              <from>
                <xdr:col>4</xdr:col>
                <xdr:colOff>219075</xdr:colOff>
                <xdr:row>16</xdr:row>
                <xdr:rowOff>142875</xdr:rowOff>
              </from>
              <to>
                <xdr:col>6</xdr:col>
                <xdr:colOff>28575</xdr:colOff>
                <xdr:row>18</xdr:row>
                <xdr:rowOff>123825</xdr:rowOff>
              </to>
            </anchor>
          </controlPr>
        </control>
      </mc:Choice>
      <mc:Fallback>
        <control shapeId="198702" r:id="rId20" name="ToggleButton2"/>
      </mc:Fallback>
    </mc:AlternateContent>
    <mc:AlternateContent xmlns:mc="http://schemas.openxmlformats.org/markup-compatibility/2006">
      <mc:Choice Requires="x14">
        <control shapeId="198673" r:id="rId22" name="ToggleButton1">
          <controlPr defaultSize="0" autoLine="0" autoPict="0" r:id="rId23">
            <anchor>
              <from>
                <xdr:col>3</xdr:col>
                <xdr:colOff>28575</xdr:colOff>
                <xdr:row>16</xdr:row>
                <xdr:rowOff>142875</xdr:rowOff>
              </from>
              <to>
                <xdr:col>4</xdr:col>
                <xdr:colOff>228600</xdr:colOff>
                <xdr:row>18</xdr:row>
                <xdr:rowOff>123825</xdr:rowOff>
              </to>
            </anchor>
          </controlPr>
        </control>
      </mc:Choice>
      <mc:Fallback>
        <control shapeId="198673" r:id="rId22" name="ToggleButton1"/>
      </mc:Fallback>
    </mc:AlternateContent>
    <mc:AlternateContent xmlns:mc="http://schemas.openxmlformats.org/markup-compatibility/2006">
      <mc:Choice Requires="x14">
        <control shapeId="198713" r:id="rId24" name="ToggleButton6">
          <controlPr defaultSize="0" autoLine="0" r:id="rId25">
            <anchor>
              <from>
                <xdr:col>4</xdr:col>
                <xdr:colOff>219075</xdr:colOff>
                <xdr:row>18</xdr:row>
                <xdr:rowOff>114300</xdr:rowOff>
              </from>
              <to>
                <xdr:col>6</xdr:col>
                <xdr:colOff>28575</xdr:colOff>
                <xdr:row>20</xdr:row>
                <xdr:rowOff>114300</xdr:rowOff>
              </to>
            </anchor>
          </controlPr>
        </control>
      </mc:Choice>
      <mc:Fallback>
        <control shapeId="198713" r:id="rId24" name="ToggleButton6"/>
      </mc:Fallback>
    </mc:AlternateContent>
    <mc:AlternateContent xmlns:mc="http://schemas.openxmlformats.org/markup-compatibility/2006">
      <mc:Choice Requires="x14">
        <control shapeId="198714" r:id="rId26" name="ToggleButton7">
          <controlPr defaultSize="0" autoLine="0" r:id="rId27">
            <anchor>
              <from>
                <xdr:col>6</xdr:col>
                <xdr:colOff>19050</xdr:colOff>
                <xdr:row>18</xdr:row>
                <xdr:rowOff>114300</xdr:rowOff>
              </from>
              <to>
                <xdr:col>7</xdr:col>
                <xdr:colOff>219075</xdr:colOff>
                <xdr:row>20</xdr:row>
                <xdr:rowOff>114300</xdr:rowOff>
              </to>
            </anchor>
          </controlPr>
        </control>
      </mc:Choice>
      <mc:Fallback>
        <control shapeId="198714" r:id="rId26" name="ToggleButton7"/>
      </mc:Fallback>
    </mc:AlternateContent>
    <mc:AlternateContent xmlns:mc="http://schemas.openxmlformats.org/markup-compatibility/2006">
      <mc:Choice Requires="x14">
        <control shapeId="198717" r:id="rId28" name="ToggleButton13">
          <controlPr defaultSize="0" autoLine="0" r:id="rId29">
            <anchor>
              <from>
                <xdr:col>3</xdr:col>
                <xdr:colOff>28575</xdr:colOff>
                <xdr:row>22</xdr:row>
                <xdr:rowOff>95250</xdr:rowOff>
              </from>
              <to>
                <xdr:col>4</xdr:col>
                <xdr:colOff>228600</xdr:colOff>
                <xdr:row>24</xdr:row>
                <xdr:rowOff>95250</xdr:rowOff>
              </to>
            </anchor>
          </controlPr>
        </control>
      </mc:Choice>
      <mc:Fallback>
        <control shapeId="198717" r:id="rId28" name="ToggleButton13"/>
      </mc:Fallback>
    </mc:AlternateContent>
    <mc:AlternateContent xmlns:mc="http://schemas.openxmlformats.org/markup-compatibility/2006">
      <mc:Choice Requires="x14">
        <control shapeId="198718" r:id="rId30" name="ToggleButton14">
          <controlPr defaultSize="0" autoLine="0" r:id="rId31">
            <anchor>
              <from>
                <xdr:col>4</xdr:col>
                <xdr:colOff>219075</xdr:colOff>
                <xdr:row>22</xdr:row>
                <xdr:rowOff>95250</xdr:rowOff>
              </from>
              <to>
                <xdr:col>6</xdr:col>
                <xdr:colOff>28575</xdr:colOff>
                <xdr:row>24</xdr:row>
                <xdr:rowOff>95250</xdr:rowOff>
              </to>
            </anchor>
          </controlPr>
        </control>
      </mc:Choice>
      <mc:Fallback>
        <control shapeId="198718" r:id="rId30" name="ToggleButton14"/>
      </mc:Fallback>
    </mc:AlternateContent>
    <mc:AlternateContent xmlns:mc="http://schemas.openxmlformats.org/markup-compatibility/2006">
      <mc:Choice Requires="x14">
        <control shapeId="198719" r:id="rId32" name="ToggleButton15">
          <controlPr defaultSize="0" autoLine="0" r:id="rId33">
            <anchor>
              <from>
                <xdr:col>6</xdr:col>
                <xdr:colOff>19050</xdr:colOff>
                <xdr:row>22</xdr:row>
                <xdr:rowOff>95250</xdr:rowOff>
              </from>
              <to>
                <xdr:col>7</xdr:col>
                <xdr:colOff>219075</xdr:colOff>
                <xdr:row>24</xdr:row>
                <xdr:rowOff>95250</xdr:rowOff>
              </to>
            </anchor>
          </controlPr>
        </control>
      </mc:Choice>
      <mc:Fallback>
        <control shapeId="198719" r:id="rId32" name="ToggleButton15"/>
      </mc:Fallback>
    </mc:AlternateContent>
    <mc:AlternateContent xmlns:mc="http://schemas.openxmlformats.org/markup-compatibility/2006">
      <mc:Choice Requires="x14">
        <control shapeId="198720" r:id="rId34" name="ToggleButton16">
          <controlPr defaultSize="0" autoLine="0" r:id="rId35">
            <anchor>
              <from>
                <xdr:col>7</xdr:col>
                <xdr:colOff>209550</xdr:colOff>
                <xdr:row>22</xdr:row>
                <xdr:rowOff>95250</xdr:rowOff>
              </from>
              <to>
                <xdr:col>9</xdr:col>
                <xdr:colOff>19050</xdr:colOff>
                <xdr:row>24</xdr:row>
                <xdr:rowOff>95250</xdr:rowOff>
              </to>
            </anchor>
          </controlPr>
        </control>
      </mc:Choice>
      <mc:Fallback>
        <control shapeId="198720" r:id="rId34" name="ToggleButton16"/>
      </mc:Fallback>
    </mc:AlternateContent>
    <mc:AlternateContent xmlns:mc="http://schemas.openxmlformats.org/markup-compatibility/2006">
      <mc:Choice Requires="x14">
        <control shapeId="198657" r:id="rId36" name="Button 1">
          <controlPr defaultSize="0" print="0" autoFill="0" autoPict="0" macro="[0]!PlotGraph">
            <anchor>
              <from>
                <xdr:col>0</xdr:col>
                <xdr:colOff>28575</xdr:colOff>
                <xdr:row>8</xdr:row>
                <xdr:rowOff>142875</xdr:rowOff>
              </from>
              <to>
                <xdr:col>2</xdr:col>
                <xdr:colOff>361950</xdr:colOff>
                <xdr:row>10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658" r:id="rId37" name="Button 2">
          <controlPr defaultSize="0" print="0" autoFill="0" autoPict="0" macro="[0]!InitialGraph">
            <anchor>
              <from>
                <xdr:col>0</xdr:col>
                <xdr:colOff>28575</xdr:colOff>
                <xdr:row>6</xdr:row>
                <xdr:rowOff>123825</xdr:rowOff>
              </from>
              <to>
                <xdr:col>2</xdr:col>
                <xdr:colOff>371475</xdr:colOff>
                <xdr:row>8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659" r:id="rId38" name="Button 3">
          <controlPr defaultSize="0" print="0" autoFill="0" autoPict="0" macro="[0]!DeleteGraph">
            <anchor>
              <from>
                <xdr:col>0</xdr:col>
                <xdr:colOff>19050</xdr:colOff>
                <xdr:row>10</xdr:row>
                <xdr:rowOff>142875</xdr:rowOff>
              </from>
              <to>
                <xdr:col>2</xdr:col>
                <xdr:colOff>361950</xdr:colOff>
                <xdr:row>12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660" r:id="rId39" name="Button 4">
          <controlPr defaultSize="0" print="0" autoFill="0" autoPict="0" macro="[0]!SelectValueableCell">
            <anchor>
              <from>
                <xdr:col>0</xdr:col>
                <xdr:colOff>9525</xdr:colOff>
                <xdr:row>12</xdr:row>
                <xdr:rowOff>142875</xdr:rowOff>
              </from>
              <to>
                <xdr:col>2</xdr:col>
                <xdr:colOff>371475</xdr:colOff>
                <xdr:row>14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661" r:id="rId40" name="Button 5">
          <controlPr defaultSize="0" print="0" autoFill="0" autoPict="0" macro="[0]!InitializeValueableCell">
            <anchor>
              <from>
                <xdr:col>0</xdr:col>
                <xdr:colOff>19050</xdr:colOff>
                <xdr:row>14</xdr:row>
                <xdr:rowOff>142875</xdr:rowOff>
              </from>
              <to>
                <xdr:col>2</xdr:col>
                <xdr:colOff>371475</xdr:colOff>
                <xdr:row>16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715" r:id="rId41" name="Button 59">
          <controlPr defaultSize="0" print="0" autoFill="0" autoPict="0" macro="[0]!NameChange">
            <anchor>
              <from>
                <xdr:col>0</xdr:col>
                <xdr:colOff>19050</xdr:colOff>
                <xdr:row>16</xdr:row>
                <xdr:rowOff>142875</xdr:rowOff>
              </from>
              <to>
                <xdr:col>2</xdr:col>
                <xdr:colOff>371475</xdr:colOff>
                <xdr:row>24</xdr:row>
                <xdr:rowOff>76200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Settings!$F$32:$G$32</xm:f>
          </x14:formula1>
          <xm:sqref>A28:B54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Q140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/>
    </sheetView>
  </sheetViews>
  <sheetFormatPr defaultRowHeight="13.5" x14ac:dyDescent="0.15"/>
  <cols>
    <col min="1" max="1" width="7.44140625" style="2" bestFit="1" customWidth="1"/>
    <col min="2" max="2" width="8.77734375" style="1" customWidth="1"/>
    <col min="3" max="3" width="3.44140625" style="1" customWidth="1"/>
    <col min="4" max="4" width="2.77734375" style="1" customWidth="1"/>
    <col min="5" max="5" width="8.77734375" style="1" customWidth="1"/>
    <col min="6" max="6" width="3.44140625" style="1" customWidth="1"/>
    <col min="7" max="7" width="2.77734375" style="1" customWidth="1"/>
    <col min="8" max="8" width="8.77734375" style="1" customWidth="1"/>
    <col min="9" max="9" width="3.44140625" style="1" customWidth="1"/>
    <col min="10" max="10" width="2.77734375" style="1" customWidth="1"/>
    <col min="11" max="11" width="8.77734375" style="1" customWidth="1"/>
    <col min="12" max="12" width="3.44140625" style="1" customWidth="1"/>
    <col min="13" max="13" width="2.77734375" style="1" customWidth="1"/>
    <col min="14" max="14" width="8.77734375" style="1" customWidth="1"/>
    <col min="15" max="15" width="3.44140625" style="1" customWidth="1"/>
    <col min="16" max="16" width="2.77734375" style="1" customWidth="1"/>
    <col min="17" max="17" width="8.77734375" style="1" customWidth="1"/>
    <col min="18" max="18" width="3.44140625" style="1" customWidth="1"/>
    <col min="19" max="19" width="2.77734375" style="1" customWidth="1"/>
    <col min="20" max="20" width="8.77734375" style="1" customWidth="1"/>
    <col min="21" max="21" width="3.44140625" style="1" customWidth="1"/>
    <col min="22" max="22" width="2.77734375" style="1" customWidth="1"/>
    <col min="23" max="23" width="8.77734375" style="1" customWidth="1"/>
    <col min="24" max="24" width="3.44140625" style="1" customWidth="1"/>
    <col min="25" max="25" width="2.77734375" style="1" customWidth="1"/>
    <col min="26" max="26" width="8.77734375" style="1" customWidth="1"/>
    <col min="27" max="27" width="3.44140625" style="1" customWidth="1"/>
    <col min="28" max="28" width="2.77734375" style="1" customWidth="1"/>
    <col min="29" max="29" width="8.77734375" style="1" customWidth="1"/>
    <col min="30" max="30" width="3.44140625" style="1" customWidth="1"/>
    <col min="31" max="31" width="2.77734375" style="1" customWidth="1"/>
    <col min="32" max="32" width="8.77734375" style="1" customWidth="1"/>
    <col min="33" max="33" width="3.44140625" style="1" customWidth="1"/>
    <col min="34" max="34" width="2.77734375" style="1" customWidth="1"/>
    <col min="35" max="35" width="8.77734375" style="1" customWidth="1"/>
    <col min="36" max="36" width="3.44140625" style="1" customWidth="1"/>
    <col min="37" max="37" width="2.77734375" style="1" customWidth="1"/>
    <col min="38" max="38" width="8.77734375" style="1" customWidth="1"/>
    <col min="39" max="39" width="3.44140625" style="1" customWidth="1"/>
    <col min="40" max="40" width="2.77734375" style="1" customWidth="1"/>
    <col min="41" max="41" width="8.77734375" style="1" customWidth="1"/>
    <col min="42" max="42" width="3.44140625" style="1" customWidth="1"/>
    <col min="43" max="43" width="2.77734375" style="1" customWidth="1"/>
    <col min="44" max="44" width="8.77734375" style="1" customWidth="1"/>
    <col min="45" max="45" width="3.44140625" style="1" customWidth="1"/>
    <col min="46" max="46" width="2.77734375" style="1" customWidth="1"/>
    <col min="47" max="47" width="8.77734375" style="1" customWidth="1"/>
    <col min="48" max="48" width="3.44140625" style="1" customWidth="1"/>
    <col min="49" max="49" width="2.77734375" style="1" customWidth="1"/>
    <col min="50" max="50" width="8.77734375" style="1" customWidth="1"/>
    <col min="51" max="51" width="3.44140625" style="1" customWidth="1"/>
    <col min="52" max="52" width="2.77734375" style="1" customWidth="1"/>
    <col min="53" max="53" width="8.77734375" style="1" customWidth="1"/>
    <col min="54" max="54" width="3.44140625" style="1" customWidth="1"/>
    <col min="55" max="55" width="2.77734375" style="1" customWidth="1"/>
    <col min="56" max="56" width="8.77734375" style="1" customWidth="1"/>
    <col min="57" max="57" width="3.44140625" style="1" customWidth="1"/>
    <col min="58" max="58" width="2.77734375" style="1" customWidth="1"/>
    <col min="59" max="59" width="8.77734375" style="1" customWidth="1"/>
    <col min="60" max="60" width="3.44140625" style="1" customWidth="1"/>
    <col min="61" max="61" width="2.77734375" style="1" customWidth="1"/>
    <col min="62" max="62" width="8.77734375" style="1" customWidth="1"/>
    <col min="63" max="63" width="3.44140625" style="1" customWidth="1"/>
    <col min="64" max="64" width="2.77734375" style="1" customWidth="1"/>
    <col min="65" max="65" width="8.77734375" style="1" customWidth="1"/>
    <col min="66" max="66" width="3.44140625" style="1" customWidth="1"/>
    <col min="67" max="67" width="2.77734375" style="1" customWidth="1"/>
    <col min="68" max="68" width="8.77734375" style="1" customWidth="1"/>
    <col min="69" max="69" width="3.44140625" style="1" customWidth="1"/>
    <col min="70" max="70" width="2.77734375" style="1" customWidth="1"/>
    <col min="71" max="71" width="8.77734375" style="1" customWidth="1"/>
    <col min="72" max="72" width="3.44140625" style="1" customWidth="1"/>
    <col min="73" max="73" width="2.77734375" style="1" customWidth="1"/>
    <col min="74" max="74" width="8.77734375" style="1" customWidth="1"/>
    <col min="75" max="75" width="3.44140625" style="1" customWidth="1"/>
    <col min="76" max="76" width="2.77734375" style="1" customWidth="1"/>
    <col min="77" max="77" width="8.77734375" style="1" customWidth="1"/>
    <col min="78" max="78" width="3.44140625" style="1" customWidth="1"/>
    <col min="79" max="79" width="2.77734375" style="1" customWidth="1"/>
    <col min="80" max="80" width="8.77734375" style="1" customWidth="1"/>
    <col min="81" max="81" width="3.44140625" style="1" customWidth="1"/>
    <col min="82" max="82" width="2.77734375" style="1" customWidth="1"/>
    <col min="83" max="83" width="8.77734375" style="1" customWidth="1"/>
    <col min="84" max="84" width="3.44140625" style="1" customWidth="1"/>
    <col min="85" max="85" width="2.77734375" style="1" customWidth="1"/>
    <col min="86" max="86" width="8.77734375" style="1" customWidth="1"/>
    <col min="87" max="87" width="3.44140625" style="1" customWidth="1"/>
    <col min="88" max="88" width="2.77734375" style="1" customWidth="1"/>
    <col min="89" max="89" width="8.77734375" style="1" customWidth="1"/>
    <col min="90" max="90" width="3.44140625" style="1" customWidth="1"/>
    <col min="91" max="91" width="2.77734375" style="1" customWidth="1"/>
    <col min="92" max="92" width="8.77734375" style="1" customWidth="1"/>
    <col min="93" max="93" width="3.44140625" style="1" customWidth="1"/>
    <col min="94" max="94" width="2.77734375" style="1" customWidth="1"/>
    <col min="95" max="95" width="8.77734375" style="1" customWidth="1"/>
    <col min="96" max="96" width="3.44140625" style="1" customWidth="1"/>
    <col min="97" max="97" width="2.77734375" style="1" customWidth="1"/>
    <col min="98" max="98" width="8.77734375" style="1" customWidth="1"/>
    <col min="99" max="99" width="3.44140625" style="1" customWidth="1"/>
    <col min="100" max="100" width="2.77734375" style="1" customWidth="1"/>
    <col min="101" max="101" width="8.77734375" style="1" customWidth="1"/>
    <col min="102" max="102" width="3.44140625" style="1" customWidth="1"/>
    <col min="103" max="103" width="2.77734375" style="1" customWidth="1"/>
    <col min="104" max="104" width="8.77734375" style="1" customWidth="1"/>
    <col min="105" max="105" width="3.44140625" style="1" customWidth="1"/>
    <col min="106" max="106" width="2.77734375" style="1" customWidth="1"/>
    <col min="107" max="107" width="8.77734375" style="1" customWidth="1"/>
    <col min="108" max="108" width="3.44140625" style="1" customWidth="1"/>
    <col min="109" max="109" width="2.77734375" style="1" customWidth="1"/>
    <col min="110" max="110" width="8.77734375" style="1" customWidth="1"/>
    <col min="111" max="111" width="3.44140625" style="1" customWidth="1"/>
    <col min="112" max="112" width="2.77734375" style="1" customWidth="1"/>
    <col min="113" max="113" width="8.77734375" style="1" customWidth="1"/>
    <col min="114" max="114" width="3.44140625" style="1" customWidth="1"/>
    <col min="115" max="115" width="2.77734375" style="1" customWidth="1"/>
    <col min="116" max="116" width="8.77734375" style="1" customWidth="1"/>
    <col min="117" max="117" width="3.44140625" style="1" customWidth="1"/>
    <col min="118" max="118" width="2.77734375" style="1" customWidth="1"/>
    <col min="119" max="119" width="8.77734375" style="1" customWidth="1"/>
    <col min="120" max="120" width="3.44140625" style="1" customWidth="1"/>
    <col min="121" max="121" width="2.77734375" style="1" customWidth="1"/>
    <col min="122" max="122" width="8.77734375" style="1" customWidth="1"/>
    <col min="123" max="123" width="3.44140625" style="1" customWidth="1"/>
    <col min="124" max="124" width="2.77734375" style="1" customWidth="1"/>
    <col min="125" max="125" width="8.77734375" style="1" customWidth="1"/>
    <col min="126" max="126" width="3.44140625" style="1" customWidth="1"/>
    <col min="127" max="127" width="2.77734375" style="1" customWidth="1"/>
    <col min="128" max="128" width="7.77734375" style="1" customWidth="1"/>
    <col min="129" max="129" width="3.44140625" style="1" customWidth="1"/>
    <col min="130" max="130" width="2.77734375" style="1" customWidth="1"/>
    <col min="131" max="131" width="7.77734375" style="1" customWidth="1"/>
    <col min="132" max="132" width="3.44140625" style="1" customWidth="1"/>
    <col min="133" max="133" width="2.77734375" style="1" customWidth="1"/>
    <col min="134" max="134" width="7.77734375" style="1" customWidth="1"/>
    <col min="135" max="135" width="3.44140625" style="1" customWidth="1"/>
    <col min="136" max="136" width="2.77734375" style="1" customWidth="1"/>
    <col min="137" max="137" width="7.77734375" style="1" customWidth="1"/>
    <col min="138" max="138" width="3.44140625" style="1" customWidth="1"/>
    <col min="139" max="142" width="2.77734375" style="1" customWidth="1"/>
    <col min="143" max="143" width="7.77734375" style="1" customWidth="1"/>
    <col min="144" max="144" width="3.44140625" style="1" customWidth="1"/>
    <col min="145" max="148" width="2.77734375" style="1" customWidth="1"/>
    <col min="149" max="149" width="7.77734375" style="1" customWidth="1"/>
    <col min="150" max="150" width="3.44140625" style="1" customWidth="1"/>
    <col min="151" max="154" width="2.77734375" style="1" customWidth="1"/>
    <col min="155" max="155" width="7.77734375" style="1" customWidth="1"/>
    <col min="156" max="156" width="3.44140625" style="1" customWidth="1"/>
    <col min="157" max="160" width="2.77734375" style="1" customWidth="1"/>
    <col min="161" max="161" width="7.77734375" style="1" customWidth="1"/>
    <col min="162" max="162" width="3.44140625" style="1" customWidth="1"/>
    <col min="163" max="166" width="2.77734375" style="1" customWidth="1"/>
    <col min="167" max="167" width="7.77734375" style="1" customWidth="1"/>
    <col min="168" max="168" width="3.44140625" style="1" customWidth="1"/>
    <col min="169" max="172" width="2.77734375" style="1" customWidth="1"/>
    <col min="173" max="173" width="7.77734375" style="1" customWidth="1"/>
    <col min="174" max="174" width="3.44140625" style="1" customWidth="1"/>
    <col min="175" max="175" width="2.77734375" style="1" customWidth="1"/>
    <col min="176" max="176" width="7.77734375" style="1" customWidth="1"/>
    <col min="177" max="177" width="3.44140625" style="1" customWidth="1"/>
    <col min="178" max="178" width="2.77734375" style="1" customWidth="1"/>
    <col min="179" max="179" width="7.77734375" style="1" customWidth="1"/>
    <col min="180" max="180" width="3.44140625" style="1" customWidth="1"/>
    <col min="181" max="181" width="2.77734375" style="1" customWidth="1"/>
    <col min="182" max="182" width="7.77734375" style="1" customWidth="1"/>
    <col min="183" max="183" width="3.44140625" style="1" customWidth="1"/>
    <col min="184" max="184" width="2.77734375" style="1" customWidth="1"/>
    <col min="185" max="185" width="7.77734375" style="1" customWidth="1"/>
    <col min="186" max="186" width="3.44140625" style="1" customWidth="1"/>
    <col min="187" max="187" width="2.77734375" style="1" customWidth="1"/>
    <col min="188" max="188" width="7.77734375" style="1" customWidth="1"/>
    <col min="189" max="189" width="3.44140625" style="1" customWidth="1"/>
    <col min="190" max="190" width="2.77734375" style="1" customWidth="1"/>
    <col min="191" max="191" width="7.77734375" style="1" customWidth="1"/>
    <col min="192" max="192" width="3.44140625" style="1" customWidth="1"/>
    <col min="193" max="193" width="2.77734375" style="1" customWidth="1"/>
    <col min="194" max="194" width="7.77734375" style="1" customWidth="1"/>
    <col min="195" max="195" width="3.44140625" style="1" customWidth="1"/>
    <col min="196" max="196" width="2.77734375" style="1" customWidth="1"/>
    <col min="197" max="197" width="7.77734375" style="1" customWidth="1"/>
    <col min="198" max="198" width="3.44140625" style="1" customWidth="1"/>
    <col min="199" max="199" width="2.77734375" style="1" customWidth="1"/>
    <col min="200" max="200" width="7.77734375" style="1" customWidth="1"/>
    <col min="201" max="201" width="3.44140625" style="1" customWidth="1"/>
    <col min="202" max="202" width="2.77734375" style="1" customWidth="1"/>
    <col min="203" max="203" width="7.77734375" style="1" customWidth="1"/>
    <col min="204" max="204" width="3.44140625" style="1" customWidth="1"/>
    <col min="205" max="205" width="2.77734375" style="1" customWidth="1"/>
    <col min="206" max="206" width="7.77734375" style="1" customWidth="1"/>
    <col min="207" max="207" width="3.44140625" style="1" customWidth="1"/>
    <col min="208" max="208" width="2.77734375" style="1" customWidth="1"/>
    <col min="209" max="209" width="7.77734375" style="1" customWidth="1"/>
    <col min="210" max="210" width="3.44140625" style="1" customWidth="1"/>
    <col min="211" max="211" width="2.77734375" style="1" customWidth="1"/>
    <col min="212" max="212" width="7.77734375" style="1" customWidth="1"/>
    <col min="213" max="213" width="3.44140625" style="1" customWidth="1"/>
    <col min="214" max="214" width="2.77734375" style="1" customWidth="1"/>
    <col min="215" max="215" width="7.77734375" style="1" customWidth="1"/>
    <col min="216" max="217" width="2.77734375" style="1" customWidth="1"/>
    <col min="218" max="218" width="7.77734375" style="1" customWidth="1"/>
    <col min="219" max="220" width="2.77734375" style="1" customWidth="1"/>
    <col min="221" max="221" width="4.5546875" style="1" customWidth="1"/>
    <col min="222" max="224" width="3.109375" style="1" customWidth="1"/>
    <col min="225" max="225" width="8.88671875" style="1" customWidth="1"/>
    <col min="226" max="226" width="4" style="1" customWidth="1"/>
    <col min="227" max="227" width="3.44140625" style="2" customWidth="1"/>
    <col min="228" max="228" width="8.44140625" style="1" customWidth="1"/>
    <col min="229" max="229" width="4.44140625" style="1" customWidth="1"/>
    <col min="230" max="230" width="4" style="1" customWidth="1"/>
    <col min="231" max="231" width="8.44140625" style="1" customWidth="1"/>
    <col min="232" max="232" width="4.44140625" style="1" customWidth="1"/>
    <col min="233" max="233" width="4" style="1" customWidth="1"/>
    <col min="234" max="234" width="8.44140625" style="1" customWidth="1"/>
    <col min="235" max="235" width="4.44140625" style="1" customWidth="1"/>
    <col min="236" max="236" width="4" style="1" customWidth="1"/>
    <col min="237" max="237" width="8.44140625" style="1" customWidth="1"/>
    <col min="238" max="238" width="4.44140625" style="1" customWidth="1"/>
    <col min="239" max="239" width="4" style="1" customWidth="1"/>
    <col min="240" max="240" width="8.44140625" style="1" customWidth="1"/>
    <col min="241" max="241" width="4.44140625" style="1" customWidth="1"/>
    <col min="242" max="242" width="4" style="1" customWidth="1"/>
    <col min="243" max="243" width="8.44140625" style="1" customWidth="1"/>
    <col min="244" max="244" width="4.44140625" style="1" customWidth="1"/>
    <col min="245" max="245" width="4" style="1" customWidth="1"/>
    <col min="246" max="259" width="10.77734375" style="1" customWidth="1"/>
    <col min="260" max="260" width="2.77734375" style="1" customWidth="1"/>
    <col min="261" max="261" width="6.109375" style="1" customWidth="1"/>
    <col min="262" max="262" width="3.33203125" style="1" customWidth="1"/>
    <col min="263" max="263" width="2.77734375" style="1" customWidth="1"/>
    <col min="264" max="264" width="6.109375" style="1" customWidth="1"/>
    <col min="265" max="265" width="3.33203125" style="1" customWidth="1"/>
    <col min="266" max="266" width="2.77734375" style="1" customWidth="1"/>
    <col min="267" max="267" width="6.109375" style="1" customWidth="1"/>
    <col min="268" max="268" width="3.33203125" style="1" customWidth="1"/>
    <col min="269" max="269" width="2.77734375" style="1" customWidth="1"/>
    <col min="270" max="270" width="6.109375" style="1" customWidth="1"/>
    <col min="271" max="271" width="3.33203125" style="1" customWidth="1"/>
    <col min="272" max="272" width="2.77734375" style="1" customWidth="1"/>
    <col min="273" max="273" width="6.109375" style="1" customWidth="1"/>
    <col min="274" max="274" width="3.33203125" style="1" customWidth="1"/>
    <col min="275" max="275" width="2.77734375" style="1" customWidth="1"/>
    <col min="276" max="276" width="6.109375" style="1" customWidth="1"/>
    <col min="277" max="277" width="3.33203125" style="1" customWidth="1"/>
    <col min="278" max="278" width="2.77734375" style="1" customWidth="1"/>
    <col min="279" max="279" width="6.109375" style="1" customWidth="1"/>
    <col min="280" max="280" width="3.33203125" style="1" customWidth="1"/>
    <col min="281" max="281" width="2.77734375" style="1" customWidth="1"/>
    <col min="282" max="282" width="6.109375" style="1" customWidth="1"/>
    <col min="283" max="283" width="3.33203125" style="1" customWidth="1"/>
    <col min="284" max="284" width="2.77734375" style="1" customWidth="1"/>
    <col min="285" max="285" width="6.109375" style="1" customWidth="1"/>
    <col min="286" max="286" width="3.33203125" style="1" customWidth="1"/>
    <col min="287" max="287" width="2.77734375" style="1" customWidth="1"/>
    <col min="288" max="288" width="6.109375" style="1" customWidth="1"/>
    <col min="289" max="289" width="3.33203125" style="1" customWidth="1"/>
    <col min="290" max="290" width="2.77734375" style="1" customWidth="1"/>
    <col min="291" max="291" width="6.109375" style="1" customWidth="1"/>
    <col min="292" max="292" width="3.33203125" style="1" customWidth="1"/>
    <col min="293" max="293" width="2.77734375" style="1" customWidth="1"/>
    <col min="294" max="294" width="6.109375" style="1" customWidth="1"/>
    <col min="295" max="295" width="3.33203125" style="1" customWidth="1"/>
    <col min="296" max="296" width="2.77734375" style="1" customWidth="1"/>
    <col min="297" max="297" width="6.109375" style="1" customWidth="1"/>
    <col min="298" max="298" width="3.33203125" style="1" customWidth="1"/>
    <col min="299" max="299" width="2.77734375" style="1" customWidth="1"/>
    <col min="300" max="300" width="6.109375" style="1" customWidth="1"/>
    <col min="301" max="301" width="3.33203125" style="1" customWidth="1"/>
    <col min="302" max="302" width="2.77734375" style="1" customWidth="1"/>
    <col min="303" max="303" width="6.109375" style="1" customWidth="1"/>
    <col min="304" max="304" width="3.33203125" style="1" customWidth="1"/>
    <col min="305" max="305" width="2.77734375" style="1" customWidth="1"/>
    <col min="306" max="306" width="6.109375" style="1" customWidth="1"/>
    <col min="307" max="307" width="3.33203125" style="1" customWidth="1"/>
    <col min="308" max="308" width="2.77734375" style="1" customWidth="1"/>
    <col min="309" max="309" width="6.109375" style="1" customWidth="1"/>
    <col min="310" max="310" width="3.33203125" style="1" customWidth="1"/>
    <col min="311" max="311" width="2.77734375" style="1" customWidth="1"/>
    <col min="312" max="312" width="6.109375" style="1" customWidth="1"/>
    <col min="313" max="313" width="3.33203125" style="1" customWidth="1"/>
    <col min="314" max="314" width="2.77734375" style="1" customWidth="1"/>
    <col min="315" max="315" width="6.109375" style="1" customWidth="1"/>
    <col min="316" max="316" width="3.33203125" style="1" customWidth="1"/>
    <col min="317" max="317" width="2.77734375" style="1" customWidth="1"/>
    <col min="318" max="318" width="6.109375" style="1" customWidth="1"/>
    <col min="319" max="319" width="3.33203125" style="1" customWidth="1"/>
    <col min="320" max="320" width="2.77734375" style="1" customWidth="1"/>
    <col min="321" max="321" width="6.109375" style="1" customWidth="1"/>
    <col min="322" max="322" width="3.33203125" style="1" customWidth="1"/>
    <col min="323" max="323" width="2.77734375" style="1" customWidth="1"/>
    <col min="324" max="324" width="6.109375" style="1" customWidth="1"/>
    <col min="325" max="325" width="3.33203125" style="1" customWidth="1"/>
    <col min="326" max="326" width="2.77734375" style="1" customWidth="1"/>
    <col min="327" max="327" width="6.109375" style="1" customWidth="1"/>
    <col min="328" max="328" width="3.33203125" style="1" customWidth="1"/>
    <col min="329" max="329" width="2.77734375" style="1" customWidth="1"/>
    <col min="330" max="16384" width="8.88671875" style="5"/>
  </cols>
  <sheetData>
    <row r="1" spans="1:329" s="15" customFormat="1" x14ac:dyDescent="0.15">
      <c r="A1" s="2" t="s">
        <v>97</v>
      </c>
      <c r="B1" s="16" t="s">
        <v>608</v>
      </c>
      <c r="C1" s="16"/>
      <c r="D1" s="16"/>
      <c r="E1" s="16" t="s">
        <v>609</v>
      </c>
      <c r="F1" s="16"/>
      <c r="G1" s="16"/>
      <c r="H1" s="16" t="s">
        <v>623</v>
      </c>
      <c r="I1" s="16"/>
      <c r="J1" s="16"/>
      <c r="K1" s="16" t="s">
        <v>624</v>
      </c>
      <c r="L1" s="16"/>
      <c r="M1" s="16"/>
      <c r="N1" s="16" t="s">
        <v>632</v>
      </c>
      <c r="O1" s="16"/>
      <c r="P1" s="16"/>
      <c r="Q1" s="16" t="s">
        <v>610</v>
      </c>
      <c r="R1" s="16"/>
      <c r="S1" s="16"/>
      <c r="T1" s="16" t="s">
        <v>628</v>
      </c>
      <c r="U1" s="16"/>
      <c r="V1" s="16"/>
      <c r="W1" s="16" t="s">
        <v>611</v>
      </c>
      <c r="X1" s="16"/>
      <c r="Y1" s="16"/>
      <c r="Z1" s="16" t="s">
        <v>648</v>
      </c>
      <c r="AA1" s="16"/>
      <c r="AB1" s="16"/>
      <c r="AC1" s="16" t="s">
        <v>612</v>
      </c>
      <c r="AD1" s="16"/>
      <c r="AE1" s="16"/>
      <c r="AF1" s="16" t="s">
        <v>615</v>
      </c>
      <c r="AG1" s="16"/>
      <c r="AH1" s="16"/>
      <c r="AI1" s="16"/>
      <c r="AJ1" s="16"/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16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16"/>
      <c r="DB1" s="16"/>
      <c r="DC1" s="16"/>
      <c r="DD1" s="16"/>
      <c r="DE1" s="16"/>
      <c r="DF1" s="16"/>
      <c r="DG1" s="16"/>
      <c r="DH1" s="16"/>
      <c r="DI1" s="16"/>
      <c r="DJ1" s="16"/>
      <c r="DK1" s="16"/>
      <c r="DL1" s="16"/>
      <c r="DM1" s="16"/>
      <c r="DN1" s="16"/>
      <c r="DO1" s="16"/>
      <c r="DP1" s="16"/>
      <c r="DQ1" s="16"/>
      <c r="DR1" s="16"/>
      <c r="DS1" s="16"/>
      <c r="DT1" s="16"/>
      <c r="DU1" s="16"/>
      <c r="DV1" s="16"/>
      <c r="DW1" s="16"/>
      <c r="DX1" s="16"/>
      <c r="DY1" s="16"/>
      <c r="DZ1" s="16"/>
      <c r="EA1" s="16"/>
      <c r="EB1" s="16"/>
      <c r="EC1" s="16"/>
      <c r="ED1" s="16"/>
      <c r="EE1" s="16"/>
      <c r="EF1" s="16"/>
      <c r="EG1" s="16"/>
      <c r="EH1" s="16"/>
      <c r="EI1" s="16"/>
      <c r="EJ1" s="16"/>
      <c r="EK1" s="16"/>
      <c r="EL1" s="16"/>
      <c r="EM1" s="16"/>
      <c r="EN1" s="16"/>
      <c r="EO1" s="16"/>
      <c r="EP1" s="16"/>
      <c r="EQ1" s="16"/>
      <c r="ER1" s="16"/>
      <c r="ES1" s="16"/>
      <c r="ET1" s="16"/>
      <c r="EU1" s="16"/>
      <c r="EV1" s="16"/>
      <c r="EW1" s="16"/>
      <c r="EX1" s="16"/>
      <c r="EY1" s="16"/>
      <c r="EZ1" s="16"/>
      <c r="FA1" s="16"/>
      <c r="FB1" s="16"/>
      <c r="FC1" s="16"/>
      <c r="FD1" s="16"/>
      <c r="FE1" s="16"/>
      <c r="FF1" s="16"/>
      <c r="FG1" s="16"/>
      <c r="FH1" s="16"/>
      <c r="FI1" s="16"/>
      <c r="FJ1" s="16"/>
      <c r="FK1" s="16"/>
      <c r="FL1" s="16"/>
      <c r="FM1" s="16"/>
      <c r="FN1" s="16"/>
      <c r="FO1" s="16"/>
      <c r="FP1" s="16"/>
      <c r="FQ1" s="16"/>
      <c r="FR1" s="16"/>
      <c r="FS1" s="16"/>
      <c r="FT1" s="16"/>
      <c r="FU1" s="16"/>
      <c r="FV1" s="16"/>
      <c r="FW1" s="16"/>
      <c r="FX1" s="16"/>
      <c r="FY1" s="16"/>
      <c r="FZ1" s="16"/>
      <c r="GA1" s="16"/>
      <c r="GB1" s="16"/>
      <c r="GC1" s="16"/>
      <c r="GD1" s="16"/>
      <c r="GE1" s="16"/>
      <c r="GF1" s="16"/>
      <c r="GG1" s="16"/>
      <c r="GH1" s="16"/>
      <c r="GI1" s="16"/>
      <c r="GJ1" s="16"/>
      <c r="GK1" s="16"/>
      <c r="GL1" s="16"/>
      <c r="GM1" s="16"/>
      <c r="GN1" s="16"/>
      <c r="GO1" s="16"/>
      <c r="GP1" s="16"/>
      <c r="GQ1" s="16"/>
      <c r="GR1" s="16"/>
      <c r="GS1" s="16"/>
      <c r="GT1" s="16"/>
      <c r="GU1" s="16"/>
      <c r="GV1" s="16"/>
      <c r="GW1" s="16"/>
      <c r="GX1" s="16"/>
      <c r="GY1" s="16"/>
      <c r="GZ1" s="16"/>
      <c r="HA1" s="16"/>
      <c r="HB1" s="16"/>
      <c r="HC1" s="16"/>
      <c r="HD1" s="16"/>
      <c r="HE1" s="16"/>
      <c r="HF1" s="16"/>
      <c r="HG1" s="16"/>
      <c r="HH1" s="16"/>
      <c r="HI1" s="16"/>
      <c r="HJ1" s="16"/>
      <c r="HK1" s="16"/>
      <c r="HL1" s="16"/>
      <c r="HM1" s="16"/>
      <c r="HN1" s="16"/>
      <c r="HO1" s="16"/>
      <c r="HP1" s="16"/>
      <c r="HQ1" s="16"/>
      <c r="HR1" s="16"/>
      <c r="HS1" s="16"/>
      <c r="HT1" s="16"/>
      <c r="HU1" s="16"/>
      <c r="HV1" s="16"/>
      <c r="HW1" s="16"/>
      <c r="HX1" s="16"/>
      <c r="HY1" s="16"/>
      <c r="HZ1" s="16"/>
      <c r="IA1" s="16"/>
      <c r="IB1" s="16"/>
      <c r="IC1" s="16"/>
      <c r="ID1" s="16"/>
      <c r="IE1" s="16"/>
      <c r="IF1" s="16"/>
      <c r="IG1" s="16"/>
      <c r="IH1" s="16"/>
      <c r="II1" s="16"/>
      <c r="IJ1" s="16"/>
      <c r="IK1" s="16"/>
      <c r="IL1" s="16"/>
      <c r="IM1" s="16"/>
      <c r="IN1" s="16"/>
      <c r="IO1" s="16"/>
      <c r="IP1" s="16"/>
      <c r="IQ1" s="16"/>
      <c r="IR1" s="16"/>
      <c r="IS1" s="16"/>
      <c r="IT1" s="16"/>
      <c r="IU1" s="16"/>
      <c r="IV1" s="16"/>
      <c r="IW1" s="16"/>
      <c r="IX1" s="16"/>
      <c r="IY1" s="16"/>
      <c r="IZ1" s="16"/>
      <c r="JA1" s="16"/>
      <c r="JB1" s="16"/>
      <c r="JC1" s="16"/>
      <c r="JD1" s="16"/>
      <c r="JE1" s="16"/>
      <c r="JF1" s="16"/>
      <c r="JG1" s="16"/>
      <c r="JH1" s="16"/>
      <c r="JI1" s="16"/>
      <c r="JJ1" s="16"/>
      <c r="JK1" s="16"/>
      <c r="JL1" s="16"/>
      <c r="JM1" s="16"/>
      <c r="JN1" s="16"/>
      <c r="JO1" s="16"/>
      <c r="JP1" s="16"/>
      <c r="JQ1" s="16"/>
      <c r="JR1" s="16"/>
      <c r="JS1" s="16"/>
      <c r="JT1" s="16"/>
      <c r="JU1" s="16"/>
      <c r="JV1" s="16"/>
      <c r="JW1" s="16"/>
      <c r="JX1" s="16"/>
      <c r="JY1" s="16"/>
      <c r="JZ1" s="16"/>
      <c r="KA1" s="16"/>
      <c r="KB1" s="16"/>
      <c r="KC1" s="16"/>
      <c r="KD1" s="16"/>
      <c r="KE1" s="16"/>
      <c r="KF1" s="16"/>
      <c r="KG1" s="16"/>
      <c r="KH1" s="16"/>
      <c r="KI1" s="16"/>
      <c r="KJ1" s="16"/>
      <c r="KK1" s="16"/>
      <c r="KL1" s="16"/>
      <c r="KM1" s="16"/>
      <c r="KN1" s="16"/>
      <c r="KO1" s="16"/>
      <c r="KP1" s="16"/>
      <c r="KQ1" s="16"/>
      <c r="KR1" s="16"/>
      <c r="KS1" s="16"/>
      <c r="KT1" s="16"/>
      <c r="KU1" s="16"/>
      <c r="KV1" s="16"/>
      <c r="KW1" s="16"/>
      <c r="KX1" s="16"/>
      <c r="KY1" s="16"/>
      <c r="KZ1" s="16"/>
      <c r="LA1" s="16"/>
      <c r="LB1" s="16"/>
      <c r="LC1" s="16"/>
      <c r="LD1" s="16"/>
      <c r="LE1" s="16"/>
      <c r="LF1" s="16"/>
      <c r="LG1" s="16"/>
      <c r="LH1" s="16"/>
      <c r="LI1" s="16"/>
      <c r="LJ1" s="16"/>
      <c r="LK1" s="16"/>
      <c r="LL1" s="16"/>
      <c r="LM1" s="16"/>
      <c r="LN1" s="16"/>
      <c r="LO1" s="16"/>
      <c r="LP1" s="16"/>
      <c r="LQ1" s="16"/>
    </row>
    <row r="2" spans="1:329" x14ac:dyDescent="0.15">
      <c r="A2" s="2" t="s">
        <v>98</v>
      </c>
      <c r="B2" s="1" t="s">
        <v>128</v>
      </c>
      <c r="C2" s="1" t="s">
        <v>129</v>
      </c>
      <c r="D2" s="1" t="s">
        <v>130</v>
      </c>
      <c r="E2" s="1" t="s">
        <v>128</v>
      </c>
      <c r="F2" s="1" t="s">
        <v>129</v>
      </c>
      <c r="G2" s="1" t="s">
        <v>130</v>
      </c>
      <c r="H2" s="1" t="s">
        <v>128</v>
      </c>
      <c r="I2" s="1" t="s">
        <v>129</v>
      </c>
      <c r="J2" s="1" t="s">
        <v>130</v>
      </c>
      <c r="K2" s="1" t="s">
        <v>128</v>
      </c>
      <c r="L2" s="1" t="s">
        <v>129</v>
      </c>
      <c r="M2" s="1" t="s">
        <v>130</v>
      </c>
      <c r="N2" s="1" t="s">
        <v>128</v>
      </c>
      <c r="O2" s="1" t="s">
        <v>129</v>
      </c>
      <c r="P2" s="1" t="s">
        <v>130</v>
      </c>
      <c r="Q2" s="1" t="s">
        <v>128</v>
      </c>
      <c r="R2" s="1" t="s">
        <v>129</v>
      </c>
      <c r="S2" s="1" t="s">
        <v>130</v>
      </c>
      <c r="T2" s="1" t="s">
        <v>128</v>
      </c>
      <c r="U2" s="1" t="s">
        <v>129</v>
      </c>
      <c r="V2" s="1" t="s">
        <v>130</v>
      </c>
      <c r="W2" s="1" t="s">
        <v>128</v>
      </c>
      <c r="X2" s="1" t="s">
        <v>129</v>
      </c>
      <c r="Y2" s="1" t="s">
        <v>130</v>
      </c>
      <c r="Z2" s="1" t="s">
        <v>645</v>
      </c>
      <c r="AA2" s="1" t="s">
        <v>646</v>
      </c>
      <c r="AB2" s="1" t="s">
        <v>647</v>
      </c>
      <c r="AC2" s="1" t="s">
        <v>128</v>
      </c>
      <c r="AD2" s="1" t="s">
        <v>129</v>
      </c>
      <c r="AE2" s="1" t="s">
        <v>130</v>
      </c>
      <c r="AF2" s="1" t="s">
        <v>128</v>
      </c>
      <c r="AG2" s="1" t="s">
        <v>129</v>
      </c>
      <c r="AH2" s="1" t="s">
        <v>130</v>
      </c>
      <c r="HS2" s="1"/>
    </row>
    <row r="3" spans="1:329" s="20" customFormat="1" x14ac:dyDescent="0.15">
      <c r="A3" s="18" t="s">
        <v>70</v>
      </c>
      <c r="B3" s="19" t="s">
        <v>616</v>
      </c>
      <c r="C3" s="19">
        <v>1300</v>
      </c>
      <c r="D3" s="19"/>
      <c r="E3" s="19" t="s">
        <v>620</v>
      </c>
      <c r="F3" s="19">
        <v>50</v>
      </c>
      <c r="G3" s="19">
        <v>1</v>
      </c>
      <c r="H3" s="19" t="s">
        <v>617</v>
      </c>
      <c r="I3" s="19">
        <v>25</v>
      </c>
      <c r="J3" s="19">
        <v>0.5</v>
      </c>
      <c r="K3" s="19" t="s">
        <v>620</v>
      </c>
      <c r="L3" s="19">
        <v>875</v>
      </c>
      <c r="M3" s="19">
        <v>1</v>
      </c>
      <c r="N3" s="19" t="s">
        <v>633</v>
      </c>
      <c r="O3" s="19">
        <v>75</v>
      </c>
      <c r="P3" s="19">
        <v>1</v>
      </c>
      <c r="Q3" s="19" t="s">
        <v>629</v>
      </c>
      <c r="R3" s="19">
        <v>250</v>
      </c>
      <c r="S3" s="19">
        <v>2</v>
      </c>
      <c r="T3" s="19" t="s">
        <v>621</v>
      </c>
      <c r="U3" s="19">
        <v>40</v>
      </c>
      <c r="V3" s="19">
        <v>0.32</v>
      </c>
      <c r="W3" s="19" t="s">
        <v>636</v>
      </c>
      <c r="X3" s="19">
        <v>150</v>
      </c>
      <c r="Y3" s="19">
        <v>1</v>
      </c>
      <c r="Z3" s="19" t="s">
        <v>630</v>
      </c>
      <c r="AA3" s="19">
        <v>150</v>
      </c>
      <c r="AB3" s="19">
        <v>1</v>
      </c>
      <c r="AC3" s="19" t="s">
        <v>622</v>
      </c>
      <c r="AD3" s="19">
        <v>10</v>
      </c>
      <c r="AE3" s="19">
        <v>0.2</v>
      </c>
      <c r="AF3" s="19" t="s">
        <v>528</v>
      </c>
      <c r="AG3" s="19">
        <v>1000</v>
      </c>
      <c r="AH3" s="19">
        <v>2</v>
      </c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19"/>
      <c r="BH3" s="19"/>
      <c r="BI3" s="19"/>
      <c r="BJ3" s="19"/>
      <c r="BK3" s="19"/>
      <c r="BL3" s="19"/>
      <c r="BM3" s="19"/>
      <c r="BN3" s="19"/>
      <c r="BO3" s="19"/>
      <c r="BP3" s="19"/>
      <c r="BQ3" s="19"/>
      <c r="BR3" s="19"/>
      <c r="BS3" s="19"/>
      <c r="BT3" s="19"/>
      <c r="BU3" s="19"/>
      <c r="BV3" s="19"/>
      <c r="BW3" s="19"/>
      <c r="BX3" s="19"/>
      <c r="BY3" s="19"/>
      <c r="BZ3" s="19"/>
      <c r="CA3" s="19"/>
      <c r="CB3" s="19"/>
      <c r="CC3" s="19"/>
      <c r="CD3" s="19"/>
      <c r="CE3" s="19"/>
      <c r="CF3" s="19"/>
      <c r="CG3" s="19"/>
      <c r="CH3" s="19"/>
      <c r="CI3" s="19"/>
      <c r="CJ3" s="19"/>
      <c r="CK3" s="19"/>
      <c r="CL3" s="19"/>
      <c r="CM3" s="19"/>
      <c r="CN3" s="19"/>
      <c r="CO3" s="19"/>
      <c r="CP3" s="19"/>
      <c r="CQ3" s="19"/>
      <c r="CR3" s="19"/>
      <c r="CS3" s="19"/>
      <c r="CT3" s="19"/>
      <c r="CU3" s="19"/>
      <c r="CV3" s="19"/>
      <c r="CW3" s="19"/>
      <c r="CX3" s="19"/>
      <c r="CY3" s="19"/>
      <c r="CZ3" s="19"/>
      <c r="DA3" s="19"/>
      <c r="DB3" s="19"/>
      <c r="DC3" s="19"/>
      <c r="DD3" s="19"/>
      <c r="DE3" s="19"/>
      <c r="DF3" s="19"/>
      <c r="DG3" s="19"/>
      <c r="DH3" s="19"/>
      <c r="DI3" s="19"/>
      <c r="DJ3" s="19"/>
      <c r="DK3" s="19"/>
      <c r="DL3" s="19"/>
      <c r="DM3" s="19"/>
      <c r="DN3" s="19"/>
      <c r="DO3" s="19"/>
      <c r="DP3" s="19"/>
      <c r="DQ3" s="19"/>
      <c r="DR3" s="19"/>
      <c r="DS3" s="19"/>
      <c r="DT3" s="19"/>
      <c r="DU3" s="19"/>
      <c r="DV3" s="19"/>
      <c r="DW3" s="19"/>
      <c r="DX3" s="19"/>
      <c r="DY3" s="19"/>
      <c r="DZ3" s="19"/>
      <c r="EA3" s="19"/>
      <c r="EB3" s="19"/>
      <c r="EC3" s="19"/>
      <c r="ED3" s="19"/>
      <c r="EE3" s="19"/>
      <c r="EF3" s="19"/>
      <c r="EG3" s="19"/>
      <c r="EH3" s="19"/>
      <c r="EI3" s="19"/>
      <c r="EJ3" s="19"/>
      <c r="EK3" s="19"/>
      <c r="EL3" s="19"/>
      <c r="EM3" s="19"/>
      <c r="EN3" s="19"/>
      <c r="EO3" s="19"/>
      <c r="EP3" s="19"/>
      <c r="EQ3" s="19"/>
      <c r="ER3" s="19"/>
      <c r="ES3" s="19"/>
      <c r="ET3" s="19"/>
      <c r="EU3" s="19"/>
      <c r="EV3" s="19"/>
      <c r="EW3" s="19"/>
      <c r="EX3" s="19"/>
      <c r="EY3" s="19"/>
      <c r="EZ3" s="19"/>
      <c r="FA3" s="19"/>
      <c r="FB3" s="19"/>
      <c r="FC3" s="19"/>
      <c r="FD3" s="19"/>
      <c r="FE3" s="19"/>
      <c r="FF3" s="19"/>
      <c r="FG3" s="19"/>
      <c r="FH3" s="19"/>
      <c r="FI3" s="19"/>
      <c r="FJ3" s="19"/>
      <c r="FK3" s="19"/>
      <c r="FL3" s="19"/>
      <c r="FM3" s="19"/>
      <c r="FN3" s="19"/>
      <c r="FO3" s="19"/>
      <c r="FP3" s="19"/>
      <c r="FQ3" s="19"/>
      <c r="FR3" s="19"/>
      <c r="FS3" s="19"/>
      <c r="FT3" s="19"/>
      <c r="FU3" s="19"/>
      <c r="FV3" s="19"/>
      <c r="FW3" s="19"/>
      <c r="FX3" s="19"/>
      <c r="FY3" s="19"/>
      <c r="FZ3" s="19"/>
      <c r="GA3" s="19"/>
      <c r="GB3" s="19"/>
      <c r="GC3" s="19"/>
      <c r="GD3" s="19"/>
      <c r="GE3" s="19"/>
      <c r="GF3" s="19"/>
      <c r="GG3" s="19"/>
      <c r="GH3" s="19"/>
      <c r="GI3" s="19"/>
      <c r="GJ3" s="19"/>
      <c r="GK3" s="19"/>
      <c r="GL3" s="19"/>
      <c r="GM3" s="19"/>
      <c r="GN3" s="19"/>
      <c r="GO3" s="19"/>
      <c r="GP3" s="19"/>
      <c r="GQ3" s="19"/>
      <c r="GR3" s="19"/>
      <c r="GS3" s="19"/>
      <c r="GT3" s="19"/>
      <c r="GU3" s="19"/>
      <c r="GV3" s="19"/>
      <c r="GW3" s="19"/>
      <c r="GX3" s="19"/>
      <c r="GY3" s="19"/>
      <c r="GZ3" s="19"/>
      <c r="HA3" s="19"/>
      <c r="HB3" s="19"/>
      <c r="HC3" s="19"/>
      <c r="HD3" s="19"/>
      <c r="HE3" s="19"/>
      <c r="HF3" s="19"/>
      <c r="HG3" s="19"/>
      <c r="HH3" s="19"/>
      <c r="HI3" s="19"/>
      <c r="HJ3" s="19"/>
      <c r="HK3" s="19"/>
      <c r="HL3" s="19"/>
      <c r="HM3" s="19"/>
      <c r="HN3" s="19"/>
      <c r="HO3" s="19"/>
      <c r="HP3" s="19"/>
      <c r="HQ3" s="19"/>
      <c r="HR3" s="19"/>
      <c r="HS3" s="19"/>
      <c r="HT3" s="19"/>
      <c r="HU3" s="19"/>
      <c r="HV3" s="19"/>
      <c r="HW3" s="19"/>
      <c r="HX3" s="19"/>
      <c r="HY3" s="19"/>
      <c r="HZ3" s="19"/>
      <c r="IA3" s="19"/>
      <c r="IB3" s="19"/>
      <c r="IC3" s="19"/>
      <c r="ID3" s="19"/>
      <c r="IE3" s="19"/>
      <c r="IF3" s="19"/>
      <c r="IG3" s="19"/>
      <c r="IH3" s="19"/>
      <c r="II3" s="19"/>
      <c r="IJ3" s="19"/>
      <c r="IK3" s="19"/>
      <c r="IL3" s="19"/>
      <c r="IM3" s="19"/>
      <c r="IN3" s="19"/>
      <c r="IO3" s="19"/>
      <c r="IP3" s="19"/>
      <c r="IQ3" s="19"/>
      <c r="IR3" s="19"/>
      <c r="IS3" s="19"/>
      <c r="IT3" s="19"/>
      <c r="IU3" s="19"/>
      <c r="IV3" s="19"/>
      <c r="IW3" s="19"/>
      <c r="IX3" s="19"/>
      <c r="IY3" s="19"/>
      <c r="IZ3" s="19"/>
      <c r="JA3" s="19"/>
      <c r="JB3" s="19"/>
      <c r="JC3" s="19"/>
      <c r="JD3" s="19"/>
      <c r="JE3" s="19"/>
      <c r="JF3" s="19"/>
      <c r="JG3" s="19"/>
      <c r="JH3" s="19"/>
      <c r="JI3" s="19"/>
      <c r="JJ3" s="19"/>
      <c r="JK3" s="19"/>
      <c r="JL3" s="19"/>
      <c r="JM3" s="19"/>
      <c r="JN3" s="19"/>
      <c r="JO3" s="19"/>
      <c r="JP3" s="19"/>
      <c r="JQ3" s="19"/>
      <c r="JR3" s="19"/>
      <c r="JS3" s="19"/>
      <c r="JT3" s="19"/>
      <c r="JU3" s="19"/>
      <c r="JV3" s="19"/>
      <c r="JW3" s="19"/>
      <c r="JX3" s="19"/>
      <c r="JY3" s="19"/>
      <c r="JZ3" s="19"/>
      <c r="KA3" s="19"/>
      <c r="KB3" s="19"/>
      <c r="KC3" s="19"/>
      <c r="KD3" s="19"/>
      <c r="KE3" s="19"/>
      <c r="KF3" s="19"/>
      <c r="KG3" s="19"/>
      <c r="KH3" s="19"/>
      <c r="KI3" s="19"/>
      <c r="KJ3" s="19"/>
      <c r="KK3" s="19"/>
      <c r="KL3" s="19"/>
      <c r="KM3" s="19"/>
      <c r="KN3" s="19"/>
      <c r="KO3" s="19"/>
      <c r="KP3" s="19"/>
      <c r="KQ3" s="19"/>
      <c r="KR3" s="19"/>
      <c r="KS3" s="19"/>
      <c r="KT3" s="19"/>
      <c r="KU3" s="19"/>
      <c r="KV3" s="19"/>
      <c r="KW3" s="19"/>
      <c r="KX3" s="19"/>
      <c r="KY3" s="19"/>
      <c r="KZ3" s="19"/>
      <c r="LA3" s="19"/>
      <c r="LB3" s="19"/>
      <c r="LC3" s="19"/>
      <c r="LD3" s="19"/>
      <c r="LE3" s="19"/>
      <c r="LF3" s="19"/>
      <c r="LG3" s="19"/>
      <c r="LH3" s="19"/>
      <c r="LI3" s="19"/>
      <c r="LJ3" s="19"/>
      <c r="LK3" s="19"/>
      <c r="LL3" s="19"/>
      <c r="LM3" s="19"/>
      <c r="LN3" s="19"/>
      <c r="LO3" s="19"/>
      <c r="LP3" s="19"/>
      <c r="LQ3" s="19"/>
    </row>
    <row r="4" spans="1:329" s="20" customFormat="1" x14ac:dyDescent="0.15">
      <c r="A4" s="18" t="s">
        <v>71</v>
      </c>
      <c r="B4" s="19" t="s">
        <v>616</v>
      </c>
      <c r="C4" s="19">
        <v>1300</v>
      </c>
      <c r="D4" s="19"/>
      <c r="E4" s="19" t="s">
        <v>620</v>
      </c>
      <c r="F4" s="19">
        <v>50</v>
      </c>
      <c r="G4" s="19">
        <v>1</v>
      </c>
      <c r="H4" s="19" t="s">
        <v>617</v>
      </c>
      <c r="I4" s="19">
        <v>25</v>
      </c>
      <c r="J4" s="19">
        <v>0.5</v>
      </c>
      <c r="K4" s="19" t="s">
        <v>620</v>
      </c>
      <c r="L4" s="19">
        <v>875</v>
      </c>
      <c r="M4" s="19">
        <v>1</v>
      </c>
      <c r="N4" s="19" t="s">
        <v>633</v>
      </c>
      <c r="O4" s="19">
        <v>75</v>
      </c>
      <c r="P4" s="19">
        <v>1</v>
      </c>
      <c r="Q4" s="19" t="s">
        <v>629</v>
      </c>
      <c r="R4" s="19">
        <v>250</v>
      </c>
      <c r="S4" s="19">
        <v>2</v>
      </c>
      <c r="T4" s="19" t="s">
        <v>621</v>
      </c>
      <c r="U4" s="19">
        <v>40</v>
      </c>
      <c r="V4" s="19">
        <v>0.32</v>
      </c>
      <c r="W4" s="19" t="s">
        <v>636</v>
      </c>
      <c r="X4" s="19">
        <v>150</v>
      </c>
      <c r="Y4" s="19">
        <v>1</v>
      </c>
      <c r="Z4" s="19" t="s">
        <v>630</v>
      </c>
      <c r="AA4" s="19">
        <v>150</v>
      </c>
      <c r="AB4" s="19">
        <v>1</v>
      </c>
      <c r="AC4" s="19" t="s">
        <v>622</v>
      </c>
      <c r="AD4" s="19">
        <v>10</v>
      </c>
      <c r="AE4" s="19">
        <v>0.2</v>
      </c>
      <c r="AF4" s="19" t="s">
        <v>528</v>
      </c>
      <c r="AG4" s="19">
        <v>1000</v>
      </c>
      <c r="AH4" s="19">
        <v>2</v>
      </c>
      <c r="AI4" s="19"/>
      <c r="AJ4" s="19"/>
      <c r="AK4" s="19"/>
      <c r="AL4" s="19"/>
      <c r="AM4" s="19"/>
      <c r="AN4" s="19"/>
      <c r="AO4" s="19"/>
      <c r="AP4" s="19"/>
      <c r="AQ4" s="19"/>
      <c r="AR4" s="19"/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  <c r="BI4" s="19"/>
      <c r="BJ4" s="19"/>
      <c r="BK4" s="19"/>
      <c r="BL4" s="19"/>
      <c r="BM4" s="19"/>
      <c r="BN4" s="19"/>
      <c r="BO4" s="19"/>
      <c r="BP4" s="19"/>
      <c r="BQ4" s="19"/>
      <c r="BR4" s="19"/>
      <c r="BS4" s="19"/>
      <c r="BT4" s="19"/>
      <c r="BU4" s="19"/>
      <c r="BV4" s="19"/>
      <c r="BW4" s="19"/>
      <c r="BX4" s="19"/>
      <c r="BY4" s="19"/>
      <c r="BZ4" s="19"/>
      <c r="CA4" s="19"/>
      <c r="CB4" s="19"/>
      <c r="CC4" s="19"/>
      <c r="CD4" s="19"/>
      <c r="CE4" s="19"/>
      <c r="CF4" s="19"/>
      <c r="CG4" s="19"/>
      <c r="CH4" s="19"/>
      <c r="CI4" s="19"/>
      <c r="CJ4" s="19"/>
      <c r="CK4" s="19"/>
      <c r="CL4" s="19"/>
      <c r="CM4" s="19"/>
      <c r="CN4" s="19"/>
      <c r="CO4" s="19"/>
      <c r="CP4" s="19"/>
      <c r="CQ4" s="19"/>
      <c r="CR4" s="19"/>
      <c r="CS4" s="19"/>
      <c r="CT4" s="19"/>
      <c r="CU4" s="19"/>
      <c r="CV4" s="19"/>
      <c r="CW4" s="19"/>
      <c r="CX4" s="19"/>
      <c r="CY4" s="19"/>
      <c r="CZ4" s="19"/>
      <c r="DA4" s="19"/>
      <c r="DB4" s="19"/>
      <c r="DC4" s="19"/>
      <c r="DD4" s="19"/>
      <c r="DE4" s="19"/>
      <c r="DF4" s="19"/>
      <c r="DG4" s="19"/>
      <c r="DH4" s="19"/>
      <c r="DI4" s="19"/>
      <c r="DJ4" s="19"/>
      <c r="DK4" s="19"/>
      <c r="DL4" s="19"/>
      <c r="DM4" s="19"/>
      <c r="DN4" s="19"/>
      <c r="DO4" s="19"/>
      <c r="DP4" s="19"/>
      <c r="DQ4" s="19"/>
      <c r="DR4" s="19"/>
      <c r="DS4" s="19"/>
      <c r="DT4" s="19"/>
      <c r="DU4" s="19"/>
      <c r="DV4" s="19"/>
      <c r="DW4" s="19"/>
      <c r="DX4" s="19"/>
      <c r="DY4" s="19"/>
      <c r="DZ4" s="19"/>
      <c r="EA4" s="19"/>
      <c r="EB4" s="19"/>
      <c r="EC4" s="19"/>
      <c r="ED4" s="19"/>
      <c r="EE4" s="19"/>
      <c r="EF4" s="19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9"/>
      <c r="ER4" s="19"/>
      <c r="ES4" s="19"/>
      <c r="ET4" s="19"/>
      <c r="EU4" s="19"/>
      <c r="EV4" s="19"/>
      <c r="EW4" s="19"/>
      <c r="EX4" s="19"/>
      <c r="EY4" s="19"/>
      <c r="EZ4" s="19"/>
      <c r="FA4" s="19"/>
      <c r="FB4" s="19"/>
      <c r="FC4" s="19"/>
      <c r="FD4" s="19"/>
      <c r="FE4" s="19"/>
      <c r="FF4" s="19"/>
      <c r="FG4" s="19"/>
      <c r="FH4" s="19"/>
      <c r="FI4" s="19"/>
      <c r="FJ4" s="19"/>
      <c r="FK4" s="19"/>
      <c r="FL4" s="19"/>
      <c r="FM4" s="19"/>
      <c r="FN4" s="19"/>
      <c r="FO4" s="19"/>
      <c r="FP4" s="19"/>
      <c r="FQ4" s="19"/>
      <c r="FR4" s="19"/>
      <c r="FS4" s="19"/>
      <c r="FT4" s="19"/>
      <c r="FU4" s="19"/>
      <c r="FV4" s="19"/>
      <c r="FW4" s="19"/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19"/>
      <c r="GN4" s="19"/>
      <c r="GO4" s="19"/>
      <c r="GP4" s="19"/>
      <c r="GQ4" s="19"/>
      <c r="GR4" s="19"/>
      <c r="GS4" s="19"/>
      <c r="GT4" s="19"/>
      <c r="GU4" s="19"/>
      <c r="GV4" s="19"/>
      <c r="GW4" s="19"/>
      <c r="GX4" s="19"/>
      <c r="GY4" s="19"/>
      <c r="GZ4" s="19"/>
      <c r="HA4" s="19"/>
      <c r="HB4" s="19"/>
      <c r="HC4" s="19"/>
      <c r="HD4" s="19"/>
      <c r="HE4" s="19"/>
      <c r="HF4" s="19"/>
      <c r="HG4" s="19"/>
      <c r="HH4" s="19"/>
      <c r="HI4" s="19"/>
      <c r="HJ4" s="19"/>
      <c r="HK4" s="19"/>
      <c r="HL4" s="19"/>
      <c r="HM4" s="19"/>
      <c r="HN4" s="19"/>
      <c r="HO4" s="19"/>
      <c r="HP4" s="19"/>
      <c r="HQ4" s="19"/>
      <c r="HR4" s="19"/>
      <c r="HS4" s="19"/>
      <c r="HT4" s="19"/>
      <c r="HU4" s="19"/>
      <c r="HV4" s="19"/>
      <c r="HW4" s="19"/>
      <c r="HX4" s="19"/>
      <c r="HY4" s="19"/>
      <c r="HZ4" s="19"/>
      <c r="IA4" s="19"/>
      <c r="IB4" s="19"/>
      <c r="IC4" s="19"/>
      <c r="ID4" s="19"/>
      <c r="IE4" s="19"/>
      <c r="IF4" s="19"/>
      <c r="IG4" s="19"/>
      <c r="IH4" s="19"/>
      <c r="II4" s="19"/>
      <c r="IJ4" s="19"/>
      <c r="IK4" s="19"/>
      <c r="IL4" s="19"/>
      <c r="IM4" s="19"/>
      <c r="IN4" s="19"/>
      <c r="IO4" s="19"/>
      <c r="IP4" s="19"/>
      <c r="IQ4" s="19"/>
      <c r="IR4" s="19"/>
      <c r="IS4" s="19"/>
      <c r="IT4" s="19"/>
      <c r="IU4" s="19"/>
      <c r="IV4" s="19"/>
      <c r="IW4" s="19"/>
      <c r="IX4" s="19"/>
      <c r="IY4" s="19"/>
      <c r="IZ4" s="19"/>
      <c r="JA4" s="19"/>
      <c r="JB4" s="19"/>
      <c r="JC4" s="19"/>
      <c r="JD4" s="19"/>
      <c r="JE4" s="19"/>
      <c r="JF4" s="19"/>
      <c r="JG4" s="19"/>
      <c r="JH4" s="19"/>
      <c r="JI4" s="19"/>
      <c r="JJ4" s="19"/>
      <c r="JK4" s="19"/>
      <c r="JL4" s="19"/>
      <c r="JM4" s="19"/>
      <c r="JN4" s="19"/>
      <c r="JO4" s="19"/>
      <c r="JP4" s="19"/>
      <c r="JQ4" s="19"/>
      <c r="JR4" s="19"/>
      <c r="JS4" s="19"/>
      <c r="JT4" s="19"/>
      <c r="JU4" s="19"/>
      <c r="JV4" s="19"/>
      <c r="JW4" s="19"/>
      <c r="JX4" s="19"/>
      <c r="JY4" s="19"/>
      <c r="JZ4" s="19"/>
      <c r="KA4" s="19"/>
      <c r="KB4" s="19"/>
      <c r="KC4" s="19"/>
      <c r="KD4" s="19"/>
      <c r="KE4" s="19"/>
      <c r="KF4" s="19"/>
      <c r="KG4" s="19"/>
      <c r="KH4" s="19"/>
      <c r="KI4" s="19"/>
      <c r="KJ4" s="19"/>
      <c r="KK4" s="19"/>
      <c r="KL4" s="19"/>
      <c r="KM4" s="19"/>
      <c r="KN4" s="19"/>
      <c r="KO4" s="19"/>
      <c r="KP4" s="19"/>
      <c r="KQ4" s="19"/>
      <c r="KR4" s="19"/>
      <c r="KS4" s="19"/>
      <c r="KT4" s="19"/>
      <c r="KU4" s="19"/>
      <c r="KV4" s="19"/>
      <c r="KW4" s="19"/>
      <c r="KX4" s="19"/>
      <c r="KY4" s="19"/>
      <c r="KZ4" s="19"/>
      <c r="LA4" s="19"/>
      <c r="LB4" s="19"/>
      <c r="LC4" s="19"/>
      <c r="LD4" s="19"/>
      <c r="LE4" s="19"/>
      <c r="LF4" s="19"/>
      <c r="LG4" s="19"/>
      <c r="LH4" s="19"/>
      <c r="LI4" s="19"/>
      <c r="LJ4" s="19"/>
      <c r="LK4" s="19"/>
      <c r="LL4" s="19"/>
      <c r="LM4" s="19"/>
      <c r="LN4" s="19"/>
      <c r="LO4" s="19"/>
      <c r="LP4" s="19"/>
      <c r="LQ4" s="19"/>
    </row>
    <row r="5" spans="1:329" s="20" customFormat="1" x14ac:dyDescent="0.15">
      <c r="A5" s="18" t="s">
        <v>72</v>
      </c>
      <c r="B5" s="19" t="s">
        <v>616</v>
      </c>
      <c r="C5" s="19">
        <v>1300</v>
      </c>
      <c r="D5" s="19"/>
      <c r="E5" s="19" t="s">
        <v>620</v>
      </c>
      <c r="F5" s="19">
        <v>50</v>
      </c>
      <c r="G5" s="19">
        <v>1</v>
      </c>
      <c r="H5" s="19" t="s">
        <v>617</v>
      </c>
      <c r="I5" s="19">
        <v>25</v>
      </c>
      <c r="J5" s="19">
        <v>0.5</v>
      </c>
      <c r="K5" s="19" t="s">
        <v>620</v>
      </c>
      <c r="L5" s="19">
        <v>875</v>
      </c>
      <c r="M5" s="19">
        <v>1</v>
      </c>
      <c r="N5" s="19" t="s">
        <v>633</v>
      </c>
      <c r="O5" s="19">
        <v>75</v>
      </c>
      <c r="P5" s="19">
        <v>1</v>
      </c>
      <c r="Q5" s="19" t="s">
        <v>629</v>
      </c>
      <c r="R5" s="19">
        <v>250</v>
      </c>
      <c r="S5" s="19">
        <v>2</v>
      </c>
      <c r="T5" s="19" t="s">
        <v>621</v>
      </c>
      <c r="U5" s="19">
        <v>40</v>
      </c>
      <c r="V5" s="19">
        <v>0.32</v>
      </c>
      <c r="W5" s="19" t="s">
        <v>636</v>
      </c>
      <c r="X5" s="19">
        <v>150</v>
      </c>
      <c r="Y5" s="19">
        <v>1</v>
      </c>
      <c r="Z5" s="19" t="s">
        <v>630</v>
      </c>
      <c r="AA5" s="19">
        <v>150</v>
      </c>
      <c r="AB5" s="19">
        <v>1</v>
      </c>
      <c r="AC5" s="19" t="s">
        <v>622</v>
      </c>
      <c r="AD5" s="19">
        <v>10</v>
      </c>
      <c r="AE5" s="19">
        <v>0.2</v>
      </c>
      <c r="AF5" s="19" t="s">
        <v>528</v>
      </c>
      <c r="AG5" s="19">
        <v>1000</v>
      </c>
      <c r="AH5" s="19">
        <v>2</v>
      </c>
      <c r="AI5" s="19"/>
      <c r="AJ5" s="19"/>
      <c r="AK5" s="19"/>
      <c r="AL5" s="19"/>
      <c r="AM5" s="19"/>
      <c r="AN5" s="19"/>
      <c r="AO5" s="19"/>
      <c r="AP5" s="19"/>
      <c r="AQ5" s="19"/>
      <c r="AR5" s="19"/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  <c r="BI5" s="19"/>
      <c r="BJ5" s="19"/>
      <c r="BK5" s="19"/>
      <c r="BL5" s="19"/>
      <c r="BM5" s="19"/>
      <c r="BN5" s="19"/>
      <c r="BO5" s="19"/>
      <c r="BP5" s="19"/>
      <c r="BQ5" s="19"/>
      <c r="BR5" s="19"/>
      <c r="BS5" s="19"/>
      <c r="BT5" s="19"/>
      <c r="BU5" s="19"/>
      <c r="BV5" s="19"/>
      <c r="BW5" s="19"/>
      <c r="BX5" s="19"/>
      <c r="BY5" s="19"/>
      <c r="BZ5" s="19"/>
      <c r="CA5" s="19"/>
      <c r="CB5" s="19"/>
      <c r="CC5" s="19"/>
      <c r="CD5" s="19"/>
      <c r="CE5" s="19"/>
      <c r="CF5" s="19"/>
      <c r="CG5" s="19"/>
      <c r="CH5" s="19"/>
      <c r="CI5" s="19"/>
      <c r="CJ5" s="19"/>
      <c r="CK5" s="19"/>
      <c r="CL5" s="19"/>
      <c r="CM5" s="19"/>
      <c r="CN5" s="19"/>
      <c r="CO5" s="19"/>
      <c r="CP5" s="19"/>
      <c r="CQ5" s="19"/>
      <c r="CR5" s="19"/>
      <c r="CS5" s="19"/>
      <c r="CT5" s="19"/>
      <c r="CU5" s="19"/>
      <c r="CV5" s="19"/>
      <c r="CW5" s="19"/>
      <c r="CX5" s="19"/>
      <c r="CY5" s="19"/>
      <c r="CZ5" s="19"/>
      <c r="DA5" s="19"/>
      <c r="DB5" s="19"/>
      <c r="DC5" s="19"/>
      <c r="DD5" s="19"/>
      <c r="DE5" s="19"/>
      <c r="DF5" s="19"/>
      <c r="DG5" s="19"/>
      <c r="DH5" s="19"/>
      <c r="DI5" s="19"/>
      <c r="DJ5" s="19"/>
      <c r="DK5" s="19"/>
      <c r="DL5" s="19"/>
      <c r="DM5" s="19"/>
      <c r="DN5" s="19"/>
      <c r="DO5" s="19"/>
      <c r="DP5" s="19"/>
      <c r="DQ5" s="19"/>
      <c r="DR5" s="19"/>
      <c r="DS5" s="19"/>
      <c r="DT5" s="19"/>
      <c r="DU5" s="19"/>
      <c r="DV5" s="19"/>
      <c r="DW5" s="19"/>
      <c r="DX5" s="19"/>
      <c r="DY5" s="19"/>
      <c r="DZ5" s="19"/>
      <c r="EA5" s="19"/>
      <c r="EB5" s="19"/>
      <c r="EC5" s="19"/>
      <c r="ED5" s="19"/>
      <c r="EE5" s="19"/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9"/>
      <c r="ER5" s="19"/>
      <c r="ES5" s="19"/>
      <c r="ET5" s="19"/>
      <c r="EU5" s="19"/>
      <c r="EV5" s="19"/>
      <c r="EW5" s="19"/>
      <c r="EX5" s="19"/>
      <c r="EY5" s="19"/>
      <c r="EZ5" s="19"/>
      <c r="FA5" s="19"/>
      <c r="FB5" s="19"/>
      <c r="FC5" s="19"/>
      <c r="FD5" s="19"/>
      <c r="FE5" s="19"/>
      <c r="FF5" s="19"/>
      <c r="FG5" s="19"/>
      <c r="FH5" s="19"/>
      <c r="FI5" s="19"/>
      <c r="FJ5" s="19"/>
      <c r="FK5" s="19"/>
      <c r="FL5" s="19"/>
      <c r="FM5" s="19"/>
      <c r="FN5" s="19"/>
      <c r="FO5" s="19"/>
      <c r="FP5" s="19"/>
      <c r="FQ5" s="19"/>
      <c r="FR5" s="19"/>
      <c r="FS5" s="19"/>
      <c r="FT5" s="19"/>
      <c r="FU5" s="19"/>
      <c r="FV5" s="19"/>
      <c r="FW5" s="19"/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19"/>
      <c r="GN5" s="19"/>
      <c r="GO5" s="19"/>
      <c r="GP5" s="19"/>
      <c r="GQ5" s="19"/>
      <c r="GR5" s="19"/>
      <c r="GS5" s="19"/>
      <c r="GT5" s="19"/>
      <c r="GU5" s="19"/>
      <c r="GV5" s="19"/>
      <c r="GW5" s="19"/>
      <c r="GX5" s="19"/>
      <c r="GY5" s="19"/>
      <c r="GZ5" s="19"/>
      <c r="HA5" s="19"/>
      <c r="HB5" s="19"/>
      <c r="HC5" s="19"/>
      <c r="HD5" s="19"/>
      <c r="HE5" s="19"/>
      <c r="HF5" s="19"/>
      <c r="HG5" s="19"/>
      <c r="HH5" s="19"/>
      <c r="HI5" s="19"/>
      <c r="HJ5" s="19"/>
      <c r="HK5" s="19"/>
      <c r="HL5" s="19"/>
      <c r="HM5" s="19"/>
      <c r="HN5" s="19"/>
      <c r="HO5" s="19"/>
      <c r="HP5" s="19"/>
      <c r="HQ5" s="19"/>
      <c r="HR5" s="19"/>
      <c r="HS5" s="19"/>
      <c r="HT5" s="19"/>
      <c r="HU5" s="19"/>
      <c r="HV5" s="19"/>
      <c r="HW5" s="19"/>
      <c r="HX5" s="19"/>
      <c r="HY5" s="19"/>
      <c r="HZ5" s="19"/>
      <c r="IA5" s="19"/>
      <c r="IB5" s="19"/>
      <c r="IC5" s="19"/>
      <c r="ID5" s="19"/>
      <c r="IE5" s="19"/>
      <c r="IF5" s="19"/>
      <c r="IG5" s="19"/>
      <c r="IH5" s="19"/>
      <c r="II5" s="19"/>
      <c r="IJ5" s="19"/>
      <c r="IK5" s="19"/>
      <c r="IL5" s="19"/>
      <c r="IM5" s="19"/>
      <c r="IN5" s="19"/>
      <c r="IO5" s="19"/>
      <c r="IP5" s="19"/>
      <c r="IQ5" s="19"/>
      <c r="IR5" s="19"/>
      <c r="IS5" s="19"/>
      <c r="IT5" s="19"/>
      <c r="IU5" s="19"/>
      <c r="IV5" s="19"/>
      <c r="IW5" s="19"/>
      <c r="IX5" s="19"/>
      <c r="IY5" s="19"/>
      <c r="IZ5" s="19"/>
      <c r="JA5" s="19"/>
      <c r="JB5" s="19"/>
      <c r="JC5" s="19"/>
      <c r="JD5" s="19"/>
      <c r="JE5" s="19"/>
      <c r="JF5" s="19"/>
      <c r="JG5" s="19"/>
      <c r="JH5" s="19"/>
      <c r="JI5" s="19"/>
      <c r="JJ5" s="19"/>
      <c r="JK5" s="19"/>
      <c r="JL5" s="19"/>
      <c r="JM5" s="19"/>
      <c r="JN5" s="19"/>
      <c r="JO5" s="19"/>
      <c r="JP5" s="19"/>
      <c r="JQ5" s="19"/>
      <c r="JR5" s="19"/>
      <c r="JS5" s="19"/>
      <c r="JT5" s="19"/>
      <c r="JU5" s="19"/>
      <c r="JV5" s="19"/>
      <c r="JW5" s="19"/>
      <c r="JX5" s="19"/>
      <c r="JY5" s="19"/>
      <c r="JZ5" s="19"/>
      <c r="KA5" s="19"/>
      <c r="KB5" s="19"/>
      <c r="KC5" s="19"/>
      <c r="KD5" s="19"/>
      <c r="KE5" s="19"/>
      <c r="KF5" s="19"/>
      <c r="KG5" s="19"/>
      <c r="KH5" s="19"/>
      <c r="KI5" s="19"/>
      <c r="KJ5" s="19"/>
      <c r="KK5" s="19"/>
      <c r="KL5" s="19"/>
      <c r="KM5" s="19"/>
      <c r="KN5" s="19"/>
      <c r="KO5" s="19"/>
      <c r="KP5" s="19"/>
      <c r="KQ5" s="19"/>
      <c r="KR5" s="19"/>
      <c r="KS5" s="19"/>
      <c r="KT5" s="19"/>
      <c r="KU5" s="19"/>
      <c r="KV5" s="19"/>
      <c r="KW5" s="19"/>
      <c r="KX5" s="19"/>
      <c r="KY5" s="19"/>
      <c r="KZ5" s="19"/>
      <c r="LA5" s="19"/>
      <c r="LB5" s="19"/>
      <c r="LC5" s="19"/>
      <c r="LD5" s="19"/>
      <c r="LE5" s="19"/>
      <c r="LF5" s="19"/>
      <c r="LG5" s="19"/>
      <c r="LH5" s="19"/>
      <c r="LI5" s="19"/>
      <c r="LJ5" s="19"/>
      <c r="LK5" s="19"/>
      <c r="LL5" s="19"/>
      <c r="LM5" s="19"/>
      <c r="LN5" s="19"/>
      <c r="LO5" s="19"/>
      <c r="LP5" s="19"/>
      <c r="LQ5" s="19"/>
    </row>
    <row r="6" spans="1:329" s="20" customFormat="1" x14ac:dyDescent="0.15">
      <c r="A6" s="18" t="s">
        <v>84</v>
      </c>
      <c r="B6" s="19" t="s">
        <v>616</v>
      </c>
      <c r="C6" s="19">
        <v>1300</v>
      </c>
      <c r="D6" s="19"/>
      <c r="E6" s="19" t="s">
        <v>620</v>
      </c>
      <c r="F6" s="19">
        <v>50</v>
      </c>
      <c r="G6" s="19">
        <v>1</v>
      </c>
      <c r="H6" s="19" t="s">
        <v>617</v>
      </c>
      <c r="I6" s="19">
        <v>25</v>
      </c>
      <c r="J6" s="19">
        <v>0.5</v>
      </c>
      <c r="K6" s="19" t="s">
        <v>620</v>
      </c>
      <c r="L6" s="19">
        <v>875</v>
      </c>
      <c r="M6" s="19">
        <v>1</v>
      </c>
      <c r="N6" s="19" t="s">
        <v>633</v>
      </c>
      <c r="O6" s="19">
        <v>75</v>
      </c>
      <c r="P6" s="19">
        <v>1</v>
      </c>
      <c r="Q6" s="19" t="s">
        <v>629</v>
      </c>
      <c r="R6" s="19">
        <v>250</v>
      </c>
      <c r="S6" s="19">
        <v>2</v>
      </c>
      <c r="T6" s="19" t="s">
        <v>621</v>
      </c>
      <c r="U6" s="19">
        <v>40</v>
      </c>
      <c r="V6" s="19">
        <v>0.32</v>
      </c>
      <c r="W6" s="19" t="s">
        <v>636</v>
      </c>
      <c r="X6" s="19">
        <v>150</v>
      </c>
      <c r="Y6" s="19">
        <v>1</v>
      </c>
      <c r="Z6" s="19" t="s">
        <v>630</v>
      </c>
      <c r="AA6" s="19">
        <v>150</v>
      </c>
      <c r="AB6" s="19">
        <v>1</v>
      </c>
      <c r="AC6" s="19" t="s">
        <v>622</v>
      </c>
      <c r="AD6" s="19">
        <v>10</v>
      </c>
      <c r="AE6" s="19">
        <v>0.2</v>
      </c>
      <c r="AF6" s="19" t="s">
        <v>528</v>
      </c>
      <c r="AG6" s="19">
        <v>1000</v>
      </c>
      <c r="AH6" s="19">
        <v>2</v>
      </c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  <c r="BM6" s="19"/>
      <c r="BN6" s="19"/>
      <c r="BO6" s="19"/>
      <c r="BP6" s="19"/>
      <c r="BQ6" s="19"/>
      <c r="BR6" s="19"/>
      <c r="BS6" s="19"/>
      <c r="BT6" s="19"/>
      <c r="BU6" s="19"/>
      <c r="BV6" s="19"/>
      <c r="BW6" s="19"/>
      <c r="BX6" s="19"/>
      <c r="BY6" s="19"/>
      <c r="BZ6" s="19"/>
      <c r="CA6" s="19"/>
      <c r="CB6" s="19"/>
      <c r="CC6" s="19"/>
      <c r="CD6" s="19"/>
      <c r="CE6" s="19"/>
      <c r="CF6" s="19"/>
      <c r="CG6" s="19"/>
      <c r="CH6" s="19"/>
      <c r="CI6" s="19"/>
      <c r="CJ6" s="19"/>
      <c r="CK6" s="19"/>
      <c r="CL6" s="19"/>
      <c r="CM6" s="19"/>
      <c r="CN6" s="19"/>
      <c r="CO6" s="19"/>
      <c r="CP6" s="19"/>
      <c r="CQ6" s="19"/>
      <c r="CR6" s="19"/>
      <c r="CS6" s="19"/>
      <c r="CT6" s="19"/>
      <c r="CU6" s="19"/>
      <c r="CV6" s="19"/>
      <c r="CW6" s="19"/>
      <c r="CX6" s="19"/>
      <c r="CY6" s="19"/>
      <c r="CZ6" s="19"/>
      <c r="DA6" s="19"/>
      <c r="DB6" s="19"/>
      <c r="DC6" s="19"/>
      <c r="DD6" s="19"/>
      <c r="DE6" s="19"/>
      <c r="DF6" s="19"/>
      <c r="DG6" s="19"/>
      <c r="DH6" s="19"/>
      <c r="DI6" s="19"/>
      <c r="DJ6" s="19"/>
      <c r="DK6" s="19"/>
      <c r="DL6" s="19"/>
      <c r="DM6" s="19"/>
      <c r="DN6" s="19"/>
      <c r="DO6" s="19"/>
      <c r="DP6" s="19"/>
      <c r="DQ6" s="19"/>
      <c r="DR6" s="19"/>
      <c r="DS6" s="19"/>
      <c r="DT6" s="19"/>
      <c r="DU6" s="19"/>
      <c r="DV6" s="19"/>
      <c r="DW6" s="19"/>
      <c r="DX6" s="19"/>
      <c r="DY6" s="19"/>
      <c r="DZ6" s="19"/>
      <c r="EA6" s="19"/>
      <c r="EB6" s="19"/>
      <c r="EC6" s="19"/>
      <c r="ED6" s="19"/>
      <c r="EE6" s="19"/>
      <c r="EF6" s="19"/>
      <c r="EG6" s="19"/>
      <c r="EH6" s="19"/>
      <c r="EI6" s="19"/>
      <c r="EJ6" s="19"/>
      <c r="EK6" s="19"/>
      <c r="EL6" s="19"/>
      <c r="EM6" s="19"/>
      <c r="EN6" s="19"/>
      <c r="EO6" s="19"/>
      <c r="EP6" s="19"/>
      <c r="EQ6" s="19"/>
      <c r="ER6" s="19"/>
      <c r="ES6" s="19"/>
      <c r="ET6" s="19"/>
      <c r="EU6" s="19"/>
      <c r="EV6" s="19"/>
      <c r="EW6" s="19"/>
      <c r="EX6" s="19"/>
      <c r="EY6" s="19"/>
      <c r="EZ6" s="19"/>
      <c r="FA6" s="19"/>
      <c r="FB6" s="19"/>
      <c r="FC6" s="19"/>
      <c r="FD6" s="19"/>
      <c r="FE6" s="19"/>
      <c r="FF6" s="19"/>
      <c r="FG6" s="19"/>
      <c r="FH6" s="19"/>
      <c r="FI6" s="19"/>
      <c r="FJ6" s="19"/>
      <c r="FK6" s="19"/>
      <c r="FL6" s="19"/>
      <c r="FM6" s="19"/>
      <c r="FN6" s="19"/>
      <c r="FO6" s="19"/>
      <c r="FP6" s="19"/>
      <c r="FQ6" s="19"/>
      <c r="FR6" s="19"/>
      <c r="FS6" s="19"/>
      <c r="FT6" s="19"/>
      <c r="FU6" s="19"/>
      <c r="FV6" s="19"/>
      <c r="FW6" s="19"/>
      <c r="FX6" s="19"/>
      <c r="FY6" s="19"/>
      <c r="FZ6" s="19"/>
      <c r="GA6" s="19"/>
      <c r="GB6" s="19"/>
      <c r="GC6" s="19"/>
      <c r="GD6" s="19"/>
      <c r="GE6" s="19"/>
      <c r="GF6" s="19"/>
      <c r="GG6" s="19"/>
      <c r="GH6" s="19"/>
      <c r="GI6" s="19"/>
      <c r="GJ6" s="19"/>
      <c r="GK6" s="19"/>
      <c r="GL6" s="19"/>
      <c r="GM6" s="19"/>
      <c r="GN6" s="19"/>
      <c r="GO6" s="19"/>
      <c r="GP6" s="19"/>
      <c r="GQ6" s="19"/>
      <c r="GR6" s="19"/>
      <c r="GS6" s="19"/>
      <c r="GT6" s="19"/>
      <c r="GU6" s="19"/>
      <c r="GV6" s="19"/>
      <c r="GW6" s="19"/>
      <c r="GX6" s="19"/>
      <c r="GY6" s="19"/>
      <c r="GZ6" s="19"/>
      <c r="HA6" s="19"/>
      <c r="HB6" s="19"/>
      <c r="HC6" s="19"/>
      <c r="HD6" s="19"/>
      <c r="HE6" s="19"/>
      <c r="HF6" s="19"/>
      <c r="HG6" s="19"/>
      <c r="HH6" s="19"/>
      <c r="HI6" s="19"/>
      <c r="HJ6" s="19"/>
      <c r="HK6" s="19"/>
      <c r="HL6" s="19"/>
      <c r="HM6" s="19"/>
      <c r="HN6" s="19"/>
      <c r="HO6" s="19"/>
      <c r="HP6" s="19"/>
      <c r="HQ6" s="19"/>
      <c r="HR6" s="19"/>
      <c r="HS6" s="19"/>
      <c r="HT6" s="19"/>
      <c r="HU6" s="19"/>
      <c r="HV6" s="19"/>
      <c r="HW6" s="19"/>
      <c r="HX6" s="19"/>
      <c r="HY6" s="19"/>
      <c r="HZ6" s="19"/>
      <c r="IA6" s="19"/>
      <c r="IB6" s="19"/>
      <c r="IC6" s="19"/>
      <c r="ID6" s="19"/>
      <c r="IE6" s="19"/>
      <c r="IF6" s="19"/>
      <c r="IG6" s="19"/>
      <c r="IH6" s="19"/>
      <c r="II6" s="19"/>
      <c r="IJ6" s="19"/>
      <c r="IK6" s="19"/>
      <c r="IL6" s="19"/>
      <c r="IM6" s="19"/>
      <c r="IN6" s="19"/>
      <c r="IO6" s="19"/>
      <c r="IP6" s="19"/>
      <c r="IQ6" s="19"/>
      <c r="IR6" s="19"/>
      <c r="IS6" s="19"/>
      <c r="IT6" s="19"/>
      <c r="IU6" s="19"/>
      <c r="IV6" s="19"/>
      <c r="IW6" s="19"/>
      <c r="IX6" s="19"/>
      <c r="IY6" s="19"/>
      <c r="IZ6" s="19"/>
      <c r="JA6" s="19"/>
      <c r="JB6" s="19"/>
      <c r="JC6" s="19"/>
      <c r="JD6" s="19"/>
      <c r="JE6" s="19"/>
      <c r="JF6" s="19"/>
      <c r="JG6" s="19"/>
      <c r="JH6" s="19"/>
      <c r="JI6" s="19"/>
      <c r="JJ6" s="19"/>
      <c r="JK6" s="19"/>
      <c r="JL6" s="19"/>
      <c r="JM6" s="19"/>
      <c r="JN6" s="19"/>
      <c r="JO6" s="19"/>
      <c r="JP6" s="19"/>
      <c r="JQ6" s="19"/>
      <c r="JR6" s="19"/>
      <c r="JS6" s="19"/>
      <c r="JT6" s="19"/>
      <c r="JU6" s="19"/>
      <c r="JV6" s="19"/>
      <c r="JW6" s="19"/>
      <c r="JX6" s="19"/>
      <c r="JY6" s="19"/>
      <c r="JZ6" s="19"/>
      <c r="KA6" s="19"/>
      <c r="KB6" s="19"/>
      <c r="KC6" s="19"/>
      <c r="KD6" s="19"/>
      <c r="KE6" s="19"/>
      <c r="KF6" s="19"/>
      <c r="KG6" s="19"/>
      <c r="KH6" s="19"/>
      <c r="KI6" s="19"/>
      <c r="KJ6" s="19"/>
      <c r="KK6" s="19"/>
      <c r="KL6" s="19"/>
      <c r="KM6" s="19"/>
      <c r="KN6" s="19"/>
      <c r="KO6" s="19"/>
      <c r="KP6" s="19"/>
      <c r="KQ6" s="19"/>
      <c r="KR6" s="19"/>
      <c r="KS6" s="19"/>
      <c r="KT6" s="19"/>
      <c r="KU6" s="19"/>
      <c r="KV6" s="19"/>
      <c r="KW6" s="19"/>
      <c r="KX6" s="19"/>
      <c r="KY6" s="19"/>
      <c r="KZ6" s="19"/>
      <c r="LA6" s="19"/>
      <c r="LB6" s="19"/>
      <c r="LC6" s="19"/>
      <c r="LD6" s="19"/>
      <c r="LE6" s="19"/>
      <c r="LF6" s="19"/>
      <c r="LG6" s="19"/>
      <c r="LH6" s="19"/>
      <c r="LI6" s="19"/>
      <c r="LJ6" s="19"/>
      <c r="LK6" s="19"/>
      <c r="LL6" s="19"/>
      <c r="LM6" s="19"/>
      <c r="LN6" s="19"/>
      <c r="LO6" s="19"/>
      <c r="LP6" s="19"/>
      <c r="LQ6" s="19"/>
    </row>
    <row r="7" spans="1:329" s="20" customFormat="1" x14ac:dyDescent="0.15">
      <c r="A7" s="18" t="s">
        <v>85</v>
      </c>
      <c r="B7" s="19" t="s">
        <v>616</v>
      </c>
      <c r="C7" s="19">
        <v>1300</v>
      </c>
      <c r="D7" s="19"/>
      <c r="E7" s="19" t="s">
        <v>620</v>
      </c>
      <c r="F7" s="19">
        <v>50</v>
      </c>
      <c r="G7" s="19">
        <v>1</v>
      </c>
      <c r="H7" s="19" t="s">
        <v>617</v>
      </c>
      <c r="I7" s="19">
        <v>25</v>
      </c>
      <c r="J7" s="19">
        <v>0.5</v>
      </c>
      <c r="K7" s="19" t="s">
        <v>620</v>
      </c>
      <c r="L7" s="19">
        <v>875</v>
      </c>
      <c r="M7" s="19">
        <v>1</v>
      </c>
      <c r="N7" s="19" t="s">
        <v>633</v>
      </c>
      <c r="O7" s="19">
        <v>75</v>
      </c>
      <c r="P7" s="19">
        <v>1</v>
      </c>
      <c r="Q7" s="19" t="s">
        <v>629</v>
      </c>
      <c r="R7" s="19">
        <v>250</v>
      </c>
      <c r="S7" s="19">
        <v>2</v>
      </c>
      <c r="T7" s="19" t="s">
        <v>621</v>
      </c>
      <c r="U7" s="19">
        <v>40</v>
      </c>
      <c r="V7" s="19">
        <v>0.32</v>
      </c>
      <c r="W7" s="19" t="s">
        <v>636</v>
      </c>
      <c r="X7" s="19">
        <v>150</v>
      </c>
      <c r="Y7" s="19">
        <v>1</v>
      </c>
      <c r="Z7" s="19" t="s">
        <v>630</v>
      </c>
      <c r="AA7" s="19">
        <v>150</v>
      </c>
      <c r="AB7" s="19">
        <v>1</v>
      </c>
      <c r="AC7" s="19" t="s">
        <v>622</v>
      </c>
      <c r="AD7" s="19">
        <v>10</v>
      </c>
      <c r="AE7" s="19">
        <v>0.2</v>
      </c>
      <c r="AF7" s="19" t="s">
        <v>528</v>
      </c>
      <c r="AG7" s="19">
        <v>1000</v>
      </c>
      <c r="AH7" s="19">
        <v>2</v>
      </c>
      <c r="AI7" s="19"/>
      <c r="AJ7" s="19"/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19"/>
      <c r="BN7" s="19"/>
      <c r="BO7" s="19"/>
      <c r="BP7" s="19"/>
      <c r="BQ7" s="19"/>
      <c r="BR7" s="19"/>
      <c r="BS7" s="19"/>
      <c r="BT7" s="19"/>
      <c r="BU7" s="19"/>
      <c r="BV7" s="19"/>
      <c r="BW7" s="19"/>
      <c r="BX7" s="19"/>
      <c r="BY7" s="19"/>
      <c r="BZ7" s="19"/>
      <c r="CA7" s="19"/>
      <c r="CB7" s="19"/>
      <c r="CC7" s="19"/>
      <c r="CD7" s="19"/>
      <c r="CE7" s="19"/>
      <c r="CF7" s="19"/>
      <c r="CG7" s="19"/>
      <c r="CH7" s="19"/>
      <c r="CI7" s="19"/>
      <c r="CJ7" s="19"/>
      <c r="CK7" s="19"/>
      <c r="CL7" s="19"/>
      <c r="CM7" s="19"/>
      <c r="CN7" s="19"/>
      <c r="CO7" s="19"/>
      <c r="CP7" s="19"/>
      <c r="CQ7" s="19"/>
      <c r="CR7" s="19"/>
      <c r="CS7" s="19"/>
      <c r="CT7" s="19"/>
      <c r="CU7" s="19"/>
      <c r="CV7" s="19"/>
      <c r="CW7" s="19"/>
      <c r="CX7" s="19"/>
      <c r="CY7" s="19"/>
      <c r="CZ7" s="19"/>
      <c r="DA7" s="19"/>
      <c r="DB7" s="19"/>
      <c r="DC7" s="19"/>
      <c r="DD7" s="19"/>
      <c r="DE7" s="19"/>
      <c r="DF7" s="19"/>
      <c r="DG7" s="19"/>
      <c r="DH7" s="19"/>
      <c r="DI7" s="19"/>
      <c r="DJ7" s="19"/>
      <c r="DK7" s="19"/>
      <c r="DL7" s="19"/>
      <c r="DM7" s="19"/>
      <c r="DN7" s="19"/>
      <c r="DO7" s="19"/>
      <c r="DP7" s="19"/>
      <c r="DQ7" s="19"/>
      <c r="DR7" s="19"/>
      <c r="DS7" s="19"/>
      <c r="DT7" s="19"/>
      <c r="DU7" s="19"/>
      <c r="DV7" s="19"/>
      <c r="DW7" s="19"/>
      <c r="DX7" s="19"/>
      <c r="DY7" s="19"/>
      <c r="DZ7" s="19"/>
      <c r="EA7" s="19"/>
      <c r="EB7" s="19"/>
      <c r="EC7" s="19"/>
      <c r="ED7" s="19"/>
      <c r="EE7" s="19"/>
      <c r="EF7" s="19"/>
      <c r="EG7" s="19"/>
      <c r="EH7" s="19"/>
      <c r="EI7" s="19"/>
      <c r="EJ7" s="19"/>
      <c r="EK7" s="19"/>
      <c r="EL7" s="19"/>
      <c r="EM7" s="19"/>
      <c r="EN7" s="19"/>
      <c r="EO7" s="19"/>
      <c r="EP7" s="19"/>
      <c r="EQ7" s="19"/>
      <c r="ER7" s="19"/>
      <c r="ES7" s="19"/>
      <c r="ET7" s="19"/>
      <c r="EU7" s="19"/>
      <c r="EV7" s="19"/>
      <c r="EW7" s="19"/>
      <c r="EX7" s="19"/>
      <c r="EY7" s="19"/>
      <c r="EZ7" s="19"/>
      <c r="FA7" s="19"/>
      <c r="FB7" s="19"/>
      <c r="FC7" s="19"/>
      <c r="FD7" s="19"/>
      <c r="FE7" s="19"/>
      <c r="FF7" s="19"/>
      <c r="FG7" s="19"/>
      <c r="FH7" s="19"/>
      <c r="FI7" s="19"/>
      <c r="FJ7" s="19"/>
      <c r="FK7" s="19"/>
      <c r="FL7" s="19"/>
      <c r="FM7" s="19"/>
      <c r="FN7" s="19"/>
      <c r="FO7" s="19"/>
      <c r="FP7" s="19"/>
      <c r="FQ7" s="19"/>
      <c r="FR7" s="19"/>
      <c r="FS7" s="19"/>
      <c r="FT7" s="19"/>
      <c r="FU7" s="19"/>
      <c r="FV7" s="19"/>
      <c r="FW7" s="19"/>
      <c r="FX7" s="19"/>
      <c r="FY7" s="19"/>
      <c r="FZ7" s="19"/>
      <c r="GA7" s="19"/>
      <c r="GB7" s="19"/>
      <c r="GC7" s="19"/>
      <c r="GD7" s="19"/>
      <c r="GE7" s="19"/>
      <c r="GF7" s="19"/>
      <c r="GG7" s="19"/>
      <c r="GH7" s="19"/>
      <c r="GI7" s="19"/>
      <c r="GJ7" s="19"/>
      <c r="GK7" s="19"/>
      <c r="GL7" s="19"/>
      <c r="GM7" s="19"/>
      <c r="GN7" s="19"/>
      <c r="GO7" s="19"/>
      <c r="GP7" s="19"/>
      <c r="GQ7" s="19"/>
      <c r="GR7" s="19"/>
      <c r="GS7" s="19"/>
      <c r="GT7" s="19"/>
      <c r="GU7" s="19"/>
      <c r="GV7" s="19"/>
      <c r="GW7" s="19"/>
      <c r="GX7" s="19"/>
      <c r="GY7" s="19"/>
      <c r="GZ7" s="19"/>
      <c r="HA7" s="19"/>
      <c r="HB7" s="19"/>
      <c r="HC7" s="19"/>
      <c r="HD7" s="19"/>
      <c r="HE7" s="19"/>
      <c r="HF7" s="19"/>
      <c r="HG7" s="19"/>
      <c r="HH7" s="19"/>
      <c r="HI7" s="19"/>
      <c r="HJ7" s="19"/>
      <c r="HK7" s="19"/>
      <c r="HL7" s="19"/>
      <c r="HM7" s="19"/>
      <c r="HN7" s="19"/>
      <c r="HO7" s="19"/>
      <c r="HP7" s="19"/>
      <c r="HQ7" s="19"/>
      <c r="HR7" s="19"/>
      <c r="HS7" s="19"/>
      <c r="HT7" s="19"/>
      <c r="HU7" s="19"/>
      <c r="HV7" s="19"/>
      <c r="HW7" s="19"/>
      <c r="HX7" s="19"/>
      <c r="HY7" s="19"/>
      <c r="HZ7" s="19"/>
      <c r="IA7" s="19"/>
      <c r="IB7" s="19"/>
      <c r="IC7" s="19"/>
      <c r="ID7" s="19"/>
      <c r="IE7" s="19"/>
      <c r="IF7" s="19"/>
      <c r="IG7" s="19"/>
      <c r="IH7" s="19"/>
      <c r="II7" s="19"/>
      <c r="IJ7" s="19"/>
      <c r="IK7" s="19"/>
      <c r="IL7" s="19"/>
      <c r="IM7" s="19"/>
      <c r="IN7" s="19"/>
      <c r="IO7" s="19"/>
      <c r="IP7" s="19"/>
      <c r="IQ7" s="19"/>
      <c r="IR7" s="19"/>
      <c r="IS7" s="19"/>
      <c r="IT7" s="19"/>
      <c r="IU7" s="19"/>
      <c r="IV7" s="19"/>
      <c r="IW7" s="19"/>
      <c r="IX7" s="19"/>
      <c r="IY7" s="19"/>
      <c r="IZ7" s="19"/>
      <c r="JA7" s="19"/>
      <c r="JB7" s="19"/>
      <c r="JC7" s="19"/>
      <c r="JD7" s="19"/>
      <c r="JE7" s="19"/>
      <c r="JF7" s="19"/>
      <c r="JG7" s="19"/>
      <c r="JH7" s="19"/>
      <c r="JI7" s="19"/>
      <c r="JJ7" s="19"/>
      <c r="JK7" s="19"/>
      <c r="JL7" s="19"/>
      <c r="JM7" s="19"/>
      <c r="JN7" s="19"/>
      <c r="JO7" s="19"/>
      <c r="JP7" s="19"/>
      <c r="JQ7" s="19"/>
      <c r="JR7" s="19"/>
      <c r="JS7" s="19"/>
      <c r="JT7" s="19"/>
      <c r="JU7" s="19"/>
      <c r="JV7" s="19"/>
      <c r="JW7" s="19"/>
      <c r="JX7" s="19"/>
      <c r="JY7" s="19"/>
      <c r="JZ7" s="19"/>
      <c r="KA7" s="19"/>
      <c r="KB7" s="19"/>
      <c r="KC7" s="19"/>
      <c r="KD7" s="19"/>
      <c r="KE7" s="19"/>
      <c r="KF7" s="19"/>
      <c r="KG7" s="19"/>
      <c r="KH7" s="19"/>
      <c r="KI7" s="19"/>
      <c r="KJ7" s="19"/>
      <c r="KK7" s="19"/>
      <c r="KL7" s="19"/>
      <c r="KM7" s="19"/>
      <c r="KN7" s="19"/>
      <c r="KO7" s="19"/>
      <c r="KP7" s="19"/>
      <c r="KQ7" s="19"/>
      <c r="KR7" s="19"/>
      <c r="KS7" s="19"/>
      <c r="KT7" s="19"/>
      <c r="KU7" s="19"/>
      <c r="KV7" s="19"/>
      <c r="KW7" s="19"/>
      <c r="KX7" s="19"/>
      <c r="KY7" s="19"/>
      <c r="KZ7" s="19"/>
      <c r="LA7" s="19"/>
      <c r="LB7" s="19"/>
      <c r="LC7" s="19"/>
      <c r="LD7" s="19"/>
      <c r="LE7" s="19"/>
      <c r="LF7" s="19"/>
      <c r="LG7" s="19"/>
      <c r="LH7" s="19"/>
      <c r="LI7" s="19"/>
      <c r="LJ7" s="19"/>
      <c r="LK7" s="19"/>
      <c r="LL7" s="19"/>
      <c r="LM7" s="19"/>
      <c r="LN7" s="19"/>
      <c r="LO7" s="19"/>
      <c r="LP7" s="19"/>
      <c r="LQ7" s="19"/>
    </row>
    <row r="8" spans="1:329" s="20" customFormat="1" x14ac:dyDescent="0.15">
      <c r="A8" s="18" t="s">
        <v>99</v>
      </c>
      <c r="B8" s="19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  <c r="CN8" s="19"/>
      <c r="CO8" s="19"/>
      <c r="CP8" s="19"/>
      <c r="CQ8" s="19"/>
      <c r="CR8" s="19"/>
      <c r="CS8" s="19"/>
      <c r="CT8" s="19"/>
      <c r="CU8" s="19"/>
      <c r="CV8" s="19"/>
      <c r="CW8" s="19"/>
      <c r="CX8" s="19"/>
      <c r="CY8" s="19"/>
      <c r="CZ8" s="19"/>
      <c r="DA8" s="19"/>
      <c r="DB8" s="19"/>
      <c r="DC8" s="19"/>
      <c r="DD8" s="19"/>
      <c r="DE8" s="19"/>
      <c r="DF8" s="19"/>
      <c r="DG8" s="19"/>
      <c r="DH8" s="19"/>
      <c r="DI8" s="19"/>
      <c r="DJ8" s="19"/>
      <c r="DK8" s="19"/>
      <c r="DL8" s="19"/>
      <c r="DM8" s="19"/>
      <c r="DN8" s="19"/>
      <c r="DO8" s="19"/>
      <c r="DP8" s="19"/>
      <c r="DQ8" s="19"/>
      <c r="DR8" s="19"/>
      <c r="DS8" s="19"/>
      <c r="DT8" s="19"/>
      <c r="DU8" s="19"/>
      <c r="DV8" s="19"/>
      <c r="DW8" s="19"/>
      <c r="DX8" s="19"/>
      <c r="DY8" s="19"/>
      <c r="DZ8" s="19"/>
      <c r="EA8" s="19"/>
      <c r="EB8" s="19"/>
      <c r="EC8" s="19"/>
      <c r="ED8" s="19"/>
      <c r="EE8" s="19"/>
      <c r="EF8" s="19"/>
      <c r="EG8" s="19"/>
      <c r="EH8" s="19"/>
      <c r="EI8" s="19"/>
      <c r="EJ8" s="19"/>
      <c r="EK8" s="19"/>
      <c r="EL8" s="19"/>
      <c r="EM8" s="19"/>
      <c r="EN8" s="19"/>
      <c r="EO8" s="19"/>
      <c r="EP8" s="19"/>
      <c r="EQ8" s="19"/>
      <c r="ER8" s="19"/>
      <c r="ES8" s="19"/>
      <c r="ET8" s="19"/>
      <c r="EU8" s="19"/>
      <c r="EV8" s="19"/>
      <c r="EW8" s="19"/>
      <c r="EX8" s="19"/>
      <c r="EY8" s="19"/>
      <c r="EZ8" s="19"/>
      <c r="FA8" s="19"/>
      <c r="FB8" s="19"/>
      <c r="FC8" s="19"/>
      <c r="FD8" s="19"/>
      <c r="FE8" s="19"/>
      <c r="FF8" s="19"/>
      <c r="FG8" s="19"/>
      <c r="FH8" s="19"/>
      <c r="FI8" s="19"/>
      <c r="FJ8" s="19"/>
      <c r="FK8" s="19"/>
      <c r="FL8" s="19"/>
      <c r="FM8" s="19"/>
      <c r="FN8" s="19"/>
      <c r="FO8" s="19"/>
      <c r="FP8" s="19"/>
      <c r="FQ8" s="19"/>
      <c r="FR8" s="19"/>
      <c r="FS8" s="19"/>
      <c r="FT8" s="19"/>
      <c r="FU8" s="19"/>
      <c r="FV8" s="19"/>
      <c r="FW8" s="19"/>
      <c r="FX8" s="19"/>
      <c r="FY8" s="19"/>
      <c r="FZ8" s="19"/>
      <c r="GA8" s="19"/>
      <c r="GB8" s="19"/>
      <c r="GC8" s="19"/>
      <c r="GD8" s="19"/>
      <c r="GE8" s="19"/>
      <c r="GF8" s="19"/>
      <c r="GG8" s="19"/>
      <c r="GH8" s="19"/>
      <c r="GI8" s="19"/>
      <c r="GJ8" s="19"/>
      <c r="GK8" s="19"/>
      <c r="GL8" s="19"/>
      <c r="GM8" s="19"/>
      <c r="GN8" s="19"/>
      <c r="GO8" s="19"/>
      <c r="GP8" s="19"/>
      <c r="GQ8" s="19"/>
      <c r="GR8" s="19"/>
      <c r="GS8" s="19"/>
      <c r="GT8" s="19"/>
      <c r="GU8" s="19"/>
      <c r="GV8" s="19"/>
      <c r="GW8" s="19"/>
      <c r="GX8" s="19"/>
      <c r="GY8" s="19"/>
      <c r="GZ8" s="19"/>
      <c r="HA8" s="19"/>
      <c r="HB8" s="19"/>
      <c r="HC8" s="19"/>
      <c r="HD8" s="19"/>
      <c r="HE8" s="19"/>
      <c r="HF8" s="19"/>
      <c r="HG8" s="19"/>
      <c r="HH8" s="19"/>
      <c r="HI8" s="19"/>
      <c r="HJ8" s="19"/>
      <c r="HK8" s="19"/>
      <c r="HL8" s="19"/>
      <c r="HM8" s="19"/>
      <c r="HN8" s="19"/>
      <c r="HO8" s="19"/>
      <c r="HP8" s="19"/>
      <c r="HQ8" s="19"/>
      <c r="HR8" s="19"/>
      <c r="HS8" s="19"/>
      <c r="HT8" s="19"/>
      <c r="HU8" s="19"/>
      <c r="HV8" s="19"/>
      <c r="HW8" s="19"/>
      <c r="HX8" s="19"/>
      <c r="HY8" s="19"/>
      <c r="HZ8" s="19"/>
      <c r="IA8" s="19"/>
      <c r="IB8" s="19"/>
      <c r="IC8" s="19"/>
      <c r="ID8" s="19"/>
      <c r="IE8" s="19"/>
      <c r="IF8" s="19"/>
      <c r="IG8" s="19"/>
      <c r="IH8" s="19"/>
      <c r="II8" s="19"/>
      <c r="IJ8" s="19"/>
      <c r="IK8" s="19"/>
      <c r="IL8" s="19"/>
      <c r="IM8" s="19"/>
      <c r="IN8" s="19"/>
      <c r="IO8" s="19"/>
      <c r="IP8" s="19"/>
      <c r="IQ8" s="19"/>
      <c r="IR8" s="19"/>
      <c r="IS8" s="19"/>
      <c r="IT8" s="19"/>
      <c r="IU8" s="19"/>
      <c r="IV8" s="19"/>
      <c r="IW8" s="19"/>
      <c r="IX8" s="19"/>
      <c r="IY8" s="19"/>
      <c r="IZ8" s="19"/>
      <c r="JA8" s="19"/>
      <c r="JB8" s="19"/>
      <c r="JC8" s="19"/>
      <c r="JD8" s="19"/>
      <c r="JE8" s="19"/>
      <c r="JF8" s="19"/>
      <c r="JG8" s="19"/>
      <c r="JH8" s="19"/>
      <c r="JI8" s="19"/>
      <c r="JJ8" s="19"/>
      <c r="JK8" s="19"/>
      <c r="JL8" s="19"/>
      <c r="JM8" s="19"/>
      <c r="JN8" s="19"/>
      <c r="JO8" s="19"/>
      <c r="JP8" s="19"/>
      <c r="JQ8" s="19"/>
      <c r="JR8" s="19"/>
      <c r="JS8" s="19"/>
      <c r="JT8" s="19"/>
      <c r="JU8" s="19"/>
      <c r="JV8" s="19"/>
      <c r="JW8" s="19"/>
      <c r="JX8" s="19"/>
      <c r="JY8" s="19"/>
      <c r="JZ8" s="19"/>
      <c r="KA8" s="19"/>
      <c r="KB8" s="19"/>
      <c r="KC8" s="19"/>
      <c r="KD8" s="19"/>
      <c r="KE8" s="19"/>
      <c r="KF8" s="19"/>
      <c r="KG8" s="19"/>
      <c r="KH8" s="19"/>
      <c r="KI8" s="19"/>
      <c r="KJ8" s="19"/>
      <c r="KK8" s="19"/>
      <c r="KL8" s="19"/>
      <c r="KM8" s="19"/>
      <c r="KN8" s="19"/>
      <c r="KO8" s="19"/>
      <c r="KP8" s="19"/>
      <c r="KQ8" s="19"/>
      <c r="KR8" s="19"/>
      <c r="KS8" s="19"/>
      <c r="KT8" s="19"/>
      <c r="KU8" s="19"/>
      <c r="KV8" s="19"/>
      <c r="KW8" s="19"/>
      <c r="KX8" s="19"/>
      <c r="KY8" s="19"/>
      <c r="KZ8" s="19"/>
      <c r="LA8" s="19"/>
      <c r="LB8" s="19"/>
      <c r="LC8" s="19"/>
      <c r="LD8" s="19"/>
      <c r="LE8" s="19"/>
      <c r="LF8" s="19"/>
      <c r="LG8" s="19"/>
      <c r="LH8" s="19"/>
      <c r="LI8" s="19"/>
      <c r="LJ8" s="19"/>
      <c r="LK8" s="19"/>
      <c r="LL8" s="19"/>
      <c r="LM8" s="19"/>
      <c r="LN8" s="19"/>
      <c r="LO8" s="19"/>
      <c r="LP8" s="19"/>
      <c r="LQ8" s="19"/>
    </row>
    <row r="9" spans="1:329" x14ac:dyDescent="0.15">
      <c r="A9" s="2" t="s">
        <v>73</v>
      </c>
      <c r="B9" s="1" t="s">
        <v>616</v>
      </c>
      <c r="C9" s="1">
        <v>1300</v>
      </c>
      <c r="E9" s="1" t="s">
        <v>620</v>
      </c>
      <c r="F9" s="1">
        <v>50</v>
      </c>
      <c r="G9" s="1">
        <v>1</v>
      </c>
      <c r="H9" s="1" t="s">
        <v>617</v>
      </c>
      <c r="I9" s="1">
        <v>25</v>
      </c>
      <c r="J9" s="1">
        <v>0.5</v>
      </c>
      <c r="K9" s="1" t="s">
        <v>620</v>
      </c>
      <c r="L9" s="1">
        <v>875</v>
      </c>
      <c r="M9" s="1">
        <v>1</v>
      </c>
      <c r="N9" s="1" t="s">
        <v>633</v>
      </c>
      <c r="O9" s="1">
        <v>75</v>
      </c>
      <c r="P9" s="1">
        <v>1</v>
      </c>
      <c r="Q9" s="1" t="s">
        <v>629</v>
      </c>
      <c r="R9" s="1">
        <v>250</v>
      </c>
      <c r="S9" s="1">
        <v>2</v>
      </c>
      <c r="T9" s="1" t="s">
        <v>621</v>
      </c>
      <c r="U9" s="1">
        <v>40</v>
      </c>
      <c r="V9" s="1">
        <v>0.32</v>
      </c>
      <c r="W9" s="1" t="s">
        <v>641</v>
      </c>
      <c r="X9" s="1">
        <v>150</v>
      </c>
      <c r="Y9" s="1">
        <v>1</v>
      </c>
      <c r="Z9" s="1" t="s">
        <v>630</v>
      </c>
      <c r="AA9" s="1">
        <v>150</v>
      </c>
      <c r="AB9" s="1">
        <v>1</v>
      </c>
      <c r="AC9" s="1" t="s">
        <v>622</v>
      </c>
      <c r="AD9" s="1">
        <v>10</v>
      </c>
      <c r="AE9" s="1">
        <v>0.2</v>
      </c>
      <c r="AF9" s="1" t="s">
        <v>528</v>
      </c>
      <c r="AG9" s="1">
        <v>1000</v>
      </c>
      <c r="AH9" s="1">
        <v>2</v>
      </c>
      <c r="HS9" s="1"/>
    </row>
    <row r="10" spans="1:329" x14ac:dyDescent="0.15">
      <c r="A10" s="2" t="s">
        <v>74</v>
      </c>
      <c r="B10" s="1" t="s">
        <v>616</v>
      </c>
      <c r="C10" s="1">
        <v>1300</v>
      </c>
      <c r="E10" s="1" t="s">
        <v>620</v>
      </c>
      <c r="F10" s="1">
        <v>50</v>
      </c>
      <c r="G10" s="1">
        <v>1</v>
      </c>
      <c r="H10" s="1" t="s">
        <v>617</v>
      </c>
      <c r="I10" s="1">
        <v>25</v>
      </c>
      <c r="J10" s="1">
        <v>0.5</v>
      </c>
      <c r="K10" s="1" t="s">
        <v>620</v>
      </c>
      <c r="L10" s="1">
        <v>875</v>
      </c>
      <c r="M10" s="1">
        <v>1</v>
      </c>
      <c r="N10" s="1" t="s">
        <v>633</v>
      </c>
      <c r="O10" s="1">
        <v>75</v>
      </c>
      <c r="P10" s="1">
        <v>1</v>
      </c>
      <c r="Q10" s="1" t="s">
        <v>629</v>
      </c>
      <c r="R10" s="1">
        <v>250</v>
      </c>
      <c r="S10" s="1">
        <v>2</v>
      </c>
      <c r="T10" s="1" t="s">
        <v>621</v>
      </c>
      <c r="U10" s="1">
        <v>40</v>
      </c>
      <c r="V10" s="1">
        <v>0.32</v>
      </c>
      <c r="W10" s="1" t="s">
        <v>641</v>
      </c>
      <c r="X10" s="1">
        <v>150</v>
      </c>
      <c r="Y10" s="1">
        <v>1</v>
      </c>
      <c r="Z10" s="1" t="s">
        <v>630</v>
      </c>
      <c r="AA10" s="1">
        <v>150</v>
      </c>
      <c r="AB10" s="1">
        <v>1</v>
      </c>
      <c r="AC10" s="1" t="s">
        <v>622</v>
      </c>
      <c r="AD10" s="1">
        <v>10</v>
      </c>
      <c r="AE10" s="1">
        <v>0.2</v>
      </c>
      <c r="AF10" s="1" t="s">
        <v>528</v>
      </c>
      <c r="AG10" s="1">
        <v>1000</v>
      </c>
      <c r="AH10" s="1">
        <v>2</v>
      </c>
      <c r="HS10" s="1"/>
    </row>
    <row r="11" spans="1:329" x14ac:dyDescent="0.15">
      <c r="A11" s="2" t="s">
        <v>75</v>
      </c>
      <c r="B11" s="1" t="s">
        <v>616</v>
      </c>
      <c r="C11" s="1">
        <v>1300</v>
      </c>
      <c r="E11" s="1" t="s">
        <v>620</v>
      </c>
      <c r="F11" s="1">
        <v>50</v>
      </c>
      <c r="G11" s="1">
        <v>1</v>
      </c>
      <c r="H11" s="1" t="s">
        <v>617</v>
      </c>
      <c r="I11" s="1">
        <v>25</v>
      </c>
      <c r="J11" s="1">
        <v>0.5</v>
      </c>
      <c r="K11" s="1" t="s">
        <v>620</v>
      </c>
      <c r="L11" s="1">
        <v>875</v>
      </c>
      <c r="M11" s="1">
        <v>1</v>
      </c>
      <c r="N11" s="1" t="s">
        <v>633</v>
      </c>
      <c r="O11" s="1">
        <v>75</v>
      </c>
      <c r="P11" s="1">
        <v>1</v>
      </c>
      <c r="Q11" s="1" t="s">
        <v>629</v>
      </c>
      <c r="R11" s="1">
        <v>250</v>
      </c>
      <c r="S11" s="1">
        <v>2</v>
      </c>
      <c r="T11" s="1" t="s">
        <v>621</v>
      </c>
      <c r="U11" s="1">
        <v>40</v>
      </c>
      <c r="V11" s="1">
        <v>0.32</v>
      </c>
      <c r="W11" s="1" t="s">
        <v>641</v>
      </c>
      <c r="X11" s="1">
        <v>150</v>
      </c>
      <c r="Y11" s="1">
        <v>1</v>
      </c>
      <c r="Z11" s="1" t="s">
        <v>630</v>
      </c>
      <c r="AA11" s="1">
        <v>150</v>
      </c>
      <c r="AB11" s="1">
        <v>1</v>
      </c>
      <c r="AC11" s="1" t="s">
        <v>622</v>
      </c>
      <c r="AD11" s="1">
        <v>10</v>
      </c>
      <c r="AE11" s="1">
        <v>0.2</v>
      </c>
      <c r="AF11" s="1" t="s">
        <v>528</v>
      </c>
      <c r="AG11" s="1">
        <v>1000</v>
      </c>
      <c r="AH11" s="1">
        <v>2</v>
      </c>
      <c r="HS11" s="1"/>
    </row>
    <row r="12" spans="1:329" x14ac:dyDescent="0.15">
      <c r="A12" s="2" t="s">
        <v>86</v>
      </c>
      <c r="B12" s="1" t="s">
        <v>616</v>
      </c>
      <c r="C12" s="1">
        <v>1300</v>
      </c>
      <c r="E12" s="1" t="s">
        <v>620</v>
      </c>
      <c r="F12" s="1">
        <v>50</v>
      </c>
      <c r="G12" s="1">
        <v>1</v>
      </c>
      <c r="H12" s="1" t="s">
        <v>617</v>
      </c>
      <c r="I12" s="1">
        <v>25</v>
      </c>
      <c r="J12" s="1">
        <v>0.5</v>
      </c>
      <c r="K12" s="1" t="s">
        <v>620</v>
      </c>
      <c r="L12" s="1">
        <v>875</v>
      </c>
      <c r="M12" s="1">
        <v>1</v>
      </c>
      <c r="N12" s="1" t="s">
        <v>633</v>
      </c>
      <c r="O12" s="1">
        <v>75</v>
      </c>
      <c r="P12" s="1">
        <v>1</v>
      </c>
      <c r="Q12" s="1" t="s">
        <v>629</v>
      </c>
      <c r="R12" s="1">
        <v>250</v>
      </c>
      <c r="S12" s="1">
        <v>2</v>
      </c>
      <c r="T12" s="1" t="s">
        <v>621</v>
      </c>
      <c r="U12" s="1">
        <v>40</v>
      </c>
      <c r="V12" s="1">
        <v>0.32</v>
      </c>
      <c r="W12" s="1" t="s">
        <v>641</v>
      </c>
      <c r="X12" s="1">
        <v>150</v>
      </c>
      <c r="Y12" s="1">
        <v>1</v>
      </c>
      <c r="Z12" s="1" t="s">
        <v>630</v>
      </c>
      <c r="AA12" s="1">
        <v>150</v>
      </c>
      <c r="AB12" s="1">
        <v>1</v>
      </c>
      <c r="AC12" s="1" t="s">
        <v>622</v>
      </c>
      <c r="AD12" s="1">
        <v>10</v>
      </c>
      <c r="AE12" s="1">
        <v>0.2</v>
      </c>
      <c r="AF12" s="1" t="s">
        <v>528</v>
      </c>
      <c r="AG12" s="1">
        <v>1000</v>
      </c>
      <c r="AH12" s="1">
        <v>2</v>
      </c>
      <c r="HS12" s="1"/>
    </row>
    <row r="13" spans="1:329" x14ac:dyDescent="0.15">
      <c r="A13" s="2" t="s">
        <v>87</v>
      </c>
      <c r="B13" s="1" t="s">
        <v>616</v>
      </c>
      <c r="C13" s="1">
        <v>1300</v>
      </c>
      <c r="E13" s="1" t="s">
        <v>620</v>
      </c>
      <c r="F13" s="1">
        <v>50</v>
      </c>
      <c r="G13" s="1">
        <v>1</v>
      </c>
      <c r="H13" s="1" t="s">
        <v>617</v>
      </c>
      <c r="I13" s="1">
        <v>25</v>
      </c>
      <c r="J13" s="1">
        <v>0.5</v>
      </c>
      <c r="K13" s="1" t="s">
        <v>620</v>
      </c>
      <c r="L13" s="1">
        <v>875</v>
      </c>
      <c r="M13" s="1">
        <v>1</v>
      </c>
      <c r="N13" s="1" t="s">
        <v>633</v>
      </c>
      <c r="O13" s="1">
        <v>75</v>
      </c>
      <c r="P13" s="1">
        <v>1</v>
      </c>
      <c r="Q13" s="1" t="s">
        <v>629</v>
      </c>
      <c r="R13" s="1">
        <v>250</v>
      </c>
      <c r="S13" s="1">
        <v>2</v>
      </c>
      <c r="T13" s="1" t="s">
        <v>621</v>
      </c>
      <c r="U13" s="1">
        <v>40</v>
      </c>
      <c r="V13" s="1">
        <v>0.32</v>
      </c>
      <c r="W13" s="1" t="s">
        <v>641</v>
      </c>
      <c r="X13" s="1">
        <v>150</v>
      </c>
      <c r="Y13" s="1">
        <v>1</v>
      </c>
      <c r="Z13" s="1" t="s">
        <v>630</v>
      </c>
      <c r="AA13" s="1">
        <v>150</v>
      </c>
      <c r="AB13" s="1">
        <v>1</v>
      </c>
      <c r="AC13" s="1" t="s">
        <v>622</v>
      </c>
      <c r="AD13" s="1">
        <v>10</v>
      </c>
      <c r="AE13" s="1">
        <v>0.2</v>
      </c>
      <c r="AF13" s="1" t="s">
        <v>528</v>
      </c>
      <c r="AG13" s="1">
        <v>1000</v>
      </c>
      <c r="AH13" s="1">
        <v>2</v>
      </c>
      <c r="HS13" s="1"/>
    </row>
    <row r="14" spans="1:329" x14ac:dyDescent="0.15">
      <c r="A14" s="2" t="s">
        <v>100</v>
      </c>
      <c r="HS14" s="1"/>
    </row>
    <row r="15" spans="1:329" s="20" customFormat="1" x14ac:dyDescent="0.15">
      <c r="A15" s="18" t="s">
        <v>76</v>
      </c>
      <c r="B15" s="19" t="s">
        <v>616</v>
      </c>
      <c r="C15" s="19">
        <v>1300</v>
      </c>
      <c r="D15" s="19"/>
      <c r="E15" s="19" t="s">
        <v>620</v>
      </c>
      <c r="F15" s="19">
        <v>50</v>
      </c>
      <c r="G15" s="19">
        <v>1</v>
      </c>
      <c r="H15" s="19" t="s">
        <v>617</v>
      </c>
      <c r="I15" s="19">
        <v>25</v>
      </c>
      <c r="J15" s="19">
        <v>0.5</v>
      </c>
      <c r="K15" s="19" t="s">
        <v>620</v>
      </c>
      <c r="L15" s="19">
        <v>875</v>
      </c>
      <c r="M15" s="19">
        <v>1</v>
      </c>
      <c r="N15" s="19" t="s">
        <v>633</v>
      </c>
      <c r="O15" s="19">
        <v>75</v>
      </c>
      <c r="P15" s="19">
        <v>1</v>
      </c>
      <c r="Q15" s="19" t="s">
        <v>629</v>
      </c>
      <c r="R15" s="19">
        <v>250</v>
      </c>
      <c r="S15" s="19">
        <v>2</v>
      </c>
      <c r="T15" s="19" t="s">
        <v>621</v>
      </c>
      <c r="U15" s="19">
        <v>40</v>
      </c>
      <c r="V15" s="19">
        <v>0.32</v>
      </c>
      <c r="W15" s="19" t="s">
        <v>636</v>
      </c>
      <c r="X15" s="19">
        <v>150</v>
      </c>
      <c r="Y15" s="19">
        <v>1</v>
      </c>
      <c r="Z15" s="19" t="s">
        <v>630</v>
      </c>
      <c r="AA15" s="19">
        <v>150</v>
      </c>
      <c r="AB15" s="19">
        <v>1</v>
      </c>
      <c r="AC15" s="19" t="s">
        <v>622</v>
      </c>
      <c r="AD15" s="19">
        <v>10</v>
      </c>
      <c r="AE15" s="19">
        <v>0.2</v>
      </c>
      <c r="AF15" s="19" t="s">
        <v>528</v>
      </c>
      <c r="AG15" s="19">
        <v>1000</v>
      </c>
      <c r="AH15" s="19">
        <v>2</v>
      </c>
      <c r="AI15" s="19"/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  <c r="BO15" s="19"/>
      <c r="BP15" s="19"/>
      <c r="BQ15" s="19"/>
      <c r="BR15" s="19"/>
      <c r="BS15" s="19"/>
      <c r="BT15" s="19"/>
      <c r="BU15" s="19"/>
      <c r="BV15" s="19"/>
      <c r="BW15" s="19"/>
      <c r="BX15" s="19"/>
      <c r="BY15" s="19"/>
      <c r="BZ15" s="19"/>
      <c r="CA15" s="19"/>
      <c r="CB15" s="19"/>
      <c r="CC15" s="19"/>
      <c r="CD15" s="19"/>
      <c r="CE15" s="19"/>
      <c r="CF15" s="19"/>
      <c r="CG15" s="19"/>
      <c r="CH15" s="19"/>
      <c r="CI15" s="19"/>
      <c r="CJ15" s="19"/>
      <c r="CK15" s="19"/>
      <c r="CL15" s="19"/>
      <c r="CM15" s="19"/>
      <c r="CN15" s="19"/>
      <c r="CO15" s="19"/>
      <c r="CP15" s="19"/>
      <c r="CQ15" s="19"/>
      <c r="CR15" s="19"/>
      <c r="CS15" s="19"/>
      <c r="CT15" s="19"/>
      <c r="CU15" s="19"/>
      <c r="CV15" s="19"/>
      <c r="CW15" s="19"/>
      <c r="CX15" s="19"/>
      <c r="CY15" s="19"/>
      <c r="CZ15" s="19"/>
      <c r="DA15" s="19"/>
      <c r="DB15" s="19"/>
      <c r="DC15" s="19"/>
      <c r="DD15" s="19"/>
      <c r="DE15" s="19"/>
      <c r="DF15" s="19"/>
      <c r="DG15" s="19"/>
      <c r="DH15" s="19"/>
      <c r="DI15" s="19"/>
      <c r="DJ15" s="19"/>
      <c r="DK15" s="19"/>
      <c r="DL15" s="19"/>
      <c r="DM15" s="19"/>
      <c r="DN15" s="19"/>
      <c r="DO15" s="19"/>
      <c r="DP15" s="19"/>
      <c r="DQ15" s="19"/>
      <c r="DR15" s="19"/>
      <c r="DS15" s="19"/>
      <c r="DT15" s="19"/>
      <c r="DU15" s="19"/>
      <c r="DV15" s="19"/>
      <c r="DW15" s="19"/>
      <c r="DX15" s="19"/>
      <c r="DY15" s="19"/>
      <c r="DZ15" s="19"/>
      <c r="EA15" s="19"/>
      <c r="EB15" s="19"/>
      <c r="EC15" s="19"/>
      <c r="ED15" s="19"/>
      <c r="EE15" s="19"/>
      <c r="EF15" s="19"/>
      <c r="EG15" s="19"/>
      <c r="EH15" s="19"/>
      <c r="EI15" s="19"/>
      <c r="EJ15" s="19"/>
      <c r="EK15" s="19"/>
      <c r="EL15" s="19"/>
      <c r="EM15" s="19"/>
      <c r="EN15" s="19"/>
      <c r="EO15" s="19"/>
      <c r="EP15" s="19"/>
      <c r="EQ15" s="19"/>
      <c r="ER15" s="19"/>
      <c r="ES15" s="19"/>
      <c r="ET15" s="19"/>
      <c r="EU15" s="19"/>
      <c r="EV15" s="19"/>
      <c r="EW15" s="19"/>
      <c r="EX15" s="19"/>
      <c r="EY15" s="19"/>
      <c r="EZ15" s="19"/>
      <c r="FA15" s="19"/>
      <c r="FB15" s="19"/>
      <c r="FC15" s="19"/>
      <c r="FD15" s="19"/>
      <c r="FE15" s="19"/>
      <c r="FF15" s="19"/>
      <c r="FG15" s="19"/>
      <c r="FH15" s="19"/>
      <c r="FI15" s="19"/>
      <c r="FJ15" s="19"/>
      <c r="FK15" s="19"/>
      <c r="FL15" s="19"/>
      <c r="FM15" s="19"/>
      <c r="FN15" s="19"/>
      <c r="FO15" s="19"/>
      <c r="FP15" s="19"/>
      <c r="FQ15" s="19"/>
      <c r="FR15" s="19"/>
      <c r="FS15" s="19"/>
      <c r="FT15" s="19"/>
      <c r="FU15" s="19"/>
      <c r="FV15" s="19"/>
      <c r="FW15" s="19"/>
      <c r="FX15" s="19"/>
      <c r="FY15" s="19"/>
      <c r="FZ15" s="19"/>
      <c r="GA15" s="19"/>
      <c r="GB15" s="19"/>
      <c r="GC15" s="19"/>
      <c r="GD15" s="19"/>
      <c r="GE15" s="19"/>
      <c r="GF15" s="19"/>
      <c r="GG15" s="19"/>
      <c r="GH15" s="19"/>
      <c r="GI15" s="19"/>
      <c r="GJ15" s="19"/>
      <c r="GK15" s="19"/>
      <c r="GL15" s="19"/>
      <c r="GM15" s="19"/>
      <c r="GN15" s="19"/>
      <c r="GO15" s="19"/>
      <c r="GP15" s="19"/>
      <c r="GQ15" s="19"/>
      <c r="GR15" s="19"/>
      <c r="GS15" s="19"/>
      <c r="GT15" s="19"/>
      <c r="GU15" s="19"/>
      <c r="GV15" s="19"/>
      <c r="GW15" s="19"/>
      <c r="GX15" s="19"/>
      <c r="GY15" s="19"/>
      <c r="GZ15" s="19"/>
      <c r="HA15" s="19"/>
      <c r="HB15" s="19"/>
      <c r="HC15" s="19"/>
      <c r="HD15" s="19"/>
      <c r="HE15" s="19"/>
      <c r="HF15" s="19"/>
      <c r="HG15" s="19"/>
      <c r="HH15" s="19"/>
      <c r="HI15" s="19"/>
      <c r="HJ15" s="19"/>
      <c r="HK15" s="19"/>
      <c r="HL15" s="19"/>
      <c r="HM15" s="19"/>
      <c r="HN15" s="19"/>
      <c r="HO15" s="19"/>
      <c r="HP15" s="19"/>
      <c r="HQ15" s="19"/>
      <c r="HR15" s="19"/>
      <c r="HS15" s="19"/>
      <c r="HT15" s="19"/>
      <c r="HU15" s="19"/>
      <c r="HV15" s="19"/>
      <c r="HW15" s="19"/>
      <c r="HX15" s="19"/>
      <c r="HY15" s="19"/>
      <c r="HZ15" s="19"/>
      <c r="IA15" s="19"/>
      <c r="IB15" s="19"/>
      <c r="IC15" s="19"/>
      <c r="ID15" s="19"/>
      <c r="IE15" s="19"/>
      <c r="IF15" s="19"/>
      <c r="IG15" s="19"/>
      <c r="IH15" s="19"/>
      <c r="II15" s="19"/>
      <c r="IJ15" s="19"/>
      <c r="IK15" s="19"/>
      <c r="IL15" s="19"/>
      <c r="IM15" s="19"/>
      <c r="IN15" s="19"/>
      <c r="IO15" s="19"/>
      <c r="IP15" s="19"/>
      <c r="IQ15" s="19"/>
      <c r="IR15" s="19"/>
      <c r="IS15" s="19"/>
      <c r="IT15" s="19"/>
      <c r="IU15" s="19"/>
      <c r="IV15" s="19"/>
      <c r="IW15" s="19"/>
      <c r="IX15" s="19"/>
      <c r="IY15" s="19"/>
      <c r="IZ15" s="19"/>
      <c r="JA15" s="19"/>
      <c r="JB15" s="19"/>
      <c r="JC15" s="19"/>
      <c r="JD15" s="19"/>
      <c r="JE15" s="19"/>
      <c r="JF15" s="19"/>
      <c r="JG15" s="19"/>
      <c r="JH15" s="19"/>
      <c r="JI15" s="19"/>
      <c r="JJ15" s="19"/>
      <c r="JK15" s="19"/>
      <c r="JL15" s="19"/>
      <c r="JM15" s="19"/>
      <c r="JN15" s="19"/>
      <c r="JO15" s="19"/>
      <c r="JP15" s="19"/>
      <c r="JQ15" s="19"/>
      <c r="JR15" s="19"/>
      <c r="JS15" s="19"/>
      <c r="JT15" s="19"/>
      <c r="JU15" s="19"/>
      <c r="JV15" s="19"/>
      <c r="JW15" s="19"/>
      <c r="JX15" s="19"/>
      <c r="JY15" s="19"/>
      <c r="JZ15" s="19"/>
      <c r="KA15" s="19"/>
      <c r="KB15" s="19"/>
      <c r="KC15" s="19"/>
      <c r="KD15" s="19"/>
      <c r="KE15" s="19"/>
      <c r="KF15" s="19"/>
      <c r="KG15" s="19"/>
      <c r="KH15" s="19"/>
      <c r="KI15" s="19"/>
      <c r="KJ15" s="19"/>
      <c r="KK15" s="19"/>
      <c r="KL15" s="19"/>
      <c r="KM15" s="19"/>
      <c r="KN15" s="19"/>
      <c r="KO15" s="19"/>
      <c r="KP15" s="19"/>
      <c r="KQ15" s="19"/>
      <c r="KR15" s="19"/>
      <c r="KS15" s="19"/>
      <c r="KT15" s="19"/>
      <c r="KU15" s="19"/>
      <c r="KV15" s="19"/>
      <c r="KW15" s="19"/>
      <c r="KX15" s="19"/>
      <c r="KY15" s="19"/>
      <c r="KZ15" s="19"/>
      <c r="LA15" s="19"/>
      <c r="LB15" s="19"/>
      <c r="LC15" s="19"/>
      <c r="LD15" s="19"/>
      <c r="LE15" s="19"/>
      <c r="LF15" s="19"/>
      <c r="LG15" s="19"/>
      <c r="LH15" s="19"/>
      <c r="LI15" s="19"/>
      <c r="LJ15" s="19"/>
      <c r="LK15" s="19"/>
      <c r="LL15" s="19"/>
      <c r="LM15" s="19"/>
      <c r="LN15" s="19"/>
      <c r="LO15" s="19"/>
      <c r="LP15" s="19"/>
      <c r="LQ15" s="19"/>
    </row>
    <row r="16" spans="1:329" s="20" customFormat="1" x14ac:dyDescent="0.15">
      <c r="A16" s="18" t="s">
        <v>77</v>
      </c>
      <c r="B16" s="19" t="s">
        <v>616</v>
      </c>
      <c r="C16" s="19">
        <v>1300</v>
      </c>
      <c r="D16" s="19"/>
      <c r="E16" s="19" t="s">
        <v>620</v>
      </c>
      <c r="F16" s="19">
        <v>50</v>
      </c>
      <c r="G16" s="19">
        <v>1</v>
      </c>
      <c r="H16" s="19" t="s">
        <v>617</v>
      </c>
      <c r="I16" s="19">
        <v>25</v>
      </c>
      <c r="J16" s="19">
        <v>0.5</v>
      </c>
      <c r="K16" s="19" t="s">
        <v>620</v>
      </c>
      <c r="L16" s="19">
        <v>875</v>
      </c>
      <c r="M16" s="19">
        <v>1</v>
      </c>
      <c r="N16" s="19" t="s">
        <v>633</v>
      </c>
      <c r="O16" s="19">
        <v>75</v>
      </c>
      <c r="P16" s="19">
        <v>1</v>
      </c>
      <c r="Q16" s="19" t="s">
        <v>629</v>
      </c>
      <c r="R16" s="19">
        <v>250</v>
      </c>
      <c r="S16" s="19">
        <v>2</v>
      </c>
      <c r="T16" s="19" t="s">
        <v>621</v>
      </c>
      <c r="U16" s="19">
        <v>40</v>
      </c>
      <c r="V16" s="19">
        <v>0.32</v>
      </c>
      <c r="W16" s="19" t="s">
        <v>636</v>
      </c>
      <c r="X16" s="19">
        <v>150</v>
      </c>
      <c r="Y16" s="19">
        <v>1</v>
      </c>
      <c r="Z16" s="19" t="s">
        <v>630</v>
      </c>
      <c r="AA16" s="19">
        <v>150</v>
      </c>
      <c r="AB16" s="19">
        <v>1</v>
      </c>
      <c r="AC16" s="19" t="s">
        <v>622</v>
      </c>
      <c r="AD16" s="19">
        <v>10</v>
      </c>
      <c r="AE16" s="19">
        <v>0.2</v>
      </c>
      <c r="AF16" s="19" t="s">
        <v>528</v>
      </c>
      <c r="AG16" s="19">
        <v>1000</v>
      </c>
      <c r="AH16" s="19">
        <v>2</v>
      </c>
      <c r="AI16" s="19"/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19"/>
      <c r="BN16" s="19"/>
      <c r="BO16" s="19"/>
      <c r="BP16" s="19"/>
      <c r="BQ16" s="19"/>
      <c r="BR16" s="19"/>
      <c r="BS16" s="19"/>
      <c r="BT16" s="19"/>
      <c r="BU16" s="19"/>
      <c r="BV16" s="19"/>
      <c r="BW16" s="19"/>
      <c r="BX16" s="19"/>
      <c r="BY16" s="19"/>
      <c r="BZ16" s="19"/>
      <c r="CA16" s="19"/>
      <c r="CB16" s="19"/>
      <c r="CC16" s="19"/>
      <c r="CD16" s="19"/>
      <c r="CE16" s="19"/>
      <c r="CF16" s="19"/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19"/>
      <c r="CT16" s="19"/>
      <c r="CU16" s="19"/>
      <c r="CV16" s="19"/>
      <c r="CW16" s="19"/>
      <c r="CX16" s="19"/>
      <c r="CY16" s="19"/>
      <c r="CZ16" s="19"/>
      <c r="DA16" s="19"/>
      <c r="DB16" s="19"/>
      <c r="DC16" s="19"/>
      <c r="DD16" s="19"/>
      <c r="DE16" s="19"/>
      <c r="DF16" s="19"/>
      <c r="DG16" s="19"/>
      <c r="DH16" s="19"/>
      <c r="DI16" s="19"/>
      <c r="DJ16" s="19"/>
      <c r="DK16" s="19"/>
      <c r="DL16" s="19"/>
      <c r="DM16" s="19"/>
      <c r="DN16" s="19"/>
      <c r="DO16" s="19"/>
      <c r="DP16" s="19"/>
      <c r="DQ16" s="19"/>
      <c r="DR16" s="19"/>
      <c r="DS16" s="19"/>
      <c r="DT16" s="19"/>
      <c r="DU16" s="19"/>
      <c r="DV16" s="19"/>
      <c r="DW16" s="19"/>
      <c r="DX16" s="19"/>
      <c r="DY16" s="19"/>
      <c r="DZ16" s="19"/>
      <c r="EA16" s="19"/>
      <c r="EB16" s="19"/>
      <c r="EC16" s="19"/>
      <c r="ED16" s="19"/>
      <c r="EE16" s="19"/>
      <c r="EF16" s="19"/>
      <c r="EG16" s="19"/>
      <c r="EH16" s="19"/>
      <c r="EI16" s="19"/>
      <c r="EJ16" s="19"/>
      <c r="EK16" s="19"/>
      <c r="EL16" s="19"/>
      <c r="EM16" s="19"/>
      <c r="EN16" s="19"/>
      <c r="EO16" s="19"/>
      <c r="EP16" s="19"/>
      <c r="EQ16" s="19"/>
      <c r="ER16" s="19"/>
      <c r="ES16" s="19"/>
      <c r="ET16" s="19"/>
      <c r="EU16" s="19"/>
      <c r="EV16" s="19"/>
      <c r="EW16" s="19"/>
      <c r="EX16" s="19"/>
      <c r="EY16" s="19"/>
      <c r="EZ16" s="19"/>
      <c r="FA16" s="19"/>
      <c r="FB16" s="19"/>
      <c r="FC16" s="19"/>
      <c r="FD16" s="19"/>
      <c r="FE16" s="19"/>
      <c r="FF16" s="19"/>
      <c r="FG16" s="19"/>
      <c r="FH16" s="19"/>
      <c r="FI16" s="19"/>
      <c r="FJ16" s="19"/>
      <c r="FK16" s="19"/>
      <c r="FL16" s="19"/>
      <c r="FM16" s="19"/>
      <c r="FN16" s="19"/>
      <c r="FO16" s="19"/>
      <c r="FP16" s="19"/>
      <c r="FQ16" s="19"/>
      <c r="FR16" s="19"/>
      <c r="FS16" s="19"/>
      <c r="FT16" s="19"/>
      <c r="FU16" s="19"/>
      <c r="FV16" s="19"/>
      <c r="FW16" s="19"/>
      <c r="FX16" s="19"/>
      <c r="FY16" s="19"/>
      <c r="FZ16" s="19"/>
      <c r="GA16" s="19"/>
      <c r="GB16" s="19"/>
      <c r="GC16" s="19"/>
      <c r="GD16" s="19"/>
      <c r="GE16" s="19"/>
      <c r="GF16" s="19"/>
      <c r="GG16" s="19"/>
      <c r="GH16" s="19"/>
      <c r="GI16" s="19"/>
      <c r="GJ16" s="19"/>
      <c r="GK16" s="19"/>
      <c r="GL16" s="19"/>
      <c r="GM16" s="19"/>
      <c r="GN16" s="19"/>
      <c r="GO16" s="19"/>
      <c r="GP16" s="19"/>
      <c r="GQ16" s="19"/>
      <c r="GR16" s="19"/>
      <c r="GS16" s="19"/>
      <c r="GT16" s="19"/>
      <c r="GU16" s="19"/>
      <c r="GV16" s="19"/>
      <c r="GW16" s="19"/>
      <c r="GX16" s="19"/>
      <c r="GY16" s="19"/>
      <c r="GZ16" s="19"/>
      <c r="HA16" s="19"/>
      <c r="HB16" s="19"/>
      <c r="HC16" s="19"/>
      <c r="HD16" s="19"/>
      <c r="HE16" s="19"/>
      <c r="HF16" s="19"/>
      <c r="HG16" s="19"/>
      <c r="HH16" s="19"/>
      <c r="HI16" s="19"/>
      <c r="HJ16" s="19"/>
      <c r="HK16" s="19"/>
      <c r="HL16" s="19"/>
      <c r="HM16" s="19"/>
      <c r="HN16" s="19"/>
      <c r="HO16" s="19"/>
      <c r="HP16" s="19"/>
      <c r="HQ16" s="19"/>
      <c r="HR16" s="19"/>
      <c r="HS16" s="19"/>
      <c r="HT16" s="19"/>
      <c r="HU16" s="19"/>
      <c r="HV16" s="19"/>
      <c r="HW16" s="19"/>
      <c r="HX16" s="19"/>
      <c r="HY16" s="19"/>
      <c r="HZ16" s="19"/>
      <c r="IA16" s="19"/>
      <c r="IB16" s="19"/>
      <c r="IC16" s="19"/>
      <c r="ID16" s="19"/>
      <c r="IE16" s="19"/>
      <c r="IF16" s="19"/>
      <c r="IG16" s="19"/>
      <c r="IH16" s="19"/>
      <c r="II16" s="19"/>
      <c r="IJ16" s="19"/>
      <c r="IK16" s="19"/>
      <c r="IL16" s="19"/>
      <c r="IM16" s="19"/>
      <c r="IN16" s="19"/>
      <c r="IO16" s="19"/>
      <c r="IP16" s="19"/>
      <c r="IQ16" s="19"/>
      <c r="IR16" s="19"/>
      <c r="IS16" s="19"/>
      <c r="IT16" s="19"/>
      <c r="IU16" s="19"/>
      <c r="IV16" s="19"/>
      <c r="IW16" s="19"/>
      <c r="IX16" s="19"/>
      <c r="IY16" s="19"/>
      <c r="IZ16" s="19"/>
      <c r="JA16" s="19"/>
      <c r="JB16" s="19"/>
      <c r="JC16" s="19"/>
      <c r="JD16" s="19"/>
      <c r="JE16" s="19"/>
      <c r="JF16" s="19"/>
      <c r="JG16" s="19"/>
      <c r="JH16" s="19"/>
      <c r="JI16" s="19"/>
      <c r="JJ16" s="19"/>
      <c r="JK16" s="19"/>
      <c r="JL16" s="19"/>
      <c r="JM16" s="19"/>
      <c r="JN16" s="19"/>
      <c r="JO16" s="19"/>
      <c r="JP16" s="19"/>
      <c r="JQ16" s="19"/>
      <c r="JR16" s="19"/>
      <c r="JS16" s="19"/>
      <c r="JT16" s="19"/>
      <c r="JU16" s="19"/>
      <c r="JV16" s="19"/>
      <c r="JW16" s="19"/>
      <c r="JX16" s="19"/>
      <c r="JY16" s="19"/>
      <c r="JZ16" s="19"/>
      <c r="KA16" s="19"/>
      <c r="KB16" s="19"/>
      <c r="KC16" s="19"/>
      <c r="KD16" s="19"/>
      <c r="KE16" s="19"/>
      <c r="KF16" s="19"/>
      <c r="KG16" s="19"/>
      <c r="KH16" s="19"/>
      <c r="KI16" s="19"/>
      <c r="KJ16" s="19"/>
      <c r="KK16" s="19"/>
      <c r="KL16" s="19"/>
      <c r="KM16" s="19"/>
      <c r="KN16" s="19"/>
      <c r="KO16" s="19"/>
      <c r="KP16" s="19"/>
      <c r="KQ16" s="19"/>
      <c r="KR16" s="19"/>
      <c r="KS16" s="19"/>
      <c r="KT16" s="19"/>
      <c r="KU16" s="19"/>
      <c r="KV16" s="19"/>
      <c r="KW16" s="19"/>
      <c r="KX16" s="19"/>
      <c r="KY16" s="19"/>
      <c r="KZ16" s="19"/>
      <c r="LA16" s="19"/>
      <c r="LB16" s="19"/>
      <c r="LC16" s="19"/>
      <c r="LD16" s="19"/>
      <c r="LE16" s="19"/>
      <c r="LF16" s="19"/>
      <c r="LG16" s="19"/>
      <c r="LH16" s="19"/>
      <c r="LI16" s="19"/>
      <c r="LJ16" s="19"/>
      <c r="LK16" s="19"/>
      <c r="LL16" s="19"/>
      <c r="LM16" s="19"/>
      <c r="LN16" s="19"/>
      <c r="LO16" s="19"/>
      <c r="LP16" s="19"/>
      <c r="LQ16" s="19"/>
    </row>
    <row r="17" spans="1:329" s="20" customFormat="1" x14ac:dyDescent="0.15">
      <c r="A17" s="18" t="s">
        <v>78</v>
      </c>
      <c r="B17" s="19" t="s">
        <v>616</v>
      </c>
      <c r="C17" s="19">
        <v>1300</v>
      </c>
      <c r="D17" s="19"/>
      <c r="E17" s="19" t="s">
        <v>620</v>
      </c>
      <c r="F17" s="19">
        <v>50</v>
      </c>
      <c r="G17" s="19">
        <v>1</v>
      </c>
      <c r="H17" s="19" t="s">
        <v>617</v>
      </c>
      <c r="I17" s="19">
        <v>25</v>
      </c>
      <c r="J17" s="19">
        <v>0.5</v>
      </c>
      <c r="K17" s="19" t="s">
        <v>620</v>
      </c>
      <c r="L17" s="19">
        <v>875</v>
      </c>
      <c r="M17" s="19">
        <v>1</v>
      </c>
      <c r="N17" s="19" t="s">
        <v>633</v>
      </c>
      <c r="O17" s="19">
        <v>75</v>
      </c>
      <c r="P17" s="19">
        <v>1</v>
      </c>
      <c r="Q17" s="19" t="s">
        <v>629</v>
      </c>
      <c r="R17" s="19">
        <v>250</v>
      </c>
      <c r="S17" s="19">
        <v>2</v>
      </c>
      <c r="T17" s="19" t="s">
        <v>621</v>
      </c>
      <c r="U17" s="19">
        <v>40</v>
      </c>
      <c r="V17" s="19">
        <v>0.32</v>
      </c>
      <c r="W17" s="19" t="s">
        <v>636</v>
      </c>
      <c r="X17" s="19">
        <v>150</v>
      </c>
      <c r="Y17" s="19">
        <v>1</v>
      </c>
      <c r="Z17" s="19" t="s">
        <v>630</v>
      </c>
      <c r="AA17" s="19">
        <v>150</v>
      </c>
      <c r="AB17" s="19">
        <v>1</v>
      </c>
      <c r="AC17" s="19" t="s">
        <v>622</v>
      </c>
      <c r="AD17" s="19">
        <v>10</v>
      </c>
      <c r="AE17" s="19">
        <v>0.2</v>
      </c>
      <c r="AF17" s="19" t="s">
        <v>528</v>
      </c>
      <c r="AG17" s="19">
        <v>1000</v>
      </c>
      <c r="AH17" s="19">
        <v>2</v>
      </c>
      <c r="AI17" s="19"/>
      <c r="AJ17" s="19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  <c r="BL17" s="19"/>
      <c r="BM17" s="19"/>
      <c r="BN17" s="19"/>
      <c r="BO17" s="19"/>
      <c r="BP17" s="19"/>
      <c r="BQ17" s="19"/>
      <c r="BR17" s="19"/>
      <c r="BS17" s="19"/>
      <c r="BT17" s="19"/>
      <c r="BU17" s="19"/>
      <c r="BV17" s="19"/>
      <c r="BW17" s="19"/>
      <c r="BX17" s="19"/>
      <c r="BY17" s="19"/>
      <c r="BZ17" s="19"/>
      <c r="CA17" s="19"/>
      <c r="CB17" s="19"/>
      <c r="CC17" s="19"/>
      <c r="CD17" s="19"/>
      <c r="CE17" s="19"/>
      <c r="CF17" s="19"/>
      <c r="CG17" s="19"/>
      <c r="CH17" s="19"/>
      <c r="CI17" s="19"/>
      <c r="CJ17" s="19"/>
      <c r="CK17" s="19"/>
      <c r="CL17" s="19"/>
      <c r="CM17" s="19"/>
      <c r="CN17" s="19"/>
      <c r="CO17" s="19"/>
      <c r="CP17" s="19"/>
      <c r="CQ17" s="19"/>
      <c r="CR17" s="19"/>
      <c r="CS17" s="19"/>
      <c r="CT17" s="19"/>
      <c r="CU17" s="19"/>
      <c r="CV17" s="19"/>
      <c r="CW17" s="19"/>
      <c r="CX17" s="19"/>
      <c r="CY17" s="19"/>
      <c r="CZ17" s="19"/>
      <c r="DA17" s="19"/>
      <c r="DB17" s="19"/>
      <c r="DC17" s="19"/>
      <c r="DD17" s="19"/>
      <c r="DE17" s="19"/>
      <c r="DF17" s="19"/>
      <c r="DG17" s="19"/>
      <c r="DH17" s="19"/>
      <c r="DI17" s="19"/>
      <c r="DJ17" s="19"/>
      <c r="DK17" s="19"/>
      <c r="DL17" s="19"/>
      <c r="DM17" s="19"/>
      <c r="DN17" s="19"/>
      <c r="DO17" s="19"/>
      <c r="DP17" s="19"/>
      <c r="DQ17" s="19"/>
      <c r="DR17" s="19"/>
      <c r="DS17" s="19"/>
      <c r="DT17" s="19"/>
      <c r="DU17" s="19"/>
      <c r="DV17" s="19"/>
      <c r="DW17" s="19"/>
      <c r="DX17" s="19"/>
      <c r="DY17" s="19"/>
      <c r="DZ17" s="19"/>
      <c r="EA17" s="19"/>
      <c r="EB17" s="19"/>
      <c r="EC17" s="19"/>
      <c r="ED17" s="19"/>
      <c r="EE17" s="19"/>
      <c r="EF17" s="19"/>
      <c r="EG17" s="19"/>
      <c r="EH17" s="19"/>
      <c r="EI17" s="19"/>
      <c r="EJ17" s="19"/>
      <c r="EK17" s="19"/>
      <c r="EL17" s="19"/>
      <c r="EM17" s="19"/>
      <c r="EN17" s="19"/>
      <c r="EO17" s="19"/>
      <c r="EP17" s="19"/>
      <c r="EQ17" s="19"/>
      <c r="ER17" s="19"/>
      <c r="ES17" s="19"/>
      <c r="ET17" s="19"/>
      <c r="EU17" s="19"/>
      <c r="EV17" s="19"/>
      <c r="EW17" s="19"/>
      <c r="EX17" s="19"/>
      <c r="EY17" s="19"/>
      <c r="EZ17" s="19"/>
      <c r="FA17" s="19"/>
      <c r="FB17" s="19"/>
      <c r="FC17" s="19"/>
      <c r="FD17" s="19"/>
      <c r="FE17" s="19"/>
      <c r="FF17" s="19"/>
      <c r="FG17" s="19"/>
      <c r="FH17" s="19"/>
      <c r="FI17" s="19"/>
      <c r="FJ17" s="19"/>
      <c r="FK17" s="19"/>
      <c r="FL17" s="19"/>
      <c r="FM17" s="19"/>
      <c r="FN17" s="19"/>
      <c r="FO17" s="19"/>
      <c r="FP17" s="19"/>
      <c r="FQ17" s="19"/>
      <c r="FR17" s="19"/>
      <c r="FS17" s="19"/>
      <c r="FT17" s="19"/>
      <c r="FU17" s="19"/>
      <c r="FV17" s="19"/>
      <c r="FW17" s="19"/>
      <c r="FX17" s="19"/>
      <c r="FY17" s="19"/>
      <c r="FZ17" s="19"/>
      <c r="GA17" s="19"/>
      <c r="GB17" s="19"/>
      <c r="GC17" s="19"/>
      <c r="GD17" s="19"/>
      <c r="GE17" s="19"/>
      <c r="GF17" s="19"/>
      <c r="GG17" s="19"/>
      <c r="GH17" s="19"/>
      <c r="GI17" s="19"/>
      <c r="GJ17" s="19"/>
      <c r="GK17" s="19"/>
      <c r="GL17" s="19"/>
      <c r="GM17" s="19"/>
      <c r="GN17" s="19"/>
      <c r="GO17" s="19"/>
      <c r="GP17" s="19"/>
      <c r="GQ17" s="19"/>
      <c r="GR17" s="19"/>
      <c r="GS17" s="19"/>
      <c r="GT17" s="19"/>
      <c r="GU17" s="19"/>
      <c r="GV17" s="19"/>
      <c r="GW17" s="19"/>
      <c r="GX17" s="19"/>
      <c r="GY17" s="19"/>
      <c r="GZ17" s="19"/>
      <c r="HA17" s="19"/>
      <c r="HB17" s="19"/>
      <c r="HC17" s="19"/>
      <c r="HD17" s="19"/>
      <c r="HE17" s="19"/>
      <c r="HF17" s="19"/>
      <c r="HG17" s="19"/>
      <c r="HH17" s="19"/>
      <c r="HI17" s="19"/>
      <c r="HJ17" s="19"/>
      <c r="HK17" s="19"/>
      <c r="HL17" s="19"/>
      <c r="HM17" s="19"/>
      <c r="HN17" s="19"/>
      <c r="HO17" s="19"/>
      <c r="HP17" s="19"/>
      <c r="HQ17" s="19"/>
      <c r="HR17" s="19"/>
      <c r="HS17" s="19"/>
      <c r="HT17" s="19"/>
      <c r="HU17" s="19"/>
      <c r="HV17" s="19"/>
      <c r="HW17" s="19"/>
      <c r="HX17" s="19"/>
      <c r="HY17" s="19"/>
      <c r="HZ17" s="19"/>
      <c r="IA17" s="19"/>
      <c r="IB17" s="19"/>
      <c r="IC17" s="19"/>
      <c r="ID17" s="19"/>
      <c r="IE17" s="19"/>
      <c r="IF17" s="19"/>
      <c r="IG17" s="19"/>
      <c r="IH17" s="19"/>
      <c r="II17" s="19"/>
      <c r="IJ17" s="19"/>
      <c r="IK17" s="19"/>
      <c r="IL17" s="19"/>
      <c r="IM17" s="19"/>
      <c r="IN17" s="19"/>
      <c r="IO17" s="19"/>
      <c r="IP17" s="19"/>
      <c r="IQ17" s="19"/>
      <c r="IR17" s="19"/>
      <c r="IS17" s="19"/>
      <c r="IT17" s="19"/>
      <c r="IU17" s="19"/>
      <c r="IV17" s="19"/>
      <c r="IW17" s="19"/>
      <c r="IX17" s="19"/>
      <c r="IY17" s="19"/>
      <c r="IZ17" s="19"/>
      <c r="JA17" s="19"/>
      <c r="JB17" s="19"/>
      <c r="JC17" s="19"/>
      <c r="JD17" s="19"/>
      <c r="JE17" s="19"/>
      <c r="JF17" s="19"/>
      <c r="JG17" s="19"/>
      <c r="JH17" s="19"/>
      <c r="JI17" s="19"/>
      <c r="JJ17" s="19"/>
      <c r="JK17" s="19"/>
      <c r="JL17" s="19"/>
      <c r="JM17" s="19"/>
      <c r="JN17" s="19"/>
      <c r="JO17" s="19"/>
      <c r="JP17" s="19"/>
      <c r="JQ17" s="19"/>
      <c r="JR17" s="19"/>
      <c r="JS17" s="19"/>
      <c r="JT17" s="19"/>
      <c r="JU17" s="19"/>
      <c r="JV17" s="19"/>
      <c r="JW17" s="19"/>
      <c r="JX17" s="19"/>
      <c r="JY17" s="19"/>
      <c r="JZ17" s="19"/>
      <c r="KA17" s="19"/>
      <c r="KB17" s="19"/>
      <c r="KC17" s="19"/>
      <c r="KD17" s="19"/>
      <c r="KE17" s="19"/>
      <c r="KF17" s="19"/>
      <c r="KG17" s="19"/>
      <c r="KH17" s="19"/>
      <c r="KI17" s="19"/>
      <c r="KJ17" s="19"/>
      <c r="KK17" s="19"/>
      <c r="KL17" s="19"/>
      <c r="KM17" s="19"/>
      <c r="KN17" s="19"/>
      <c r="KO17" s="19"/>
      <c r="KP17" s="19"/>
      <c r="KQ17" s="19"/>
      <c r="KR17" s="19"/>
      <c r="KS17" s="19"/>
      <c r="KT17" s="19"/>
      <c r="KU17" s="19"/>
      <c r="KV17" s="19"/>
      <c r="KW17" s="19"/>
      <c r="KX17" s="19"/>
      <c r="KY17" s="19"/>
      <c r="KZ17" s="19"/>
      <c r="LA17" s="19"/>
      <c r="LB17" s="19"/>
      <c r="LC17" s="19"/>
      <c r="LD17" s="19"/>
      <c r="LE17" s="19"/>
      <c r="LF17" s="19"/>
      <c r="LG17" s="19"/>
      <c r="LH17" s="19"/>
      <c r="LI17" s="19"/>
      <c r="LJ17" s="19"/>
      <c r="LK17" s="19"/>
      <c r="LL17" s="19"/>
      <c r="LM17" s="19"/>
      <c r="LN17" s="19"/>
      <c r="LO17" s="19"/>
      <c r="LP17" s="19"/>
      <c r="LQ17" s="19"/>
    </row>
    <row r="18" spans="1:329" s="20" customFormat="1" x14ac:dyDescent="0.15">
      <c r="A18" s="18" t="s">
        <v>88</v>
      </c>
      <c r="B18" s="19" t="s">
        <v>616</v>
      </c>
      <c r="C18" s="19">
        <v>1300</v>
      </c>
      <c r="D18" s="19"/>
      <c r="E18" s="19" t="s">
        <v>620</v>
      </c>
      <c r="F18" s="19">
        <v>50</v>
      </c>
      <c r="G18" s="19">
        <v>1</v>
      </c>
      <c r="H18" s="19" t="s">
        <v>617</v>
      </c>
      <c r="I18" s="19">
        <v>25</v>
      </c>
      <c r="J18" s="19">
        <v>0.5</v>
      </c>
      <c r="K18" s="19" t="s">
        <v>620</v>
      </c>
      <c r="L18" s="19">
        <v>875</v>
      </c>
      <c r="M18" s="19">
        <v>1</v>
      </c>
      <c r="N18" s="19" t="s">
        <v>633</v>
      </c>
      <c r="O18" s="19">
        <v>75</v>
      </c>
      <c r="P18" s="19">
        <v>1</v>
      </c>
      <c r="Q18" s="19" t="s">
        <v>629</v>
      </c>
      <c r="R18" s="19">
        <v>250</v>
      </c>
      <c r="S18" s="19">
        <v>2</v>
      </c>
      <c r="T18" s="19" t="s">
        <v>621</v>
      </c>
      <c r="U18" s="19">
        <v>40</v>
      </c>
      <c r="V18" s="19">
        <v>0.32</v>
      </c>
      <c r="W18" s="19" t="s">
        <v>636</v>
      </c>
      <c r="X18" s="19">
        <v>150</v>
      </c>
      <c r="Y18" s="19">
        <v>1</v>
      </c>
      <c r="Z18" s="19" t="s">
        <v>630</v>
      </c>
      <c r="AA18" s="19">
        <v>150</v>
      </c>
      <c r="AB18" s="19">
        <v>1</v>
      </c>
      <c r="AC18" s="19" t="s">
        <v>622</v>
      </c>
      <c r="AD18" s="19">
        <v>10</v>
      </c>
      <c r="AE18" s="19">
        <v>0.2</v>
      </c>
      <c r="AF18" s="19" t="s">
        <v>528</v>
      </c>
      <c r="AG18" s="19">
        <v>1000</v>
      </c>
      <c r="AH18" s="19">
        <v>2</v>
      </c>
      <c r="AI18" s="19"/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19"/>
      <c r="BM18" s="19"/>
      <c r="BN18" s="19"/>
      <c r="BO18" s="19"/>
      <c r="BP18" s="19"/>
      <c r="BQ18" s="19"/>
      <c r="BR18" s="19"/>
      <c r="BS18" s="19"/>
      <c r="BT18" s="19"/>
      <c r="BU18" s="19"/>
      <c r="BV18" s="19"/>
      <c r="BW18" s="19"/>
      <c r="BX18" s="19"/>
      <c r="BY18" s="19"/>
      <c r="BZ18" s="19"/>
      <c r="CA18" s="19"/>
      <c r="CB18" s="19"/>
      <c r="CC18" s="19"/>
      <c r="CD18" s="19"/>
      <c r="CE18" s="19"/>
      <c r="CF18" s="19"/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19"/>
      <c r="CV18" s="19"/>
      <c r="CW18" s="19"/>
      <c r="CX18" s="19"/>
      <c r="CY18" s="19"/>
      <c r="CZ18" s="19"/>
      <c r="DA18" s="19"/>
      <c r="DB18" s="19"/>
      <c r="DC18" s="19"/>
      <c r="DD18" s="19"/>
      <c r="DE18" s="19"/>
      <c r="DF18" s="19"/>
      <c r="DG18" s="19"/>
      <c r="DH18" s="19"/>
      <c r="DI18" s="19"/>
      <c r="DJ18" s="19"/>
      <c r="DK18" s="19"/>
      <c r="DL18" s="19"/>
      <c r="DM18" s="19"/>
      <c r="DN18" s="19"/>
      <c r="DO18" s="19"/>
      <c r="DP18" s="19"/>
      <c r="DQ18" s="19"/>
      <c r="DR18" s="19"/>
      <c r="DS18" s="19"/>
      <c r="DT18" s="19"/>
      <c r="DU18" s="19"/>
      <c r="DV18" s="19"/>
      <c r="DW18" s="19"/>
      <c r="DX18" s="19"/>
      <c r="DY18" s="19"/>
      <c r="DZ18" s="19"/>
      <c r="EA18" s="19"/>
      <c r="EB18" s="19"/>
      <c r="EC18" s="19"/>
      <c r="ED18" s="19"/>
      <c r="EE18" s="19"/>
      <c r="EF18" s="19"/>
      <c r="EG18" s="19"/>
      <c r="EH18" s="19"/>
      <c r="EI18" s="19"/>
      <c r="EJ18" s="19"/>
      <c r="EK18" s="19"/>
      <c r="EL18" s="19"/>
      <c r="EM18" s="19"/>
      <c r="EN18" s="19"/>
      <c r="EO18" s="19"/>
      <c r="EP18" s="19"/>
      <c r="EQ18" s="19"/>
      <c r="ER18" s="19"/>
      <c r="ES18" s="19"/>
      <c r="ET18" s="19"/>
      <c r="EU18" s="19"/>
      <c r="EV18" s="19"/>
      <c r="EW18" s="19"/>
      <c r="EX18" s="19"/>
      <c r="EY18" s="19"/>
      <c r="EZ18" s="19"/>
      <c r="FA18" s="19"/>
      <c r="FB18" s="19"/>
      <c r="FC18" s="19"/>
      <c r="FD18" s="19"/>
      <c r="FE18" s="19"/>
      <c r="FF18" s="19"/>
      <c r="FG18" s="19"/>
      <c r="FH18" s="19"/>
      <c r="FI18" s="19"/>
      <c r="FJ18" s="19"/>
      <c r="FK18" s="19"/>
      <c r="FL18" s="19"/>
      <c r="FM18" s="19"/>
      <c r="FN18" s="19"/>
      <c r="FO18" s="19"/>
      <c r="FP18" s="19"/>
      <c r="FQ18" s="19"/>
      <c r="FR18" s="19"/>
      <c r="FS18" s="19"/>
      <c r="FT18" s="19"/>
      <c r="FU18" s="19"/>
      <c r="FV18" s="19"/>
      <c r="FW18" s="19"/>
      <c r="FX18" s="19"/>
      <c r="FY18" s="19"/>
      <c r="FZ18" s="19"/>
      <c r="GA18" s="19"/>
      <c r="GB18" s="19"/>
      <c r="GC18" s="19"/>
      <c r="GD18" s="19"/>
      <c r="GE18" s="19"/>
      <c r="GF18" s="19"/>
      <c r="GG18" s="19"/>
      <c r="GH18" s="19"/>
      <c r="GI18" s="19"/>
      <c r="GJ18" s="19"/>
      <c r="GK18" s="19"/>
      <c r="GL18" s="19"/>
      <c r="GM18" s="19"/>
      <c r="GN18" s="19"/>
      <c r="GO18" s="19"/>
      <c r="GP18" s="19"/>
      <c r="GQ18" s="19"/>
      <c r="GR18" s="19"/>
      <c r="GS18" s="19"/>
      <c r="GT18" s="19"/>
      <c r="GU18" s="19"/>
      <c r="GV18" s="19"/>
      <c r="GW18" s="19"/>
      <c r="GX18" s="19"/>
      <c r="GY18" s="19"/>
      <c r="GZ18" s="19"/>
      <c r="HA18" s="19"/>
      <c r="HB18" s="19"/>
      <c r="HC18" s="19"/>
      <c r="HD18" s="19"/>
      <c r="HE18" s="19"/>
      <c r="HF18" s="19"/>
      <c r="HG18" s="19"/>
      <c r="HH18" s="19"/>
      <c r="HI18" s="19"/>
      <c r="HJ18" s="19"/>
      <c r="HK18" s="19"/>
      <c r="HL18" s="19"/>
      <c r="HM18" s="19"/>
      <c r="HN18" s="19"/>
      <c r="HO18" s="19"/>
      <c r="HP18" s="19"/>
      <c r="HQ18" s="19"/>
      <c r="HR18" s="19"/>
      <c r="HS18" s="19"/>
      <c r="HT18" s="19"/>
      <c r="HU18" s="19"/>
      <c r="HV18" s="19"/>
      <c r="HW18" s="19"/>
      <c r="HX18" s="19"/>
      <c r="HY18" s="19"/>
      <c r="HZ18" s="19"/>
      <c r="IA18" s="19"/>
      <c r="IB18" s="19"/>
      <c r="IC18" s="19"/>
      <c r="ID18" s="19"/>
      <c r="IE18" s="19"/>
      <c r="IF18" s="19"/>
      <c r="IG18" s="19"/>
      <c r="IH18" s="19"/>
      <c r="II18" s="19"/>
      <c r="IJ18" s="19"/>
      <c r="IK18" s="19"/>
      <c r="IL18" s="19"/>
      <c r="IM18" s="19"/>
      <c r="IN18" s="19"/>
      <c r="IO18" s="19"/>
      <c r="IP18" s="19"/>
      <c r="IQ18" s="19"/>
      <c r="IR18" s="19"/>
      <c r="IS18" s="19"/>
      <c r="IT18" s="19"/>
      <c r="IU18" s="19"/>
      <c r="IV18" s="19"/>
      <c r="IW18" s="19"/>
      <c r="IX18" s="19"/>
      <c r="IY18" s="19"/>
      <c r="IZ18" s="19"/>
      <c r="JA18" s="19"/>
      <c r="JB18" s="19"/>
      <c r="JC18" s="19"/>
      <c r="JD18" s="19"/>
      <c r="JE18" s="19"/>
      <c r="JF18" s="19"/>
      <c r="JG18" s="19"/>
      <c r="JH18" s="19"/>
      <c r="JI18" s="19"/>
      <c r="JJ18" s="19"/>
      <c r="JK18" s="19"/>
      <c r="JL18" s="19"/>
      <c r="JM18" s="19"/>
      <c r="JN18" s="19"/>
      <c r="JO18" s="19"/>
      <c r="JP18" s="19"/>
      <c r="JQ18" s="19"/>
      <c r="JR18" s="19"/>
      <c r="JS18" s="19"/>
      <c r="JT18" s="19"/>
      <c r="JU18" s="19"/>
      <c r="JV18" s="19"/>
      <c r="JW18" s="19"/>
      <c r="JX18" s="19"/>
      <c r="JY18" s="19"/>
      <c r="JZ18" s="19"/>
      <c r="KA18" s="19"/>
      <c r="KB18" s="19"/>
      <c r="KC18" s="19"/>
      <c r="KD18" s="19"/>
      <c r="KE18" s="19"/>
      <c r="KF18" s="19"/>
      <c r="KG18" s="19"/>
      <c r="KH18" s="19"/>
      <c r="KI18" s="19"/>
      <c r="KJ18" s="19"/>
      <c r="KK18" s="19"/>
      <c r="KL18" s="19"/>
      <c r="KM18" s="19"/>
      <c r="KN18" s="19"/>
      <c r="KO18" s="19"/>
      <c r="KP18" s="19"/>
      <c r="KQ18" s="19"/>
      <c r="KR18" s="19"/>
      <c r="KS18" s="19"/>
      <c r="KT18" s="19"/>
      <c r="KU18" s="19"/>
      <c r="KV18" s="19"/>
      <c r="KW18" s="19"/>
      <c r="KX18" s="19"/>
      <c r="KY18" s="19"/>
      <c r="KZ18" s="19"/>
      <c r="LA18" s="19"/>
      <c r="LB18" s="19"/>
      <c r="LC18" s="19"/>
      <c r="LD18" s="19"/>
      <c r="LE18" s="19"/>
      <c r="LF18" s="19"/>
      <c r="LG18" s="19"/>
      <c r="LH18" s="19"/>
      <c r="LI18" s="19"/>
      <c r="LJ18" s="19"/>
      <c r="LK18" s="19"/>
      <c r="LL18" s="19"/>
      <c r="LM18" s="19"/>
      <c r="LN18" s="19"/>
      <c r="LO18" s="19"/>
      <c r="LP18" s="19"/>
      <c r="LQ18" s="19"/>
    </row>
    <row r="19" spans="1:329" s="20" customFormat="1" x14ac:dyDescent="0.15">
      <c r="A19" s="18" t="s">
        <v>89</v>
      </c>
      <c r="B19" s="19" t="s">
        <v>616</v>
      </c>
      <c r="C19" s="19">
        <v>1300</v>
      </c>
      <c r="D19" s="19"/>
      <c r="E19" s="19" t="s">
        <v>620</v>
      </c>
      <c r="F19" s="19">
        <v>50</v>
      </c>
      <c r="G19" s="19">
        <v>1</v>
      </c>
      <c r="H19" s="19" t="s">
        <v>617</v>
      </c>
      <c r="I19" s="19">
        <v>25</v>
      </c>
      <c r="J19" s="19">
        <v>0.5</v>
      </c>
      <c r="K19" s="19" t="s">
        <v>620</v>
      </c>
      <c r="L19" s="19">
        <v>875</v>
      </c>
      <c r="M19" s="19">
        <v>1</v>
      </c>
      <c r="N19" s="19" t="s">
        <v>633</v>
      </c>
      <c r="O19" s="19">
        <v>75</v>
      </c>
      <c r="P19" s="19">
        <v>1</v>
      </c>
      <c r="Q19" s="19" t="s">
        <v>629</v>
      </c>
      <c r="R19" s="19">
        <v>250</v>
      </c>
      <c r="S19" s="19">
        <v>2</v>
      </c>
      <c r="T19" s="19" t="s">
        <v>621</v>
      </c>
      <c r="U19" s="19">
        <v>40</v>
      </c>
      <c r="V19" s="19">
        <v>0.32</v>
      </c>
      <c r="W19" s="19" t="s">
        <v>636</v>
      </c>
      <c r="X19" s="19">
        <v>150</v>
      </c>
      <c r="Y19" s="19">
        <v>1</v>
      </c>
      <c r="Z19" s="19" t="s">
        <v>630</v>
      </c>
      <c r="AA19" s="19">
        <v>150</v>
      </c>
      <c r="AB19" s="19">
        <v>1</v>
      </c>
      <c r="AC19" s="19" t="s">
        <v>622</v>
      </c>
      <c r="AD19" s="19">
        <v>10</v>
      </c>
      <c r="AE19" s="19">
        <v>0.2</v>
      </c>
      <c r="AF19" s="19" t="s">
        <v>528</v>
      </c>
      <c r="AG19" s="19">
        <v>1000</v>
      </c>
      <c r="AH19" s="19">
        <v>2</v>
      </c>
      <c r="AI19" s="19"/>
      <c r="AJ19" s="19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  <c r="BP19" s="19"/>
      <c r="BQ19" s="19"/>
      <c r="BR19" s="19"/>
      <c r="BS19" s="19"/>
      <c r="BT19" s="19"/>
      <c r="BU19" s="19"/>
      <c r="BV19" s="19"/>
      <c r="BW19" s="19"/>
      <c r="BX19" s="19"/>
      <c r="BY19" s="19"/>
      <c r="BZ19" s="19"/>
      <c r="CA19" s="19"/>
      <c r="CB19" s="19"/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19"/>
      <c r="CV19" s="19"/>
      <c r="CW19" s="19"/>
      <c r="CX19" s="19"/>
      <c r="CY19" s="19"/>
      <c r="CZ19" s="19"/>
      <c r="DA19" s="19"/>
      <c r="DB19" s="19"/>
      <c r="DC19" s="19"/>
      <c r="DD19" s="19"/>
      <c r="DE19" s="19"/>
      <c r="DF19" s="19"/>
      <c r="DG19" s="19"/>
      <c r="DH19" s="19"/>
      <c r="DI19" s="19"/>
      <c r="DJ19" s="19"/>
      <c r="DK19" s="19"/>
      <c r="DL19" s="19"/>
      <c r="DM19" s="19"/>
      <c r="DN19" s="19"/>
      <c r="DO19" s="19"/>
      <c r="DP19" s="19"/>
      <c r="DQ19" s="19"/>
      <c r="DR19" s="19"/>
      <c r="DS19" s="19"/>
      <c r="DT19" s="19"/>
      <c r="DU19" s="19"/>
      <c r="DV19" s="19"/>
      <c r="DW19" s="19"/>
      <c r="DX19" s="19"/>
      <c r="DY19" s="19"/>
      <c r="DZ19" s="19"/>
      <c r="EA19" s="19"/>
      <c r="EB19" s="19"/>
      <c r="EC19" s="19"/>
      <c r="ED19" s="19"/>
      <c r="EE19" s="19"/>
      <c r="EF19" s="19"/>
      <c r="EG19" s="19"/>
      <c r="EH19" s="19"/>
      <c r="EI19" s="19"/>
      <c r="EJ19" s="19"/>
      <c r="EK19" s="19"/>
      <c r="EL19" s="19"/>
      <c r="EM19" s="19"/>
      <c r="EN19" s="19"/>
      <c r="EO19" s="19"/>
      <c r="EP19" s="19"/>
      <c r="EQ19" s="19"/>
      <c r="ER19" s="19"/>
      <c r="ES19" s="19"/>
      <c r="ET19" s="19"/>
      <c r="EU19" s="19"/>
      <c r="EV19" s="19"/>
      <c r="EW19" s="19"/>
      <c r="EX19" s="19"/>
      <c r="EY19" s="19"/>
      <c r="EZ19" s="19"/>
      <c r="FA19" s="19"/>
      <c r="FB19" s="19"/>
      <c r="FC19" s="19"/>
      <c r="FD19" s="19"/>
      <c r="FE19" s="19"/>
      <c r="FF19" s="19"/>
      <c r="FG19" s="19"/>
      <c r="FH19" s="19"/>
      <c r="FI19" s="19"/>
      <c r="FJ19" s="19"/>
      <c r="FK19" s="19"/>
      <c r="FL19" s="19"/>
      <c r="FM19" s="19"/>
      <c r="FN19" s="19"/>
      <c r="FO19" s="19"/>
      <c r="FP19" s="19"/>
      <c r="FQ19" s="19"/>
      <c r="FR19" s="19"/>
      <c r="FS19" s="19"/>
      <c r="FT19" s="19"/>
      <c r="FU19" s="19"/>
      <c r="FV19" s="19"/>
      <c r="FW19" s="19"/>
      <c r="FX19" s="19"/>
      <c r="FY19" s="19"/>
      <c r="FZ19" s="19"/>
      <c r="GA19" s="19"/>
      <c r="GB19" s="19"/>
      <c r="GC19" s="19"/>
      <c r="GD19" s="19"/>
      <c r="GE19" s="19"/>
      <c r="GF19" s="19"/>
      <c r="GG19" s="19"/>
      <c r="GH19" s="19"/>
      <c r="GI19" s="19"/>
      <c r="GJ19" s="19"/>
      <c r="GK19" s="19"/>
      <c r="GL19" s="19"/>
      <c r="GM19" s="19"/>
      <c r="GN19" s="19"/>
      <c r="GO19" s="19"/>
      <c r="GP19" s="19"/>
      <c r="GQ19" s="19"/>
      <c r="GR19" s="19"/>
      <c r="GS19" s="19"/>
      <c r="GT19" s="19"/>
      <c r="GU19" s="19"/>
      <c r="GV19" s="19"/>
      <c r="GW19" s="19"/>
      <c r="GX19" s="19"/>
      <c r="GY19" s="19"/>
      <c r="GZ19" s="19"/>
      <c r="HA19" s="19"/>
      <c r="HB19" s="19"/>
      <c r="HC19" s="19"/>
      <c r="HD19" s="19"/>
      <c r="HE19" s="19"/>
      <c r="HF19" s="19"/>
      <c r="HG19" s="19"/>
      <c r="HH19" s="19"/>
      <c r="HI19" s="19"/>
      <c r="HJ19" s="19"/>
      <c r="HK19" s="19"/>
      <c r="HL19" s="19"/>
      <c r="HM19" s="19"/>
      <c r="HN19" s="19"/>
      <c r="HO19" s="19"/>
      <c r="HP19" s="19"/>
      <c r="HQ19" s="19"/>
      <c r="HR19" s="19"/>
      <c r="HS19" s="19"/>
      <c r="HT19" s="19"/>
      <c r="HU19" s="19"/>
      <c r="HV19" s="19"/>
      <c r="HW19" s="19"/>
      <c r="HX19" s="19"/>
      <c r="HY19" s="19"/>
      <c r="HZ19" s="19"/>
      <c r="IA19" s="19"/>
      <c r="IB19" s="19"/>
      <c r="IC19" s="19"/>
      <c r="ID19" s="19"/>
      <c r="IE19" s="19"/>
      <c r="IF19" s="19"/>
      <c r="IG19" s="19"/>
      <c r="IH19" s="19"/>
      <c r="II19" s="19"/>
      <c r="IJ19" s="19"/>
      <c r="IK19" s="19"/>
      <c r="IL19" s="19"/>
      <c r="IM19" s="19"/>
      <c r="IN19" s="19"/>
      <c r="IO19" s="19"/>
      <c r="IP19" s="19"/>
      <c r="IQ19" s="19"/>
      <c r="IR19" s="19"/>
      <c r="IS19" s="19"/>
      <c r="IT19" s="19"/>
      <c r="IU19" s="19"/>
      <c r="IV19" s="19"/>
      <c r="IW19" s="19"/>
      <c r="IX19" s="19"/>
      <c r="IY19" s="19"/>
      <c r="IZ19" s="19"/>
      <c r="JA19" s="19"/>
      <c r="JB19" s="19"/>
      <c r="JC19" s="19"/>
      <c r="JD19" s="19"/>
      <c r="JE19" s="19"/>
      <c r="JF19" s="19"/>
      <c r="JG19" s="19"/>
      <c r="JH19" s="19"/>
      <c r="JI19" s="19"/>
      <c r="JJ19" s="19"/>
      <c r="JK19" s="19"/>
      <c r="JL19" s="19"/>
      <c r="JM19" s="19"/>
      <c r="JN19" s="19"/>
      <c r="JO19" s="19"/>
      <c r="JP19" s="19"/>
      <c r="JQ19" s="19"/>
      <c r="JR19" s="19"/>
      <c r="JS19" s="19"/>
      <c r="JT19" s="19"/>
      <c r="JU19" s="19"/>
      <c r="JV19" s="19"/>
      <c r="JW19" s="19"/>
      <c r="JX19" s="19"/>
      <c r="JY19" s="19"/>
      <c r="JZ19" s="19"/>
      <c r="KA19" s="19"/>
      <c r="KB19" s="19"/>
      <c r="KC19" s="19"/>
      <c r="KD19" s="19"/>
      <c r="KE19" s="19"/>
      <c r="KF19" s="19"/>
      <c r="KG19" s="19"/>
      <c r="KH19" s="19"/>
      <c r="KI19" s="19"/>
      <c r="KJ19" s="19"/>
      <c r="KK19" s="19"/>
      <c r="KL19" s="19"/>
      <c r="KM19" s="19"/>
      <c r="KN19" s="19"/>
      <c r="KO19" s="19"/>
      <c r="KP19" s="19"/>
      <c r="KQ19" s="19"/>
      <c r="KR19" s="19"/>
      <c r="KS19" s="19"/>
      <c r="KT19" s="19"/>
      <c r="KU19" s="19"/>
      <c r="KV19" s="19"/>
      <c r="KW19" s="19"/>
      <c r="KX19" s="19"/>
      <c r="KY19" s="19"/>
      <c r="KZ19" s="19"/>
      <c r="LA19" s="19"/>
      <c r="LB19" s="19"/>
      <c r="LC19" s="19"/>
      <c r="LD19" s="19"/>
      <c r="LE19" s="19"/>
      <c r="LF19" s="19"/>
      <c r="LG19" s="19"/>
      <c r="LH19" s="19"/>
      <c r="LI19" s="19"/>
      <c r="LJ19" s="19"/>
      <c r="LK19" s="19"/>
      <c r="LL19" s="19"/>
      <c r="LM19" s="19"/>
      <c r="LN19" s="19"/>
      <c r="LO19" s="19"/>
      <c r="LP19" s="19"/>
      <c r="LQ19" s="19"/>
    </row>
    <row r="20" spans="1:329" s="20" customFormat="1" x14ac:dyDescent="0.15">
      <c r="A20" s="18" t="s">
        <v>101</v>
      </c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19"/>
      <c r="BN20" s="19"/>
      <c r="BO20" s="19"/>
      <c r="BP20" s="19"/>
      <c r="BQ20" s="19"/>
      <c r="BR20" s="19"/>
      <c r="BS20" s="19"/>
      <c r="BT20" s="19"/>
      <c r="BU20" s="19"/>
      <c r="BV20" s="19"/>
      <c r="BW20" s="19"/>
      <c r="BX20" s="19"/>
      <c r="BY20" s="19"/>
      <c r="BZ20" s="19"/>
      <c r="CA20" s="19"/>
      <c r="CB20" s="19"/>
      <c r="CC20" s="19"/>
      <c r="CD20" s="19"/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19"/>
      <c r="CV20" s="19"/>
      <c r="CW20" s="19"/>
      <c r="CX20" s="19"/>
      <c r="CY20" s="19"/>
      <c r="CZ20" s="19"/>
      <c r="DA20" s="19"/>
      <c r="DB20" s="19"/>
      <c r="DC20" s="19"/>
      <c r="DD20" s="19"/>
      <c r="DE20" s="19"/>
      <c r="DF20" s="19"/>
      <c r="DG20" s="19"/>
      <c r="DH20" s="19"/>
      <c r="DI20" s="19"/>
      <c r="DJ20" s="19"/>
      <c r="DK20" s="19"/>
      <c r="DL20" s="19"/>
      <c r="DM20" s="19"/>
      <c r="DN20" s="19"/>
      <c r="DO20" s="19"/>
      <c r="DP20" s="19"/>
      <c r="DQ20" s="19"/>
      <c r="DR20" s="19"/>
      <c r="DS20" s="19"/>
      <c r="DT20" s="19"/>
      <c r="DU20" s="19"/>
      <c r="DV20" s="19"/>
      <c r="DW20" s="19"/>
      <c r="DX20" s="19"/>
      <c r="DY20" s="19"/>
      <c r="DZ20" s="19"/>
      <c r="EA20" s="19"/>
      <c r="EB20" s="19"/>
      <c r="EC20" s="19"/>
      <c r="ED20" s="19"/>
      <c r="EE20" s="19"/>
      <c r="EF20" s="19"/>
      <c r="EG20" s="19"/>
      <c r="EH20" s="19"/>
      <c r="EI20" s="19"/>
      <c r="EJ20" s="19"/>
      <c r="EK20" s="19"/>
      <c r="EL20" s="19"/>
      <c r="EM20" s="19"/>
      <c r="EN20" s="19"/>
      <c r="EO20" s="19"/>
      <c r="EP20" s="19"/>
      <c r="EQ20" s="19"/>
      <c r="ER20" s="19"/>
      <c r="ES20" s="19"/>
      <c r="ET20" s="19"/>
      <c r="EU20" s="19"/>
      <c r="EV20" s="19"/>
      <c r="EW20" s="19"/>
      <c r="EX20" s="19"/>
      <c r="EY20" s="19"/>
      <c r="EZ20" s="19"/>
      <c r="FA20" s="19"/>
      <c r="FB20" s="19"/>
      <c r="FC20" s="19"/>
      <c r="FD20" s="19"/>
      <c r="FE20" s="19"/>
      <c r="FF20" s="19"/>
      <c r="FG20" s="19"/>
      <c r="FH20" s="19"/>
      <c r="FI20" s="19"/>
      <c r="FJ20" s="19"/>
      <c r="FK20" s="19"/>
      <c r="FL20" s="19"/>
      <c r="FM20" s="19"/>
      <c r="FN20" s="19"/>
      <c r="FO20" s="19"/>
      <c r="FP20" s="19"/>
      <c r="FQ20" s="19"/>
      <c r="FR20" s="19"/>
      <c r="FS20" s="19"/>
      <c r="FT20" s="19"/>
      <c r="FU20" s="19"/>
      <c r="FV20" s="19"/>
      <c r="FW20" s="19"/>
      <c r="FX20" s="19"/>
      <c r="FY20" s="19"/>
      <c r="FZ20" s="19"/>
      <c r="GA20" s="19"/>
      <c r="GB20" s="19"/>
      <c r="GC20" s="19"/>
      <c r="GD20" s="19"/>
      <c r="GE20" s="19"/>
      <c r="GF20" s="19"/>
      <c r="GG20" s="19"/>
      <c r="GH20" s="19"/>
      <c r="GI20" s="19"/>
      <c r="GJ20" s="19"/>
      <c r="GK20" s="19"/>
      <c r="GL20" s="19"/>
      <c r="GM20" s="19"/>
      <c r="GN20" s="19"/>
      <c r="GO20" s="19"/>
      <c r="GP20" s="19"/>
      <c r="GQ20" s="19"/>
      <c r="GR20" s="19"/>
      <c r="GS20" s="19"/>
      <c r="GT20" s="19"/>
      <c r="GU20" s="19"/>
      <c r="GV20" s="19"/>
      <c r="GW20" s="19"/>
      <c r="GX20" s="19"/>
      <c r="GY20" s="19"/>
      <c r="GZ20" s="19"/>
      <c r="HA20" s="19"/>
      <c r="HB20" s="19"/>
      <c r="HC20" s="19"/>
      <c r="HD20" s="19"/>
      <c r="HE20" s="19"/>
      <c r="HF20" s="19"/>
      <c r="HG20" s="19"/>
      <c r="HH20" s="19"/>
      <c r="HI20" s="19"/>
      <c r="HJ20" s="19"/>
      <c r="HK20" s="19"/>
      <c r="HL20" s="19"/>
      <c r="HM20" s="19"/>
      <c r="HN20" s="19"/>
      <c r="HO20" s="19"/>
      <c r="HP20" s="19"/>
      <c r="HQ20" s="19"/>
      <c r="HR20" s="19"/>
      <c r="HS20" s="19"/>
      <c r="HT20" s="19"/>
      <c r="HU20" s="19"/>
      <c r="HV20" s="19"/>
      <c r="HW20" s="19"/>
      <c r="HX20" s="19"/>
      <c r="HY20" s="19"/>
      <c r="HZ20" s="19"/>
      <c r="IA20" s="19"/>
      <c r="IB20" s="19"/>
      <c r="IC20" s="19"/>
      <c r="ID20" s="19"/>
      <c r="IE20" s="19"/>
      <c r="IF20" s="19"/>
      <c r="IG20" s="19"/>
      <c r="IH20" s="19"/>
      <c r="II20" s="19"/>
      <c r="IJ20" s="19"/>
      <c r="IK20" s="19"/>
      <c r="IL20" s="19"/>
      <c r="IM20" s="19"/>
      <c r="IN20" s="19"/>
      <c r="IO20" s="19"/>
      <c r="IP20" s="19"/>
      <c r="IQ20" s="19"/>
      <c r="IR20" s="19"/>
      <c r="IS20" s="19"/>
      <c r="IT20" s="19"/>
      <c r="IU20" s="19"/>
      <c r="IV20" s="19"/>
      <c r="IW20" s="19"/>
      <c r="IX20" s="19"/>
      <c r="IY20" s="19"/>
      <c r="IZ20" s="19"/>
      <c r="JA20" s="19"/>
      <c r="JB20" s="19"/>
      <c r="JC20" s="19"/>
      <c r="JD20" s="19"/>
      <c r="JE20" s="19"/>
      <c r="JF20" s="19"/>
      <c r="JG20" s="19"/>
      <c r="JH20" s="19"/>
      <c r="JI20" s="19"/>
      <c r="JJ20" s="19"/>
      <c r="JK20" s="19"/>
      <c r="JL20" s="19"/>
      <c r="JM20" s="19"/>
      <c r="JN20" s="19"/>
      <c r="JO20" s="19"/>
      <c r="JP20" s="19"/>
      <c r="JQ20" s="19"/>
      <c r="JR20" s="19"/>
      <c r="JS20" s="19"/>
      <c r="JT20" s="19"/>
      <c r="JU20" s="19"/>
      <c r="JV20" s="19"/>
      <c r="JW20" s="19"/>
      <c r="JX20" s="19"/>
      <c r="JY20" s="19"/>
      <c r="JZ20" s="19"/>
      <c r="KA20" s="19"/>
      <c r="KB20" s="19"/>
      <c r="KC20" s="19"/>
      <c r="KD20" s="19"/>
      <c r="KE20" s="19"/>
      <c r="KF20" s="19"/>
      <c r="KG20" s="19"/>
      <c r="KH20" s="19"/>
      <c r="KI20" s="19"/>
      <c r="KJ20" s="19"/>
      <c r="KK20" s="19"/>
      <c r="KL20" s="19"/>
      <c r="KM20" s="19"/>
      <c r="KN20" s="19"/>
      <c r="KO20" s="19"/>
      <c r="KP20" s="19"/>
      <c r="KQ20" s="19"/>
      <c r="KR20" s="19"/>
      <c r="KS20" s="19"/>
      <c r="KT20" s="19"/>
      <c r="KU20" s="19"/>
      <c r="KV20" s="19"/>
      <c r="KW20" s="19"/>
      <c r="KX20" s="19"/>
      <c r="KY20" s="19"/>
      <c r="KZ20" s="19"/>
      <c r="LA20" s="19"/>
      <c r="LB20" s="19"/>
      <c r="LC20" s="19"/>
      <c r="LD20" s="19"/>
      <c r="LE20" s="19"/>
      <c r="LF20" s="19"/>
      <c r="LG20" s="19"/>
      <c r="LH20" s="19"/>
      <c r="LI20" s="19"/>
      <c r="LJ20" s="19"/>
      <c r="LK20" s="19"/>
      <c r="LL20" s="19"/>
      <c r="LM20" s="19"/>
      <c r="LN20" s="19"/>
      <c r="LO20" s="19"/>
      <c r="LP20" s="19"/>
      <c r="LQ20" s="19"/>
    </row>
    <row r="21" spans="1:329" x14ac:dyDescent="0.15">
      <c r="A21" s="2" t="s">
        <v>79</v>
      </c>
      <c r="B21" s="1" t="s">
        <v>616</v>
      </c>
      <c r="C21" s="1">
        <v>1300</v>
      </c>
      <c r="E21" s="1" t="s">
        <v>620</v>
      </c>
      <c r="F21" s="1">
        <v>50</v>
      </c>
      <c r="G21" s="1">
        <v>1</v>
      </c>
      <c r="H21" s="1" t="s">
        <v>617</v>
      </c>
      <c r="I21" s="1">
        <v>25</v>
      </c>
      <c r="J21" s="1">
        <v>0.5</v>
      </c>
      <c r="K21" s="1" t="s">
        <v>620</v>
      </c>
      <c r="L21" s="1">
        <v>875</v>
      </c>
      <c r="M21" s="1">
        <v>1</v>
      </c>
      <c r="N21" s="1" t="s">
        <v>633</v>
      </c>
      <c r="O21" s="1">
        <v>75</v>
      </c>
      <c r="P21" s="1">
        <v>1</v>
      </c>
      <c r="Q21" s="1" t="s">
        <v>629</v>
      </c>
      <c r="R21" s="1">
        <v>250</v>
      </c>
      <c r="S21" s="1">
        <v>2</v>
      </c>
      <c r="T21" s="1" t="s">
        <v>621</v>
      </c>
      <c r="U21" s="1">
        <v>40</v>
      </c>
      <c r="V21" s="1">
        <v>0.32</v>
      </c>
      <c r="W21" s="1" t="s">
        <v>641</v>
      </c>
      <c r="X21" s="1">
        <v>150</v>
      </c>
      <c r="Y21" s="1">
        <v>1</v>
      </c>
      <c r="Z21" s="1" t="s">
        <v>630</v>
      </c>
      <c r="AA21" s="1">
        <v>150</v>
      </c>
      <c r="AB21" s="1">
        <v>1</v>
      </c>
      <c r="AC21" s="1" t="s">
        <v>622</v>
      </c>
      <c r="AD21" s="1">
        <v>10</v>
      </c>
      <c r="AE21" s="1">
        <v>0.2</v>
      </c>
      <c r="AF21" s="1" t="s">
        <v>528</v>
      </c>
      <c r="AG21" s="1">
        <v>1000</v>
      </c>
      <c r="AH21" s="1">
        <v>2</v>
      </c>
      <c r="HS21" s="1"/>
    </row>
    <row r="22" spans="1:329" x14ac:dyDescent="0.15">
      <c r="A22" s="2" t="s">
        <v>80</v>
      </c>
      <c r="B22" s="1" t="s">
        <v>616</v>
      </c>
      <c r="C22" s="1">
        <v>1300</v>
      </c>
      <c r="E22" s="1" t="s">
        <v>620</v>
      </c>
      <c r="F22" s="1">
        <v>50</v>
      </c>
      <c r="G22" s="1">
        <v>1</v>
      </c>
      <c r="H22" s="1" t="s">
        <v>617</v>
      </c>
      <c r="I22" s="1">
        <v>25</v>
      </c>
      <c r="J22" s="1">
        <v>0.5</v>
      </c>
      <c r="K22" s="1" t="s">
        <v>620</v>
      </c>
      <c r="L22" s="1">
        <v>875</v>
      </c>
      <c r="M22" s="1">
        <v>1</v>
      </c>
      <c r="N22" s="1" t="s">
        <v>633</v>
      </c>
      <c r="O22" s="1">
        <v>75</v>
      </c>
      <c r="P22" s="1">
        <v>1</v>
      </c>
      <c r="Q22" s="1" t="s">
        <v>629</v>
      </c>
      <c r="R22" s="1">
        <v>250</v>
      </c>
      <c r="S22" s="1">
        <v>2</v>
      </c>
      <c r="T22" s="1" t="s">
        <v>621</v>
      </c>
      <c r="U22" s="1">
        <v>40</v>
      </c>
      <c r="V22" s="1">
        <v>0.32</v>
      </c>
      <c r="W22" s="1" t="s">
        <v>641</v>
      </c>
      <c r="X22" s="1">
        <v>150</v>
      </c>
      <c r="Y22" s="1">
        <v>1</v>
      </c>
      <c r="Z22" s="1" t="s">
        <v>630</v>
      </c>
      <c r="AA22" s="1">
        <v>150</v>
      </c>
      <c r="AB22" s="1">
        <v>1</v>
      </c>
      <c r="AC22" s="1" t="s">
        <v>622</v>
      </c>
      <c r="AD22" s="1">
        <v>10</v>
      </c>
      <c r="AE22" s="1">
        <v>0.2</v>
      </c>
      <c r="AF22" s="1" t="s">
        <v>528</v>
      </c>
      <c r="AG22" s="1">
        <v>1000</v>
      </c>
      <c r="AH22" s="1">
        <v>2</v>
      </c>
      <c r="HS22" s="1"/>
    </row>
    <row r="23" spans="1:329" x14ac:dyDescent="0.15">
      <c r="A23" s="2" t="s">
        <v>81</v>
      </c>
      <c r="B23" s="1" t="s">
        <v>616</v>
      </c>
      <c r="C23" s="1">
        <v>1300</v>
      </c>
      <c r="E23" s="1" t="s">
        <v>620</v>
      </c>
      <c r="F23" s="1">
        <v>50</v>
      </c>
      <c r="G23" s="1">
        <v>1</v>
      </c>
      <c r="H23" s="1" t="s">
        <v>617</v>
      </c>
      <c r="I23" s="1">
        <v>25</v>
      </c>
      <c r="J23" s="1">
        <v>0.5</v>
      </c>
      <c r="K23" s="1" t="s">
        <v>620</v>
      </c>
      <c r="L23" s="1">
        <v>875</v>
      </c>
      <c r="M23" s="1">
        <v>1</v>
      </c>
      <c r="N23" s="1" t="s">
        <v>633</v>
      </c>
      <c r="O23" s="1">
        <v>75</v>
      </c>
      <c r="P23" s="1">
        <v>1</v>
      </c>
      <c r="Q23" s="1" t="s">
        <v>629</v>
      </c>
      <c r="R23" s="1">
        <v>250</v>
      </c>
      <c r="S23" s="1">
        <v>2</v>
      </c>
      <c r="T23" s="1" t="s">
        <v>621</v>
      </c>
      <c r="U23" s="1">
        <v>40</v>
      </c>
      <c r="V23" s="1">
        <v>0.32</v>
      </c>
      <c r="W23" s="1" t="s">
        <v>641</v>
      </c>
      <c r="X23" s="1">
        <v>150</v>
      </c>
      <c r="Y23" s="1">
        <v>1</v>
      </c>
      <c r="Z23" s="1" t="s">
        <v>630</v>
      </c>
      <c r="AA23" s="1">
        <v>150</v>
      </c>
      <c r="AB23" s="1">
        <v>1</v>
      </c>
      <c r="AC23" s="1" t="s">
        <v>622</v>
      </c>
      <c r="AD23" s="1">
        <v>10</v>
      </c>
      <c r="AE23" s="1">
        <v>0.2</v>
      </c>
      <c r="AF23" s="1" t="s">
        <v>528</v>
      </c>
      <c r="AG23" s="1">
        <v>1000</v>
      </c>
      <c r="AH23" s="1">
        <v>2</v>
      </c>
      <c r="HS23" s="1"/>
    </row>
    <row r="24" spans="1:329" x14ac:dyDescent="0.15">
      <c r="A24" s="2" t="s">
        <v>90</v>
      </c>
      <c r="B24" s="1" t="s">
        <v>616</v>
      </c>
      <c r="C24" s="1">
        <v>1300</v>
      </c>
      <c r="E24" s="1" t="s">
        <v>620</v>
      </c>
      <c r="F24" s="1">
        <v>50</v>
      </c>
      <c r="G24" s="1">
        <v>1</v>
      </c>
      <c r="H24" s="1" t="s">
        <v>617</v>
      </c>
      <c r="I24" s="1">
        <v>25</v>
      </c>
      <c r="J24" s="1">
        <v>0.5</v>
      </c>
      <c r="K24" s="1" t="s">
        <v>620</v>
      </c>
      <c r="L24" s="1">
        <v>875</v>
      </c>
      <c r="M24" s="1">
        <v>1</v>
      </c>
      <c r="N24" s="1" t="s">
        <v>633</v>
      </c>
      <c r="O24" s="1">
        <v>75</v>
      </c>
      <c r="P24" s="1">
        <v>1</v>
      </c>
      <c r="Q24" s="1" t="s">
        <v>629</v>
      </c>
      <c r="R24" s="1">
        <v>250</v>
      </c>
      <c r="S24" s="1">
        <v>2</v>
      </c>
      <c r="T24" s="1" t="s">
        <v>621</v>
      </c>
      <c r="U24" s="1">
        <v>40</v>
      </c>
      <c r="V24" s="1">
        <v>0.32</v>
      </c>
      <c r="W24" s="1" t="s">
        <v>641</v>
      </c>
      <c r="X24" s="1">
        <v>150</v>
      </c>
      <c r="Y24" s="1">
        <v>1</v>
      </c>
      <c r="Z24" s="1" t="s">
        <v>630</v>
      </c>
      <c r="AA24" s="1">
        <v>150</v>
      </c>
      <c r="AB24" s="1">
        <v>1</v>
      </c>
      <c r="AC24" s="1" t="s">
        <v>622</v>
      </c>
      <c r="AD24" s="1">
        <v>10</v>
      </c>
      <c r="AE24" s="1">
        <v>0.2</v>
      </c>
      <c r="AF24" s="1" t="s">
        <v>528</v>
      </c>
      <c r="AG24" s="1">
        <v>1000</v>
      </c>
      <c r="AH24" s="1">
        <v>2</v>
      </c>
      <c r="HS24" s="1"/>
    </row>
    <row r="25" spans="1:329" x14ac:dyDescent="0.15">
      <c r="A25" s="2" t="s">
        <v>91</v>
      </c>
      <c r="B25" s="1" t="s">
        <v>616</v>
      </c>
      <c r="C25" s="1">
        <v>1300</v>
      </c>
      <c r="E25" s="1" t="s">
        <v>620</v>
      </c>
      <c r="F25" s="1">
        <v>50</v>
      </c>
      <c r="G25" s="1">
        <v>1</v>
      </c>
      <c r="H25" s="1" t="s">
        <v>617</v>
      </c>
      <c r="I25" s="1">
        <v>25</v>
      </c>
      <c r="J25" s="1">
        <v>0.5</v>
      </c>
      <c r="K25" s="1" t="s">
        <v>620</v>
      </c>
      <c r="L25" s="1">
        <v>875</v>
      </c>
      <c r="M25" s="1">
        <v>1</v>
      </c>
      <c r="N25" s="1" t="s">
        <v>633</v>
      </c>
      <c r="O25" s="1">
        <v>75</v>
      </c>
      <c r="P25" s="1">
        <v>1</v>
      </c>
      <c r="Q25" s="1" t="s">
        <v>629</v>
      </c>
      <c r="R25" s="1">
        <v>250</v>
      </c>
      <c r="S25" s="1">
        <v>2</v>
      </c>
      <c r="T25" s="1" t="s">
        <v>621</v>
      </c>
      <c r="U25" s="1">
        <v>40</v>
      </c>
      <c r="V25" s="1">
        <v>0.32</v>
      </c>
      <c r="W25" s="1" t="s">
        <v>641</v>
      </c>
      <c r="X25" s="1">
        <v>150</v>
      </c>
      <c r="Y25" s="1">
        <v>1</v>
      </c>
      <c r="Z25" s="1" t="s">
        <v>630</v>
      </c>
      <c r="AA25" s="1">
        <v>150</v>
      </c>
      <c r="AB25" s="1">
        <v>1</v>
      </c>
      <c r="AC25" s="1" t="s">
        <v>622</v>
      </c>
      <c r="AD25" s="1">
        <v>10</v>
      </c>
      <c r="AE25" s="1">
        <v>0.2</v>
      </c>
      <c r="AF25" s="1" t="s">
        <v>528</v>
      </c>
      <c r="AG25" s="1">
        <v>1000</v>
      </c>
      <c r="AH25" s="1">
        <v>2</v>
      </c>
      <c r="HS25" s="1"/>
    </row>
    <row r="26" spans="1:329" x14ac:dyDescent="0.15">
      <c r="A26" s="2" t="s">
        <v>102</v>
      </c>
      <c r="HS26" s="1"/>
    </row>
    <row r="27" spans="1:329" s="20" customFormat="1" x14ac:dyDescent="0.15">
      <c r="A27" s="18" t="s">
        <v>82</v>
      </c>
      <c r="B27" s="19" t="s">
        <v>616</v>
      </c>
      <c r="C27" s="19">
        <v>1300</v>
      </c>
      <c r="D27" s="19"/>
      <c r="E27" s="19" t="s">
        <v>620</v>
      </c>
      <c r="F27" s="19">
        <v>50</v>
      </c>
      <c r="G27" s="19">
        <v>1</v>
      </c>
      <c r="H27" s="19" t="s">
        <v>617</v>
      </c>
      <c r="I27" s="19">
        <v>25</v>
      </c>
      <c r="J27" s="19">
        <v>0.5</v>
      </c>
      <c r="K27" s="19" t="s">
        <v>620</v>
      </c>
      <c r="L27" s="19">
        <v>875</v>
      </c>
      <c r="M27" s="19">
        <v>1</v>
      </c>
      <c r="N27" s="19" t="s">
        <v>633</v>
      </c>
      <c r="O27" s="19">
        <v>75</v>
      </c>
      <c r="P27" s="19">
        <v>1</v>
      </c>
      <c r="Q27" s="19" t="s">
        <v>629</v>
      </c>
      <c r="R27" s="19">
        <v>250</v>
      </c>
      <c r="S27" s="19">
        <v>2</v>
      </c>
      <c r="T27" s="19" t="s">
        <v>621</v>
      </c>
      <c r="U27" s="19">
        <v>40</v>
      </c>
      <c r="V27" s="19">
        <v>0.32</v>
      </c>
      <c r="W27" s="19" t="s">
        <v>641</v>
      </c>
      <c r="X27" s="19">
        <v>150</v>
      </c>
      <c r="Y27" s="19">
        <v>1</v>
      </c>
      <c r="Z27" s="19" t="s">
        <v>630</v>
      </c>
      <c r="AA27" s="19">
        <v>150</v>
      </c>
      <c r="AB27" s="19">
        <v>1</v>
      </c>
      <c r="AC27" s="19" t="s">
        <v>622</v>
      </c>
      <c r="AD27" s="19">
        <v>10</v>
      </c>
      <c r="AE27" s="19">
        <v>0.2</v>
      </c>
      <c r="AF27" s="19" t="s">
        <v>528</v>
      </c>
      <c r="AG27" s="19">
        <v>1000</v>
      </c>
      <c r="AH27" s="19">
        <v>2</v>
      </c>
      <c r="AI27" s="19"/>
      <c r="AJ27" s="19"/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19"/>
      <c r="BH27" s="19"/>
      <c r="BI27" s="19"/>
      <c r="BJ27" s="19"/>
      <c r="BK27" s="19"/>
      <c r="BL27" s="19"/>
      <c r="BM27" s="19"/>
      <c r="BN27" s="19"/>
      <c r="BO27" s="19"/>
      <c r="BP27" s="19"/>
      <c r="BQ27" s="19"/>
      <c r="BR27" s="19"/>
      <c r="BS27" s="19"/>
      <c r="BT27" s="19"/>
      <c r="BU27" s="19"/>
      <c r="BV27" s="19"/>
      <c r="BW27" s="19"/>
      <c r="BX27" s="19"/>
      <c r="BY27" s="19"/>
      <c r="BZ27" s="19"/>
      <c r="CA27" s="19"/>
      <c r="CB27" s="19"/>
      <c r="CC27" s="19"/>
      <c r="CD27" s="19"/>
      <c r="CE27" s="19"/>
      <c r="CF27" s="19"/>
      <c r="CG27" s="19"/>
      <c r="CH27" s="19"/>
      <c r="CI27" s="19"/>
      <c r="CJ27" s="19"/>
      <c r="CK27" s="19"/>
      <c r="CL27" s="19"/>
      <c r="CM27" s="19"/>
      <c r="CN27" s="19"/>
      <c r="CO27" s="19"/>
      <c r="CP27" s="19"/>
      <c r="CQ27" s="19"/>
      <c r="CR27" s="19"/>
      <c r="CS27" s="19"/>
      <c r="CT27" s="19"/>
      <c r="CU27" s="19"/>
      <c r="CV27" s="19"/>
      <c r="CW27" s="19"/>
      <c r="CX27" s="19"/>
      <c r="CY27" s="19"/>
      <c r="CZ27" s="19"/>
      <c r="DA27" s="19"/>
      <c r="DB27" s="19"/>
      <c r="DC27" s="19"/>
      <c r="DD27" s="19"/>
      <c r="DE27" s="19"/>
      <c r="DF27" s="19"/>
      <c r="DG27" s="19"/>
      <c r="DH27" s="19"/>
      <c r="DI27" s="19"/>
      <c r="DJ27" s="19"/>
      <c r="DK27" s="19"/>
      <c r="DL27" s="19"/>
      <c r="DM27" s="19"/>
      <c r="DN27" s="19"/>
      <c r="DO27" s="19"/>
      <c r="DP27" s="19"/>
      <c r="DQ27" s="19"/>
      <c r="DR27" s="19"/>
      <c r="DS27" s="19"/>
      <c r="DT27" s="19"/>
      <c r="DU27" s="19"/>
      <c r="DV27" s="19"/>
      <c r="DW27" s="19"/>
      <c r="DX27" s="19"/>
      <c r="DY27" s="19"/>
      <c r="DZ27" s="19"/>
      <c r="EA27" s="19"/>
      <c r="EB27" s="19"/>
      <c r="EC27" s="19"/>
      <c r="ED27" s="19"/>
      <c r="EE27" s="19"/>
      <c r="EF27" s="19"/>
      <c r="EG27" s="19"/>
      <c r="EH27" s="19"/>
      <c r="EI27" s="19"/>
      <c r="EJ27" s="19"/>
      <c r="EK27" s="19"/>
      <c r="EL27" s="19"/>
      <c r="EM27" s="19"/>
      <c r="EN27" s="19"/>
      <c r="EO27" s="19"/>
      <c r="EP27" s="19"/>
      <c r="EQ27" s="19"/>
      <c r="ER27" s="19"/>
      <c r="ES27" s="19"/>
      <c r="ET27" s="19"/>
      <c r="EU27" s="19"/>
      <c r="EV27" s="19"/>
      <c r="EW27" s="19"/>
      <c r="EX27" s="19"/>
      <c r="EY27" s="19"/>
      <c r="EZ27" s="19"/>
      <c r="FA27" s="19"/>
      <c r="FB27" s="19"/>
      <c r="FC27" s="19"/>
      <c r="FD27" s="19"/>
      <c r="FE27" s="19"/>
      <c r="FF27" s="19"/>
      <c r="FG27" s="19"/>
      <c r="FH27" s="19"/>
      <c r="FI27" s="19"/>
      <c r="FJ27" s="19"/>
      <c r="FK27" s="19"/>
      <c r="FL27" s="19"/>
      <c r="FM27" s="19"/>
      <c r="FN27" s="19"/>
      <c r="FO27" s="19"/>
      <c r="FP27" s="19"/>
      <c r="FQ27" s="19"/>
      <c r="FR27" s="19"/>
      <c r="FS27" s="19"/>
      <c r="FT27" s="19"/>
      <c r="FU27" s="19"/>
      <c r="FV27" s="19"/>
      <c r="FW27" s="19"/>
      <c r="FX27" s="19"/>
      <c r="FY27" s="19"/>
      <c r="FZ27" s="19"/>
      <c r="GA27" s="19"/>
      <c r="GB27" s="19"/>
      <c r="GC27" s="19"/>
      <c r="GD27" s="19"/>
      <c r="GE27" s="19"/>
      <c r="GF27" s="19"/>
      <c r="GG27" s="19"/>
      <c r="GH27" s="19"/>
      <c r="GI27" s="19"/>
      <c r="GJ27" s="19"/>
      <c r="GK27" s="19"/>
      <c r="GL27" s="19"/>
      <c r="GM27" s="19"/>
      <c r="GN27" s="19"/>
      <c r="GO27" s="19"/>
      <c r="GP27" s="19"/>
      <c r="GQ27" s="19"/>
      <c r="GR27" s="19"/>
      <c r="GS27" s="19"/>
      <c r="GT27" s="19"/>
      <c r="GU27" s="19"/>
      <c r="GV27" s="19"/>
      <c r="GW27" s="19"/>
      <c r="GX27" s="19"/>
      <c r="GY27" s="19"/>
      <c r="GZ27" s="19"/>
      <c r="HA27" s="19"/>
      <c r="HB27" s="19"/>
      <c r="HC27" s="19"/>
      <c r="HD27" s="19"/>
      <c r="HE27" s="19"/>
      <c r="HF27" s="19"/>
      <c r="HG27" s="19"/>
      <c r="HH27" s="19"/>
      <c r="HI27" s="19"/>
      <c r="HJ27" s="19"/>
      <c r="HK27" s="19"/>
      <c r="HL27" s="19"/>
      <c r="HM27" s="19"/>
      <c r="HN27" s="19"/>
      <c r="HO27" s="19"/>
      <c r="HP27" s="19"/>
      <c r="HQ27" s="19"/>
      <c r="HR27" s="19"/>
      <c r="HS27" s="19"/>
      <c r="HT27" s="19"/>
      <c r="HU27" s="19"/>
      <c r="HV27" s="19"/>
      <c r="HW27" s="19"/>
      <c r="HX27" s="19"/>
      <c r="HY27" s="19"/>
      <c r="HZ27" s="19"/>
      <c r="IA27" s="19"/>
      <c r="IB27" s="19"/>
      <c r="IC27" s="19"/>
      <c r="ID27" s="19"/>
      <c r="IE27" s="19"/>
      <c r="IF27" s="19"/>
      <c r="IG27" s="19"/>
      <c r="IH27" s="19"/>
      <c r="II27" s="19"/>
      <c r="IJ27" s="19"/>
      <c r="IK27" s="19"/>
      <c r="IL27" s="19"/>
      <c r="IM27" s="19"/>
      <c r="IN27" s="19"/>
      <c r="IO27" s="19"/>
      <c r="IP27" s="19"/>
      <c r="IQ27" s="19"/>
      <c r="IR27" s="19"/>
      <c r="IS27" s="19"/>
      <c r="IT27" s="19"/>
      <c r="IU27" s="19"/>
      <c r="IV27" s="19"/>
      <c r="IW27" s="19"/>
      <c r="IX27" s="19"/>
      <c r="IY27" s="19"/>
      <c r="IZ27" s="19"/>
      <c r="JA27" s="19"/>
      <c r="JB27" s="19"/>
      <c r="JC27" s="19"/>
      <c r="JD27" s="19"/>
      <c r="JE27" s="19"/>
      <c r="JF27" s="19"/>
      <c r="JG27" s="19"/>
      <c r="JH27" s="19"/>
      <c r="JI27" s="19"/>
      <c r="JJ27" s="19"/>
      <c r="JK27" s="19"/>
      <c r="JL27" s="19"/>
      <c r="JM27" s="19"/>
      <c r="JN27" s="19"/>
      <c r="JO27" s="19"/>
      <c r="JP27" s="19"/>
      <c r="JQ27" s="19"/>
      <c r="JR27" s="19"/>
      <c r="JS27" s="19"/>
      <c r="JT27" s="19"/>
      <c r="JU27" s="19"/>
      <c r="JV27" s="19"/>
      <c r="JW27" s="19"/>
      <c r="JX27" s="19"/>
      <c r="JY27" s="19"/>
      <c r="JZ27" s="19"/>
      <c r="KA27" s="19"/>
      <c r="KB27" s="19"/>
      <c r="KC27" s="19"/>
      <c r="KD27" s="19"/>
      <c r="KE27" s="19"/>
      <c r="KF27" s="19"/>
      <c r="KG27" s="19"/>
      <c r="KH27" s="19"/>
      <c r="KI27" s="19"/>
      <c r="KJ27" s="19"/>
      <c r="KK27" s="19"/>
      <c r="KL27" s="19"/>
      <c r="KM27" s="19"/>
      <c r="KN27" s="19"/>
      <c r="KO27" s="19"/>
      <c r="KP27" s="19"/>
      <c r="KQ27" s="19"/>
      <c r="KR27" s="19"/>
      <c r="KS27" s="19"/>
      <c r="KT27" s="19"/>
      <c r="KU27" s="19"/>
      <c r="KV27" s="19"/>
      <c r="KW27" s="19"/>
      <c r="KX27" s="19"/>
      <c r="KY27" s="19"/>
      <c r="KZ27" s="19"/>
      <c r="LA27" s="19"/>
      <c r="LB27" s="19"/>
      <c r="LC27" s="19"/>
      <c r="LD27" s="19"/>
      <c r="LE27" s="19"/>
      <c r="LF27" s="19"/>
      <c r="LG27" s="19"/>
      <c r="LH27" s="19"/>
      <c r="LI27" s="19"/>
      <c r="LJ27" s="19"/>
      <c r="LK27" s="19"/>
      <c r="LL27" s="19"/>
      <c r="LM27" s="19"/>
      <c r="LN27" s="19"/>
      <c r="LO27" s="19"/>
      <c r="LP27" s="19"/>
      <c r="LQ27" s="19"/>
    </row>
    <row r="28" spans="1:329" s="20" customFormat="1" x14ac:dyDescent="0.15">
      <c r="A28" s="18" t="s">
        <v>83</v>
      </c>
      <c r="B28" s="19" t="s">
        <v>616</v>
      </c>
      <c r="C28" s="19">
        <v>1300</v>
      </c>
      <c r="D28" s="19"/>
      <c r="E28" s="19" t="s">
        <v>620</v>
      </c>
      <c r="F28" s="19">
        <v>50</v>
      </c>
      <c r="G28" s="19">
        <v>1</v>
      </c>
      <c r="H28" s="19" t="s">
        <v>617</v>
      </c>
      <c r="I28" s="19">
        <v>25</v>
      </c>
      <c r="J28" s="19">
        <v>0.5</v>
      </c>
      <c r="K28" s="19" t="s">
        <v>620</v>
      </c>
      <c r="L28" s="19">
        <v>875</v>
      </c>
      <c r="M28" s="19">
        <v>1</v>
      </c>
      <c r="N28" s="19" t="s">
        <v>633</v>
      </c>
      <c r="O28" s="19">
        <v>75</v>
      </c>
      <c r="P28" s="19">
        <v>1</v>
      </c>
      <c r="Q28" s="19" t="s">
        <v>629</v>
      </c>
      <c r="R28" s="19">
        <v>250</v>
      </c>
      <c r="S28" s="19">
        <v>2</v>
      </c>
      <c r="T28" s="19" t="s">
        <v>621</v>
      </c>
      <c r="U28" s="19">
        <v>40</v>
      </c>
      <c r="V28" s="19">
        <v>0.32</v>
      </c>
      <c r="W28" s="19" t="s">
        <v>641</v>
      </c>
      <c r="X28" s="19">
        <v>150</v>
      </c>
      <c r="Y28" s="19">
        <v>1</v>
      </c>
      <c r="Z28" s="19" t="s">
        <v>630</v>
      </c>
      <c r="AA28" s="19">
        <v>150</v>
      </c>
      <c r="AB28" s="19">
        <v>1</v>
      </c>
      <c r="AC28" s="19" t="s">
        <v>622</v>
      </c>
      <c r="AD28" s="19">
        <v>10</v>
      </c>
      <c r="AE28" s="19">
        <v>0.2</v>
      </c>
      <c r="AF28" s="19" t="s">
        <v>528</v>
      </c>
      <c r="AG28" s="19">
        <v>1000</v>
      </c>
      <c r="AH28" s="19">
        <v>2</v>
      </c>
      <c r="AI28" s="19"/>
      <c r="AJ28" s="19"/>
      <c r="AK28" s="19"/>
      <c r="AL28" s="19"/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  <c r="BG28" s="19"/>
      <c r="BH28" s="19"/>
      <c r="BI28" s="19"/>
      <c r="BJ28" s="19"/>
      <c r="BK28" s="19"/>
      <c r="BL28" s="19"/>
      <c r="BM28" s="19"/>
      <c r="BN28" s="19"/>
      <c r="BO28" s="19"/>
      <c r="BP28" s="19"/>
      <c r="BQ28" s="19"/>
      <c r="BR28" s="19"/>
      <c r="BS28" s="19"/>
      <c r="BT28" s="19"/>
      <c r="BU28" s="19"/>
      <c r="BV28" s="19"/>
      <c r="BW28" s="19"/>
      <c r="BX28" s="19"/>
      <c r="BY28" s="19"/>
      <c r="BZ28" s="19"/>
      <c r="CA28" s="19"/>
      <c r="CB28" s="19"/>
      <c r="CC28" s="19"/>
      <c r="CD28" s="19"/>
      <c r="CE28" s="19"/>
      <c r="CF28" s="19"/>
      <c r="CG28" s="19"/>
      <c r="CH28" s="19"/>
      <c r="CI28" s="19"/>
      <c r="CJ28" s="19"/>
      <c r="CK28" s="19"/>
      <c r="CL28" s="19"/>
      <c r="CM28" s="19"/>
      <c r="CN28" s="19"/>
      <c r="CO28" s="19"/>
      <c r="CP28" s="19"/>
      <c r="CQ28" s="19"/>
      <c r="CR28" s="19"/>
      <c r="CS28" s="19"/>
      <c r="CT28" s="19"/>
      <c r="CU28" s="19"/>
      <c r="CV28" s="19"/>
      <c r="CW28" s="19"/>
      <c r="CX28" s="19"/>
      <c r="CY28" s="19"/>
      <c r="CZ28" s="19"/>
      <c r="DA28" s="19"/>
      <c r="DB28" s="19"/>
      <c r="DC28" s="19"/>
      <c r="DD28" s="19"/>
      <c r="DE28" s="19"/>
      <c r="DF28" s="19"/>
      <c r="DG28" s="19"/>
      <c r="DH28" s="19"/>
      <c r="DI28" s="19"/>
      <c r="DJ28" s="19"/>
      <c r="DK28" s="19"/>
      <c r="DL28" s="19"/>
      <c r="DM28" s="19"/>
      <c r="DN28" s="19"/>
      <c r="DO28" s="19"/>
      <c r="DP28" s="19"/>
      <c r="DQ28" s="19"/>
      <c r="DR28" s="19"/>
      <c r="DS28" s="19"/>
      <c r="DT28" s="19"/>
      <c r="DU28" s="19"/>
      <c r="DV28" s="19"/>
      <c r="DW28" s="19"/>
      <c r="DX28" s="19"/>
      <c r="DY28" s="19"/>
      <c r="DZ28" s="19"/>
      <c r="EA28" s="19"/>
      <c r="EB28" s="19"/>
      <c r="EC28" s="19"/>
      <c r="ED28" s="19"/>
      <c r="EE28" s="19"/>
      <c r="EF28" s="19"/>
      <c r="EG28" s="19"/>
      <c r="EH28" s="19"/>
      <c r="EI28" s="19"/>
      <c r="EJ28" s="19"/>
      <c r="EK28" s="19"/>
      <c r="EL28" s="19"/>
      <c r="EM28" s="19"/>
      <c r="EN28" s="19"/>
      <c r="EO28" s="19"/>
      <c r="EP28" s="19"/>
      <c r="EQ28" s="19"/>
      <c r="ER28" s="19"/>
      <c r="ES28" s="19"/>
      <c r="ET28" s="19"/>
      <c r="EU28" s="19"/>
      <c r="EV28" s="19"/>
      <c r="EW28" s="19"/>
      <c r="EX28" s="19"/>
      <c r="EY28" s="19"/>
      <c r="EZ28" s="19"/>
      <c r="FA28" s="19"/>
      <c r="FB28" s="19"/>
      <c r="FC28" s="19"/>
      <c r="FD28" s="19"/>
      <c r="FE28" s="19"/>
      <c r="FF28" s="19"/>
      <c r="FG28" s="19"/>
      <c r="FH28" s="19"/>
      <c r="FI28" s="19"/>
      <c r="FJ28" s="19"/>
      <c r="FK28" s="19"/>
      <c r="FL28" s="19"/>
      <c r="FM28" s="19"/>
      <c r="FN28" s="19"/>
      <c r="FO28" s="19"/>
      <c r="FP28" s="19"/>
      <c r="FQ28" s="19"/>
      <c r="FR28" s="19"/>
      <c r="FS28" s="19"/>
      <c r="FT28" s="19"/>
      <c r="FU28" s="19"/>
      <c r="FV28" s="19"/>
      <c r="FW28" s="19"/>
      <c r="FX28" s="19"/>
      <c r="FY28" s="19"/>
      <c r="FZ28" s="19"/>
      <c r="GA28" s="19"/>
      <c r="GB28" s="19"/>
      <c r="GC28" s="19"/>
      <c r="GD28" s="19"/>
      <c r="GE28" s="19"/>
      <c r="GF28" s="19"/>
      <c r="GG28" s="19"/>
      <c r="GH28" s="19"/>
      <c r="GI28" s="19"/>
      <c r="GJ28" s="19"/>
      <c r="GK28" s="19"/>
      <c r="GL28" s="19"/>
      <c r="GM28" s="19"/>
      <c r="GN28" s="19"/>
      <c r="GO28" s="19"/>
      <c r="GP28" s="19"/>
      <c r="GQ28" s="19"/>
      <c r="GR28" s="19"/>
      <c r="GS28" s="19"/>
      <c r="GT28" s="19"/>
      <c r="GU28" s="19"/>
      <c r="GV28" s="19"/>
      <c r="GW28" s="19"/>
      <c r="GX28" s="19"/>
      <c r="GY28" s="19"/>
      <c r="GZ28" s="19"/>
      <c r="HA28" s="19"/>
      <c r="HB28" s="19"/>
      <c r="HC28" s="19"/>
      <c r="HD28" s="19"/>
      <c r="HE28" s="19"/>
      <c r="HF28" s="19"/>
      <c r="HG28" s="19"/>
      <c r="HH28" s="19"/>
      <c r="HI28" s="19"/>
      <c r="HJ28" s="19"/>
      <c r="HK28" s="19"/>
      <c r="HL28" s="19"/>
      <c r="HM28" s="19"/>
      <c r="HN28" s="19"/>
      <c r="HO28" s="19"/>
      <c r="HP28" s="19"/>
      <c r="HQ28" s="19"/>
      <c r="HR28" s="19"/>
      <c r="HS28" s="19"/>
      <c r="HT28" s="19"/>
      <c r="HU28" s="19"/>
      <c r="HV28" s="19"/>
      <c r="HW28" s="19"/>
      <c r="HX28" s="19"/>
      <c r="HY28" s="19"/>
      <c r="HZ28" s="19"/>
      <c r="IA28" s="19"/>
      <c r="IB28" s="19"/>
      <c r="IC28" s="19"/>
      <c r="ID28" s="19"/>
      <c r="IE28" s="19"/>
      <c r="IF28" s="19"/>
      <c r="IG28" s="19"/>
      <c r="IH28" s="19"/>
      <c r="II28" s="19"/>
      <c r="IJ28" s="19"/>
      <c r="IK28" s="19"/>
      <c r="IL28" s="19"/>
      <c r="IM28" s="19"/>
      <c r="IN28" s="19"/>
      <c r="IO28" s="19"/>
      <c r="IP28" s="19"/>
      <c r="IQ28" s="19"/>
      <c r="IR28" s="19"/>
      <c r="IS28" s="19"/>
      <c r="IT28" s="19"/>
      <c r="IU28" s="19"/>
      <c r="IV28" s="19"/>
      <c r="IW28" s="19"/>
      <c r="IX28" s="19"/>
      <c r="IY28" s="19"/>
      <c r="IZ28" s="19"/>
      <c r="JA28" s="19"/>
      <c r="JB28" s="19"/>
      <c r="JC28" s="19"/>
      <c r="JD28" s="19"/>
      <c r="JE28" s="19"/>
      <c r="JF28" s="19"/>
      <c r="JG28" s="19"/>
      <c r="JH28" s="19"/>
      <c r="JI28" s="19"/>
      <c r="JJ28" s="19"/>
      <c r="JK28" s="19"/>
      <c r="JL28" s="19"/>
      <c r="JM28" s="19"/>
      <c r="JN28" s="19"/>
      <c r="JO28" s="19"/>
      <c r="JP28" s="19"/>
      <c r="JQ28" s="19"/>
      <c r="JR28" s="19"/>
      <c r="JS28" s="19"/>
      <c r="JT28" s="19"/>
      <c r="JU28" s="19"/>
      <c r="JV28" s="19"/>
      <c r="JW28" s="19"/>
      <c r="JX28" s="19"/>
      <c r="JY28" s="19"/>
      <c r="JZ28" s="19"/>
      <c r="KA28" s="19"/>
      <c r="KB28" s="19"/>
      <c r="KC28" s="19"/>
      <c r="KD28" s="19"/>
      <c r="KE28" s="19"/>
      <c r="KF28" s="19"/>
      <c r="KG28" s="19"/>
      <c r="KH28" s="19"/>
      <c r="KI28" s="19"/>
      <c r="KJ28" s="19"/>
      <c r="KK28" s="19"/>
      <c r="KL28" s="19"/>
      <c r="KM28" s="19"/>
      <c r="KN28" s="19"/>
      <c r="KO28" s="19"/>
      <c r="KP28" s="19"/>
      <c r="KQ28" s="19"/>
      <c r="KR28" s="19"/>
      <c r="KS28" s="19"/>
      <c r="KT28" s="19"/>
      <c r="KU28" s="19"/>
      <c r="KV28" s="19"/>
      <c r="KW28" s="19"/>
      <c r="KX28" s="19"/>
      <c r="KY28" s="19"/>
      <c r="KZ28" s="19"/>
      <c r="LA28" s="19"/>
      <c r="LB28" s="19"/>
      <c r="LC28" s="19"/>
      <c r="LD28" s="19"/>
      <c r="LE28" s="19"/>
      <c r="LF28" s="19"/>
      <c r="LG28" s="19"/>
      <c r="LH28" s="19"/>
      <c r="LI28" s="19"/>
      <c r="LJ28" s="19"/>
      <c r="LK28" s="19"/>
      <c r="LL28" s="19"/>
      <c r="LM28" s="19"/>
      <c r="LN28" s="19"/>
      <c r="LO28" s="19"/>
      <c r="LP28" s="19"/>
      <c r="LQ28" s="19"/>
    </row>
    <row r="29" spans="1:329" s="20" customFormat="1" x14ac:dyDescent="0.15">
      <c r="A29" s="18" t="s">
        <v>92</v>
      </c>
      <c r="B29" s="19" t="s">
        <v>616</v>
      </c>
      <c r="C29" s="19">
        <v>1300</v>
      </c>
      <c r="D29" s="19"/>
      <c r="E29" s="19" t="s">
        <v>620</v>
      </c>
      <c r="F29" s="19">
        <v>50</v>
      </c>
      <c r="G29" s="19">
        <v>1</v>
      </c>
      <c r="H29" s="19" t="s">
        <v>617</v>
      </c>
      <c r="I29" s="19">
        <v>25</v>
      </c>
      <c r="J29" s="19">
        <v>0.5</v>
      </c>
      <c r="K29" s="19" t="s">
        <v>620</v>
      </c>
      <c r="L29" s="19">
        <v>875</v>
      </c>
      <c r="M29" s="19">
        <v>1</v>
      </c>
      <c r="N29" s="19" t="s">
        <v>633</v>
      </c>
      <c r="O29" s="19">
        <v>75</v>
      </c>
      <c r="P29" s="19">
        <v>1</v>
      </c>
      <c r="Q29" s="19" t="s">
        <v>629</v>
      </c>
      <c r="R29" s="19">
        <v>250</v>
      </c>
      <c r="S29" s="19">
        <v>2</v>
      </c>
      <c r="T29" s="19" t="s">
        <v>621</v>
      </c>
      <c r="U29" s="19">
        <v>40</v>
      </c>
      <c r="V29" s="19">
        <v>0.32</v>
      </c>
      <c r="W29" s="19" t="s">
        <v>641</v>
      </c>
      <c r="X29" s="19">
        <v>150</v>
      </c>
      <c r="Y29" s="19">
        <v>1</v>
      </c>
      <c r="Z29" s="19" t="s">
        <v>630</v>
      </c>
      <c r="AA29" s="19">
        <v>150</v>
      </c>
      <c r="AB29" s="19">
        <v>1</v>
      </c>
      <c r="AC29" s="19" t="s">
        <v>622</v>
      </c>
      <c r="AD29" s="19">
        <v>10</v>
      </c>
      <c r="AE29" s="19">
        <v>0.2</v>
      </c>
      <c r="AF29" s="19" t="s">
        <v>528</v>
      </c>
      <c r="AG29" s="19">
        <v>1000</v>
      </c>
      <c r="AH29" s="19">
        <v>2</v>
      </c>
      <c r="AI29" s="19"/>
      <c r="AJ29" s="19"/>
      <c r="AK29" s="19"/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  <c r="BA29" s="19"/>
      <c r="BB29" s="19"/>
      <c r="BC29" s="19"/>
      <c r="BD29" s="19"/>
      <c r="BE29" s="19"/>
      <c r="BF29" s="19"/>
      <c r="BG29" s="19"/>
      <c r="BH29" s="19"/>
      <c r="BI29" s="19"/>
      <c r="BJ29" s="19"/>
      <c r="BK29" s="19"/>
      <c r="BL29" s="19"/>
      <c r="BM29" s="19"/>
      <c r="BN29" s="19"/>
      <c r="BO29" s="19"/>
      <c r="BP29" s="19"/>
      <c r="BQ29" s="19"/>
      <c r="BR29" s="19"/>
      <c r="BS29" s="19"/>
      <c r="BT29" s="19"/>
      <c r="BU29" s="19"/>
      <c r="BV29" s="19"/>
      <c r="BW29" s="19"/>
      <c r="BX29" s="19"/>
      <c r="BY29" s="19"/>
      <c r="BZ29" s="19"/>
      <c r="CA29" s="19"/>
      <c r="CB29" s="19"/>
      <c r="CC29" s="19"/>
      <c r="CD29" s="19"/>
      <c r="CE29" s="19"/>
      <c r="CF29" s="19"/>
      <c r="CG29" s="19"/>
      <c r="CH29" s="19"/>
      <c r="CI29" s="19"/>
      <c r="CJ29" s="19"/>
      <c r="CK29" s="19"/>
      <c r="CL29" s="19"/>
      <c r="CM29" s="19"/>
      <c r="CN29" s="19"/>
      <c r="CO29" s="19"/>
      <c r="CP29" s="19"/>
      <c r="CQ29" s="19"/>
      <c r="CR29" s="19"/>
      <c r="CS29" s="19"/>
      <c r="CT29" s="19"/>
      <c r="CU29" s="19"/>
      <c r="CV29" s="19"/>
      <c r="CW29" s="19"/>
      <c r="CX29" s="19"/>
      <c r="CY29" s="19"/>
      <c r="CZ29" s="19"/>
      <c r="DA29" s="19"/>
      <c r="DB29" s="19"/>
      <c r="DC29" s="19"/>
      <c r="DD29" s="19"/>
      <c r="DE29" s="19"/>
      <c r="DF29" s="19"/>
      <c r="DG29" s="19"/>
      <c r="DH29" s="19"/>
      <c r="DI29" s="19"/>
      <c r="DJ29" s="19"/>
      <c r="DK29" s="19"/>
      <c r="DL29" s="19"/>
      <c r="DM29" s="19"/>
      <c r="DN29" s="19"/>
      <c r="DO29" s="19"/>
      <c r="DP29" s="19"/>
      <c r="DQ29" s="19"/>
      <c r="DR29" s="19"/>
      <c r="DS29" s="19"/>
      <c r="DT29" s="19"/>
      <c r="DU29" s="19"/>
      <c r="DV29" s="19"/>
      <c r="DW29" s="19"/>
      <c r="DX29" s="19"/>
      <c r="DY29" s="19"/>
      <c r="DZ29" s="19"/>
      <c r="EA29" s="19"/>
      <c r="EB29" s="19"/>
      <c r="EC29" s="19"/>
      <c r="ED29" s="19"/>
      <c r="EE29" s="19"/>
      <c r="EF29" s="19"/>
      <c r="EG29" s="19"/>
      <c r="EH29" s="19"/>
      <c r="EI29" s="19"/>
      <c r="EJ29" s="19"/>
      <c r="EK29" s="19"/>
      <c r="EL29" s="19"/>
      <c r="EM29" s="19"/>
      <c r="EN29" s="19"/>
      <c r="EO29" s="19"/>
      <c r="EP29" s="19"/>
      <c r="EQ29" s="19"/>
      <c r="ER29" s="19"/>
      <c r="ES29" s="19"/>
      <c r="ET29" s="19"/>
      <c r="EU29" s="19"/>
      <c r="EV29" s="19"/>
      <c r="EW29" s="19"/>
      <c r="EX29" s="19"/>
      <c r="EY29" s="19"/>
      <c r="EZ29" s="19"/>
      <c r="FA29" s="19"/>
      <c r="FB29" s="19"/>
      <c r="FC29" s="19"/>
      <c r="FD29" s="19"/>
      <c r="FE29" s="19"/>
      <c r="FF29" s="19"/>
      <c r="FG29" s="19"/>
      <c r="FH29" s="19"/>
      <c r="FI29" s="19"/>
      <c r="FJ29" s="19"/>
      <c r="FK29" s="19"/>
      <c r="FL29" s="19"/>
      <c r="FM29" s="19"/>
      <c r="FN29" s="19"/>
      <c r="FO29" s="19"/>
      <c r="FP29" s="19"/>
      <c r="FQ29" s="19"/>
      <c r="FR29" s="19"/>
      <c r="FS29" s="19"/>
      <c r="FT29" s="19"/>
      <c r="FU29" s="19"/>
      <c r="FV29" s="19"/>
      <c r="FW29" s="19"/>
      <c r="FX29" s="19"/>
      <c r="FY29" s="19"/>
      <c r="FZ29" s="19"/>
      <c r="GA29" s="19"/>
      <c r="GB29" s="19"/>
      <c r="GC29" s="19"/>
      <c r="GD29" s="19"/>
      <c r="GE29" s="19"/>
      <c r="GF29" s="19"/>
      <c r="GG29" s="19"/>
      <c r="GH29" s="19"/>
      <c r="GI29" s="19"/>
      <c r="GJ29" s="19"/>
      <c r="GK29" s="19"/>
      <c r="GL29" s="19"/>
      <c r="GM29" s="19"/>
      <c r="GN29" s="19"/>
      <c r="GO29" s="19"/>
      <c r="GP29" s="19"/>
      <c r="GQ29" s="19"/>
      <c r="GR29" s="19"/>
      <c r="GS29" s="19"/>
      <c r="GT29" s="19"/>
      <c r="GU29" s="19"/>
      <c r="GV29" s="19"/>
      <c r="GW29" s="19"/>
      <c r="GX29" s="19"/>
      <c r="GY29" s="19"/>
      <c r="GZ29" s="19"/>
      <c r="HA29" s="19"/>
      <c r="HB29" s="19"/>
      <c r="HC29" s="19"/>
      <c r="HD29" s="19"/>
      <c r="HE29" s="19"/>
      <c r="HF29" s="19"/>
      <c r="HG29" s="19"/>
      <c r="HH29" s="19"/>
      <c r="HI29" s="19"/>
      <c r="HJ29" s="19"/>
      <c r="HK29" s="19"/>
      <c r="HL29" s="19"/>
      <c r="HM29" s="19"/>
      <c r="HN29" s="19"/>
      <c r="HO29" s="19"/>
      <c r="HP29" s="19"/>
      <c r="HQ29" s="19"/>
      <c r="HR29" s="19"/>
      <c r="HS29" s="19"/>
      <c r="HT29" s="19"/>
      <c r="HU29" s="19"/>
      <c r="HV29" s="19"/>
      <c r="HW29" s="19"/>
      <c r="HX29" s="19"/>
      <c r="HY29" s="19"/>
      <c r="HZ29" s="19"/>
      <c r="IA29" s="19"/>
      <c r="IB29" s="19"/>
      <c r="IC29" s="19"/>
      <c r="ID29" s="19"/>
      <c r="IE29" s="19"/>
      <c r="IF29" s="19"/>
      <c r="IG29" s="19"/>
      <c r="IH29" s="19"/>
      <c r="II29" s="19"/>
      <c r="IJ29" s="19"/>
      <c r="IK29" s="19"/>
      <c r="IL29" s="19"/>
      <c r="IM29" s="19"/>
      <c r="IN29" s="19"/>
      <c r="IO29" s="19"/>
      <c r="IP29" s="19"/>
      <c r="IQ29" s="19"/>
      <c r="IR29" s="19"/>
      <c r="IS29" s="19"/>
      <c r="IT29" s="19"/>
      <c r="IU29" s="19"/>
      <c r="IV29" s="19"/>
      <c r="IW29" s="19"/>
      <c r="IX29" s="19"/>
      <c r="IY29" s="19"/>
      <c r="IZ29" s="19"/>
      <c r="JA29" s="19"/>
      <c r="JB29" s="19"/>
      <c r="JC29" s="19"/>
      <c r="JD29" s="19"/>
      <c r="JE29" s="19"/>
      <c r="JF29" s="19"/>
      <c r="JG29" s="19"/>
      <c r="JH29" s="19"/>
      <c r="JI29" s="19"/>
      <c r="JJ29" s="19"/>
      <c r="JK29" s="19"/>
      <c r="JL29" s="19"/>
      <c r="JM29" s="19"/>
      <c r="JN29" s="19"/>
      <c r="JO29" s="19"/>
      <c r="JP29" s="19"/>
      <c r="JQ29" s="19"/>
      <c r="JR29" s="19"/>
      <c r="JS29" s="19"/>
      <c r="JT29" s="19"/>
      <c r="JU29" s="19"/>
      <c r="JV29" s="19"/>
      <c r="JW29" s="19"/>
      <c r="JX29" s="19"/>
      <c r="JY29" s="19"/>
      <c r="JZ29" s="19"/>
      <c r="KA29" s="19"/>
      <c r="KB29" s="19"/>
      <c r="KC29" s="19"/>
      <c r="KD29" s="19"/>
      <c r="KE29" s="19"/>
      <c r="KF29" s="19"/>
      <c r="KG29" s="19"/>
      <c r="KH29" s="19"/>
      <c r="KI29" s="19"/>
      <c r="KJ29" s="19"/>
      <c r="KK29" s="19"/>
      <c r="KL29" s="19"/>
      <c r="KM29" s="19"/>
      <c r="KN29" s="19"/>
      <c r="KO29" s="19"/>
      <c r="KP29" s="19"/>
      <c r="KQ29" s="19"/>
      <c r="KR29" s="19"/>
      <c r="KS29" s="19"/>
      <c r="KT29" s="19"/>
      <c r="KU29" s="19"/>
      <c r="KV29" s="19"/>
      <c r="KW29" s="19"/>
      <c r="KX29" s="19"/>
      <c r="KY29" s="19"/>
      <c r="KZ29" s="19"/>
      <c r="LA29" s="19"/>
      <c r="LB29" s="19"/>
      <c r="LC29" s="19"/>
      <c r="LD29" s="19"/>
      <c r="LE29" s="19"/>
      <c r="LF29" s="19"/>
      <c r="LG29" s="19"/>
      <c r="LH29" s="19"/>
      <c r="LI29" s="19"/>
      <c r="LJ29" s="19"/>
      <c r="LK29" s="19"/>
      <c r="LL29" s="19"/>
      <c r="LM29" s="19"/>
      <c r="LN29" s="19"/>
      <c r="LO29" s="19"/>
      <c r="LP29" s="19"/>
      <c r="LQ29" s="19"/>
    </row>
    <row r="30" spans="1:329" s="20" customFormat="1" x14ac:dyDescent="0.15">
      <c r="A30" s="18" t="s">
        <v>93</v>
      </c>
      <c r="B30" s="19" t="s">
        <v>616</v>
      </c>
      <c r="C30" s="19">
        <v>1300</v>
      </c>
      <c r="D30" s="19"/>
      <c r="E30" s="19" t="s">
        <v>620</v>
      </c>
      <c r="F30" s="19">
        <v>50</v>
      </c>
      <c r="G30" s="19">
        <v>1</v>
      </c>
      <c r="H30" s="19" t="s">
        <v>617</v>
      </c>
      <c r="I30" s="19">
        <v>25</v>
      </c>
      <c r="J30" s="19">
        <v>0.5</v>
      </c>
      <c r="K30" s="19" t="s">
        <v>620</v>
      </c>
      <c r="L30" s="19">
        <v>875</v>
      </c>
      <c r="M30" s="19">
        <v>1</v>
      </c>
      <c r="N30" s="19" t="s">
        <v>633</v>
      </c>
      <c r="O30" s="19">
        <v>75</v>
      </c>
      <c r="P30" s="19">
        <v>1</v>
      </c>
      <c r="Q30" s="19" t="s">
        <v>629</v>
      </c>
      <c r="R30" s="19">
        <v>250</v>
      </c>
      <c r="S30" s="19">
        <v>2</v>
      </c>
      <c r="T30" s="19" t="s">
        <v>621</v>
      </c>
      <c r="U30" s="19">
        <v>40</v>
      </c>
      <c r="V30" s="19">
        <v>0.32</v>
      </c>
      <c r="W30" s="19" t="s">
        <v>641</v>
      </c>
      <c r="X30" s="19">
        <v>150</v>
      </c>
      <c r="Y30" s="19">
        <v>1</v>
      </c>
      <c r="Z30" s="19" t="s">
        <v>630</v>
      </c>
      <c r="AA30" s="19">
        <v>150</v>
      </c>
      <c r="AB30" s="19">
        <v>1</v>
      </c>
      <c r="AC30" s="19" t="s">
        <v>622</v>
      </c>
      <c r="AD30" s="19">
        <v>10</v>
      </c>
      <c r="AE30" s="19">
        <v>0.2</v>
      </c>
      <c r="AF30" s="19" t="s">
        <v>528</v>
      </c>
      <c r="AG30" s="19">
        <v>1000</v>
      </c>
      <c r="AH30" s="19">
        <v>2</v>
      </c>
      <c r="AI30" s="19"/>
      <c r="AJ30" s="19"/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  <c r="BA30" s="19"/>
      <c r="BB30" s="19"/>
      <c r="BC30" s="19"/>
      <c r="BD30" s="19"/>
      <c r="BE30" s="19"/>
      <c r="BF30" s="19"/>
      <c r="BG30" s="19"/>
      <c r="BH30" s="19"/>
      <c r="BI30" s="19"/>
      <c r="BJ30" s="19"/>
      <c r="BK30" s="19"/>
      <c r="BL30" s="19"/>
      <c r="BM30" s="19"/>
      <c r="BN30" s="19"/>
      <c r="BO30" s="19"/>
      <c r="BP30" s="19"/>
      <c r="BQ30" s="19"/>
      <c r="BR30" s="19"/>
      <c r="BS30" s="19"/>
      <c r="BT30" s="19"/>
      <c r="BU30" s="19"/>
      <c r="BV30" s="19"/>
      <c r="BW30" s="19"/>
      <c r="BX30" s="19"/>
      <c r="BY30" s="19"/>
      <c r="BZ30" s="19"/>
      <c r="CA30" s="19"/>
      <c r="CB30" s="19"/>
      <c r="CC30" s="19"/>
      <c r="CD30" s="19"/>
      <c r="CE30" s="19"/>
      <c r="CF30" s="19"/>
      <c r="CG30" s="19"/>
      <c r="CH30" s="19"/>
      <c r="CI30" s="19"/>
      <c r="CJ30" s="19"/>
      <c r="CK30" s="19"/>
      <c r="CL30" s="19"/>
      <c r="CM30" s="19"/>
      <c r="CN30" s="19"/>
      <c r="CO30" s="19"/>
      <c r="CP30" s="19"/>
      <c r="CQ30" s="19"/>
      <c r="CR30" s="19"/>
      <c r="CS30" s="19"/>
      <c r="CT30" s="19"/>
      <c r="CU30" s="19"/>
      <c r="CV30" s="19"/>
      <c r="CW30" s="19"/>
      <c r="CX30" s="19"/>
      <c r="CY30" s="19"/>
      <c r="CZ30" s="19"/>
      <c r="DA30" s="19"/>
      <c r="DB30" s="19"/>
      <c r="DC30" s="19"/>
      <c r="DD30" s="19"/>
      <c r="DE30" s="19"/>
      <c r="DF30" s="19"/>
      <c r="DG30" s="19"/>
      <c r="DH30" s="19"/>
      <c r="DI30" s="19"/>
      <c r="DJ30" s="19"/>
      <c r="DK30" s="19"/>
      <c r="DL30" s="19"/>
      <c r="DM30" s="19"/>
      <c r="DN30" s="19"/>
      <c r="DO30" s="19"/>
      <c r="DP30" s="19"/>
      <c r="DQ30" s="19"/>
      <c r="DR30" s="19"/>
      <c r="DS30" s="19"/>
      <c r="DT30" s="19"/>
      <c r="DU30" s="19"/>
      <c r="DV30" s="19"/>
      <c r="DW30" s="19"/>
      <c r="DX30" s="19"/>
      <c r="DY30" s="19"/>
      <c r="DZ30" s="19"/>
      <c r="EA30" s="19"/>
      <c r="EB30" s="19"/>
      <c r="EC30" s="19"/>
      <c r="ED30" s="19"/>
      <c r="EE30" s="19"/>
      <c r="EF30" s="19"/>
      <c r="EG30" s="19"/>
      <c r="EH30" s="19"/>
      <c r="EI30" s="19"/>
      <c r="EJ30" s="19"/>
      <c r="EK30" s="19"/>
      <c r="EL30" s="19"/>
      <c r="EM30" s="19"/>
      <c r="EN30" s="19"/>
      <c r="EO30" s="19"/>
      <c r="EP30" s="19"/>
      <c r="EQ30" s="19"/>
      <c r="ER30" s="19"/>
      <c r="ES30" s="19"/>
      <c r="ET30" s="19"/>
      <c r="EU30" s="19"/>
      <c r="EV30" s="19"/>
      <c r="EW30" s="19"/>
      <c r="EX30" s="19"/>
      <c r="EY30" s="19"/>
      <c r="EZ30" s="19"/>
      <c r="FA30" s="19"/>
      <c r="FB30" s="19"/>
      <c r="FC30" s="19"/>
      <c r="FD30" s="19"/>
      <c r="FE30" s="19"/>
      <c r="FF30" s="19"/>
      <c r="FG30" s="19"/>
      <c r="FH30" s="19"/>
      <c r="FI30" s="19"/>
      <c r="FJ30" s="19"/>
      <c r="FK30" s="19"/>
      <c r="FL30" s="19"/>
      <c r="FM30" s="19"/>
      <c r="FN30" s="19"/>
      <c r="FO30" s="19"/>
      <c r="FP30" s="19"/>
      <c r="FQ30" s="19"/>
      <c r="FR30" s="19"/>
      <c r="FS30" s="19"/>
      <c r="FT30" s="19"/>
      <c r="FU30" s="19"/>
      <c r="FV30" s="19"/>
      <c r="FW30" s="19"/>
      <c r="FX30" s="19"/>
      <c r="FY30" s="19"/>
      <c r="FZ30" s="19"/>
      <c r="GA30" s="19"/>
      <c r="GB30" s="19"/>
      <c r="GC30" s="19"/>
      <c r="GD30" s="19"/>
      <c r="GE30" s="19"/>
      <c r="GF30" s="19"/>
      <c r="GG30" s="19"/>
      <c r="GH30" s="19"/>
      <c r="GI30" s="19"/>
      <c r="GJ30" s="19"/>
      <c r="GK30" s="19"/>
      <c r="GL30" s="19"/>
      <c r="GM30" s="19"/>
      <c r="GN30" s="19"/>
      <c r="GO30" s="19"/>
      <c r="GP30" s="19"/>
      <c r="GQ30" s="19"/>
      <c r="GR30" s="19"/>
      <c r="GS30" s="19"/>
      <c r="GT30" s="19"/>
      <c r="GU30" s="19"/>
      <c r="GV30" s="19"/>
      <c r="GW30" s="19"/>
      <c r="GX30" s="19"/>
      <c r="GY30" s="19"/>
      <c r="GZ30" s="19"/>
      <c r="HA30" s="19"/>
      <c r="HB30" s="19"/>
      <c r="HC30" s="19"/>
      <c r="HD30" s="19"/>
      <c r="HE30" s="19"/>
      <c r="HF30" s="19"/>
      <c r="HG30" s="19"/>
      <c r="HH30" s="19"/>
      <c r="HI30" s="19"/>
      <c r="HJ30" s="19"/>
      <c r="HK30" s="19"/>
      <c r="HL30" s="19"/>
      <c r="HM30" s="19"/>
      <c r="HN30" s="19"/>
      <c r="HO30" s="19"/>
      <c r="HP30" s="19"/>
      <c r="HQ30" s="19"/>
      <c r="HR30" s="19"/>
      <c r="HS30" s="19"/>
      <c r="HT30" s="19"/>
      <c r="HU30" s="19"/>
      <c r="HV30" s="19"/>
      <c r="HW30" s="19"/>
      <c r="HX30" s="19"/>
      <c r="HY30" s="19"/>
      <c r="HZ30" s="19"/>
      <c r="IA30" s="19"/>
      <c r="IB30" s="19"/>
      <c r="IC30" s="19"/>
      <c r="ID30" s="19"/>
      <c r="IE30" s="19"/>
      <c r="IF30" s="19"/>
      <c r="IG30" s="19"/>
      <c r="IH30" s="19"/>
      <c r="II30" s="19"/>
      <c r="IJ30" s="19"/>
      <c r="IK30" s="19"/>
      <c r="IL30" s="19"/>
      <c r="IM30" s="19"/>
      <c r="IN30" s="19"/>
      <c r="IO30" s="19"/>
      <c r="IP30" s="19"/>
      <c r="IQ30" s="19"/>
      <c r="IR30" s="19"/>
      <c r="IS30" s="19"/>
      <c r="IT30" s="19"/>
      <c r="IU30" s="19"/>
      <c r="IV30" s="19"/>
      <c r="IW30" s="19"/>
      <c r="IX30" s="19"/>
      <c r="IY30" s="19"/>
      <c r="IZ30" s="19"/>
      <c r="JA30" s="19"/>
      <c r="JB30" s="19"/>
      <c r="JC30" s="19"/>
      <c r="JD30" s="19"/>
      <c r="JE30" s="19"/>
      <c r="JF30" s="19"/>
      <c r="JG30" s="19"/>
      <c r="JH30" s="19"/>
      <c r="JI30" s="19"/>
      <c r="JJ30" s="19"/>
      <c r="JK30" s="19"/>
      <c r="JL30" s="19"/>
      <c r="JM30" s="19"/>
      <c r="JN30" s="19"/>
      <c r="JO30" s="19"/>
      <c r="JP30" s="19"/>
      <c r="JQ30" s="19"/>
      <c r="JR30" s="19"/>
      <c r="JS30" s="19"/>
      <c r="JT30" s="19"/>
      <c r="JU30" s="19"/>
      <c r="JV30" s="19"/>
      <c r="JW30" s="19"/>
      <c r="JX30" s="19"/>
      <c r="JY30" s="19"/>
      <c r="JZ30" s="19"/>
      <c r="KA30" s="19"/>
      <c r="KB30" s="19"/>
      <c r="KC30" s="19"/>
      <c r="KD30" s="19"/>
      <c r="KE30" s="19"/>
      <c r="KF30" s="19"/>
      <c r="KG30" s="19"/>
      <c r="KH30" s="19"/>
      <c r="KI30" s="19"/>
      <c r="KJ30" s="19"/>
      <c r="KK30" s="19"/>
      <c r="KL30" s="19"/>
      <c r="KM30" s="19"/>
      <c r="KN30" s="19"/>
      <c r="KO30" s="19"/>
      <c r="KP30" s="19"/>
      <c r="KQ30" s="19"/>
      <c r="KR30" s="19"/>
      <c r="KS30" s="19"/>
      <c r="KT30" s="19"/>
      <c r="KU30" s="19"/>
      <c r="KV30" s="19"/>
      <c r="KW30" s="19"/>
      <c r="KX30" s="19"/>
      <c r="KY30" s="19"/>
      <c r="KZ30" s="19"/>
      <c r="LA30" s="19"/>
      <c r="LB30" s="19"/>
      <c r="LC30" s="19"/>
      <c r="LD30" s="19"/>
      <c r="LE30" s="19"/>
      <c r="LF30" s="19"/>
      <c r="LG30" s="19"/>
      <c r="LH30" s="19"/>
      <c r="LI30" s="19"/>
      <c r="LJ30" s="19"/>
      <c r="LK30" s="19"/>
      <c r="LL30" s="19"/>
      <c r="LM30" s="19"/>
      <c r="LN30" s="19"/>
      <c r="LO30" s="19"/>
      <c r="LP30" s="19"/>
      <c r="LQ30" s="19"/>
    </row>
    <row r="31" spans="1:329" s="20" customFormat="1" x14ac:dyDescent="0.15">
      <c r="A31" s="18" t="s">
        <v>94</v>
      </c>
      <c r="B31" s="19" t="s">
        <v>616</v>
      </c>
      <c r="C31" s="19">
        <v>1300</v>
      </c>
      <c r="D31" s="19"/>
      <c r="E31" s="19" t="s">
        <v>620</v>
      </c>
      <c r="F31" s="19">
        <v>50</v>
      </c>
      <c r="G31" s="19">
        <v>1</v>
      </c>
      <c r="H31" s="19" t="s">
        <v>617</v>
      </c>
      <c r="I31" s="19">
        <v>25</v>
      </c>
      <c r="J31" s="19">
        <v>0.5</v>
      </c>
      <c r="K31" s="19" t="s">
        <v>620</v>
      </c>
      <c r="L31" s="19">
        <v>875</v>
      </c>
      <c r="M31" s="19">
        <v>1</v>
      </c>
      <c r="N31" s="19" t="s">
        <v>633</v>
      </c>
      <c r="O31" s="19">
        <v>75</v>
      </c>
      <c r="P31" s="19">
        <v>1</v>
      </c>
      <c r="Q31" s="19" t="s">
        <v>629</v>
      </c>
      <c r="R31" s="19">
        <v>250</v>
      </c>
      <c r="S31" s="19">
        <v>2</v>
      </c>
      <c r="T31" s="19" t="s">
        <v>621</v>
      </c>
      <c r="U31" s="19">
        <v>40</v>
      </c>
      <c r="V31" s="19">
        <v>0.32</v>
      </c>
      <c r="W31" s="19" t="s">
        <v>641</v>
      </c>
      <c r="X31" s="19">
        <v>150</v>
      </c>
      <c r="Y31" s="19">
        <v>1</v>
      </c>
      <c r="Z31" s="19" t="s">
        <v>630</v>
      </c>
      <c r="AA31" s="19">
        <v>150</v>
      </c>
      <c r="AB31" s="19">
        <v>1</v>
      </c>
      <c r="AC31" s="19" t="s">
        <v>622</v>
      </c>
      <c r="AD31" s="19">
        <v>10</v>
      </c>
      <c r="AE31" s="19">
        <v>0.2</v>
      </c>
      <c r="AF31" s="19" t="s">
        <v>528</v>
      </c>
      <c r="AG31" s="19">
        <v>1000</v>
      </c>
      <c r="AH31" s="19">
        <v>2</v>
      </c>
      <c r="AI31" s="19"/>
      <c r="AJ31" s="19"/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19"/>
      <c r="BH31" s="19"/>
      <c r="BI31" s="19"/>
      <c r="BJ31" s="19"/>
      <c r="BK31" s="19"/>
      <c r="BL31" s="19"/>
      <c r="BM31" s="19"/>
      <c r="BN31" s="19"/>
      <c r="BO31" s="19"/>
      <c r="BP31" s="19"/>
      <c r="BQ31" s="19"/>
      <c r="BR31" s="19"/>
      <c r="BS31" s="19"/>
      <c r="BT31" s="19"/>
      <c r="BU31" s="19"/>
      <c r="BV31" s="19"/>
      <c r="BW31" s="19"/>
      <c r="BX31" s="19"/>
      <c r="BY31" s="19"/>
      <c r="BZ31" s="19"/>
      <c r="CA31" s="19"/>
      <c r="CB31" s="19"/>
      <c r="CC31" s="19"/>
      <c r="CD31" s="19"/>
      <c r="CE31" s="19"/>
      <c r="CF31" s="19"/>
      <c r="CG31" s="19"/>
      <c r="CH31" s="19"/>
      <c r="CI31" s="19"/>
      <c r="CJ31" s="19"/>
      <c r="CK31" s="19"/>
      <c r="CL31" s="19"/>
      <c r="CM31" s="19"/>
      <c r="CN31" s="19"/>
      <c r="CO31" s="19"/>
      <c r="CP31" s="19"/>
      <c r="CQ31" s="19"/>
      <c r="CR31" s="19"/>
      <c r="CS31" s="19"/>
      <c r="CT31" s="19"/>
      <c r="CU31" s="19"/>
      <c r="CV31" s="19"/>
      <c r="CW31" s="19"/>
      <c r="CX31" s="19"/>
      <c r="CY31" s="19"/>
      <c r="CZ31" s="19"/>
      <c r="DA31" s="19"/>
      <c r="DB31" s="19"/>
      <c r="DC31" s="19"/>
      <c r="DD31" s="19"/>
      <c r="DE31" s="19"/>
      <c r="DF31" s="19"/>
      <c r="DG31" s="19"/>
      <c r="DH31" s="19"/>
      <c r="DI31" s="19"/>
      <c r="DJ31" s="19"/>
      <c r="DK31" s="19"/>
      <c r="DL31" s="19"/>
      <c r="DM31" s="19"/>
      <c r="DN31" s="19"/>
      <c r="DO31" s="19"/>
      <c r="DP31" s="19"/>
      <c r="DQ31" s="19"/>
      <c r="DR31" s="19"/>
      <c r="DS31" s="19"/>
      <c r="DT31" s="19"/>
      <c r="DU31" s="19"/>
      <c r="DV31" s="19"/>
      <c r="DW31" s="19"/>
      <c r="DX31" s="19"/>
      <c r="DY31" s="19"/>
      <c r="DZ31" s="19"/>
      <c r="EA31" s="19"/>
      <c r="EB31" s="19"/>
      <c r="EC31" s="19"/>
      <c r="ED31" s="19"/>
      <c r="EE31" s="19"/>
      <c r="EF31" s="19"/>
      <c r="EG31" s="19"/>
      <c r="EH31" s="19"/>
      <c r="EI31" s="19"/>
      <c r="EJ31" s="19"/>
      <c r="EK31" s="19"/>
      <c r="EL31" s="19"/>
      <c r="EM31" s="19"/>
      <c r="EN31" s="19"/>
      <c r="EO31" s="19"/>
      <c r="EP31" s="19"/>
      <c r="EQ31" s="19"/>
      <c r="ER31" s="19"/>
      <c r="ES31" s="19"/>
      <c r="ET31" s="19"/>
      <c r="EU31" s="19"/>
      <c r="EV31" s="19"/>
      <c r="EW31" s="19"/>
      <c r="EX31" s="19"/>
      <c r="EY31" s="19"/>
      <c r="EZ31" s="19"/>
      <c r="FA31" s="19"/>
      <c r="FB31" s="19"/>
      <c r="FC31" s="19"/>
      <c r="FD31" s="19"/>
      <c r="FE31" s="19"/>
      <c r="FF31" s="19"/>
      <c r="FG31" s="19"/>
      <c r="FH31" s="19"/>
      <c r="FI31" s="19"/>
      <c r="FJ31" s="19"/>
      <c r="FK31" s="19"/>
      <c r="FL31" s="19"/>
      <c r="FM31" s="19"/>
      <c r="FN31" s="19"/>
      <c r="FO31" s="19"/>
      <c r="FP31" s="19"/>
      <c r="FQ31" s="19"/>
      <c r="FR31" s="19"/>
      <c r="FS31" s="19"/>
      <c r="FT31" s="19"/>
      <c r="FU31" s="19"/>
      <c r="FV31" s="19"/>
      <c r="FW31" s="19"/>
      <c r="FX31" s="19"/>
      <c r="FY31" s="19"/>
      <c r="FZ31" s="19"/>
      <c r="GA31" s="19"/>
      <c r="GB31" s="19"/>
      <c r="GC31" s="19"/>
      <c r="GD31" s="19"/>
      <c r="GE31" s="19"/>
      <c r="GF31" s="19"/>
      <c r="GG31" s="19"/>
      <c r="GH31" s="19"/>
      <c r="GI31" s="19"/>
      <c r="GJ31" s="19"/>
      <c r="GK31" s="19"/>
      <c r="GL31" s="19"/>
      <c r="GM31" s="19"/>
      <c r="GN31" s="19"/>
      <c r="GO31" s="19"/>
      <c r="GP31" s="19"/>
      <c r="GQ31" s="19"/>
      <c r="GR31" s="19"/>
      <c r="GS31" s="19"/>
      <c r="GT31" s="19"/>
      <c r="GU31" s="19"/>
      <c r="GV31" s="19"/>
      <c r="GW31" s="19"/>
      <c r="GX31" s="19"/>
      <c r="GY31" s="19"/>
      <c r="GZ31" s="19"/>
      <c r="HA31" s="19"/>
      <c r="HB31" s="19"/>
      <c r="HC31" s="19"/>
      <c r="HD31" s="19"/>
      <c r="HE31" s="19"/>
      <c r="HF31" s="19"/>
      <c r="HG31" s="19"/>
      <c r="HH31" s="19"/>
      <c r="HI31" s="19"/>
      <c r="HJ31" s="19"/>
      <c r="HK31" s="19"/>
      <c r="HL31" s="19"/>
      <c r="HM31" s="19"/>
      <c r="HN31" s="19"/>
      <c r="HO31" s="19"/>
      <c r="HP31" s="19"/>
      <c r="HQ31" s="19"/>
      <c r="HR31" s="19"/>
      <c r="HS31" s="19"/>
      <c r="HT31" s="19"/>
      <c r="HU31" s="19"/>
      <c r="HV31" s="19"/>
      <c r="HW31" s="19"/>
      <c r="HX31" s="19"/>
      <c r="HY31" s="19"/>
      <c r="HZ31" s="19"/>
      <c r="IA31" s="19"/>
      <c r="IB31" s="19"/>
      <c r="IC31" s="19"/>
      <c r="ID31" s="19"/>
      <c r="IE31" s="19"/>
      <c r="IF31" s="19"/>
      <c r="IG31" s="19"/>
      <c r="IH31" s="19"/>
      <c r="II31" s="19"/>
      <c r="IJ31" s="19"/>
      <c r="IK31" s="19"/>
      <c r="IL31" s="19"/>
      <c r="IM31" s="19"/>
      <c r="IN31" s="19"/>
      <c r="IO31" s="19"/>
      <c r="IP31" s="19"/>
      <c r="IQ31" s="19"/>
      <c r="IR31" s="19"/>
      <c r="IS31" s="19"/>
      <c r="IT31" s="19"/>
      <c r="IU31" s="19"/>
      <c r="IV31" s="19"/>
      <c r="IW31" s="19"/>
      <c r="IX31" s="19"/>
      <c r="IY31" s="19"/>
      <c r="IZ31" s="19"/>
      <c r="JA31" s="19"/>
      <c r="JB31" s="19"/>
      <c r="JC31" s="19"/>
      <c r="JD31" s="19"/>
      <c r="JE31" s="19"/>
      <c r="JF31" s="19"/>
      <c r="JG31" s="19"/>
      <c r="JH31" s="19"/>
      <c r="JI31" s="19"/>
      <c r="JJ31" s="19"/>
      <c r="JK31" s="19"/>
      <c r="JL31" s="19"/>
      <c r="JM31" s="19"/>
      <c r="JN31" s="19"/>
      <c r="JO31" s="19"/>
      <c r="JP31" s="19"/>
      <c r="JQ31" s="19"/>
      <c r="JR31" s="19"/>
      <c r="JS31" s="19"/>
      <c r="JT31" s="19"/>
      <c r="JU31" s="19"/>
      <c r="JV31" s="19"/>
      <c r="JW31" s="19"/>
      <c r="JX31" s="19"/>
      <c r="JY31" s="19"/>
      <c r="JZ31" s="19"/>
      <c r="KA31" s="19"/>
      <c r="KB31" s="19"/>
      <c r="KC31" s="19"/>
      <c r="KD31" s="19"/>
      <c r="KE31" s="19"/>
      <c r="KF31" s="19"/>
      <c r="KG31" s="19"/>
      <c r="KH31" s="19"/>
      <c r="KI31" s="19"/>
      <c r="KJ31" s="19"/>
      <c r="KK31" s="19"/>
      <c r="KL31" s="19"/>
      <c r="KM31" s="19"/>
      <c r="KN31" s="19"/>
      <c r="KO31" s="19"/>
      <c r="KP31" s="19"/>
      <c r="KQ31" s="19"/>
      <c r="KR31" s="19"/>
      <c r="KS31" s="19"/>
      <c r="KT31" s="19"/>
      <c r="KU31" s="19"/>
      <c r="KV31" s="19"/>
      <c r="KW31" s="19"/>
      <c r="KX31" s="19"/>
      <c r="KY31" s="19"/>
      <c r="KZ31" s="19"/>
      <c r="LA31" s="19"/>
      <c r="LB31" s="19"/>
      <c r="LC31" s="19"/>
      <c r="LD31" s="19"/>
      <c r="LE31" s="19"/>
      <c r="LF31" s="19"/>
      <c r="LG31" s="19"/>
      <c r="LH31" s="19"/>
      <c r="LI31" s="19"/>
      <c r="LJ31" s="19"/>
      <c r="LK31" s="19"/>
      <c r="LL31" s="19"/>
      <c r="LM31" s="19"/>
      <c r="LN31" s="19"/>
      <c r="LO31" s="19"/>
      <c r="LP31" s="19"/>
      <c r="LQ31" s="19"/>
    </row>
    <row r="32" spans="1:329" s="20" customFormat="1" x14ac:dyDescent="0.15">
      <c r="A32" s="18" t="s">
        <v>103</v>
      </c>
      <c r="B32" s="19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19"/>
      <c r="BH32" s="19"/>
      <c r="BI32" s="19"/>
      <c r="BJ32" s="19"/>
      <c r="BK32" s="19"/>
      <c r="BL32" s="19"/>
      <c r="BM32" s="19"/>
      <c r="BN32" s="19"/>
      <c r="BO32" s="19"/>
      <c r="BP32" s="19"/>
      <c r="BQ32" s="19"/>
      <c r="BR32" s="19"/>
      <c r="BS32" s="19"/>
      <c r="BT32" s="19"/>
      <c r="BU32" s="19"/>
      <c r="BV32" s="19"/>
      <c r="BW32" s="19"/>
      <c r="BX32" s="19"/>
      <c r="BY32" s="19"/>
      <c r="BZ32" s="19"/>
      <c r="CA32" s="19"/>
      <c r="CB32" s="19"/>
      <c r="CC32" s="19"/>
      <c r="CD32" s="19"/>
      <c r="CE32" s="19"/>
      <c r="CF32" s="19"/>
      <c r="CG32" s="19"/>
      <c r="CH32" s="19"/>
      <c r="CI32" s="19"/>
      <c r="CJ32" s="19"/>
      <c r="CK32" s="19"/>
      <c r="CL32" s="19"/>
      <c r="CM32" s="19"/>
      <c r="CN32" s="19"/>
      <c r="CO32" s="19"/>
      <c r="CP32" s="19"/>
      <c r="CQ32" s="19"/>
      <c r="CR32" s="19"/>
      <c r="CS32" s="19"/>
      <c r="CT32" s="19"/>
      <c r="CU32" s="19"/>
      <c r="CV32" s="19"/>
      <c r="CW32" s="19"/>
      <c r="CX32" s="19"/>
      <c r="CY32" s="19"/>
      <c r="CZ32" s="19"/>
      <c r="DA32" s="19"/>
      <c r="DB32" s="19"/>
      <c r="DC32" s="19"/>
      <c r="DD32" s="19"/>
      <c r="DE32" s="19"/>
      <c r="DF32" s="19"/>
      <c r="DG32" s="19"/>
      <c r="DH32" s="19"/>
      <c r="DI32" s="19"/>
      <c r="DJ32" s="19"/>
      <c r="DK32" s="19"/>
      <c r="DL32" s="19"/>
      <c r="DM32" s="19"/>
      <c r="DN32" s="19"/>
      <c r="DO32" s="19"/>
      <c r="DP32" s="19"/>
      <c r="DQ32" s="19"/>
      <c r="DR32" s="19"/>
      <c r="DS32" s="19"/>
      <c r="DT32" s="19"/>
      <c r="DU32" s="19"/>
      <c r="DV32" s="19"/>
      <c r="DW32" s="19"/>
      <c r="DX32" s="19"/>
      <c r="DY32" s="19"/>
      <c r="DZ32" s="19"/>
      <c r="EA32" s="19"/>
      <c r="EB32" s="19"/>
      <c r="EC32" s="19"/>
      <c r="ED32" s="19"/>
      <c r="EE32" s="19"/>
      <c r="EF32" s="19"/>
      <c r="EG32" s="19"/>
      <c r="EH32" s="19"/>
      <c r="EI32" s="19"/>
      <c r="EJ32" s="19"/>
      <c r="EK32" s="19"/>
      <c r="EL32" s="19"/>
      <c r="EM32" s="19"/>
      <c r="EN32" s="19"/>
      <c r="EO32" s="19"/>
      <c r="EP32" s="19"/>
      <c r="EQ32" s="19"/>
      <c r="ER32" s="19"/>
      <c r="ES32" s="19"/>
      <c r="ET32" s="19"/>
      <c r="EU32" s="19"/>
      <c r="EV32" s="19"/>
      <c r="EW32" s="19"/>
      <c r="EX32" s="19"/>
      <c r="EY32" s="19"/>
      <c r="EZ32" s="19"/>
      <c r="FA32" s="19"/>
      <c r="FB32" s="19"/>
      <c r="FC32" s="19"/>
      <c r="FD32" s="19"/>
      <c r="FE32" s="19"/>
      <c r="FF32" s="19"/>
      <c r="FG32" s="19"/>
      <c r="FH32" s="19"/>
      <c r="FI32" s="19"/>
      <c r="FJ32" s="19"/>
      <c r="FK32" s="19"/>
      <c r="FL32" s="19"/>
      <c r="FM32" s="19"/>
      <c r="FN32" s="19"/>
      <c r="FO32" s="19"/>
      <c r="FP32" s="19"/>
      <c r="FQ32" s="19"/>
      <c r="FR32" s="19"/>
      <c r="FS32" s="19"/>
      <c r="FT32" s="19"/>
      <c r="FU32" s="19"/>
      <c r="FV32" s="19"/>
      <c r="FW32" s="19"/>
      <c r="FX32" s="19"/>
      <c r="FY32" s="19"/>
      <c r="FZ32" s="19"/>
      <c r="GA32" s="19"/>
      <c r="GB32" s="19"/>
      <c r="GC32" s="19"/>
      <c r="GD32" s="19"/>
      <c r="GE32" s="19"/>
      <c r="GF32" s="19"/>
      <c r="GG32" s="19"/>
      <c r="GH32" s="19"/>
      <c r="GI32" s="19"/>
      <c r="GJ32" s="19"/>
      <c r="GK32" s="19"/>
      <c r="GL32" s="19"/>
      <c r="GM32" s="19"/>
      <c r="GN32" s="19"/>
      <c r="GO32" s="19"/>
      <c r="GP32" s="19"/>
      <c r="GQ32" s="19"/>
      <c r="GR32" s="19"/>
      <c r="GS32" s="19"/>
      <c r="GT32" s="19"/>
      <c r="GU32" s="19"/>
      <c r="GV32" s="19"/>
      <c r="GW32" s="19"/>
      <c r="GX32" s="19"/>
      <c r="GY32" s="19"/>
      <c r="GZ32" s="19"/>
      <c r="HA32" s="19"/>
      <c r="HB32" s="19"/>
      <c r="HC32" s="19"/>
      <c r="HD32" s="19"/>
      <c r="HE32" s="19"/>
      <c r="HF32" s="19"/>
      <c r="HG32" s="19"/>
      <c r="HH32" s="19"/>
      <c r="HI32" s="19"/>
      <c r="HJ32" s="19"/>
      <c r="HK32" s="19"/>
      <c r="HL32" s="19"/>
      <c r="HM32" s="19"/>
      <c r="HN32" s="19"/>
      <c r="HO32" s="19"/>
      <c r="HP32" s="19"/>
      <c r="HQ32" s="19"/>
      <c r="HR32" s="19"/>
      <c r="HS32" s="18"/>
      <c r="HT32" s="19"/>
      <c r="HU32" s="19"/>
      <c r="HV32" s="19"/>
      <c r="HW32" s="19"/>
      <c r="HX32" s="19"/>
      <c r="HY32" s="19"/>
      <c r="HZ32" s="19"/>
      <c r="IA32" s="19"/>
      <c r="IB32" s="19"/>
      <c r="IC32" s="19"/>
      <c r="ID32" s="19"/>
      <c r="IE32" s="19"/>
      <c r="IF32" s="19"/>
      <c r="IG32" s="19"/>
      <c r="IH32" s="19"/>
      <c r="II32" s="19"/>
      <c r="IJ32" s="19"/>
      <c r="IK32" s="19"/>
      <c r="IL32" s="19"/>
      <c r="IM32" s="19"/>
      <c r="IN32" s="19"/>
      <c r="IO32" s="19"/>
      <c r="IP32" s="19"/>
      <c r="IQ32" s="19"/>
      <c r="IR32" s="19"/>
      <c r="IS32" s="19"/>
      <c r="IT32" s="19"/>
      <c r="IU32" s="19"/>
      <c r="IV32" s="19"/>
      <c r="IW32" s="19"/>
      <c r="IX32" s="19"/>
      <c r="IY32" s="19"/>
      <c r="IZ32" s="19"/>
      <c r="JA32" s="19"/>
      <c r="JB32" s="19"/>
      <c r="JC32" s="19"/>
      <c r="JD32" s="19"/>
      <c r="JE32" s="19"/>
      <c r="JF32" s="19"/>
      <c r="JG32" s="19"/>
      <c r="JH32" s="19"/>
      <c r="JI32" s="19"/>
      <c r="JJ32" s="19"/>
      <c r="JK32" s="19"/>
      <c r="JL32" s="19"/>
      <c r="JM32" s="19"/>
      <c r="JN32" s="19"/>
      <c r="JO32" s="19"/>
      <c r="JP32" s="19"/>
      <c r="JQ32" s="19"/>
      <c r="JR32" s="19"/>
      <c r="JS32" s="19"/>
      <c r="JT32" s="19"/>
      <c r="JU32" s="19"/>
      <c r="JV32" s="19"/>
      <c r="JW32" s="19"/>
      <c r="JX32" s="19"/>
      <c r="JY32" s="19"/>
      <c r="JZ32" s="19"/>
      <c r="KA32" s="19"/>
      <c r="KB32" s="19"/>
      <c r="KC32" s="19"/>
      <c r="KD32" s="19"/>
      <c r="KE32" s="19"/>
      <c r="KF32" s="19"/>
      <c r="KG32" s="19"/>
      <c r="KH32" s="19"/>
      <c r="KI32" s="19"/>
      <c r="KJ32" s="19"/>
      <c r="KK32" s="19"/>
      <c r="KL32" s="19"/>
      <c r="KM32" s="19"/>
      <c r="KN32" s="19"/>
      <c r="KO32" s="19"/>
      <c r="KP32" s="19"/>
      <c r="KQ32" s="19"/>
      <c r="KR32" s="19"/>
      <c r="KS32" s="19"/>
      <c r="KT32" s="19"/>
      <c r="KU32" s="19"/>
      <c r="KV32" s="19"/>
      <c r="KW32" s="19"/>
      <c r="KX32" s="19"/>
      <c r="KY32" s="19"/>
      <c r="KZ32" s="19"/>
      <c r="LA32" s="19"/>
      <c r="LB32" s="19"/>
      <c r="LC32" s="19"/>
      <c r="LD32" s="19"/>
      <c r="LE32" s="19"/>
      <c r="LF32" s="19"/>
      <c r="LG32" s="19"/>
      <c r="LH32" s="19"/>
      <c r="LI32" s="19"/>
      <c r="LJ32" s="19"/>
      <c r="LK32" s="19"/>
      <c r="LL32" s="19"/>
      <c r="LM32" s="19"/>
      <c r="LN32" s="19"/>
      <c r="LO32" s="19"/>
      <c r="LP32" s="19"/>
      <c r="LQ32" s="19"/>
    </row>
    <row r="33" spans="1:329" x14ac:dyDescent="0.15">
      <c r="A33" s="2" t="s">
        <v>104</v>
      </c>
    </row>
    <row r="34" spans="1:329" x14ac:dyDescent="0.15">
      <c r="A34" s="2" t="s">
        <v>105</v>
      </c>
    </row>
    <row r="35" spans="1:329" x14ac:dyDescent="0.15">
      <c r="A35" s="2" t="s">
        <v>106</v>
      </c>
    </row>
    <row r="36" spans="1:329" x14ac:dyDescent="0.15">
      <c r="A36" s="2" t="s">
        <v>107</v>
      </c>
    </row>
    <row r="37" spans="1:329" x14ac:dyDescent="0.15">
      <c r="A37" s="2" t="s">
        <v>108</v>
      </c>
    </row>
    <row r="38" spans="1:329" x14ac:dyDescent="0.15">
      <c r="A38" s="2" t="s">
        <v>109</v>
      </c>
    </row>
    <row r="39" spans="1:329" s="20" customFormat="1" x14ac:dyDescent="0.15">
      <c r="A39" s="18" t="s">
        <v>110</v>
      </c>
      <c r="B39" s="19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  <c r="AB39" s="19"/>
      <c r="AC39" s="19"/>
      <c r="AD39" s="19"/>
      <c r="AE39" s="19"/>
      <c r="AF39" s="19"/>
      <c r="AG39" s="19"/>
      <c r="AH39" s="19"/>
      <c r="AI39" s="19"/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  <c r="BE39" s="19"/>
      <c r="BF39" s="19"/>
      <c r="BG39" s="19"/>
      <c r="BH39" s="19"/>
      <c r="BI39" s="19"/>
      <c r="BJ39" s="19"/>
      <c r="BK39" s="19"/>
      <c r="BL39" s="19"/>
      <c r="BM39" s="19"/>
      <c r="BN39" s="19"/>
      <c r="BO39" s="19"/>
      <c r="BP39" s="19"/>
      <c r="BQ39" s="19"/>
      <c r="BR39" s="19"/>
      <c r="BS39" s="19"/>
      <c r="BT39" s="19"/>
      <c r="BU39" s="19"/>
      <c r="BV39" s="19"/>
      <c r="BW39" s="19"/>
      <c r="BX39" s="19"/>
      <c r="BY39" s="19"/>
      <c r="BZ39" s="19"/>
      <c r="CA39" s="19"/>
      <c r="CB39" s="19"/>
      <c r="CC39" s="19"/>
      <c r="CD39" s="19"/>
      <c r="CE39" s="19"/>
      <c r="CF39" s="19"/>
      <c r="CG39" s="19"/>
      <c r="CH39" s="19"/>
      <c r="CI39" s="19"/>
      <c r="CJ39" s="19"/>
      <c r="CK39" s="19"/>
      <c r="CL39" s="19"/>
      <c r="CM39" s="19"/>
      <c r="CN39" s="19"/>
      <c r="CO39" s="19"/>
      <c r="CP39" s="19"/>
      <c r="CQ39" s="19"/>
      <c r="CR39" s="19"/>
      <c r="CS39" s="19"/>
      <c r="CT39" s="19"/>
      <c r="CU39" s="19"/>
      <c r="CV39" s="19"/>
      <c r="CW39" s="19"/>
      <c r="CX39" s="19"/>
      <c r="CY39" s="19"/>
      <c r="CZ39" s="19"/>
      <c r="DA39" s="19"/>
      <c r="DB39" s="19"/>
      <c r="DC39" s="19"/>
      <c r="DD39" s="19"/>
      <c r="DE39" s="19"/>
      <c r="DF39" s="19"/>
      <c r="DG39" s="19"/>
      <c r="DH39" s="19"/>
      <c r="DI39" s="19"/>
      <c r="DJ39" s="19"/>
      <c r="DK39" s="19"/>
      <c r="DL39" s="19"/>
      <c r="DM39" s="19"/>
      <c r="DN39" s="19"/>
      <c r="DO39" s="19"/>
      <c r="DP39" s="19"/>
      <c r="DQ39" s="19"/>
      <c r="DR39" s="19"/>
      <c r="DS39" s="19"/>
      <c r="DT39" s="19"/>
      <c r="DU39" s="19"/>
      <c r="DV39" s="19"/>
      <c r="DW39" s="19"/>
      <c r="DX39" s="19"/>
      <c r="DY39" s="19"/>
      <c r="DZ39" s="19"/>
      <c r="EA39" s="19"/>
      <c r="EB39" s="19"/>
      <c r="EC39" s="19"/>
      <c r="ED39" s="19"/>
      <c r="EE39" s="19"/>
      <c r="EF39" s="19"/>
      <c r="EG39" s="19"/>
      <c r="EH39" s="19"/>
      <c r="EI39" s="19"/>
      <c r="EJ39" s="19"/>
      <c r="EK39" s="19"/>
      <c r="EL39" s="19"/>
      <c r="EM39" s="19"/>
      <c r="EN39" s="19"/>
      <c r="EO39" s="19"/>
      <c r="EP39" s="19"/>
      <c r="EQ39" s="19"/>
      <c r="ER39" s="19"/>
      <c r="ES39" s="19"/>
      <c r="ET39" s="19"/>
      <c r="EU39" s="19"/>
      <c r="EV39" s="19"/>
      <c r="EW39" s="19"/>
      <c r="EX39" s="19"/>
      <c r="EY39" s="19"/>
      <c r="EZ39" s="19"/>
      <c r="FA39" s="19"/>
      <c r="FB39" s="19"/>
      <c r="FC39" s="19"/>
      <c r="FD39" s="19"/>
      <c r="FE39" s="19"/>
      <c r="FF39" s="19"/>
      <c r="FG39" s="19"/>
      <c r="FH39" s="19"/>
      <c r="FI39" s="19"/>
      <c r="FJ39" s="19"/>
      <c r="FK39" s="19"/>
      <c r="FL39" s="19"/>
      <c r="FM39" s="19"/>
      <c r="FN39" s="19"/>
      <c r="FO39" s="19"/>
      <c r="FP39" s="19"/>
      <c r="FQ39" s="19"/>
      <c r="FR39" s="19"/>
      <c r="FS39" s="19"/>
      <c r="FT39" s="19"/>
      <c r="FU39" s="19"/>
      <c r="FV39" s="19"/>
      <c r="FW39" s="19"/>
      <c r="FX39" s="19"/>
      <c r="FY39" s="19"/>
      <c r="FZ39" s="19"/>
      <c r="GA39" s="19"/>
      <c r="GB39" s="19"/>
      <c r="GC39" s="19"/>
      <c r="GD39" s="19"/>
      <c r="GE39" s="19"/>
      <c r="GF39" s="19"/>
      <c r="GG39" s="19"/>
      <c r="GH39" s="19"/>
      <c r="GI39" s="19"/>
      <c r="GJ39" s="19"/>
      <c r="GK39" s="19"/>
      <c r="GL39" s="19"/>
      <c r="GM39" s="19"/>
      <c r="GN39" s="19"/>
      <c r="GO39" s="19"/>
      <c r="GP39" s="19"/>
      <c r="GQ39" s="19"/>
      <c r="GR39" s="19"/>
      <c r="GS39" s="19"/>
      <c r="GT39" s="19"/>
      <c r="GU39" s="19"/>
      <c r="GV39" s="19"/>
      <c r="GW39" s="19"/>
      <c r="GX39" s="19"/>
      <c r="GY39" s="19"/>
      <c r="GZ39" s="19"/>
      <c r="HA39" s="19"/>
      <c r="HB39" s="19"/>
      <c r="HC39" s="19"/>
      <c r="HD39" s="19"/>
      <c r="HE39" s="19"/>
      <c r="HF39" s="19"/>
      <c r="HG39" s="19"/>
      <c r="HH39" s="19"/>
      <c r="HI39" s="19"/>
      <c r="HJ39" s="19"/>
      <c r="HK39" s="19"/>
      <c r="HL39" s="19"/>
      <c r="HM39" s="19"/>
      <c r="HN39" s="19"/>
      <c r="HO39" s="19"/>
      <c r="HP39" s="19"/>
      <c r="HQ39" s="19"/>
      <c r="HR39" s="19"/>
      <c r="HS39" s="18"/>
      <c r="HT39" s="19"/>
      <c r="HU39" s="19"/>
      <c r="HV39" s="19"/>
      <c r="HW39" s="19"/>
      <c r="HX39" s="19"/>
      <c r="HY39" s="19"/>
      <c r="HZ39" s="19"/>
      <c r="IA39" s="19"/>
      <c r="IB39" s="19"/>
      <c r="IC39" s="19"/>
      <c r="ID39" s="19"/>
      <c r="IE39" s="19"/>
      <c r="IF39" s="19"/>
      <c r="IG39" s="19"/>
      <c r="IH39" s="19"/>
      <c r="II39" s="19"/>
      <c r="IJ39" s="19"/>
      <c r="IK39" s="19"/>
      <c r="IL39" s="19"/>
      <c r="IM39" s="19"/>
      <c r="IN39" s="19"/>
      <c r="IO39" s="19"/>
      <c r="IP39" s="19"/>
      <c r="IQ39" s="19"/>
      <c r="IR39" s="19"/>
      <c r="IS39" s="19"/>
      <c r="IT39" s="19"/>
      <c r="IU39" s="19"/>
      <c r="IV39" s="19"/>
      <c r="IW39" s="19"/>
      <c r="IX39" s="19"/>
      <c r="IY39" s="19"/>
      <c r="IZ39" s="19"/>
      <c r="JA39" s="19"/>
      <c r="JB39" s="19"/>
      <c r="JC39" s="19"/>
      <c r="JD39" s="19"/>
      <c r="JE39" s="19"/>
      <c r="JF39" s="19"/>
      <c r="JG39" s="19"/>
      <c r="JH39" s="19"/>
      <c r="JI39" s="19"/>
      <c r="JJ39" s="19"/>
      <c r="JK39" s="19"/>
      <c r="JL39" s="19"/>
      <c r="JM39" s="19"/>
      <c r="JN39" s="19"/>
      <c r="JO39" s="19"/>
      <c r="JP39" s="19"/>
      <c r="JQ39" s="19"/>
      <c r="JR39" s="19"/>
      <c r="JS39" s="19"/>
      <c r="JT39" s="19"/>
      <c r="JU39" s="19"/>
      <c r="JV39" s="19"/>
      <c r="JW39" s="19"/>
      <c r="JX39" s="19"/>
      <c r="JY39" s="19"/>
      <c r="JZ39" s="19"/>
      <c r="KA39" s="19"/>
      <c r="KB39" s="19"/>
      <c r="KC39" s="19"/>
      <c r="KD39" s="19"/>
      <c r="KE39" s="19"/>
      <c r="KF39" s="19"/>
      <c r="KG39" s="19"/>
      <c r="KH39" s="19"/>
      <c r="KI39" s="19"/>
      <c r="KJ39" s="19"/>
      <c r="KK39" s="19"/>
      <c r="KL39" s="19"/>
      <c r="KM39" s="19"/>
      <c r="KN39" s="19"/>
      <c r="KO39" s="19"/>
      <c r="KP39" s="19"/>
      <c r="KQ39" s="19"/>
      <c r="KR39" s="19"/>
      <c r="KS39" s="19"/>
      <c r="KT39" s="19"/>
      <c r="KU39" s="19"/>
      <c r="KV39" s="19"/>
      <c r="KW39" s="19"/>
      <c r="KX39" s="19"/>
      <c r="KY39" s="19"/>
      <c r="KZ39" s="19"/>
      <c r="LA39" s="19"/>
      <c r="LB39" s="19"/>
      <c r="LC39" s="19"/>
      <c r="LD39" s="19"/>
      <c r="LE39" s="19"/>
      <c r="LF39" s="19"/>
      <c r="LG39" s="19"/>
      <c r="LH39" s="19"/>
      <c r="LI39" s="19"/>
      <c r="LJ39" s="19"/>
      <c r="LK39" s="19"/>
      <c r="LL39" s="19"/>
      <c r="LM39" s="19"/>
      <c r="LN39" s="19"/>
      <c r="LO39" s="19"/>
      <c r="LP39" s="19"/>
      <c r="LQ39" s="19"/>
    </row>
    <row r="40" spans="1:329" s="20" customFormat="1" x14ac:dyDescent="0.15">
      <c r="A40" s="18" t="s">
        <v>111</v>
      </c>
      <c r="B40" s="19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19"/>
      <c r="AB40" s="19"/>
      <c r="AC40" s="19"/>
      <c r="AD40" s="19"/>
      <c r="AE40" s="19"/>
      <c r="AF40" s="19"/>
      <c r="AG40" s="19"/>
      <c r="AH40" s="19"/>
      <c r="AI40" s="19"/>
      <c r="AJ40" s="19"/>
      <c r="AK40" s="19"/>
      <c r="AL40" s="19"/>
      <c r="AM40" s="19"/>
      <c r="AN40" s="19"/>
      <c r="AO40" s="19"/>
      <c r="AP40" s="19"/>
      <c r="AQ40" s="19"/>
      <c r="AR40" s="19"/>
      <c r="AS40" s="19"/>
      <c r="AT40" s="19"/>
      <c r="AU40" s="19"/>
      <c r="AV40" s="19"/>
      <c r="AW40" s="19"/>
      <c r="AX40" s="19"/>
      <c r="AY40" s="19"/>
      <c r="AZ40" s="19"/>
      <c r="BA40" s="19"/>
      <c r="BB40" s="19"/>
      <c r="BC40" s="19"/>
      <c r="BD40" s="19"/>
      <c r="BE40" s="19"/>
      <c r="BF40" s="19"/>
      <c r="BG40" s="19"/>
      <c r="BH40" s="19"/>
      <c r="BI40" s="19"/>
      <c r="BJ40" s="19"/>
      <c r="BK40" s="19"/>
      <c r="BL40" s="19"/>
      <c r="BM40" s="19"/>
      <c r="BN40" s="19"/>
      <c r="BO40" s="19"/>
      <c r="BP40" s="19"/>
      <c r="BQ40" s="19"/>
      <c r="BR40" s="19"/>
      <c r="BS40" s="19"/>
      <c r="BT40" s="19"/>
      <c r="BU40" s="19"/>
      <c r="BV40" s="19"/>
      <c r="BW40" s="19"/>
      <c r="BX40" s="19"/>
      <c r="BY40" s="19"/>
      <c r="BZ40" s="19"/>
      <c r="CA40" s="19"/>
      <c r="CB40" s="19"/>
      <c r="CC40" s="19"/>
      <c r="CD40" s="19"/>
      <c r="CE40" s="19"/>
      <c r="CF40" s="19"/>
      <c r="CG40" s="19"/>
      <c r="CH40" s="19"/>
      <c r="CI40" s="19"/>
      <c r="CJ40" s="19"/>
      <c r="CK40" s="19"/>
      <c r="CL40" s="19"/>
      <c r="CM40" s="19"/>
      <c r="CN40" s="19"/>
      <c r="CO40" s="19"/>
      <c r="CP40" s="19"/>
      <c r="CQ40" s="19"/>
      <c r="CR40" s="19"/>
      <c r="CS40" s="19"/>
      <c r="CT40" s="19"/>
      <c r="CU40" s="19"/>
      <c r="CV40" s="19"/>
      <c r="CW40" s="19"/>
      <c r="CX40" s="19"/>
      <c r="CY40" s="19"/>
      <c r="CZ40" s="19"/>
      <c r="DA40" s="19"/>
      <c r="DB40" s="19"/>
      <c r="DC40" s="19"/>
      <c r="DD40" s="19"/>
      <c r="DE40" s="19"/>
      <c r="DF40" s="19"/>
      <c r="DG40" s="19"/>
      <c r="DH40" s="19"/>
      <c r="DI40" s="19"/>
      <c r="DJ40" s="19"/>
      <c r="DK40" s="19"/>
      <c r="DL40" s="19"/>
      <c r="DM40" s="19"/>
      <c r="DN40" s="19"/>
      <c r="DO40" s="19"/>
      <c r="DP40" s="19"/>
      <c r="DQ40" s="19"/>
      <c r="DR40" s="19"/>
      <c r="DS40" s="19"/>
      <c r="DT40" s="19"/>
      <c r="DU40" s="19"/>
      <c r="DV40" s="19"/>
      <c r="DW40" s="19"/>
      <c r="DX40" s="19"/>
      <c r="DY40" s="19"/>
      <c r="DZ40" s="19"/>
      <c r="EA40" s="19"/>
      <c r="EB40" s="19"/>
      <c r="EC40" s="19"/>
      <c r="ED40" s="19"/>
      <c r="EE40" s="19"/>
      <c r="EF40" s="19"/>
      <c r="EG40" s="19"/>
      <c r="EH40" s="19"/>
      <c r="EI40" s="19"/>
      <c r="EJ40" s="19"/>
      <c r="EK40" s="19"/>
      <c r="EL40" s="19"/>
      <c r="EM40" s="19"/>
      <c r="EN40" s="19"/>
      <c r="EO40" s="19"/>
      <c r="EP40" s="19"/>
      <c r="EQ40" s="19"/>
      <c r="ER40" s="19"/>
      <c r="ES40" s="19"/>
      <c r="ET40" s="19"/>
      <c r="EU40" s="19"/>
      <c r="EV40" s="19"/>
      <c r="EW40" s="19"/>
      <c r="EX40" s="19"/>
      <c r="EY40" s="19"/>
      <c r="EZ40" s="19"/>
      <c r="FA40" s="19"/>
      <c r="FB40" s="19"/>
      <c r="FC40" s="19"/>
      <c r="FD40" s="19"/>
      <c r="FE40" s="19"/>
      <c r="FF40" s="19"/>
      <c r="FG40" s="19"/>
      <c r="FH40" s="19"/>
      <c r="FI40" s="19"/>
      <c r="FJ40" s="19"/>
      <c r="FK40" s="19"/>
      <c r="FL40" s="19"/>
      <c r="FM40" s="19"/>
      <c r="FN40" s="19"/>
      <c r="FO40" s="19"/>
      <c r="FP40" s="19"/>
      <c r="FQ40" s="19"/>
      <c r="FR40" s="19"/>
      <c r="FS40" s="19"/>
      <c r="FT40" s="19"/>
      <c r="FU40" s="19"/>
      <c r="FV40" s="19"/>
      <c r="FW40" s="19"/>
      <c r="FX40" s="19"/>
      <c r="FY40" s="19"/>
      <c r="FZ40" s="19"/>
      <c r="GA40" s="19"/>
      <c r="GB40" s="19"/>
      <c r="GC40" s="19"/>
      <c r="GD40" s="19"/>
      <c r="GE40" s="19"/>
      <c r="GF40" s="19"/>
      <c r="GG40" s="19"/>
      <c r="GH40" s="19"/>
      <c r="GI40" s="19"/>
      <c r="GJ40" s="19"/>
      <c r="GK40" s="19"/>
      <c r="GL40" s="19"/>
      <c r="GM40" s="19"/>
      <c r="GN40" s="19"/>
      <c r="GO40" s="19"/>
      <c r="GP40" s="19"/>
      <c r="GQ40" s="19"/>
      <c r="GR40" s="19"/>
      <c r="GS40" s="19"/>
      <c r="GT40" s="19"/>
      <c r="GU40" s="19"/>
      <c r="GV40" s="19"/>
      <c r="GW40" s="19"/>
      <c r="GX40" s="19"/>
      <c r="GY40" s="19"/>
      <c r="GZ40" s="19"/>
      <c r="HA40" s="19"/>
      <c r="HB40" s="19"/>
      <c r="HC40" s="19"/>
      <c r="HD40" s="19"/>
      <c r="HE40" s="19"/>
      <c r="HF40" s="19"/>
      <c r="HG40" s="19"/>
      <c r="HH40" s="19"/>
      <c r="HI40" s="19"/>
      <c r="HJ40" s="19"/>
      <c r="HK40" s="19"/>
      <c r="HL40" s="19"/>
      <c r="HM40" s="19"/>
      <c r="HN40" s="19"/>
      <c r="HO40" s="19"/>
      <c r="HP40" s="19"/>
      <c r="HQ40" s="19"/>
      <c r="HR40" s="19"/>
      <c r="HS40" s="18"/>
      <c r="HT40" s="19"/>
      <c r="HU40" s="19"/>
      <c r="HV40" s="19"/>
      <c r="HW40" s="19"/>
      <c r="HX40" s="19"/>
      <c r="HY40" s="19"/>
      <c r="HZ40" s="19"/>
      <c r="IA40" s="19"/>
      <c r="IB40" s="19"/>
      <c r="IC40" s="19"/>
      <c r="ID40" s="19"/>
      <c r="IE40" s="19"/>
      <c r="IF40" s="19"/>
      <c r="IG40" s="19"/>
      <c r="IH40" s="19"/>
      <c r="II40" s="19"/>
      <c r="IJ40" s="19"/>
      <c r="IK40" s="19"/>
      <c r="IL40" s="19"/>
      <c r="IM40" s="19"/>
      <c r="IN40" s="19"/>
      <c r="IO40" s="19"/>
      <c r="IP40" s="19"/>
      <c r="IQ40" s="19"/>
      <c r="IR40" s="19"/>
      <c r="IS40" s="19"/>
      <c r="IT40" s="19"/>
      <c r="IU40" s="19"/>
      <c r="IV40" s="19"/>
      <c r="IW40" s="19"/>
      <c r="IX40" s="19"/>
      <c r="IY40" s="19"/>
      <c r="IZ40" s="19"/>
      <c r="JA40" s="19"/>
      <c r="JB40" s="19"/>
      <c r="JC40" s="19"/>
      <c r="JD40" s="19"/>
      <c r="JE40" s="19"/>
      <c r="JF40" s="19"/>
      <c r="JG40" s="19"/>
      <c r="JH40" s="19"/>
      <c r="JI40" s="19"/>
      <c r="JJ40" s="19"/>
      <c r="JK40" s="19"/>
      <c r="JL40" s="19"/>
      <c r="JM40" s="19"/>
      <c r="JN40" s="19"/>
      <c r="JO40" s="19"/>
      <c r="JP40" s="19"/>
      <c r="JQ40" s="19"/>
      <c r="JR40" s="19"/>
      <c r="JS40" s="19"/>
      <c r="JT40" s="19"/>
      <c r="JU40" s="19"/>
      <c r="JV40" s="19"/>
      <c r="JW40" s="19"/>
      <c r="JX40" s="19"/>
      <c r="JY40" s="19"/>
      <c r="JZ40" s="19"/>
      <c r="KA40" s="19"/>
      <c r="KB40" s="19"/>
      <c r="KC40" s="19"/>
      <c r="KD40" s="19"/>
      <c r="KE40" s="19"/>
      <c r="KF40" s="19"/>
      <c r="KG40" s="19"/>
      <c r="KH40" s="19"/>
      <c r="KI40" s="19"/>
      <c r="KJ40" s="19"/>
      <c r="KK40" s="19"/>
      <c r="KL40" s="19"/>
      <c r="KM40" s="19"/>
      <c r="KN40" s="19"/>
      <c r="KO40" s="19"/>
      <c r="KP40" s="19"/>
      <c r="KQ40" s="19"/>
      <c r="KR40" s="19"/>
      <c r="KS40" s="19"/>
      <c r="KT40" s="19"/>
      <c r="KU40" s="19"/>
      <c r="KV40" s="19"/>
      <c r="KW40" s="19"/>
      <c r="KX40" s="19"/>
      <c r="KY40" s="19"/>
      <c r="KZ40" s="19"/>
      <c r="LA40" s="19"/>
      <c r="LB40" s="19"/>
      <c r="LC40" s="19"/>
      <c r="LD40" s="19"/>
      <c r="LE40" s="19"/>
      <c r="LF40" s="19"/>
      <c r="LG40" s="19"/>
      <c r="LH40" s="19"/>
      <c r="LI40" s="19"/>
      <c r="LJ40" s="19"/>
      <c r="LK40" s="19"/>
      <c r="LL40" s="19"/>
      <c r="LM40" s="19"/>
      <c r="LN40" s="19"/>
      <c r="LO40" s="19"/>
      <c r="LP40" s="19"/>
      <c r="LQ40" s="19"/>
    </row>
    <row r="41" spans="1:329" s="20" customFormat="1" x14ac:dyDescent="0.15">
      <c r="A41" s="18" t="s">
        <v>112</v>
      </c>
      <c r="B41" s="19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s="19"/>
      <c r="AA41" s="19"/>
      <c r="AB41" s="19"/>
      <c r="AC41" s="19"/>
      <c r="AD41" s="19"/>
      <c r="AE41" s="19"/>
      <c r="AF41" s="19"/>
      <c r="AG41" s="19"/>
      <c r="AH41" s="19"/>
      <c r="AI41" s="19"/>
      <c r="AJ41" s="19"/>
      <c r="AK41" s="19"/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19"/>
      <c r="AZ41" s="19"/>
      <c r="BA41" s="19"/>
      <c r="BB41" s="19"/>
      <c r="BC41" s="19"/>
      <c r="BD41" s="19"/>
      <c r="BE41" s="19"/>
      <c r="BF41" s="19"/>
      <c r="BG41" s="19"/>
      <c r="BH41" s="19"/>
      <c r="BI41" s="19"/>
      <c r="BJ41" s="19"/>
      <c r="BK41" s="19"/>
      <c r="BL41" s="19"/>
      <c r="BM41" s="19"/>
      <c r="BN41" s="19"/>
      <c r="BO41" s="19"/>
      <c r="BP41" s="19"/>
      <c r="BQ41" s="19"/>
      <c r="BR41" s="19"/>
      <c r="BS41" s="19"/>
      <c r="BT41" s="19"/>
      <c r="BU41" s="19"/>
      <c r="BV41" s="19"/>
      <c r="BW41" s="19"/>
      <c r="BX41" s="19"/>
      <c r="BY41" s="19"/>
      <c r="BZ41" s="19"/>
      <c r="CA41" s="19"/>
      <c r="CB41" s="19"/>
      <c r="CC41" s="19"/>
      <c r="CD41" s="19"/>
      <c r="CE41" s="19"/>
      <c r="CF41" s="19"/>
      <c r="CG41" s="19"/>
      <c r="CH41" s="19"/>
      <c r="CI41" s="19"/>
      <c r="CJ41" s="19"/>
      <c r="CK41" s="19"/>
      <c r="CL41" s="19"/>
      <c r="CM41" s="19"/>
      <c r="CN41" s="19"/>
      <c r="CO41" s="19"/>
      <c r="CP41" s="19"/>
      <c r="CQ41" s="19"/>
      <c r="CR41" s="19"/>
      <c r="CS41" s="19"/>
      <c r="CT41" s="19"/>
      <c r="CU41" s="19"/>
      <c r="CV41" s="19"/>
      <c r="CW41" s="19"/>
      <c r="CX41" s="19"/>
      <c r="CY41" s="19"/>
      <c r="CZ41" s="19"/>
      <c r="DA41" s="19"/>
      <c r="DB41" s="19"/>
      <c r="DC41" s="19"/>
      <c r="DD41" s="19"/>
      <c r="DE41" s="19"/>
      <c r="DF41" s="19"/>
      <c r="DG41" s="19"/>
      <c r="DH41" s="19"/>
      <c r="DI41" s="19"/>
      <c r="DJ41" s="19"/>
      <c r="DK41" s="19"/>
      <c r="DL41" s="19"/>
      <c r="DM41" s="19"/>
      <c r="DN41" s="19"/>
      <c r="DO41" s="19"/>
      <c r="DP41" s="19"/>
      <c r="DQ41" s="19"/>
      <c r="DR41" s="19"/>
      <c r="DS41" s="19"/>
      <c r="DT41" s="19"/>
      <c r="DU41" s="19"/>
      <c r="DV41" s="19"/>
      <c r="DW41" s="19"/>
      <c r="DX41" s="19"/>
      <c r="DY41" s="19"/>
      <c r="DZ41" s="19"/>
      <c r="EA41" s="19"/>
      <c r="EB41" s="19"/>
      <c r="EC41" s="19"/>
      <c r="ED41" s="19"/>
      <c r="EE41" s="19"/>
      <c r="EF41" s="19"/>
      <c r="EG41" s="19"/>
      <c r="EH41" s="19"/>
      <c r="EI41" s="19"/>
      <c r="EJ41" s="19"/>
      <c r="EK41" s="19"/>
      <c r="EL41" s="19"/>
      <c r="EM41" s="19"/>
      <c r="EN41" s="19"/>
      <c r="EO41" s="19"/>
      <c r="EP41" s="19"/>
      <c r="EQ41" s="19"/>
      <c r="ER41" s="19"/>
      <c r="ES41" s="19"/>
      <c r="ET41" s="19"/>
      <c r="EU41" s="19"/>
      <c r="EV41" s="19"/>
      <c r="EW41" s="19"/>
      <c r="EX41" s="19"/>
      <c r="EY41" s="19"/>
      <c r="EZ41" s="19"/>
      <c r="FA41" s="19"/>
      <c r="FB41" s="19"/>
      <c r="FC41" s="19"/>
      <c r="FD41" s="19"/>
      <c r="FE41" s="19"/>
      <c r="FF41" s="19"/>
      <c r="FG41" s="19"/>
      <c r="FH41" s="19"/>
      <c r="FI41" s="19"/>
      <c r="FJ41" s="19"/>
      <c r="FK41" s="19"/>
      <c r="FL41" s="19"/>
      <c r="FM41" s="19"/>
      <c r="FN41" s="19"/>
      <c r="FO41" s="19"/>
      <c r="FP41" s="19"/>
      <c r="FQ41" s="19"/>
      <c r="FR41" s="19"/>
      <c r="FS41" s="19"/>
      <c r="FT41" s="19"/>
      <c r="FU41" s="19"/>
      <c r="FV41" s="19"/>
      <c r="FW41" s="19"/>
      <c r="FX41" s="19"/>
      <c r="FY41" s="19"/>
      <c r="FZ41" s="19"/>
      <c r="GA41" s="19"/>
      <c r="GB41" s="19"/>
      <c r="GC41" s="19"/>
      <c r="GD41" s="19"/>
      <c r="GE41" s="19"/>
      <c r="GF41" s="19"/>
      <c r="GG41" s="19"/>
      <c r="GH41" s="19"/>
      <c r="GI41" s="19"/>
      <c r="GJ41" s="19"/>
      <c r="GK41" s="19"/>
      <c r="GL41" s="19"/>
      <c r="GM41" s="19"/>
      <c r="GN41" s="19"/>
      <c r="GO41" s="19"/>
      <c r="GP41" s="19"/>
      <c r="GQ41" s="19"/>
      <c r="GR41" s="19"/>
      <c r="GS41" s="19"/>
      <c r="GT41" s="19"/>
      <c r="GU41" s="19"/>
      <c r="GV41" s="19"/>
      <c r="GW41" s="19"/>
      <c r="GX41" s="19"/>
      <c r="GY41" s="19"/>
      <c r="GZ41" s="19"/>
      <c r="HA41" s="19"/>
      <c r="HB41" s="19"/>
      <c r="HC41" s="19"/>
      <c r="HD41" s="19"/>
      <c r="HE41" s="19"/>
      <c r="HF41" s="19"/>
      <c r="HG41" s="19"/>
      <c r="HH41" s="19"/>
      <c r="HI41" s="19"/>
      <c r="HJ41" s="19"/>
      <c r="HK41" s="19"/>
      <c r="HL41" s="19"/>
      <c r="HM41" s="19"/>
      <c r="HN41" s="19"/>
      <c r="HO41" s="19"/>
      <c r="HP41" s="19"/>
      <c r="HQ41" s="19"/>
      <c r="HR41" s="19"/>
      <c r="HS41" s="18"/>
      <c r="HT41" s="19"/>
      <c r="HU41" s="19"/>
      <c r="HV41" s="19"/>
      <c r="HW41" s="19"/>
      <c r="HX41" s="19"/>
      <c r="HY41" s="19"/>
      <c r="HZ41" s="19"/>
      <c r="IA41" s="19"/>
      <c r="IB41" s="19"/>
      <c r="IC41" s="19"/>
      <c r="ID41" s="19"/>
      <c r="IE41" s="19"/>
      <c r="IF41" s="19"/>
      <c r="IG41" s="19"/>
      <c r="IH41" s="19"/>
      <c r="II41" s="19"/>
      <c r="IJ41" s="19"/>
      <c r="IK41" s="19"/>
      <c r="IL41" s="19"/>
      <c r="IM41" s="19"/>
      <c r="IN41" s="19"/>
      <c r="IO41" s="19"/>
      <c r="IP41" s="19"/>
      <c r="IQ41" s="19"/>
      <c r="IR41" s="19"/>
      <c r="IS41" s="19"/>
      <c r="IT41" s="19"/>
      <c r="IU41" s="19"/>
      <c r="IV41" s="19"/>
      <c r="IW41" s="19"/>
      <c r="IX41" s="19"/>
      <c r="IY41" s="19"/>
      <c r="IZ41" s="19"/>
      <c r="JA41" s="19"/>
      <c r="JB41" s="19"/>
      <c r="JC41" s="19"/>
      <c r="JD41" s="19"/>
      <c r="JE41" s="19"/>
      <c r="JF41" s="19"/>
      <c r="JG41" s="19"/>
      <c r="JH41" s="19"/>
      <c r="JI41" s="19"/>
      <c r="JJ41" s="19"/>
      <c r="JK41" s="19"/>
      <c r="JL41" s="19"/>
      <c r="JM41" s="19"/>
      <c r="JN41" s="19"/>
      <c r="JO41" s="19"/>
      <c r="JP41" s="19"/>
      <c r="JQ41" s="19"/>
      <c r="JR41" s="19"/>
      <c r="JS41" s="19"/>
      <c r="JT41" s="19"/>
      <c r="JU41" s="19"/>
      <c r="JV41" s="19"/>
      <c r="JW41" s="19"/>
      <c r="JX41" s="19"/>
      <c r="JY41" s="19"/>
      <c r="JZ41" s="19"/>
      <c r="KA41" s="19"/>
      <c r="KB41" s="19"/>
      <c r="KC41" s="19"/>
      <c r="KD41" s="19"/>
      <c r="KE41" s="19"/>
      <c r="KF41" s="19"/>
      <c r="KG41" s="19"/>
      <c r="KH41" s="19"/>
      <c r="KI41" s="19"/>
      <c r="KJ41" s="19"/>
      <c r="KK41" s="19"/>
      <c r="KL41" s="19"/>
      <c r="KM41" s="19"/>
      <c r="KN41" s="19"/>
      <c r="KO41" s="19"/>
      <c r="KP41" s="19"/>
      <c r="KQ41" s="19"/>
      <c r="KR41" s="19"/>
      <c r="KS41" s="19"/>
      <c r="KT41" s="19"/>
      <c r="KU41" s="19"/>
      <c r="KV41" s="19"/>
      <c r="KW41" s="19"/>
      <c r="KX41" s="19"/>
      <c r="KY41" s="19"/>
      <c r="KZ41" s="19"/>
      <c r="LA41" s="19"/>
      <c r="LB41" s="19"/>
      <c r="LC41" s="19"/>
      <c r="LD41" s="19"/>
      <c r="LE41" s="19"/>
      <c r="LF41" s="19"/>
      <c r="LG41" s="19"/>
      <c r="LH41" s="19"/>
      <c r="LI41" s="19"/>
      <c r="LJ41" s="19"/>
      <c r="LK41" s="19"/>
      <c r="LL41" s="19"/>
      <c r="LM41" s="19"/>
      <c r="LN41" s="19"/>
      <c r="LO41" s="19"/>
      <c r="LP41" s="19"/>
      <c r="LQ41" s="19"/>
    </row>
    <row r="42" spans="1:329" s="20" customFormat="1" x14ac:dyDescent="0.15">
      <c r="A42" s="18" t="s">
        <v>113</v>
      </c>
      <c r="B42" s="19"/>
      <c r="C42" s="19"/>
      <c r="D42" s="19"/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Z42" s="19"/>
      <c r="AA42" s="19"/>
      <c r="AB42" s="19"/>
      <c r="AC42" s="19"/>
      <c r="AD42" s="19"/>
      <c r="AE42" s="19"/>
      <c r="AF42" s="19"/>
      <c r="AG42" s="19"/>
      <c r="AH42" s="19"/>
      <c r="AI42" s="19"/>
      <c r="AJ42" s="19"/>
      <c r="AK42" s="19"/>
      <c r="AL42" s="19"/>
      <c r="AM42" s="19"/>
      <c r="AN42" s="19"/>
      <c r="AO42" s="19"/>
      <c r="AP42" s="19"/>
      <c r="AQ42" s="19"/>
      <c r="AR42" s="19"/>
      <c r="AS42" s="19"/>
      <c r="AT42" s="19"/>
      <c r="AU42" s="19"/>
      <c r="AV42" s="19"/>
      <c r="AW42" s="19"/>
      <c r="AX42" s="19"/>
      <c r="AY42" s="19"/>
      <c r="AZ42" s="19"/>
      <c r="BA42" s="19"/>
      <c r="BB42" s="19"/>
      <c r="BC42" s="19"/>
      <c r="BD42" s="19"/>
      <c r="BE42" s="19"/>
      <c r="BF42" s="19"/>
      <c r="BG42" s="19"/>
      <c r="BH42" s="19"/>
      <c r="BI42" s="19"/>
      <c r="BJ42" s="19"/>
      <c r="BK42" s="19"/>
      <c r="BL42" s="19"/>
      <c r="BM42" s="19"/>
      <c r="BN42" s="19"/>
      <c r="BO42" s="19"/>
      <c r="BP42" s="19"/>
      <c r="BQ42" s="19"/>
      <c r="BR42" s="19"/>
      <c r="BS42" s="19"/>
      <c r="BT42" s="19"/>
      <c r="BU42" s="19"/>
      <c r="BV42" s="19"/>
      <c r="BW42" s="19"/>
      <c r="BX42" s="19"/>
      <c r="BY42" s="19"/>
      <c r="BZ42" s="19"/>
      <c r="CA42" s="19"/>
      <c r="CB42" s="19"/>
      <c r="CC42" s="19"/>
      <c r="CD42" s="19"/>
      <c r="CE42" s="19"/>
      <c r="CF42" s="19"/>
      <c r="CG42" s="19"/>
      <c r="CH42" s="19"/>
      <c r="CI42" s="19"/>
      <c r="CJ42" s="19"/>
      <c r="CK42" s="19"/>
      <c r="CL42" s="19"/>
      <c r="CM42" s="19"/>
      <c r="CN42" s="19"/>
      <c r="CO42" s="19"/>
      <c r="CP42" s="19"/>
      <c r="CQ42" s="19"/>
      <c r="CR42" s="19"/>
      <c r="CS42" s="19"/>
      <c r="CT42" s="19"/>
      <c r="CU42" s="19"/>
      <c r="CV42" s="19"/>
      <c r="CW42" s="19"/>
      <c r="CX42" s="19"/>
      <c r="CY42" s="19"/>
      <c r="CZ42" s="19"/>
      <c r="DA42" s="19"/>
      <c r="DB42" s="19"/>
      <c r="DC42" s="19"/>
      <c r="DD42" s="19"/>
      <c r="DE42" s="19"/>
      <c r="DF42" s="19"/>
      <c r="DG42" s="19"/>
      <c r="DH42" s="19"/>
      <c r="DI42" s="19"/>
      <c r="DJ42" s="19"/>
      <c r="DK42" s="19"/>
      <c r="DL42" s="19"/>
      <c r="DM42" s="19"/>
      <c r="DN42" s="19"/>
      <c r="DO42" s="19"/>
      <c r="DP42" s="19"/>
      <c r="DQ42" s="19"/>
      <c r="DR42" s="19"/>
      <c r="DS42" s="19"/>
      <c r="DT42" s="19"/>
      <c r="DU42" s="19"/>
      <c r="DV42" s="19"/>
      <c r="DW42" s="19"/>
      <c r="DX42" s="19"/>
      <c r="DY42" s="19"/>
      <c r="DZ42" s="19"/>
      <c r="EA42" s="19"/>
      <c r="EB42" s="19"/>
      <c r="EC42" s="19"/>
      <c r="ED42" s="19"/>
      <c r="EE42" s="19"/>
      <c r="EF42" s="19"/>
      <c r="EG42" s="19"/>
      <c r="EH42" s="19"/>
      <c r="EI42" s="19"/>
      <c r="EJ42" s="19"/>
      <c r="EK42" s="19"/>
      <c r="EL42" s="19"/>
      <c r="EM42" s="19"/>
      <c r="EN42" s="19"/>
      <c r="EO42" s="19"/>
      <c r="EP42" s="19"/>
      <c r="EQ42" s="19"/>
      <c r="ER42" s="19"/>
      <c r="ES42" s="19"/>
      <c r="ET42" s="19"/>
      <c r="EU42" s="19"/>
      <c r="EV42" s="19"/>
      <c r="EW42" s="19"/>
      <c r="EX42" s="19"/>
      <c r="EY42" s="19"/>
      <c r="EZ42" s="19"/>
      <c r="FA42" s="19"/>
      <c r="FB42" s="19"/>
      <c r="FC42" s="19"/>
      <c r="FD42" s="19"/>
      <c r="FE42" s="19"/>
      <c r="FF42" s="19"/>
      <c r="FG42" s="19"/>
      <c r="FH42" s="19"/>
      <c r="FI42" s="19"/>
      <c r="FJ42" s="19"/>
      <c r="FK42" s="19"/>
      <c r="FL42" s="19"/>
      <c r="FM42" s="19"/>
      <c r="FN42" s="19"/>
      <c r="FO42" s="19"/>
      <c r="FP42" s="19"/>
      <c r="FQ42" s="19"/>
      <c r="FR42" s="19"/>
      <c r="FS42" s="19"/>
      <c r="FT42" s="19"/>
      <c r="FU42" s="19"/>
      <c r="FV42" s="19"/>
      <c r="FW42" s="19"/>
      <c r="FX42" s="19"/>
      <c r="FY42" s="19"/>
      <c r="FZ42" s="19"/>
      <c r="GA42" s="19"/>
      <c r="GB42" s="19"/>
      <c r="GC42" s="19"/>
      <c r="GD42" s="19"/>
      <c r="GE42" s="19"/>
      <c r="GF42" s="19"/>
      <c r="GG42" s="19"/>
      <c r="GH42" s="19"/>
      <c r="GI42" s="19"/>
      <c r="GJ42" s="19"/>
      <c r="GK42" s="19"/>
      <c r="GL42" s="19"/>
      <c r="GM42" s="19"/>
      <c r="GN42" s="19"/>
      <c r="GO42" s="19"/>
      <c r="GP42" s="19"/>
      <c r="GQ42" s="19"/>
      <c r="GR42" s="19"/>
      <c r="GS42" s="19"/>
      <c r="GT42" s="19"/>
      <c r="GU42" s="19"/>
      <c r="GV42" s="19"/>
      <c r="GW42" s="19"/>
      <c r="GX42" s="19"/>
      <c r="GY42" s="19"/>
      <c r="GZ42" s="19"/>
      <c r="HA42" s="19"/>
      <c r="HB42" s="19"/>
      <c r="HC42" s="19"/>
      <c r="HD42" s="19"/>
      <c r="HE42" s="19"/>
      <c r="HF42" s="19"/>
      <c r="HG42" s="19"/>
      <c r="HH42" s="19"/>
      <c r="HI42" s="19"/>
      <c r="HJ42" s="19"/>
      <c r="HK42" s="19"/>
      <c r="HL42" s="19"/>
      <c r="HM42" s="19"/>
      <c r="HN42" s="19"/>
      <c r="HO42" s="19"/>
      <c r="HP42" s="19"/>
      <c r="HQ42" s="19"/>
      <c r="HR42" s="19"/>
      <c r="HS42" s="18"/>
      <c r="HT42" s="19"/>
      <c r="HU42" s="19"/>
      <c r="HV42" s="19"/>
      <c r="HW42" s="19"/>
      <c r="HX42" s="19"/>
      <c r="HY42" s="19"/>
      <c r="HZ42" s="19"/>
      <c r="IA42" s="19"/>
      <c r="IB42" s="19"/>
      <c r="IC42" s="19"/>
      <c r="ID42" s="19"/>
      <c r="IE42" s="19"/>
      <c r="IF42" s="19"/>
      <c r="IG42" s="19"/>
      <c r="IH42" s="19"/>
      <c r="II42" s="19"/>
      <c r="IJ42" s="19"/>
      <c r="IK42" s="19"/>
      <c r="IL42" s="19"/>
      <c r="IM42" s="19"/>
      <c r="IN42" s="19"/>
      <c r="IO42" s="19"/>
      <c r="IP42" s="19"/>
      <c r="IQ42" s="19"/>
      <c r="IR42" s="19"/>
      <c r="IS42" s="19"/>
      <c r="IT42" s="19"/>
      <c r="IU42" s="19"/>
      <c r="IV42" s="19"/>
      <c r="IW42" s="19"/>
      <c r="IX42" s="19"/>
      <c r="IY42" s="19"/>
      <c r="IZ42" s="19"/>
      <c r="JA42" s="19"/>
      <c r="JB42" s="19"/>
      <c r="JC42" s="19"/>
      <c r="JD42" s="19"/>
      <c r="JE42" s="19"/>
      <c r="JF42" s="19"/>
      <c r="JG42" s="19"/>
      <c r="JH42" s="19"/>
      <c r="JI42" s="19"/>
      <c r="JJ42" s="19"/>
      <c r="JK42" s="19"/>
      <c r="JL42" s="19"/>
      <c r="JM42" s="19"/>
      <c r="JN42" s="19"/>
      <c r="JO42" s="19"/>
      <c r="JP42" s="19"/>
      <c r="JQ42" s="19"/>
      <c r="JR42" s="19"/>
      <c r="JS42" s="19"/>
      <c r="JT42" s="19"/>
      <c r="JU42" s="19"/>
      <c r="JV42" s="19"/>
      <c r="JW42" s="19"/>
      <c r="JX42" s="19"/>
      <c r="JY42" s="19"/>
      <c r="JZ42" s="19"/>
      <c r="KA42" s="19"/>
      <c r="KB42" s="19"/>
      <c r="KC42" s="19"/>
      <c r="KD42" s="19"/>
      <c r="KE42" s="19"/>
      <c r="KF42" s="19"/>
      <c r="KG42" s="19"/>
      <c r="KH42" s="19"/>
      <c r="KI42" s="19"/>
      <c r="KJ42" s="19"/>
      <c r="KK42" s="19"/>
      <c r="KL42" s="19"/>
      <c r="KM42" s="19"/>
      <c r="KN42" s="19"/>
      <c r="KO42" s="19"/>
      <c r="KP42" s="19"/>
      <c r="KQ42" s="19"/>
      <c r="KR42" s="19"/>
      <c r="KS42" s="19"/>
      <c r="KT42" s="19"/>
      <c r="KU42" s="19"/>
      <c r="KV42" s="19"/>
      <c r="KW42" s="19"/>
      <c r="KX42" s="19"/>
      <c r="KY42" s="19"/>
      <c r="KZ42" s="19"/>
      <c r="LA42" s="19"/>
      <c r="LB42" s="19"/>
      <c r="LC42" s="19"/>
      <c r="LD42" s="19"/>
      <c r="LE42" s="19"/>
      <c r="LF42" s="19"/>
      <c r="LG42" s="19"/>
      <c r="LH42" s="19"/>
      <c r="LI42" s="19"/>
      <c r="LJ42" s="19"/>
      <c r="LK42" s="19"/>
      <c r="LL42" s="19"/>
      <c r="LM42" s="19"/>
      <c r="LN42" s="19"/>
      <c r="LO42" s="19"/>
      <c r="LP42" s="19"/>
      <c r="LQ42" s="19"/>
    </row>
    <row r="43" spans="1:329" s="20" customFormat="1" x14ac:dyDescent="0.15">
      <c r="A43" s="18" t="s">
        <v>114</v>
      </c>
      <c r="B43" s="19"/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Z43" s="19"/>
      <c r="AA43" s="19"/>
      <c r="AB43" s="19"/>
      <c r="AC43" s="19"/>
      <c r="AD43" s="19"/>
      <c r="AE43" s="19"/>
      <c r="AF43" s="19"/>
      <c r="AG43" s="19"/>
      <c r="AH43" s="19"/>
      <c r="AI43" s="19"/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  <c r="AV43" s="19"/>
      <c r="AW43" s="19"/>
      <c r="AX43" s="19"/>
      <c r="AY43" s="19"/>
      <c r="AZ43" s="19"/>
      <c r="BA43" s="19"/>
      <c r="BB43" s="19"/>
      <c r="BC43" s="19"/>
      <c r="BD43" s="19"/>
      <c r="BE43" s="19"/>
      <c r="BF43" s="19"/>
      <c r="BG43" s="19"/>
      <c r="BH43" s="19"/>
      <c r="BI43" s="19"/>
      <c r="BJ43" s="19"/>
      <c r="BK43" s="19"/>
      <c r="BL43" s="19"/>
      <c r="BM43" s="19"/>
      <c r="BN43" s="19"/>
      <c r="BO43" s="19"/>
      <c r="BP43" s="19"/>
      <c r="BQ43" s="19"/>
      <c r="BR43" s="19"/>
      <c r="BS43" s="19"/>
      <c r="BT43" s="19"/>
      <c r="BU43" s="19"/>
      <c r="BV43" s="19"/>
      <c r="BW43" s="19"/>
      <c r="BX43" s="19"/>
      <c r="BY43" s="19"/>
      <c r="BZ43" s="19"/>
      <c r="CA43" s="19"/>
      <c r="CB43" s="19"/>
      <c r="CC43" s="19"/>
      <c r="CD43" s="19"/>
      <c r="CE43" s="19"/>
      <c r="CF43" s="19"/>
      <c r="CG43" s="19"/>
      <c r="CH43" s="19"/>
      <c r="CI43" s="19"/>
      <c r="CJ43" s="19"/>
      <c r="CK43" s="19"/>
      <c r="CL43" s="19"/>
      <c r="CM43" s="19"/>
      <c r="CN43" s="19"/>
      <c r="CO43" s="19"/>
      <c r="CP43" s="19"/>
      <c r="CQ43" s="19"/>
      <c r="CR43" s="19"/>
      <c r="CS43" s="19"/>
      <c r="CT43" s="19"/>
      <c r="CU43" s="19"/>
      <c r="CV43" s="19"/>
      <c r="CW43" s="19"/>
      <c r="CX43" s="19"/>
      <c r="CY43" s="19"/>
      <c r="CZ43" s="19"/>
      <c r="DA43" s="19"/>
      <c r="DB43" s="19"/>
      <c r="DC43" s="19"/>
      <c r="DD43" s="19"/>
      <c r="DE43" s="19"/>
      <c r="DF43" s="19"/>
      <c r="DG43" s="19"/>
      <c r="DH43" s="19"/>
      <c r="DI43" s="19"/>
      <c r="DJ43" s="19"/>
      <c r="DK43" s="19"/>
      <c r="DL43" s="19"/>
      <c r="DM43" s="19"/>
      <c r="DN43" s="19"/>
      <c r="DO43" s="19"/>
      <c r="DP43" s="19"/>
      <c r="DQ43" s="19"/>
      <c r="DR43" s="19"/>
      <c r="DS43" s="19"/>
      <c r="DT43" s="19"/>
      <c r="DU43" s="19"/>
      <c r="DV43" s="19"/>
      <c r="DW43" s="19"/>
      <c r="DX43" s="19"/>
      <c r="DY43" s="19"/>
      <c r="DZ43" s="19"/>
      <c r="EA43" s="19"/>
      <c r="EB43" s="19"/>
      <c r="EC43" s="19"/>
      <c r="ED43" s="19"/>
      <c r="EE43" s="19"/>
      <c r="EF43" s="19"/>
      <c r="EG43" s="19"/>
      <c r="EH43" s="19"/>
      <c r="EI43" s="19"/>
      <c r="EJ43" s="19"/>
      <c r="EK43" s="19"/>
      <c r="EL43" s="19"/>
      <c r="EM43" s="19"/>
      <c r="EN43" s="19"/>
      <c r="EO43" s="19"/>
      <c r="EP43" s="19"/>
      <c r="EQ43" s="19"/>
      <c r="ER43" s="19"/>
      <c r="ES43" s="19"/>
      <c r="ET43" s="19"/>
      <c r="EU43" s="19"/>
      <c r="EV43" s="19"/>
      <c r="EW43" s="19"/>
      <c r="EX43" s="19"/>
      <c r="EY43" s="19"/>
      <c r="EZ43" s="19"/>
      <c r="FA43" s="19"/>
      <c r="FB43" s="19"/>
      <c r="FC43" s="19"/>
      <c r="FD43" s="19"/>
      <c r="FE43" s="19"/>
      <c r="FF43" s="19"/>
      <c r="FG43" s="19"/>
      <c r="FH43" s="19"/>
      <c r="FI43" s="19"/>
      <c r="FJ43" s="19"/>
      <c r="FK43" s="19"/>
      <c r="FL43" s="19"/>
      <c r="FM43" s="19"/>
      <c r="FN43" s="19"/>
      <c r="FO43" s="19"/>
      <c r="FP43" s="19"/>
      <c r="FQ43" s="19"/>
      <c r="FR43" s="19"/>
      <c r="FS43" s="19"/>
      <c r="FT43" s="19"/>
      <c r="FU43" s="19"/>
      <c r="FV43" s="19"/>
      <c r="FW43" s="19"/>
      <c r="FX43" s="19"/>
      <c r="FY43" s="19"/>
      <c r="FZ43" s="19"/>
      <c r="GA43" s="19"/>
      <c r="GB43" s="19"/>
      <c r="GC43" s="19"/>
      <c r="GD43" s="19"/>
      <c r="GE43" s="19"/>
      <c r="GF43" s="19"/>
      <c r="GG43" s="19"/>
      <c r="GH43" s="19"/>
      <c r="GI43" s="19"/>
      <c r="GJ43" s="19"/>
      <c r="GK43" s="19"/>
      <c r="GL43" s="19"/>
      <c r="GM43" s="19"/>
      <c r="GN43" s="19"/>
      <c r="GO43" s="19"/>
      <c r="GP43" s="19"/>
      <c r="GQ43" s="19"/>
      <c r="GR43" s="19"/>
      <c r="GS43" s="19"/>
      <c r="GT43" s="19"/>
      <c r="GU43" s="19"/>
      <c r="GV43" s="19"/>
      <c r="GW43" s="19"/>
      <c r="GX43" s="19"/>
      <c r="GY43" s="19"/>
      <c r="GZ43" s="19"/>
      <c r="HA43" s="19"/>
      <c r="HB43" s="19"/>
      <c r="HC43" s="19"/>
      <c r="HD43" s="19"/>
      <c r="HE43" s="19"/>
      <c r="HF43" s="19"/>
      <c r="HG43" s="19"/>
      <c r="HH43" s="19"/>
      <c r="HI43" s="19"/>
      <c r="HJ43" s="19"/>
      <c r="HK43" s="19"/>
      <c r="HL43" s="19"/>
      <c r="HM43" s="19"/>
      <c r="HN43" s="19"/>
      <c r="HO43" s="19"/>
      <c r="HP43" s="19"/>
      <c r="HQ43" s="19"/>
      <c r="HR43" s="19"/>
      <c r="HS43" s="18"/>
      <c r="HT43" s="19"/>
      <c r="HU43" s="19"/>
      <c r="HV43" s="19"/>
      <c r="HW43" s="19"/>
      <c r="HX43" s="19"/>
      <c r="HY43" s="19"/>
      <c r="HZ43" s="19"/>
      <c r="IA43" s="19"/>
      <c r="IB43" s="19"/>
      <c r="IC43" s="19"/>
      <c r="ID43" s="19"/>
      <c r="IE43" s="19"/>
      <c r="IF43" s="19"/>
      <c r="IG43" s="19"/>
      <c r="IH43" s="19"/>
      <c r="II43" s="19"/>
      <c r="IJ43" s="19"/>
      <c r="IK43" s="19"/>
      <c r="IL43" s="19"/>
      <c r="IM43" s="19"/>
      <c r="IN43" s="19"/>
      <c r="IO43" s="19"/>
      <c r="IP43" s="19"/>
      <c r="IQ43" s="19"/>
      <c r="IR43" s="19"/>
      <c r="IS43" s="19"/>
      <c r="IT43" s="19"/>
      <c r="IU43" s="19"/>
      <c r="IV43" s="19"/>
      <c r="IW43" s="19"/>
      <c r="IX43" s="19"/>
      <c r="IY43" s="19"/>
      <c r="IZ43" s="19"/>
      <c r="JA43" s="19"/>
      <c r="JB43" s="19"/>
      <c r="JC43" s="19"/>
      <c r="JD43" s="19"/>
      <c r="JE43" s="19"/>
      <c r="JF43" s="19"/>
      <c r="JG43" s="19"/>
      <c r="JH43" s="19"/>
      <c r="JI43" s="19"/>
      <c r="JJ43" s="19"/>
      <c r="JK43" s="19"/>
      <c r="JL43" s="19"/>
      <c r="JM43" s="19"/>
      <c r="JN43" s="19"/>
      <c r="JO43" s="19"/>
      <c r="JP43" s="19"/>
      <c r="JQ43" s="19"/>
      <c r="JR43" s="19"/>
      <c r="JS43" s="19"/>
      <c r="JT43" s="19"/>
      <c r="JU43" s="19"/>
      <c r="JV43" s="19"/>
      <c r="JW43" s="19"/>
      <c r="JX43" s="19"/>
      <c r="JY43" s="19"/>
      <c r="JZ43" s="19"/>
      <c r="KA43" s="19"/>
      <c r="KB43" s="19"/>
      <c r="KC43" s="19"/>
      <c r="KD43" s="19"/>
      <c r="KE43" s="19"/>
      <c r="KF43" s="19"/>
      <c r="KG43" s="19"/>
      <c r="KH43" s="19"/>
      <c r="KI43" s="19"/>
      <c r="KJ43" s="19"/>
      <c r="KK43" s="19"/>
      <c r="KL43" s="19"/>
      <c r="KM43" s="19"/>
      <c r="KN43" s="19"/>
      <c r="KO43" s="19"/>
      <c r="KP43" s="19"/>
      <c r="KQ43" s="19"/>
      <c r="KR43" s="19"/>
      <c r="KS43" s="19"/>
      <c r="KT43" s="19"/>
      <c r="KU43" s="19"/>
      <c r="KV43" s="19"/>
      <c r="KW43" s="19"/>
      <c r="KX43" s="19"/>
      <c r="KY43" s="19"/>
      <c r="KZ43" s="19"/>
      <c r="LA43" s="19"/>
      <c r="LB43" s="19"/>
      <c r="LC43" s="19"/>
      <c r="LD43" s="19"/>
      <c r="LE43" s="19"/>
      <c r="LF43" s="19"/>
      <c r="LG43" s="19"/>
      <c r="LH43" s="19"/>
      <c r="LI43" s="19"/>
      <c r="LJ43" s="19"/>
      <c r="LK43" s="19"/>
      <c r="LL43" s="19"/>
      <c r="LM43" s="19"/>
      <c r="LN43" s="19"/>
      <c r="LO43" s="19"/>
      <c r="LP43" s="19"/>
      <c r="LQ43" s="19"/>
    </row>
    <row r="44" spans="1:329" s="20" customFormat="1" x14ac:dyDescent="0.15">
      <c r="A44" s="18" t="s">
        <v>115</v>
      </c>
      <c r="B44" s="19"/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Z44" s="19"/>
      <c r="AA44" s="19"/>
      <c r="AB44" s="19"/>
      <c r="AC44" s="19"/>
      <c r="AD44" s="19"/>
      <c r="AE44" s="19"/>
      <c r="AF44" s="19"/>
      <c r="AG44" s="19"/>
      <c r="AH44" s="19"/>
      <c r="AI44" s="19"/>
      <c r="AJ44" s="19"/>
      <c r="AK44" s="19"/>
      <c r="AL44" s="19"/>
      <c r="AM44" s="19"/>
      <c r="AN44" s="19"/>
      <c r="AO44" s="19"/>
      <c r="AP44" s="19"/>
      <c r="AQ44" s="19"/>
      <c r="AR44" s="19"/>
      <c r="AS44" s="19"/>
      <c r="AT44" s="19"/>
      <c r="AU44" s="19"/>
      <c r="AV44" s="19"/>
      <c r="AW44" s="19"/>
      <c r="AX44" s="19"/>
      <c r="AY44" s="19"/>
      <c r="AZ44" s="19"/>
      <c r="BA44" s="19"/>
      <c r="BB44" s="19"/>
      <c r="BC44" s="19"/>
      <c r="BD44" s="19"/>
      <c r="BE44" s="19"/>
      <c r="BF44" s="19"/>
      <c r="BG44" s="19"/>
      <c r="BH44" s="19"/>
      <c r="BI44" s="19"/>
      <c r="BJ44" s="19"/>
      <c r="BK44" s="19"/>
      <c r="BL44" s="19"/>
      <c r="BM44" s="19"/>
      <c r="BN44" s="19"/>
      <c r="BO44" s="19"/>
      <c r="BP44" s="19"/>
      <c r="BQ44" s="19"/>
      <c r="BR44" s="19"/>
      <c r="BS44" s="19"/>
      <c r="BT44" s="19"/>
      <c r="BU44" s="19"/>
      <c r="BV44" s="19"/>
      <c r="BW44" s="19"/>
      <c r="BX44" s="19"/>
      <c r="BY44" s="19"/>
      <c r="BZ44" s="19"/>
      <c r="CA44" s="19"/>
      <c r="CB44" s="19"/>
      <c r="CC44" s="19"/>
      <c r="CD44" s="19"/>
      <c r="CE44" s="19"/>
      <c r="CF44" s="19"/>
      <c r="CG44" s="19"/>
      <c r="CH44" s="19"/>
      <c r="CI44" s="19"/>
      <c r="CJ44" s="19"/>
      <c r="CK44" s="19"/>
      <c r="CL44" s="19"/>
      <c r="CM44" s="19"/>
      <c r="CN44" s="19"/>
      <c r="CO44" s="19"/>
      <c r="CP44" s="19"/>
      <c r="CQ44" s="19"/>
      <c r="CR44" s="19"/>
      <c r="CS44" s="19"/>
      <c r="CT44" s="19"/>
      <c r="CU44" s="19"/>
      <c r="CV44" s="19"/>
      <c r="CW44" s="19"/>
      <c r="CX44" s="19"/>
      <c r="CY44" s="19"/>
      <c r="CZ44" s="19"/>
      <c r="DA44" s="19"/>
      <c r="DB44" s="19"/>
      <c r="DC44" s="19"/>
      <c r="DD44" s="19"/>
      <c r="DE44" s="19"/>
      <c r="DF44" s="19"/>
      <c r="DG44" s="19"/>
      <c r="DH44" s="19"/>
      <c r="DI44" s="19"/>
      <c r="DJ44" s="19"/>
      <c r="DK44" s="19"/>
      <c r="DL44" s="19"/>
      <c r="DM44" s="19"/>
      <c r="DN44" s="19"/>
      <c r="DO44" s="19"/>
      <c r="DP44" s="19"/>
      <c r="DQ44" s="19"/>
      <c r="DR44" s="19"/>
      <c r="DS44" s="19"/>
      <c r="DT44" s="19"/>
      <c r="DU44" s="19"/>
      <c r="DV44" s="19"/>
      <c r="DW44" s="19"/>
      <c r="DX44" s="19"/>
      <c r="DY44" s="19"/>
      <c r="DZ44" s="19"/>
      <c r="EA44" s="19"/>
      <c r="EB44" s="19"/>
      <c r="EC44" s="19"/>
      <c r="ED44" s="19"/>
      <c r="EE44" s="19"/>
      <c r="EF44" s="19"/>
      <c r="EG44" s="19"/>
      <c r="EH44" s="19"/>
      <c r="EI44" s="19"/>
      <c r="EJ44" s="19"/>
      <c r="EK44" s="19"/>
      <c r="EL44" s="19"/>
      <c r="EM44" s="19"/>
      <c r="EN44" s="19"/>
      <c r="EO44" s="19"/>
      <c r="EP44" s="19"/>
      <c r="EQ44" s="19"/>
      <c r="ER44" s="19"/>
      <c r="ES44" s="19"/>
      <c r="ET44" s="19"/>
      <c r="EU44" s="19"/>
      <c r="EV44" s="19"/>
      <c r="EW44" s="19"/>
      <c r="EX44" s="19"/>
      <c r="EY44" s="19"/>
      <c r="EZ44" s="19"/>
      <c r="FA44" s="19"/>
      <c r="FB44" s="19"/>
      <c r="FC44" s="19"/>
      <c r="FD44" s="19"/>
      <c r="FE44" s="19"/>
      <c r="FF44" s="19"/>
      <c r="FG44" s="19"/>
      <c r="FH44" s="19"/>
      <c r="FI44" s="19"/>
      <c r="FJ44" s="19"/>
      <c r="FK44" s="19"/>
      <c r="FL44" s="19"/>
      <c r="FM44" s="19"/>
      <c r="FN44" s="19"/>
      <c r="FO44" s="19"/>
      <c r="FP44" s="19"/>
      <c r="FQ44" s="19"/>
      <c r="FR44" s="19"/>
      <c r="FS44" s="19"/>
      <c r="FT44" s="19"/>
      <c r="FU44" s="19"/>
      <c r="FV44" s="19"/>
      <c r="FW44" s="19"/>
      <c r="FX44" s="19"/>
      <c r="FY44" s="19"/>
      <c r="FZ44" s="19"/>
      <c r="GA44" s="19"/>
      <c r="GB44" s="19"/>
      <c r="GC44" s="19"/>
      <c r="GD44" s="19"/>
      <c r="GE44" s="19"/>
      <c r="GF44" s="19"/>
      <c r="GG44" s="19"/>
      <c r="GH44" s="19"/>
      <c r="GI44" s="19"/>
      <c r="GJ44" s="19"/>
      <c r="GK44" s="19"/>
      <c r="GL44" s="19"/>
      <c r="GM44" s="19"/>
      <c r="GN44" s="19"/>
      <c r="GO44" s="19"/>
      <c r="GP44" s="19"/>
      <c r="GQ44" s="19"/>
      <c r="GR44" s="19"/>
      <c r="GS44" s="19"/>
      <c r="GT44" s="19"/>
      <c r="GU44" s="19"/>
      <c r="GV44" s="19"/>
      <c r="GW44" s="19"/>
      <c r="GX44" s="19"/>
      <c r="GY44" s="19"/>
      <c r="GZ44" s="19"/>
      <c r="HA44" s="19"/>
      <c r="HB44" s="19"/>
      <c r="HC44" s="19"/>
      <c r="HD44" s="19"/>
      <c r="HE44" s="19"/>
      <c r="HF44" s="19"/>
      <c r="HG44" s="19"/>
      <c r="HH44" s="19"/>
      <c r="HI44" s="19"/>
      <c r="HJ44" s="19"/>
      <c r="HK44" s="19"/>
      <c r="HL44" s="19"/>
      <c r="HM44" s="19"/>
      <c r="HN44" s="19"/>
      <c r="HO44" s="19"/>
      <c r="HP44" s="19"/>
      <c r="HQ44" s="19"/>
      <c r="HR44" s="19"/>
      <c r="HS44" s="18"/>
      <c r="HT44" s="19"/>
      <c r="HU44" s="19"/>
      <c r="HV44" s="19"/>
      <c r="HW44" s="19"/>
      <c r="HX44" s="19"/>
      <c r="HY44" s="19"/>
      <c r="HZ44" s="19"/>
      <c r="IA44" s="19"/>
      <c r="IB44" s="19"/>
      <c r="IC44" s="19"/>
      <c r="ID44" s="19"/>
      <c r="IE44" s="19"/>
      <c r="IF44" s="19"/>
      <c r="IG44" s="19"/>
      <c r="IH44" s="19"/>
      <c r="II44" s="19"/>
      <c r="IJ44" s="19"/>
      <c r="IK44" s="19"/>
      <c r="IL44" s="19"/>
      <c r="IM44" s="19"/>
      <c r="IN44" s="19"/>
      <c r="IO44" s="19"/>
      <c r="IP44" s="19"/>
      <c r="IQ44" s="19"/>
      <c r="IR44" s="19"/>
      <c r="IS44" s="19"/>
      <c r="IT44" s="19"/>
      <c r="IU44" s="19"/>
      <c r="IV44" s="19"/>
      <c r="IW44" s="19"/>
      <c r="IX44" s="19"/>
      <c r="IY44" s="19"/>
      <c r="IZ44" s="19"/>
      <c r="JA44" s="19"/>
      <c r="JB44" s="19"/>
      <c r="JC44" s="19"/>
      <c r="JD44" s="19"/>
      <c r="JE44" s="19"/>
      <c r="JF44" s="19"/>
      <c r="JG44" s="19"/>
      <c r="JH44" s="19"/>
      <c r="JI44" s="19"/>
      <c r="JJ44" s="19"/>
      <c r="JK44" s="19"/>
      <c r="JL44" s="19"/>
      <c r="JM44" s="19"/>
      <c r="JN44" s="19"/>
      <c r="JO44" s="19"/>
      <c r="JP44" s="19"/>
      <c r="JQ44" s="19"/>
      <c r="JR44" s="19"/>
      <c r="JS44" s="19"/>
      <c r="JT44" s="19"/>
      <c r="JU44" s="19"/>
      <c r="JV44" s="19"/>
      <c r="JW44" s="19"/>
      <c r="JX44" s="19"/>
      <c r="JY44" s="19"/>
      <c r="JZ44" s="19"/>
      <c r="KA44" s="19"/>
      <c r="KB44" s="19"/>
      <c r="KC44" s="19"/>
      <c r="KD44" s="19"/>
      <c r="KE44" s="19"/>
      <c r="KF44" s="19"/>
      <c r="KG44" s="19"/>
      <c r="KH44" s="19"/>
      <c r="KI44" s="19"/>
      <c r="KJ44" s="19"/>
      <c r="KK44" s="19"/>
      <c r="KL44" s="19"/>
      <c r="KM44" s="19"/>
      <c r="KN44" s="19"/>
      <c r="KO44" s="19"/>
      <c r="KP44" s="19"/>
      <c r="KQ44" s="19"/>
      <c r="KR44" s="19"/>
      <c r="KS44" s="19"/>
      <c r="KT44" s="19"/>
      <c r="KU44" s="19"/>
      <c r="KV44" s="19"/>
      <c r="KW44" s="19"/>
      <c r="KX44" s="19"/>
      <c r="KY44" s="19"/>
      <c r="KZ44" s="19"/>
      <c r="LA44" s="19"/>
      <c r="LB44" s="19"/>
      <c r="LC44" s="19"/>
      <c r="LD44" s="19"/>
      <c r="LE44" s="19"/>
      <c r="LF44" s="19"/>
      <c r="LG44" s="19"/>
      <c r="LH44" s="19"/>
      <c r="LI44" s="19"/>
      <c r="LJ44" s="19"/>
      <c r="LK44" s="19"/>
      <c r="LL44" s="19"/>
      <c r="LM44" s="19"/>
      <c r="LN44" s="19"/>
      <c r="LO44" s="19"/>
      <c r="LP44" s="19"/>
      <c r="LQ44" s="19"/>
    </row>
    <row r="45" spans="1:329" x14ac:dyDescent="0.15">
      <c r="A45" s="2" t="s">
        <v>116</v>
      </c>
    </row>
    <row r="46" spans="1:329" x14ac:dyDescent="0.15">
      <c r="A46" s="2" t="s">
        <v>117</v>
      </c>
    </row>
    <row r="47" spans="1:329" x14ac:dyDescent="0.15">
      <c r="A47" s="2" t="s">
        <v>118</v>
      </c>
    </row>
    <row r="48" spans="1:329" x14ac:dyDescent="0.15">
      <c r="A48" s="2" t="s">
        <v>119</v>
      </c>
    </row>
    <row r="49" spans="1:329" x14ac:dyDescent="0.15">
      <c r="A49" s="2" t="s">
        <v>120</v>
      </c>
    </row>
    <row r="50" spans="1:329" x14ac:dyDescent="0.15">
      <c r="A50" s="2" t="s">
        <v>121</v>
      </c>
    </row>
    <row r="51" spans="1:329" s="20" customFormat="1" x14ac:dyDescent="0.15">
      <c r="A51" s="18" t="s">
        <v>122</v>
      </c>
      <c r="B51" s="19"/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19"/>
      <c r="Q51" s="19"/>
      <c r="R51" s="19"/>
      <c r="S51" s="19"/>
      <c r="T51" s="19"/>
      <c r="U51" s="19"/>
      <c r="V51" s="19"/>
      <c r="W51" s="19"/>
      <c r="X51" s="19"/>
      <c r="Y51" s="19"/>
      <c r="Z51" s="19"/>
      <c r="AA51" s="19"/>
      <c r="AB51" s="19"/>
      <c r="AC51" s="19"/>
      <c r="AD51" s="19"/>
      <c r="AE51" s="19"/>
      <c r="AF51" s="19"/>
      <c r="AG51" s="19"/>
      <c r="AH51" s="19"/>
      <c r="AI51" s="19"/>
      <c r="AJ51" s="19"/>
      <c r="AK51" s="19"/>
      <c r="AL51" s="19"/>
      <c r="AM51" s="19"/>
      <c r="AN51" s="19"/>
      <c r="AO51" s="19"/>
      <c r="AP51" s="19"/>
      <c r="AQ51" s="19"/>
      <c r="AR51" s="19"/>
      <c r="AS51" s="19"/>
      <c r="AT51" s="19"/>
      <c r="AU51" s="19"/>
      <c r="AV51" s="19"/>
      <c r="AW51" s="19"/>
      <c r="AX51" s="19"/>
      <c r="AY51" s="19"/>
      <c r="AZ51" s="19"/>
      <c r="BA51" s="19"/>
      <c r="BB51" s="19"/>
      <c r="BC51" s="19"/>
      <c r="BD51" s="19"/>
      <c r="BE51" s="19"/>
      <c r="BF51" s="19"/>
      <c r="BG51" s="19"/>
      <c r="BH51" s="19"/>
      <c r="BI51" s="19"/>
      <c r="BJ51" s="19"/>
      <c r="BK51" s="19"/>
      <c r="BL51" s="19"/>
      <c r="BM51" s="19"/>
      <c r="BN51" s="19"/>
      <c r="BO51" s="19"/>
      <c r="BP51" s="19"/>
      <c r="BQ51" s="19"/>
      <c r="BR51" s="19"/>
      <c r="BS51" s="19"/>
      <c r="BT51" s="19"/>
      <c r="BU51" s="19"/>
      <c r="BV51" s="19"/>
      <c r="BW51" s="19"/>
      <c r="BX51" s="19"/>
      <c r="BY51" s="19"/>
      <c r="BZ51" s="19"/>
      <c r="CA51" s="19"/>
      <c r="CB51" s="19"/>
      <c r="CC51" s="19"/>
      <c r="CD51" s="19"/>
      <c r="CE51" s="19"/>
      <c r="CF51" s="19"/>
      <c r="CG51" s="19"/>
      <c r="CH51" s="19"/>
      <c r="CI51" s="19"/>
      <c r="CJ51" s="19"/>
      <c r="CK51" s="19"/>
      <c r="CL51" s="19"/>
      <c r="CM51" s="19"/>
      <c r="CN51" s="19"/>
      <c r="CO51" s="19"/>
      <c r="CP51" s="19"/>
      <c r="CQ51" s="19"/>
      <c r="CR51" s="19"/>
      <c r="CS51" s="19"/>
      <c r="CT51" s="19"/>
      <c r="CU51" s="19"/>
      <c r="CV51" s="19"/>
      <c r="CW51" s="19"/>
      <c r="CX51" s="19"/>
      <c r="CY51" s="19"/>
      <c r="CZ51" s="19"/>
      <c r="DA51" s="19"/>
      <c r="DB51" s="19"/>
      <c r="DC51" s="19"/>
      <c r="DD51" s="19"/>
      <c r="DE51" s="19"/>
      <c r="DF51" s="19"/>
      <c r="DG51" s="19"/>
      <c r="DH51" s="19"/>
      <c r="DI51" s="19"/>
      <c r="DJ51" s="19"/>
      <c r="DK51" s="19"/>
      <c r="DL51" s="19"/>
      <c r="DM51" s="19"/>
      <c r="DN51" s="19"/>
      <c r="DO51" s="19"/>
      <c r="DP51" s="19"/>
      <c r="DQ51" s="19"/>
      <c r="DR51" s="19"/>
      <c r="DS51" s="19"/>
      <c r="DT51" s="19"/>
      <c r="DU51" s="19"/>
      <c r="DV51" s="19"/>
      <c r="DW51" s="19"/>
      <c r="DX51" s="19"/>
      <c r="DY51" s="19"/>
      <c r="DZ51" s="19"/>
      <c r="EA51" s="19"/>
      <c r="EB51" s="19"/>
      <c r="EC51" s="19"/>
      <c r="ED51" s="19"/>
      <c r="EE51" s="19"/>
      <c r="EF51" s="19"/>
      <c r="EG51" s="19"/>
      <c r="EH51" s="19"/>
      <c r="EI51" s="19"/>
      <c r="EJ51" s="19"/>
      <c r="EK51" s="19"/>
      <c r="EL51" s="19"/>
      <c r="EM51" s="19"/>
      <c r="EN51" s="19"/>
      <c r="EO51" s="19"/>
      <c r="EP51" s="19"/>
      <c r="EQ51" s="19"/>
      <c r="ER51" s="19"/>
      <c r="ES51" s="19"/>
      <c r="ET51" s="19"/>
      <c r="EU51" s="19"/>
      <c r="EV51" s="19"/>
      <c r="EW51" s="19"/>
      <c r="EX51" s="19"/>
      <c r="EY51" s="19"/>
      <c r="EZ51" s="19"/>
      <c r="FA51" s="19"/>
      <c r="FB51" s="19"/>
      <c r="FC51" s="19"/>
      <c r="FD51" s="19"/>
      <c r="FE51" s="19"/>
      <c r="FF51" s="19"/>
      <c r="FG51" s="19"/>
      <c r="FH51" s="19"/>
      <c r="FI51" s="19"/>
      <c r="FJ51" s="19"/>
      <c r="FK51" s="19"/>
      <c r="FL51" s="19"/>
      <c r="FM51" s="19"/>
      <c r="FN51" s="19"/>
      <c r="FO51" s="19"/>
      <c r="FP51" s="19"/>
      <c r="FQ51" s="19"/>
      <c r="FR51" s="19"/>
      <c r="FS51" s="19"/>
      <c r="FT51" s="19"/>
      <c r="FU51" s="19"/>
      <c r="FV51" s="19"/>
      <c r="FW51" s="19"/>
      <c r="FX51" s="19"/>
      <c r="FY51" s="19"/>
      <c r="FZ51" s="19"/>
      <c r="GA51" s="19"/>
      <c r="GB51" s="19"/>
      <c r="GC51" s="19"/>
      <c r="GD51" s="19"/>
      <c r="GE51" s="19"/>
      <c r="GF51" s="19"/>
      <c r="GG51" s="19"/>
      <c r="GH51" s="19"/>
      <c r="GI51" s="19"/>
      <c r="GJ51" s="19"/>
      <c r="GK51" s="19"/>
      <c r="GL51" s="19"/>
      <c r="GM51" s="19"/>
      <c r="GN51" s="19"/>
      <c r="GO51" s="19"/>
      <c r="GP51" s="19"/>
      <c r="GQ51" s="19"/>
      <c r="GR51" s="19"/>
      <c r="GS51" s="19"/>
      <c r="GT51" s="19"/>
      <c r="GU51" s="19"/>
      <c r="GV51" s="19"/>
      <c r="GW51" s="19"/>
      <c r="GX51" s="19"/>
      <c r="GY51" s="19"/>
      <c r="GZ51" s="19"/>
      <c r="HA51" s="19"/>
      <c r="HB51" s="19"/>
      <c r="HC51" s="19"/>
      <c r="HD51" s="19"/>
      <c r="HE51" s="19"/>
      <c r="HF51" s="19"/>
      <c r="HG51" s="19"/>
      <c r="HH51" s="19"/>
      <c r="HI51" s="19"/>
      <c r="HJ51" s="19"/>
      <c r="HK51" s="19"/>
      <c r="HL51" s="19"/>
      <c r="HM51" s="19"/>
      <c r="HN51" s="19"/>
      <c r="HO51" s="19"/>
      <c r="HP51" s="19"/>
      <c r="HQ51" s="19"/>
      <c r="HR51" s="19"/>
      <c r="HS51" s="18"/>
      <c r="HT51" s="19"/>
      <c r="HU51" s="19"/>
      <c r="HV51" s="19"/>
      <c r="HW51" s="19"/>
      <c r="HX51" s="19"/>
      <c r="HY51" s="19"/>
      <c r="HZ51" s="19"/>
      <c r="IA51" s="19"/>
      <c r="IB51" s="19"/>
      <c r="IC51" s="19"/>
      <c r="ID51" s="19"/>
      <c r="IE51" s="19"/>
      <c r="IF51" s="19"/>
      <c r="IG51" s="19"/>
      <c r="IH51" s="19"/>
      <c r="II51" s="19"/>
      <c r="IJ51" s="19"/>
      <c r="IK51" s="19"/>
      <c r="IL51" s="19"/>
      <c r="IM51" s="19"/>
      <c r="IN51" s="19"/>
      <c r="IO51" s="19"/>
      <c r="IP51" s="19"/>
      <c r="IQ51" s="19"/>
      <c r="IR51" s="19"/>
      <c r="IS51" s="19"/>
      <c r="IT51" s="19"/>
      <c r="IU51" s="19"/>
      <c r="IV51" s="19"/>
      <c r="IW51" s="19"/>
      <c r="IX51" s="19"/>
      <c r="IY51" s="19"/>
      <c r="IZ51" s="19"/>
      <c r="JA51" s="19"/>
      <c r="JB51" s="19"/>
      <c r="JC51" s="19"/>
      <c r="JD51" s="19"/>
      <c r="JE51" s="19"/>
      <c r="JF51" s="19"/>
      <c r="JG51" s="19"/>
      <c r="JH51" s="19"/>
      <c r="JI51" s="19"/>
      <c r="JJ51" s="19"/>
      <c r="JK51" s="19"/>
      <c r="JL51" s="19"/>
      <c r="JM51" s="19"/>
      <c r="JN51" s="19"/>
      <c r="JO51" s="19"/>
      <c r="JP51" s="19"/>
      <c r="JQ51" s="19"/>
      <c r="JR51" s="19"/>
      <c r="JS51" s="19"/>
      <c r="JT51" s="19"/>
      <c r="JU51" s="19"/>
      <c r="JV51" s="19"/>
      <c r="JW51" s="19"/>
      <c r="JX51" s="19"/>
      <c r="JY51" s="19"/>
      <c r="JZ51" s="19"/>
      <c r="KA51" s="19"/>
      <c r="KB51" s="19"/>
      <c r="KC51" s="19"/>
      <c r="KD51" s="19"/>
      <c r="KE51" s="19"/>
      <c r="KF51" s="19"/>
      <c r="KG51" s="19"/>
      <c r="KH51" s="19"/>
      <c r="KI51" s="19"/>
      <c r="KJ51" s="19"/>
      <c r="KK51" s="19"/>
      <c r="KL51" s="19"/>
      <c r="KM51" s="19"/>
      <c r="KN51" s="19"/>
      <c r="KO51" s="19"/>
      <c r="KP51" s="19"/>
      <c r="KQ51" s="19"/>
      <c r="KR51" s="19"/>
      <c r="KS51" s="19"/>
      <c r="KT51" s="19"/>
      <c r="KU51" s="19"/>
      <c r="KV51" s="19"/>
      <c r="KW51" s="19"/>
      <c r="KX51" s="19"/>
      <c r="KY51" s="19"/>
      <c r="KZ51" s="19"/>
      <c r="LA51" s="19"/>
      <c r="LB51" s="19"/>
      <c r="LC51" s="19"/>
      <c r="LD51" s="19"/>
      <c r="LE51" s="19"/>
      <c r="LF51" s="19"/>
      <c r="LG51" s="19"/>
      <c r="LH51" s="19"/>
      <c r="LI51" s="19"/>
      <c r="LJ51" s="19"/>
      <c r="LK51" s="19"/>
      <c r="LL51" s="19"/>
      <c r="LM51" s="19"/>
      <c r="LN51" s="19"/>
      <c r="LO51" s="19"/>
      <c r="LP51" s="19"/>
      <c r="LQ51" s="19"/>
    </row>
    <row r="52" spans="1:329" s="20" customFormat="1" x14ac:dyDescent="0.15">
      <c r="A52" s="18" t="s">
        <v>123</v>
      </c>
      <c r="B52" s="19"/>
      <c r="C52" s="19"/>
      <c r="D52" s="19"/>
      <c r="E52" s="19"/>
      <c r="F52" s="19"/>
      <c r="G52" s="19"/>
      <c r="H52" s="19"/>
      <c r="I52" s="19"/>
      <c r="J52" s="19"/>
      <c r="K52" s="19"/>
      <c r="L52" s="19"/>
      <c r="M52" s="19"/>
      <c r="N52" s="19"/>
      <c r="O52" s="19"/>
      <c r="P52" s="19"/>
      <c r="Q52" s="19"/>
      <c r="R52" s="19"/>
      <c r="S52" s="19"/>
      <c r="T52" s="19"/>
      <c r="U52" s="19"/>
      <c r="V52" s="19"/>
      <c r="W52" s="19"/>
      <c r="X52" s="19"/>
      <c r="Y52" s="19"/>
      <c r="Z52" s="19"/>
      <c r="AA52" s="19"/>
      <c r="AB52" s="19"/>
      <c r="AC52" s="19"/>
      <c r="AD52" s="19"/>
      <c r="AE52" s="19"/>
      <c r="AF52" s="19"/>
      <c r="AG52" s="19"/>
      <c r="AH52" s="19"/>
      <c r="AI52" s="19"/>
      <c r="AJ52" s="19"/>
      <c r="AK52" s="19"/>
      <c r="AL52" s="19"/>
      <c r="AM52" s="19"/>
      <c r="AN52" s="19"/>
      <c r="AO52" s="19"/>
      <c r="AP52" s="19"/>
      <c r="AQ52" s="19"/>
      <c r="AR52" s="19"/>
      <c r="AS52" s="19"/>
      <c r="AT52" s="19"/>
      <c r="AU52" s="19"/>
      <c r="AV52" s="19"/>
      <c r="AW52" s="19"/>
      <c r="AX52" s="19"/>
      <c r="AY52" s="19"/>
      <c r="AZ52" s="19"/>
      <c r="BA52" s="19"/>
      <c r="BB52" s="19"/>
      <c r="BC52" s="19"/>
      <c r="BD52" s="19"/>
      <c r="BE52" s="19"/>
      <c r="BF52" s="19"/>
      <c r="BG52" s="19"/>
      <c r="BH52" s="19"/>
      <c r="BI52" s="19"/>
      <c r="BJ52" s="19"/>
      <c r="BK52" s="19"/>
      <c r="BL52" s="19"/>
      <c r="BM52" s="19"/>
      <c r="BN52" s="19"/>
      <c r="BO52" s="19"/>
      <c r="BP52" s="19"/>
      <c r="BQ52" s="19"/>
      <c r="BR52" s="19"/>
      <c r="BS52" s="19"/>
      <c r="BT52" s="19"/>
      <c r="BU52" s="19"/>
      <c r="BV52" s="19"/>
      <c r="BW52" s="19"/>
      <c r="BX52" s="19"/>
      <c r="BY52" s="19"/>
      <c r="BZ52" s="19"/>
      <c r="CA52" s="19"/>
      <c r="CB52" s="19"/>
      <c r="CC52" s="19"/>
      <c r="CD52" s="19"/>
      <c r="CE52" s="19"/>
      <c r="CF52" s="19"/>
      <c r="CG52" s="19"/>
      <c r="CH52" s="19"/>
      <c r="CI52" s="19"/>
      <c r="CJ52" s="19"/>
      <c r="CK52" s="19"/>
      <c r="CL52" s="19"/>
      <c r="CM52" s="19"/>
      <c r="CN52" s="19"/>
      <c r="CO52" s="19"/>
      <c r="CP52" s="19"/>
      <c r="CQ52" s="19"/>
      <c r="CR52" s="19"/>
      <c r="CS52" s="19"/>
      <c r="CT52" s="19"/>
      <c r="CU52" s="19"/>
      <c r="CV52" s="19"/>
      <c r="CW52" s="19"/>
      <c r="CX52" s="19"/>
      <c r="CY52" s="19"/>
      <c r="CZ52" s="19"/>
      <c r="DA52" s="19"/>
      <c r="DB52" s="19"/>
      <c r="DC52" s="19"/>
      <c r="DD52" s="19"/>
      <c r="DE52" s="19"/>
      <c r="DF52" s="19"/>
      <c r="DG52" s="19"/>
      <c r="DH52" s="19"/>
      <c r="DI52" s="19"/>
      <c r="DJ52" s="19"/>
      <c r="DK52" s="19"/>
      <c r="DL52" s="19"/>
      <c r="DM52" s="19"/>
      <c r="DN52" s="19"/>
      <c r="DO52" s="19"/>
      <c r="DP52" s="19"/>
      <c r="DQ52" s="19"/>
      <c r="DR52" s="19"/>
      <c r="DS52" s="19"/>
      <c r="DT52" s="19"/>
      <c r="DU52" s="19"/>
      <c r="DV52" s="19"/>
      <c r="DW52" s="19"/>
      <c r="DX52" s="19"/>
      <c r="DY52" s="19"/>
      <c r="DZ52" s="19"/>
      <c r="EA52" s="19"/>
      <c r="EB52" s="19"/>
      <c r="EC52" s="19"/>
      <c r="ED52" s="19"/>
      <c r="EE52" s="19"/>
      <c r="EF52" s="19"/>
      <c r="EG52" s="19"/>
      <c r="EH52" s="19"/>
      <c r="EI52" s="19"/>
      <c r="EJ52" s="19"/>
      <c r="EK52" s="19"/>
      <c r="EL52" s="19"/>
      <c r="EM52" s="19"/>
      <c r="EN52" s="19"/>
      <c r="EO52" s="19"/>
      <c r="EP52" s="19"/>
      <c r="EQ52" s="19"/>
      <c r="ER52" s="19"/>
      <c r="ES52" s="19"/>
      <c r="ET52" s="19"/>
      <c r="EU52" s="19"/>
      <c r="EV52" s="19"/>
      <c r="EW52" s="19"/>
      <c r="EX52" s="19"/>
      <c r="EY52" s="19"/>
      <c r="EZ52" s="19"/>
      <c r="FA52" s="19"/>
      <c r="FB52" s="19"/>
      <c r="FC52" s="19"/>
      <c r="FD52" s="19"/>
      <c r="FE52" s="19"/>
      <c r="FF52" s="19"/>
      <c r="FG52" s="19"/>
      <c r="FH52" s="19"/>
      <c r="FI52" s="19"/>
      <c r="FJ52" s="19"/>
      <c r="FK52" s="19"/>
      <c r="FL52" s="19"/>
      <c r="FM52" s="19"/>
      <c r="FN52" s="19"/>
      <c r="FO52" s="19"/>
      <c r="FP52" s="19"/>
      <c r="FQ52" s="19"/>
      <c r="FR52" s="19"/>
      <c r="FS52" s="19"/>
      <c r="FT52" s="19"/>
      <c r="FU52" s="19"/>
      <c r="FV52" s="19"/>
      <c r="FW52" s="19"/>
      <c r="FX52" s="19"/>
      <c r="FY52" s="19"/>
      <c r="FZ52" s="19"/>
      <c r="GA52" s="19"/>
      <c r="GB52" s="19"/>
      <c r="GC52" s="19"/>
      <c r="GD52" s="19"/>
      <c r="GE52" s="19"/>
      <c r="GF52" s="19"/>
      <c r="GG52" s="19"/>
      <c r="GH52" s="19"/>
      <c r="GI52" s="19"/>
      <c r="GJ52" s="19"/>
      <c r="GK52" s="19"/>
      <c r="GL52" s="19"/>
      <c r="GM52" s="19"/>
      <c r="GN52" s="19"/>
      <c r="GO52" s="19"/>
      <c r="GP52" s="19"/>
      <c r="GQ52" s="19"/>
      <c r="GR52" s="19"/>
      <c r="GS52" s="19"/>
      <c r="GT52" s="19"/>
      <c r="GU52" s="19"/>
      <c r="GV52" s="19"/>
      <c r="GW52" s="19"/>
      <c r="GX52" s="19"/>
      <c r="GY52" s="19"/>
      <c r="GZ52" s="19"/>
      <c r="HA52" s="19"/>
      <c r="HB52" s="19"/>
      <c r="HC52" s="19"/>
      <c r="HD52" s="19"/>
      <c r="HE52" s="19"/>
      <c r="HF52" s="19"/>
      <c r="HG52" s="19"/>
      <c r="HH52" s="19"/>
      <c r="HI52" s="19"/>
      <c r="HJ52" s="19"/>
      <c r="HK52" s="19"/>
      <c r="HL52" s="19"/>
      <c r="HM52" s="19"/>
      <c r="HN52" s="19"/>
      <c r="HO52" s="19"/>
      <c r="HP52" s="19"/>
      <c r="HQ52" s="19"/>
      <c r="HR52" s="19"/>
      <c r="HS52" s="18"/>
      <c r="HT52" s="19"/>
      <c r="HU52" s="19"/>
      <c r="HV52" s="19"/>
      <c r="HW52" s="19"/>
      <c r="HX52" s="19"/>
      <c r="HY52" s="19"/>
      <c r="HZ52" s="19"/>
      <c r="IA52" s="19"/>
      <c r="IB52" s="19"/>
      <c r="IC52" s="19"/>
      <c r="ID52" s="19"/>
      <c r="IE52" s="19"/>
      <c r="IF52" s="19"/>
      <c r="IG52" s="19"/>
      <c r="IH52" s="19"/>
      <c r="II52" s="19"/>
      <c r="IJ52" s="19"/>
      <c r="IK52" s="19"/>
      <c r="IL52" s="19"/>
      <c r="IM52" s="19"/>
      <c r="IN52" s="19"/>
      <c r="IO52" s="19"/>
      <c r="IP52" s="19"/>
      <c r="IQ52" s="19"/>
      <c r="IR52" s="19"/>
      <c r="IS52" s="19"/>
      <c r="IT52" s="19"/>
      <c r="IU52" s="19"/>
      <c r="IV52" s="19"/>
      <c r="IW52" s="19"/>
      <c r="IX52" s="19"/>
      <c r="IY52" s="19"/>
      <c r="IZ52" s="19"/>
      <c r="JA52" s="19"/>
      <c r="JB52" s="19"/>
      <c r="JC52" s="19"/>
      <c r="JD52" s="19"/>
      <c r="JE52" s="19"/>
      <c r="JF52" s="19"/>
      <c r="JG52" s="19"/>
      <c r="JH52" s="19"/>
      <c r="JI52" s="19"/>
      <c r="JJ52" s="19"/>
      <c r="JK52" s="19"/>
      <c r="JL52" s="19"/>
      <c r="JM52" s="19"/>
      <c r="JN52" s="19"/>
      <c r="JO52" s="19"/>
      <c r="JP52" s="19"/>
      <c r="JQ52" s="19"/>
      <c r="JR52" s="19"/>
      <c r="JS52" s="19"/>
      <c r="JT52" s="19"/>
      <c r="JU52" s="19"/>
      <c r="JV52" s="19"/>
      <c r="JW52" s="19"/>
      <c r="JX52" s="19"/>
      <c r="JY52" s="19"/>
      <c r="JZ52" s="19"/>
      <c r="KA52" s="19"/>
      <c r="KB52" s="19"/>
      <c r="KC52" s="19"/>
      <c r="KD52" s="19"/>
      <c r="KE52" s="19"/>
      <c r="KF52" s="19"/>
      <c r="KG52" s="19"/>
      <c r="KH52" s="19"/>
      <c r="KI52" s="19"/>
      <c r="KJ52" s="19"/>
      <c r="KK52" s="19"/>
      <c r="KL52" s="19"/>
      <c r="KM52" s="19"/>
      <c r="KN52" s="19"/>
      <c r="KO52" s="19"/>
      <c r="KP52" s="19"/>
      <c r="KQ52" s="19"/>
      <c r="KR52" s="19"/>
      <c r="KS52" s="19"/>
      <c r="KT52" s="19"/>
      <c r="KU52" s="19"/>
      <c r="KV52" s="19"/>
      <c r="KW52" s="19"/>
      <c r="KX52" s="19"/>
      <c r="KY52" s="19"/>
      <c r="KZ52" s="19"/>
      <c r="LA52" s="19"/>
      <c r="LB52" s="19"/>
      <c r="LC52" s="19"/>
      <c r="LD52" s="19"/>
      <c r="LE52" s="19"/>
      <c r="LF52" s="19"/>
      <c r="LG52" s="19"/>
      <c r="LH52" s="19"/>
      <c r="LI52" s="19"/>
      <c r="LJ52" s="19"/>
      <c r="LK52" s="19"/>
      <c r="LL52" s="19"/>
      <c r="LM52" s="19"/>
      <c r="LN52" s="19"/>
      <c r="LO52" s="19"/>
      <c r="LP52" s="19"/>
      <c r="LQ52" s="19"/>
    </row>
    <row r="53" spans="1:329" s="20" customFormat="1" x14ac:dyDescent="0.15">
      <c r="A53" s="18" t="s">
        <v>124</v>
      </c>
      <c r="B53" s="19"/>
      <c r="C53" s="19"/>
      <c r="D53" s="19"/>
      <c r="E53" s="19"/>
      <c r="F53" s="19"/>
      <c r="G53" s="19"/>
      <c r="H53" s="19"/>
      <c r="I53" s="19"/>
      <c r="J53" s="19"/>
      <c r="K53" s="19"/>
      <c r="L53" s="19"/>
      <c r="M53" s="19"/>
      <c r="N53" s="19"/>
      <c r="O53" s="19"/>
      <c r="P53" s="19"/>
      <c r="Q53" s="19"/>
      <c r="R53" s="19"/>
      <c r="S53" s="19"/>
      <c r="T53" s="19"/>
      <c r="U53" s="19"/>
      <c r="V53" s="19"/>
      <c r="W53" s="19"/>
      <c r="X53" s="19"/>
      <c r="Y53" s="19"/>
      <c r="Z53" s="19"/>
      <c r="AA53" s="19"/>
      <c r="AB53" s="19"/>
      <c r="AC53" s="19"/>
      <c r="AD53" s="19"/>
      <c r="AE53" s="19"/>
      <c r="AF53" s="19"/>
      <c r="AG53" s="19"/>
      <c r="AH53" s="19"/>
      <c r="AI53" s="19"/>
      <c r="AJ53" s="19"/>
      <c r="AK53" s="19"/>
      <c r="AL53" s="19"/>
      <c r="AM53" s="19"/>
      <c r="AN53" s="19"/>
      <c r="AO53" s="19"/>
      <c r="AP53" s="19"/>
      <c r="AQ53" s="19"/>
      <c r="AR53" s="19"/>
      <c r="AS53" s="19"/>
      <c r="AT53" s="19"/>
      <c r="AU53" s="19"/>
      <c r="AV53" s="19"/>
      <c r="AW53" s="19"/>
      <c r="AX53" s="19"/>
      <c r="AY53" s="19"/>
      <c r="AZ53" s="19"/>
      <c r="BA53" s="19"/>
      <c r="BB53" s="19"/>
      <c r="BC53" s="19"/>
      <c r="BD53" s="19"/>
      <c r="BE53" s="19"/>
      <c r="BF53" s="19"/>
      <c r="BG53" s="19"/>
      <c r="BH53" s="19"/>
      <c r="BI53" s="19"/>
      <c r="BJ53" s="19"/>
      <c r="BK53" s="19"/>
      <c r="BL53" s="19"/>
      <c r="BM53" s="19"/>
      <c r="BN53" s="19"/>
      <c r="BO53" s="19"/>
      <c r="BP53" s="19"/>
      <c r="BQ53" s="19"/>
      <c r="BR53" s="19"/>
      <c r="BS53" s="19"/>
      <c r="BT53" s="19"/>
      <c r="BU53" s="19"/>
      <c r="BV53" s="19"/>
      <c r="BW53" s="19"/>
      <c r="BX53" s="19"/>
      <c r="BY53" s="19"/>
      <c r="BZ53" s="19"/>
      <c r="CA53" s="19"/>
      <c r="CB53" s="19"/>
      <c r="CC53" s="19"/>
      <c r="CD53" s="19"/>
      <c r="CE53" s="19"/>
      <c r="CF53" s="19"/>
      <c r="CG53" s="19"/>
      <c r="CH53" s="19"/>
      <c r="CI53" s="19"/>
      <c r="CJ53" s="19"/>
      <c r="CK53" s="19"/>
      <c r="CL53" s="19"/>
      <c r="CM53" s="19"/>
      <c r="CN53" s="19"/>
      <c r="CO53" s="19"/>
      <c r="CP53" s="19"/>
      <c r="CQ53" s="19"/>
      <c r="CR53" s="19"/>
      <c r="CS53" s="19"/>
      <c r="CT53" s="19"/>
      <c r="CU53" s="19"/>
      <c r="CV53" s="19"/>
      <c r="CW53" s="19"/>
      <c r="CX53" s="19"/>
      <c r="CY53" s="19"/>
      <c r="CZ53" s="19"/>
      <c r="DA53" s="19"/>
      <c r="DB53" s="19"/>
      <c r="DC53" s="19"/>
      <c r="DD53" s="19"/>
      <c r="DE53" s="19"/>
      <c r="DF53" s="19"/>
      <c r="DG53" s="19"/>
      <c r="DH53" s="19"/>
      <c r="DI53" s="19"/>
      <c r="DJ53" s="19"/>
      <c r="DK53" s="19"/>
      <c r="DL53" s="19"/>
      <c r="DM53" s="19"/>
      <c r="DN53" s="19"/>
      <c r="DO53" s="19"/>
      <c r="DP53" s="19"/>
      <c r="DQ53" s="19"/>
      <c r="DR53" s="19"/>
      <c r="DS53" s="19"/>
      <c r="DT53" s="19"/>
      <c r="DU53" s="19"/>
      <c r="DV53" s="19"/>
      <c r="DW53" s="19"/>
      <c r="DX53" s="19"/>
      <c r="DY53" s="19"/>
      <c r="DZ53" s="19"/>
      <c r="EA53" s="19"/>
      <c r="EB53" s="19"/>
      <c r="EC53" s="19"/>
      <c r="ED53" s="19"/>
      <c r="EE53" s="19"/>
      <c r="EF53" s="19"/>
      <c r="EG53" s="19"/>
      <c r="EH53" s="19"/>
      <c r="EI53" s="19"/>
      <c r="EJ53" s="19"/>
      <c r="EK53" s="19"/>
      <c r="EL53" s="19"/>
      <c r="EM53" s="19"/>
      <c r="EN53" s="19"/>
      <c r="EO53" s="19"/>
      <c r="EP53" s="19"/>
      <c r="EQ53" s="19"/>
      <c r="ER53" s="19"/>
      <c r="ES53" s="19"/>
      <c r="ET53" s="19"/>
      <c r="EU53" s="19"/>
      <c r="EV53" s="19"/>
      <c r="EW53" s="19"/>
      <c r="EX53" s="19"/>
      <c r="EY53" s="19"/>
      <c r="EZ53" s="19"/>
      <c r="FA53" s="19"/>
      <c r="FB53" s="19"/>
      <c r="FC53" s="19"/>
      <c r="FD53" s="19"/>
      <c r="FE53" s="19"/>
      <c r="FF53" s="19"/>
      <c r="FG53" s="19"/>
      <c r="FH53" s="19"/>
      <c r="FI53" s="19"/>
      <c r="FJ53" s="19"/>
      <c r="FK53" s="19"/>
      <c r="FL53" s="19"/>
      <c r="FM53" s="19"/>
      <c r="FN53" s="19"/>
      <c r="FO53" s="19"/>
      <c r="FP53" s="19"/>
      <c r="FQ53" s="19"/>
      <c r="FR53" s="19"/>
      <c r="FS53" s="19"/>
      <c r="FT53" s="19"/>
      <c r="FU53" s="19"/>
      <c r="FV53" s="19"/>
      <c r="FW53" s="19"/>
      <c r="FX53" s="19"/>
      <c r="FY53" s="19"/>
      <c r="FZ53" s="19"/>
      <c r="GA53" s="19"/>
      <c r="GB53" s="19"/>
      <c r="GC53" s="19"/>
      <c r="GD53" s="19"/>
      <c r="GE53" s="19"/>
      <c r="GF53" s="19"/>
      <c r="GG53" s="19"/>
      <c r="GH53" s="19"/>
      <c r="GI53" s="19"/>
      <c r="GJ53" s="19"/>
      <c r="GK53" s="19"/>
      <c r="GL53" s="19"/>
      <c r="GM53" s="19"/>
      <c r="GN53" s="19"/>
      <c r="GO53" s="19"/>
      <c r="GP53" s="19"/>
      <c r="GQ53" s="19"/>
      <c r="GR53" s="19"/>
      <c r="GS53" s="19"/>
      <c r="GT53" s="19"/>
      <c r="GU53" s="19"/>
      <c r="GV53" s="19"/>
      <c r="GW53" s="19"/>
      <c r="GX53" s="19"/>
      <c r="GY53" s="19"/>
      <c r="GZ53" s="19"/>
      <c r="HA53" s="19"/>
      <c r="HB53" s="19"/>
      <c r="HC53" s="19"/>
      <c r="HD53" s="19"/>
      <c r="HE53" s="19"/>
      <c r="HF53" s="19"/>
      <c r="HG53" s="19"/>
      <c r="HH53" s="19"/>
      <c r="HI53" s="19"/>
      <c r="HJ53" s="19"/>
      <c r="HK53" s="19"/>
      <c r="HL53" s="19"/>
      <c r="HM53" s="19"/>
      <c r="HN53" s="19"/>
      <c r="HO53" s="19"/>
      <c r="HP53" s="19"/>
      <c r="HQ53" s="19"/>
      <c r="HR53" s="19"/>
      <c r="HS53" s="18"/>
      <c r="HT53" s="19"/>
      <c r="HU53" s="19"/>
      <c r="HV53" s="19"/>
      <c r="HW53" s="19"/>
      <c r="HX53" s="19"/>
      <c r="HY53" s="19"/>
      <c r="HZ53" s="19"/>
      <c r="IA53" s="19"/>
      <c r="IB53" s="19"/>
      <c r="IC53" s="19"/>
      <c r="ID53" s="19"/>
      <c r="IE53" s="19"/>
      <c r="IF53" s="19"/>
      <c r="IG53" s="19"/>
      <c r="IH53" s="19"/>
      <c r="II53" s="19"/>
      <c r="IJ53" s="19"/>
      <c r="IK53" s="19"/>
      <c r="IL53" s="19"/>
      <c r="IM53" s="19"/>
      <c r="IN53" s="19"/>
      <c r="IO53" s="19"/>
      <c r="IP53" s="19"/>
      <c r="IQ53" s="19"/>
      <c r="IR53" s="19"/>
      <c r="IS53" s="19"/>
      <c r="IT53" s="19"/>
      <c r="IU53" s="19"/>
      <c r="IV53" s="19"/>
      <c r="IW53" s="19"/>
      <c r="IX53" s="19"/>
      <c r="IY53" s="19"/>
      <c r="IZ53" s="19"/>
      <c r="JA53" s="19"/>
      <c r="JB53" s="19"/>
      <c r="JC53" s="19"/>
      <c r="JD53" s="19"/>
      <c r="JE53" s="19"/>
      <c r="JF53" s="19"/>
      <c r="JG53" s="19"/>
      <c r="JH53" s="19"/>
      <c r="JI53" s="19"/>
      <c r="JJ53" s="19"/>
      <c r="JK53" s="19"/>
      <c r="JL53" s="19"/>
      <c r="JM53" s="19"/>
      <c r="JN53" s="19"/>
      <c r="JO53" s="19"/>
      <c r="JP53" s="19"/>
      <c r="JQ53" s="19"/>
      <c r="JR53" s="19"/>
      <c r="JS53" s="19"/>
      <c r="JT53" s="19"/>
      <c r="JU53" s="19"/>
      <c r="JV53" s="19"/>
      <c r="JW53" s="19"/>
      <c r="JX53" s="19"/>
      <c r="JY53" s="19"/>
      <c r="JZ53" s="19"/>
      <c r="KA53" s="19"/>
      <c r="KB53" s="19"/>
      <c r="KC53" s="19"/>
      <c r="KD53" s="19"/>
      <c r="KE53" s="19"/>
      <c r="KF53" s="19"/>
      <c r="KG53" s="19"/>
      <c r="KH53" s="19"/>
      <c r="KI53" s="19"/>
      <c r="KJ53" s="19"/>
      <c r="KK53" s="19"/>
      <c r="KL53" s="19"/>
      <c r="KM53" s="19"/>
      <c r="KN53" s="19"/>
      <c r="KO53" s="19"/>
      <c r="KP53" s="19"/>
      <c r="KQ53" s="19"/>
      <c r="KR53" s="19"/>
      <c r="KS53" s="19"/>
      <c r="KT53" s="19"/>
      <c r="KU53" s="19"/>
      <c r="KV53" s="19"/>
      <c r="KW53" s="19"/>
      <c r="KX53" s="19"/>
      <c r="KY53" s="19"/>
      <c r="KZ53" s="19"/>
      <c r="LA53" s="19"/>
      <c r="LB53" s="19"/>
      <c r="LC53" s="19"/>
      <c r="LD53" s="19"/>
      <c r="LE53" s="19"/>
      <c r="LF53" s="19"/>
      <c r="LG53" s="19"/>
      <c r="LH53" s="19"/>
      <c r="LI53" s="19"/>
      <c r="LJ53" s="19"/>
      <c r="LK53" s="19"/>
      <c r="LL53" s="19"/>
      <c r="LM53" s="19"/>
      <c r="LN53" s="19"/>
      <c r="LO53" s="19"/>
      <c r="LP53" s="19"/>
      <c r="LQ53" s="19"/>
    </row>
    <row r="54" spans="1:329" s="20" customFormat="1" x14ac:dyDescent="0.15">
      <c r="A54" s="18" t="s">
        <v>125</v>
      </c>
      <c r="B54" s="19"/>
      <c r="C54" s="19"/>
      <c r="D54" s="19"/>
      <c r="E54" s="19"/>
      <c r="F54" s="19"/>
      <c r="G54" s="19"/>
      <c r="H54" s="19"/>
      <c r="I54" s="19"/>
      <c r="J54" s="19"/>
      <c r="K54" s="19"/>
      <c r="L54" s="19"/>
      <c r="M54" s="19"/>
      <c r="N54" s="19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Z54" s="19"/>
      <c r="AA54" s="19"/>
      <c r="AB54" s="19"/>
      <c r="AC54" s="19"/>
      <c r="AD54" s="19"/>
      <c r="AE54" s="19"/>
      <c r="AF54" s="19"/>
      <c r="AG54" s="19"/>
      <c r="AH54" s="19"/>
      <c r="AI54" s="19"/>
      <c r="AJ54" s="19"/>
      <c r="AK54" s="19"/>
      <c r="AL54" s="19"/>
      <c r="AM54" s="19"/>
      <c r="AN54" s="19"/>
      <c r="AO54" s="19"/>
      <c r="AP54" s="19"/>
      <c r="AQ54" s="19"/>
      <c r="AR54" s="19"/>
      <c r="AS54" s="19"/>
      <c r="AT54" s="19"/>
      <c r="AU54" s="19"/>
      <c r="AV54" s="19"/>
      <c r="AW54" s="19"/>
      <c r="AX54" s="19"/>
      <c r="AY54" s="19"/>
      <c r="AZ54" s="19"/>
      <c r="BA54" s="19"/>
      <c r="BB54" s="19"/>
      <c r="BC54" s="19"/>
      <c r="BD54" s="19"/>
      <c r="BE54" s="19"/>
      <c r="BF54" s="19"/>
      <c r="BG54" s="19"/>
      <c r="BH54" s="19"/>
      <c r="BI54" s="19"/>
      <c r="BJ54" s="19"/>
      <c r="BK54" s="19"/>
      <c r="BL54" s="19"/>
      <c r="BM54" s="19"/>
      <c r="BN54" s="19"/>
      <c r="BO54" s="19"/>
      <c r="BP54" s="19"/>
      <c r="BQ54" s="19"/>
      <c r="BR54" s="19"/>
      <c r="BS54" s="19"/>
      <c r="BT54" s="19"/>
      <c r="BU54" s="19"/>
      <c r="BV54" s="19"/>
      <c r="BW54" s="19"/>
      <c r="BX54" s="19"/>
      <c r="BY54" s="19"/>
      <c r="BZ54" s="19"/>
      <c r="CA54" s="19"/>
      <c r="CB54" s="19"/>
      <c r="CC54" s="19"/>
      <c r="CD54" s="19"/>
      <c r="CE54" s="19"/>
      <c r="CF54" s="19"/>
      <c r="CG54" s="19"/>
      <c r="CH54" s="19"/>
      <c r="CI54" s="19"/>
      <c r="CJ54" s="19"/>
      <c r="CK54" s="19"/>
      <c r="CL54" s="19"/>
      <c r="CM54" s="19"/>
      <c r="CN54" s="19"/>
      <c r="CO54" s="19"/>
      <c r="CP54" s="19"/>
      <c r="CQ54" s="19"/>
      <c r="CR54" s="19"/>
      <c r="CS54" s="19"/>
      <c r="CT54" s="19"/>
      <c r="CU54" s="19"/>
      <c r="CV54" s="19"/>
      <c r="CW54" s="19"/>
      <c r="CX54" s="19"/>
      <c r="CY54" s="19"/>
      <c r="CZ54" s="19"/>
      <c r="DA54" s="19"/>
      <c r="DB54" s="19"/>
      <c r="DC54" s="19"/>
      <c r="DD54" s="19"/>
      <c r="DE54" s="19"/>
      <c r="DF54" s="19"/>
      <c r="DG54" s="19"/>
      <c r="DH54" s="19"/>
      <c r="DI54" s="19"/>
      <c r="DJ54" s="19"/>
      <c r="DK54" s="19"/>
      <c r="DL54" s="19"/>
      <c r="DM54" s="19"/>
      <c r="DN54" s="19"/>
      <c r="DO54" s="19"/>
      <c r="DP54" s="19"/>
      <c r="DQ54" s="19"/>
      <c r="DR54" s="19"/>
      <c r="DS54" s="19"/>
      <c r="DT54" s="19"/>
      <c r="DU54" s="19"/>
      <c r="DV54" s="19"/>
      <c r="DW54" s="19"/>
      <c r="DX54" s="19"/>
      <c r="DY54" s="19"/>
      <c r="DZ54" s="19"/>
      <c r="EA54" s="19"/>
      <c r="EB54" s="19"/>
      <c r="EC54" s="19"/>
      <c r="ED54" s="19"/>
      <c r="EE54" s="19"/>
      <c r="EF54" s="19"/>
      <c r="EG54" s="19"/>
      <c r="EH54" s="19"/>
      <c r="EI54" s="19"/>
      <c r="EJ54" s="19"/>
      <c r="EK54" s="19"/>
      <c r="EL54" s="19"/>
      <c r="EM54" s="19"/>
      <c r="EN54" s="19"/>
      <c r="EO54" s="19"/>
      <c r="EP54" s="19"/>
      <c r="EQ54" s="19"/>
      <c r="ER54" s="19"/>
      <c r="ES54" s="19"/>
      <c r="ET54" s="19"/>
      <c r="EU54" s="19"/>
      <c r="EV54" s="19"/>
      <c r="EW54" s="19"/>
      <c r="EX54" s="19"/>
      <c r="EY54" s="19"/>
      <c r="EZ54" s="19"/>
      <c r="FA54" s="19"/>
      <c r="FB54" s="19"/>
      <c r="FC54" s="19"/>
      <c r="FD54" s="19"/>
      <c r="FE54" s="19"/>
      <c r="FF54" s="19"/>
      <c r="FG54" s="19"/>
      <c r="FH54" s="19"/>
      <c r="FI54" s="19"/>
      <c r="FJ54" s="19"/>
      <c r="FK54" s="19"/>
      <c r="FL54" s="19"/>
      <c r="FM54" s="19"/>
      <c r="FN54" s="19"/>
      <c r="FO54" s="19"/>
      <c r="FP54" s="19"/>
      <c r="FQ54" s="19"/>
      <c r="FR54" s="19"/>
      <c r="FS54" s="19"/>
      <c r="FT54" s="19"/>
      <c r="FU54" s="19"/>
      <c r="FV54" s="19"/>
      <c r="FW54" s="19"/>
      <c r="FX54" s="19"/>
      <c r="FY54" s="19"/>
      <c r="FZ54" s="19"/>
      <c r="GA54" s="19"/>
      <c r="GB54" s="19"/>
      <c r="GC54" s="19"/>
      <c r="GD54" s="19"/>
      <c r="GE54" s="19"/>
      <c r="GF54" s="19"/>
      <c r="GG54" s="19"/>
      <c r="GH54" s="19"/>
      <c r="GI54" s="19"/>
      <c r="GJ54" s="19"/>
      <c r="GK54" s="19"/>
      <c r="GL54" s="19"/>
      <c r="GM54" s="19"/>
      <c r="GN54" s="19"/>
      <c r="GO54" s="19"/>
      <c r="GP54" s="19"/>
      <c r="GQ54" s="19"/>
      <c r="GR54" s="19"/>
      <c r="GS54" s="19"/>
      <c r="GT54" s="19"/>
      <c r="GU54" s="19"/>
      <c r="GV54" s="19"/>
      <c r="GW54" s="19"/>
      <c r="GX54" s="19"/>
      <c r="GY54" s="19"/>
      <c r="GZ54" s="19"/>
      <c r="HA54" s="19"/>
      <c r="HB54" s="19"/>
      <c r="HC54" s="19"/>
      <c r="HD54" s="19"/>
      <c r="HE54" s="19"/>
      <c r="HF54" s="19"/>
      <c r="HG54" s="19"/>
      <c r="HH54" s="19"/>
      <c r="HI54" s="19"/>
      <c r="HJ54" s="19"/>
      <c r="HK54" s="19"/>
      <c r="HL54" s="19"/>
      <c r="HM54" s="19"/>
      <c r="HN54" s="19"/>
      <c r="HO54" s="19"/>
      <c r="HP54" s="19"/>
      <c r="HQ54" s="19"/>
      <c r="HR54" s="19"/>
      <c r="HS54" s="18"/>
      <c r="HT54" s="19"/>
      <c r="HU54" s="19"/>
      <c r="HV54" s="19"/>
      <c r="HW54" s="19"/>
      <c r="HX54" s="19"/>
      <c r="HY54" s="19"/>
      <c r="HZ54" s="19"/>
      <c r="IA54" s="19"/>
      <c r="IB54" s="19"/>
      <c r="IC54" s="19"/>
      <c r="ID54" s="19"/>
      <c r="IE54" s="19"/>
      <c r="IF54" s="19"/>
      <c r="IG54" s="19"/>
      <c r="IH54" s="19"/>
      <c r="II54" s="19"/>
      <c r="IJ54" s="19"/>
      <c r="IK54" s="19"/>
      <c r="IL54" s="19"/>
      <c r="IM54" s="19"/>
      <c r="IN54" s="19"/>
      <c r="IO54" s="19"/>
      <c r="IP54" s="19"/>
      <c r="IQ54" s="19"/>
      <c r="IR54" s="19"/>
      <c r="IS54" s="19"/>
      <c r="IT54" s="19"/>
      <c r="IU54" s="19"/>
      <c r="IV54" s="19"/>
      <c r="IW54" s="19"/>
      <c r="IX54" s="19"/>
      <c r="IY54" s="19"/>
      <c r="IZ54" s="19"/>
      <c r="JA54" s="19"/>
      <c r="JB54" s="19"/>
      <c r="JC54" s="19"/>
      <c r="JD54" s="19"/>
      <c r="JE54" s="19"/>
      <c r="JF54" s="19"/>
      <c r="JG54" s="19"/>
      <c r="JH54" s="19"/>
      <c r="JI54" s="19"/>
      <c r="JJ54" s="19"/>
      <c r="JK54" s="19"/>
      <c r="JL54" s="19"/>
      <c r="JM54" s="19"/>
      <c r="JN54" s="19"/>
      <c r="JO54" s="19"/>
      <c r="JP54" s="19"/>
      <c r="JQ54" s="19"/>
      <c r="JR54" s="19"/>
      <c r="JS54" s="19"/>
      <c r="JT54" s="19"/>
      <c r="JU54" s="19"/>
      <c r="JV54" s="19"/>
      <c r="JW54" s="19"/>
      <c r="JX54" s="19"/>
      <c r="JY54" s="19"/>
      <c r="JZ54" s="19"/>
      <c r="KA54" s="19"/>
      <c r="KB54" s="19"/>
      <c r="KC54" s="19"/>
      <c r="KD54" s="19"/>
      <c r="KE54" s="19"/>
      <c r="KF54" s="19"/>
      <c r="KG54" s="19"/>
      <c r="KH54" s="19"/>
      <c r="KI54" s="19"/>
      <c r="KJ54" s="19"/>
      <c r="KK54" s="19"/>
      <c r="KL54" s="19"/>
      <c r="KM54" s="19"/>
      <c r="KN54" s="19"/>
      <c r="KO54" s="19"/>
      <c r="KP54" s="19"/>
      <c r="KQ54" s="19"/>
      <c r="KR54" s="19"/>
      <c r="KS54" s="19"/>
      <c r="KT54" s="19"/>
      <c r="KU54" s="19"/>
      <c r="KV54" s="19"/>
      <c r="KW54" s="19"/>
      <c r="KX54" s="19"/>
      <c r="KY54" s="19"/>
      <c r="KZ54" s="19"/>
      <c r="LA54" s="19"/>
      <c r="LB54" s="19"/>
      <c r="LC54" s="19"/>
      <c r="LD54" s="19"/>
      <c r="LE54" s="19"/>
      <c r="LF54" s="19"/>
      <c r="LG54" s="19"/>
      <c r="LH54" s="19"/>
      <c r="LI54" s="19"/>
      <c r="LJ54" s="19"/>
      <c r="LK54" s="19"/>
      <c r="LL54" s="19"/>
      <c r="LM54" s="19"/>
      <c r="LN54" s="19"/>
      <c r="LO54" s="19"/>
      <c r="LP54" s="19"/>
      <c r="LQ54" s="19"/>
    </row>
    <row r="55" spans="1:329" s="20" customFormat="1" x14ac:dyDescent="0.15">
      <c r="A55" s="18" t="s">
        <v>126</v>
      </c>
      <c r="B55" s="19"/>
      <c r="C55" s="19"/>
      <c r="D55" s="19"/>
      <c r="E55" s="19"/>
      <c r="F55" s="19"/>
      <c r="G55" s="19"/>
      <c r="H55" s="19"/>
      <c r="I55" s="19"/>
      <c r="J55" s="19"/>
      <c r="K55" s="19"/>
      <c r="L55" s="19"/>
      <c r="M55" s="19"/>
      <c r="N55" s="19"/>
      <c r="O55" s="19"/>
      <c r="P55" s="19"/>
      <c r="Q55" s="19"/>
      <c r="R55" s="19"/>
      <c r="S55" s="19"/>
      <c r="T55" s="19"/>
      <c r="U55" s="19"/>
      <c r="V55" s="19"/>
      <c r="W55" s="19"/>
      <c r="X55" s="19"/>
      <c r="Y55" s="19"/>
      <c r="Z55" s="19"/>
      <c r="AA55" s="19"/>
      <c r="AB55" s="19"/>
      <c r="AC55" s="19"/>
      <c r="AD55" s="19"/>
      <c r="AE55" s="19"/>
      <c r="AF55" s="19"/>
      <c r="AG55" s="19"/>
      <c r="AH55" s="19"/>
      <c r="AI55" s="19"/>
      <c r="AJ55" s="19"/>
      <c r="AK55" s="19"/>
      <c r="AL55" s="19"/>
      <c r="AM55" s="19"/>
      <c r="AN55" s="19"/>
      <c r="AO55" s="19"/>
      <c r="AP55" s="19"/>
      <c r="AQ55" s="19"/>
      <c r="AR55" s="19"/>
      <c r="AS55" s="19"/>
      <c r="AT55" s="19"/>
      <c r="AU55" s="19"/>
      <c r="AV55" s="19"/>
      <c r="AW55" s="19"/>
      <c r="AX55" s="19"/>
      <c r="AY55" s="19"/>
      <c r="AZ55" s="19"/>
      <c r="BA55" s="19"/>
      <c r="BB55" s="19"/>
      <c r="BC55" s="19"/>
      <c r="BD55" s="19"/>
      <c r="BE55" s="19"/>
      <c r="BF55" s="19"/>
      <c r="BG55" s="19"/>
      <c r="BH55" s="19"/>
      <c r="BI55" s="19"/>
      <c r="BJ55" s="19"/>
      <c r="BK55" s="19"/>
      <c r="BL55" s="19"/>
      <c r="BM55" s="19"/>
      <c r="BN55" s="19"/>
      <c r="BO55" s="19"/>
      <c r="BP55" s="19"/>
      <c r="BQ55" s="19"/>
      <c r="BR55" s="19"/>
      <c r="BS55" s="19"/>
      <c r="BT55" s="19"/>
      <c r="BU55" s="19"/>
      <c r="BV55" s="19"/>
      <c r="BW55" s="19"/>
      <c r="BX55" s="19"/>
      <c r="BY55" s="19"/>
      <c r="BZ55" s="19"/>
      <c r="CA55" s="19"/>
      <c r="CB55" s="19"/>
      <c r="CC55" s="19"/>
      <c r="CD55" s="19"/>
      <c r="CE55" s="19"/>
      <c r="CF55" s="19"/>
      <c r="CG55" s="19"/>
      <c r="CH55" s="19"/>
      <c r="CI55" s="19"/>
      <c r="CJ55" s="19"/>
      <c r="CK55" s="19"/>
      <c r="CL55" s="19"/>
      <c r="CM55" s="19"/>
      <c r="CN55" s="19"/>
      <c r="CO55" s="19"/>
      <c r="CP55" s="19"/>
      <c r="CQ55" s="19"/>
      <c r="CR55" s="19"/>
      <c r="CS55" s="19"/>
      <c r="CT55" s="19"/>
      <c r="CU55" s="19"/>
      <c r="CV55" s="19"/>
      <c r="CW55" s="19"/>
      <c r="CX55" s="19"/>
      <c r="CY55" s="19"/>
      <c r="CZ55" s="19"/>
      <c r="DA55" s="19"/>
      <c r="DB55" s="19"/>
      <c r="DC55" s="19"/>
      <c r="DD55" s="19"/>
      <c r="DE55" s="19"/>
      <c r="DF55" s="19"/>
      <c r="DG55" s="19"/>
      <c r="DH55" s="19"/>
      <c r="DI55" s="19"/>
      <c r="DJ55" s="19"/>
      <c r="DK55" s="19"/>
      <c r="DL55" s="19"/>
      <c r="DM55" s="19"/>
      <c r="DN55" s="19"/>
      <c r="DO55" s="19"/>
      <c r="DP55" s="19"/>
      <c r="DQ55" s="19"/>
      <c r="DR55" s="19"/>
      <c r="DS55" s="19"/>
      <c r="DT55" s="19"/>
      <c r="DU55" s="19"/>
      <c r="DV55" s="19"/>
      <c r="DW55" s="19"/>
      <c r="DX55" s="19"/>
      <c r="DY55" s="19"/>
      <c r="DZ55" s="19"/>
      <c r="EA55" s="19"/>
      <c r="EB55" s="19"/>
      <c r="EC55" s="19"/>
      <c r="ED55" s="19"/>
      <c r="EE55" s="19"/>
      <c r="EF55" s="19"/>
      <c r="EG55" s="19"/>
      <c r="EH55" s="19"/>
      <c r="EI55" s="19"/>
      <c r="EJ55" s="19"/>
      <c r="EK55" s="19"/>
      <c r="EL55" s="19"/>
      <c r="EM55" s="19"/>
      <c r="EN55" s="19"/>
      <c r="EO55" s="19"/>
      <c r="EP55" s="19"/>
      <c r="EQ55" s="19"/>
      <c r="ER55" s="19"/>
      <c r="ES55" s="19"/>
      <c r="ET55" s="19"/>
      <c r="EU55" s="19"/>
      <c r="EV55" s="19"/>
      <c r="EW55" s="19"/>
      <c r="EX55" s="19"/>
      <c r="EY55" s="19"/>
      <c r="EZ55" s="19"/>
      <c r="FA55" s="19"/>
      <c r="FB55" s="19"/>
      <c r="FC55" s="19"/>
      <c r="FD55" s="19"/>
      <c r="FE55" s="19"/>
      <c r="FF55" s="19"/>
      <c r="FG55" s="19"/>
      <c r="FH55" s="19"/>
      <c r="FI55" s="19"/>
      <c r="FJ55" s="19"/>
      <c r="FK55" s="19"/>
      <c r="FL55" s="19"/>
      <c r="FM55" s="19"/>
      <c r="FN55" s="19"/>
      <c r="FO55" s="19"/>
      <c r="FP55" s="19"/>
      <c r="FQ55" s="19"/>
      <c r="FR55" s="19"/>
      <c r="FS55" s="19"/>
      <c r="FT55" s="19"/>
      <c r="FU55" s="19"/>
      <c r="FV55" s="19"/>
      <c r="FW55" s="19"/>
      <c r="FX55" s="19"/>
      <c r="FY55" s="19"/>
      <c r="FZ55" s="19"/>
      <c r="GA55" s="19"/>
      <c r="GB55" s="19"/>
      <c r="GC55" s="19"/>
      <c r="GD55" s="19"/>
      <c r="GE55" s="19"/>
      <c r="GF55" s="19"/>
      <c r="GG55" s="19"/>
      <c r="GH55" s="19"/>
      <c r="GI55" s="19"/>
      <c r="GJ55" s="19"/>
      <c r="GK55" s="19"/>
      <c r="GL55" s="19"/>
      <c r="GM55" s="19"/>
      <c r="GN55" s="19"/>
      <c r="GO55" s="19"/>
      <c r="GP55" s="19"/>
      <c r="GQ55" s="19"/>
      <c r="GR55" s="19"/>
      <c r="GS55" s="19"/>
      <c r="GT55" s="19"/>
      <c r="GU55" s="19"/>
      <c r="GV55" s="19"/>
      <c r="GW55" s="19"/>
      <c r="GX55" s="19"/>
      <c r="GY55" s="19"/>
      <c r="GZ55" s="19"/>
      <c r="HA55" s="19"/>
      <c r="HB55" s="19"/>
      <c r="HC55" s="19"/>
      <c r="HD55" s="19"/>
      <c r="HE55" s="19"/>
      <c r="HF55" s="19"/>
      <c r="HG55" s="19"/>
      <c r="HH55" s="19"/>
      <c r="HI55" s="19"/>
      <c r="HJ55" s="19"/>
      <c r="HK55" s="19"/>
      <c r="HL55" s="19"/>
      <c r="HM55" s="19"/>
      <c r="HN55" s="19"/>
      <c r="HO55" s="19"/>
      <c r="HP55" s="19"/>
      <c r="HQ55" s="19"/>
      <c r="HR55" s="19"/>
      <c r="HS55" s="18"/>
      <c r="HT55" s="19"/>
      <c r="HU55" s="19"/>
      <c r="HV55" s="19"/>
      <c r="HW55" s="19"/>
      <c r="HX55" s="19"/>
      <c r="HY55" s="19"/>
      <c r="HZ55" s="19"/>
      <c r="IA55" s="19"/>
      <c r="IB55" s="19"/>
      <c r="IC55" s="19"/>
      <c r="ID55" s="19"/>
      <c r="IE55" s="19"/>
      <c r="IF55" s="19"/>
      <c r="IG55" s="19"/>
      <c r="IH55" s="19"/>
      <c r="II55" s="19"/>
      <c r="IJ55" s="19"/>
      <c r="IK55" s="19"/>
      <c r="IL55" s="19"/>
      <c r="IM55" s="19"/>
      <c r="IN55" s="19"/>
      <c r="IO55" s="19"/>
      <c r="IP55" s="19"/>
      <c r="IQ55" s="19"/>
      <c r="IR55" s="19"/>
      <c r="IS55" s="19"/>
      <c r="IT55" s="19"/>
      <c r="IU55" s="19"/>
      <c r="IV55" s="19"/>
      <c r="IW55" s="19"/>
      <c r="IX55" s="19"/>
      <c r="IY55" s="19"/>
      <c r="IZ55" s="19"/>
      <c r="JA55" s="19"/>
      <c r="JB55" s="19"/>
      <c r="JC55" s="19"/>
      <c r="JD55" s="19"/>
      <c r="JE55" s="19"/>
      <c r="JF55" s="19"/>
      <c r="JG55" s="19"/>
      <c r="JH55" s="19"/>
      <c r="JI55" s="19"/>
      <c r="JJ55" s="19"/>
      <c r="JK55" s="19"/>
      <c r="JL55" s="19"/>
      <c r="JM55" s="19"/>
      <c r="JN55" s="19"/>
      <c r="JO55" s="19"/>
      <c r="JP55" s="19"/>
      <c r="JQ55" s="19"/>
      <c r="JR55" s="19"/>
      <c r="JS55" s="19"/>
      <c r="JT55" s="19"/>
      <c r="JU55" s="19"/>
      <c r="JV55" s="19"/>
      <c r="JW55" s="19"/>
      <c r="JX55" s="19"/>
      <c r="JY55" s="19"/>
      <c r="JZ55" s="19"/>
      <c r="KA55" s="19"/>
      <c r="KB55" s="19"/>
      <c r="KC55" s="19"/>
      <c r="KD55" s="19"/>
      <c r="KE55" s="19"/>
      <c r="KF55" s="19"/>
      <c r="KG55" s="19"/>
      <c r="KH55" s="19"/>
      <c r="KI55" s="19"/>
      <c r="KJ55" s="19"/>
      <c r="KK55" s="19"/>
      <c r="KL55" s="19"/>
      <c r="KM55" s="19"/>
      <c r="KN55" s="19"/>
      <c r="KO55" s="19"/>
      <c r="KP55" s="19"/>
      <c r="KQ55" s="19"/>
      <c r="KR55" s="19"/>
      <c r="KS55" s="19"/>
      <c r="KT55" s="19"/>
      <c r="KU55" s="19"/>
      <c r="KV55" s="19"/>
      <c r="KW55" s="19"/>
      <c r="KX55" s="19"/>
      <c r="KY55" s="19"/>
      <c r="KZ55" s="19"/>
      <c r="LA55" s="19"/>
      <c r="LB55" s="19"/>
      <c r="LC55" s="19"/>
      <c r="LD55" s="19"/>
      <c r="LE55" s="19"/>
      <c r="LF55" s="19"/>
      <c r="LG55" s="19"/>
      <c r="LH55" s="19"/>
      <c r="LI55" s="19"/>
      <c r="LJ55" s="19"/>
      <c r="LK55" s="19"/>
      <c r="LL55" s="19"/>
      <c r="LM55" s="19"/>
      <c r="LN55" s="19"/>
      <c r="LO55" s="19"/>
      <c r="LP55" s="19"/>
      <c r="LQ55" s="19"/>
    </row>
    <row r="56" spans="1:329" s="20" customFormat="1" x14ac:dyDescent="0.15">
      <c r="A56" s="18" t="s">
        <v>127</v>
      </c>
      <c r="B56" s="19"/>
      <c r="C56" s="19"/>
      <c r="D56" s="19"/>
      <c r="E56" s="19"/>
      <c r="F56" s="19"/>
      <c r="G56" s="19"/>
      <c r="H56" s="19"/>
      <c r="I56" s="19"/>
      <c r="J56" s="19"/>
      <c r="K56" s="19"/>
      <c r="L56" s="19"/>
      <c r="M56" s="19"/>
      <c r="N56" s="19"/>
      <c r="O56" s="19"/>
      <c r="P56" s="19"/>
      <c r="Q56" s="19"/>
      <c r="R56" s="19"/>
      <c r="S56" s="19"/>
      <c r="T56" s="19"/>
      <c r="U56" s="19"/>
      <c r="V56" s="19"/>
      <c r="W56" s="19"/>
      <c r="X56" s="19"/>
      <c r="Y56" s="19"/>
      <c r="Z56" s="19"/>
      <c r="AA56" s="19"/>
      <c r="AB56" s="19"/>
      <c r="AC56" s="19"/>
      <c r="AD56" s="19"/>
      <c r="AE56" s="19"/>
      <c r="AF56" s="19"/>
      <c r="AG56" s="19"/>
      <c r="AH56" s="19"/>
      <c r="AI56" s="19"/>
      <c r="AJ56" s="19"/>
      <c r="AK56" s="19"/>
      <c r="AL56" s="19"/>
      <c r="AM56" s="19"/>
      <c r="AN56" s="19"/>
      <c r="AO56" s="19"/>
      <c r="AP56" s="19"/>
      <c r="AQ56" s="19"/>
      <c r="AR56" s="19"/>
      <c r="AS56" s="19"/>
      <c r="AT56" s="19"/>
      <c r="AU56" s="19"/>
      <c r="AV56" s="19"/>
      <c r="AW56" s="19"/>
      <c r="AX56" s="19"/>
      <c r="AY56" s="19"/>
      <c r="AZ56" s="19"/>
      <c r="BA56" s="19"/>
      <c r="BB56" s="19"/>
      <c r="BC56" s="19"/>
      <c r="BD56" s="19"/>
      <c r="BE56" s="19"/>
      <c r="BF56" s="19"/>
      <c r="BG56" s="19"/>
      <c r="BH56" s="19"/>
      <c r="BI56" s="19"/>
      <c r="BJ56" s="19"/>
      <c r="BK56" s="19"/>
      <c r="BL56" s="19"/>
      <c r="BM56" s="19"/>
      <c r="BN56" s="19"/>
      <c r="BO56" s="19"/>
      <c r="BP56" s="19"/>
      <c r="BQ56" s="19"/>
      <c r="BR56" s="19"/>
      <c r="BS56" s="19"/>
      <c r="BT56" s="19"/>
      <c r="BU56" s="19"/>
      <c r="BV56" s="19"/>
      <c r="BW56" s="19"/>
      <c r="BX56" s="19"/>
      <c r="BY56" s="19"/>
      <c r="BZ56" s="19"/>
      <c r="CA56" s="19"/>
      <c r="CB56" s="19"/>
      <c r="CC56" s="19"/>
      <c r="CD56" s="19"/>
      <c r="CE56" s="19"/>
      <c r="CF56" s="19"/>
      <c r="CG56" s="19"/>
      <c r="CH56" s="19"/>
      <c r="CI56" s="19"/>
      <c r="CJ56" s="19"/>
      <c r="CK56" s="19"/>
      <c r="CL56" s="19"/>
      <c r="CM56" s="19"/>
      <c r="CN56" s="19"/>
      <c r="CO56" s="19"/>
      <c r="CP56" s="19"/>
      <c r="CQ56" s="19"/>
      <c r="CR56" s="19"/>
      <c r="CS56" s="19"/>
      <c r="CT56" s="19"/>
      <c r="CU56" s="19"/>
      <c r="CV56" s="19"/>
      <c r="CW56" s="19"/>
      <c r="CX56" s="19"/>
      <c r="CY56" s="19"/>
      <c r="CZ56" s="19"/>
      <c r="DA56" s="19"/>
      <c r="DB56" s="19"/>
      <c r="DC56" s="19"/>
      <c r="DD56" s="19"/>
      <c r="DE56" s="19"/>
      <c r="DF56" s="19"/>
      <c r="DG56" s="19"/>
      <c r="DH56" s="19"/>
      <c r="DI56" s="19"/>
      <c r="DJ56" s="19"/>
      <c r="DK56" s="19"/>
      <c r="DL56" s="19"/>
      <c r="DM56" s="19"/>
      <c r="DN56" s="19"/>
      <c r="DO56" s="19"/>
      <c r="DP56" s="19"/>
      <c r="DQ56" s="19"/>
      <c r="DR56" s="19"/>
      <c r="DS56" s="19"/>
      <c r="DT56" s="19"/>
      <c r="DU56" s="19"/>
      <c r="DV56" s="19"/>
      <c r="DW56" s="19"/>
      <c r="DX56" s="19"/>
      <c r="DY56" s="19"/>
      <c r="DZ56" s="19"/>
      <c r="EA56" s="19"/>
      <c r="EB56" s="19"/>
      <c r="EC56" s="19"/>
      <c r="ED56" s="19"/>
      <c r="EE56" s="19"/>
      <c r="EF56" s="19"/>
      <c r="EG56" s="19"/>
      <c r="EH56" s="19"/>
      <c r="EI56" s="19"/>
      <c r="EJ56" s="19"/>
      <c r="EK56" s="19"/>
      <c r="EL56" s="19"/>
      <c r="EM56" s="19"/>
      <c r="EN56" s="19"/>
      <c r="EO56" s="19"/>
      <c r="EP56" s="19"/>
      <c r="EQ56" s="19"/>
      <c r="ER56" s="19"/>
      <c r="ES56" s="19"/>
      <c r="ET56" s="19"/>
      <c r="EU56" s="19"/>
      <c r="EV56" s="19"/>
      <c r="EW56" s="19"/>
      <c r="EX56" s="19"/>
      <c r="EY56" s="19"/>
      <c r="EZ56" s="19"/>
      <c r="FA56" s="19"/>
      <c r="FB56" s="19"/>
      <c r="FC56" s="19"/>
      <c r="FD56" s="19"/>
      <c r="FE56" s="19"/>
      <c r="FF56" s="19"/>
      <c r="FG56" s="19"/>
      <c r="FH56" s="19"/>
      <c r="FI56" s="19"/>
      <c r="FJ56" s="19"/>
      <c r="FK56" s="19"/>
      <c r="FL56" s="19"/>
      <c r="FM56" s="19"/>
      <c r="FN56" s="19"/>
      <c r="FO56" s="19"/>
      <c r="FP56" s="19"/>
      <c r="FQ56" s="19"/>
      <c r="FR56" s="19"/>
      <c r="FS56" s="19"/>
      <c r="FT56" s="19"/>
      <c r="FU56" s="19"/>
      <c r="FV56" s="19"/>
      <c r="FW56" s="19"/>
      <c r="FX56" s="19"/>
      <c r="FY56" s="19"/>
      <c r="FZ56" s="19"/>
      <c r="GA56" s="19"/>
      <c r="GB56" s="19"/>
      <c r="GC56" s="19"/>
      <c r="GD56" s="19"/>
      <c r="GE56" s="19"/>
      <c r="GF56" s="19"/>
      <c r="GG56" s="19"/>
      <c r="GH56" s="19"/>
      <c r="GI56" s="19"/>
      <c r="GJ56" s="19"/>
      <c r="GK56" s="19"/>
      <c r="GL56" s="19"/>
      <c r="GM56" s="19"/>
      <c r="GN56" s="19"/>
      <c r="GO56" s="19"/>
      <c r="GP56" s="19"/>
      <c r="GQ56" s="19"/>
      <c r="GR56" s="19"/>
      <c r="GS56" s="19"/>
      <c r="GT56" s="19"/>
      <c r="GU56" s="19"/>
      <c r="GV56" s="19"/>
      <c r="GW56" s="19"/>
      <c r="GX56" s="19"/>
      <c r="GY56" s="19"/>
      <c r="GZ56" s="19"/>
      <c r="HA56" s="19"/>
      <c r="HB56" s="19"/>
      <c r="HC56" s="19"/>
      <c r="HD56" s="19"/>
      <c r="HE56" s="19"/>
      <c r="HF56" s="19"/>
      <c r="HG56" s="19"/>
      <c r="HH56" s="19"/>
      <c r="HI56" s="19"/>
      <c r="HJ56" s="19"/>
      <c r="HK56" s="19"/>
      <c r="HL56" s="19"/>
      <c r="HM56" s="19"/>
      <c r="HN56" s="19"/>
      <c r="HO56" s="19"/>
      <c r="HP56" s="19"/>
      <c r="HQ56" s="19"/>
      <c r="HR56" s="19"/>
      <c r="HS56" s="18"/>
      <c r="HT56" s="19"/>
      <c r="HU56" s="19"/>
      <c r="HV56" s="19"/>
      <c r="HW56" s="19"/>
      <c r="HX56" s="19"/>
      <c r="HY56" s="19"/>
      <c r="HZ56" s="19"/>
      <c r="IA56" s="19"/>
      <c r="IB56" s="19"/>
      <c r="IC56" s="19"/>
      <c r="ID56" s="19"/>
      <c r="IE56" s="19"/>
      <c r="IF56" s="19"/>
      <c r="IG56" s="19"/>
      <c r="IH56" s="19"/>
      <c r="II56" s="19"/>
      <c r="IJ56" s="19"/>
      <c r="IK56" s="19"/>
      <c r="IL56" s="19"/>
      <c r="IM56" s="19"/>
      <c r="IN56" s="19"/>
      <c r="IO56" s="19"/>
      <c r="IP56" s="19"/>
      <c r="IQ56" s="19"/>
      <c r="IR56" s="19"/>
      <c r="IS56" s="19"/>
      <c r="IT56" s="19"/>
      <c r="IU56" s="19"/>
      <c r="IV56" s="19"/>
      <c r="IW56" s="19"/>
      <c r="IX56" s="19"/>
      <c r="IY56" s="19"/>
      <c r="IZ56" s="19"/>
      <c r="JA56" s="19"/>
      <c r="JB56" s="19"/>
      <c r="JC56" s="19"/>
      <c r="JD56" s="19"/>
      <c r="JE56" s="19"/>
      <c r="JF56" s="19"/>
      <c r="JG56" s="19"/>
      <c r="JH56" s="19"/>
      <c r="JI56" s="19"/>
      <c r="JJ56" s="19"/>
      <c r="JK56" s="19"/>
      <c r="JL56" s="19"/>
      <c r="JM56" s="19"/>
      <c r="JN56" s="19"/>
      <c r="JO56" s="19"/>
      <c r="JP56" s="19"/>
      <c r="JQ56" s="19"/>
      <c r="JR56" s="19"/>
      <c r="JS56" s="19"/>
      <c r="JT56" s="19"/>
      <c r="JU56" s="19"/>
      <c r="JV56" s="19"/>
      <c r="JW56" s="19"/>
      <c r="JX56" s="19"/>
      <c r="JY56" s="19"/>
      <c r="JZ56" s="19"/>
      <c r="KA56" s="19"/>
      <c r="KB56" s="19"/>
      <c r="KC56" s="19"/>
      <c r="KD56" s="19"/>
      <c r="KE56" s="19"/>
      <c r="KF56" s="19"/>
      <c r="KG56" s="19"/>
      <c r="KH56" s="19"/>
      <c r="KI56" s="19"/>
      <c r="KJ56" s="19"/>
      <c r="KK56" s="19"/>
      <c r="KL56" s="19"/>
      <c r="KM56" s="19"/>
      <c r="KN56" s="19"/>
      <c r="KO56" s="19"/>
      <c r="KP56" s="19"/>
      <c r="KQ56" s="19"/>
      <c r="KR56" s="19"/>
      <c r="KS56" s="19"/>
      <c r="KT56" s="19"/>
      <c r="KU56" s="19"/>
      <c r="KV56" s="19"/>
      <c r="KW56" s="19"/>
      <c r="KX56" s="19"/>
      <c r="KY56" s="19"/>
      <c r="KZ56" s="19"/>
      <c r="LA56" s="19"/>
      <c r="LB56" s="19"/>
      <c r="LC56" s="19"/>
      <c r="LD56" s="19"/>
      <c r="LE56" s="19"/>
      <c r="LF56" s="19"/>
      <c r="LG56" s="19"/>
      <c r="LH56" s="19"/>
      <c r="LI56" s="19"/>
      <c r="LJ56" s="19"/>
      <c r="LK56" s="19"/>
      <c r="LL56" s="19"/>
      <c r="LM56" s="19"/>
      <c r="LN56" s="19"/>
      <c r="LO56" s="19"/>
      <c r="LP56" s="19"/>
      <c r="LQ56" s="19"/>
    </row>
    <row r="57" spans="1:329" x14ac:dyDescent="0.15">
      <c r="A57" s="2" t="s">
        <v>529</v>
      </c>
      <c r="B57" s="1" t="s">
        <v>649</v>
      </c>
      <c r="C57" s="1">
        <v>1300</v>
      </c>
      <c r="E57" s="1" t="s">
        <v>650</v>
      </c>
      <c r="F57" s="1">
        <v>50</v>
      </c>
      <c r="G57" s="1">
        <v>1</v>
      </c>
      <c r="H57" s="1" t="s">
        <v>651</v>
      </c>
      <c r="I57" s="1">
        <v>25</v>
      </c>
      <c r="J57" s="1">
        <v>0.5</v>
      </c>
      <c r="K57" s="1" t="s">
        <v>650</v>
      </c>
      <c r="L57" s="1">
        <v>875</v>
      </c>
      <c r="M57" s="1">
        <v>1</v>
      </c>
      <c r="N57" s="1" t="s">
        <v>652</v>
      </c>
      <c r="O57" s="1">
        <v>75</v>
      </c>
      <c r="P57" s="1">
        <v>1</v>
      </c>
      <c r="Q57" s="1" t="s">
        <v>653</v>
      </c>
      <c r="R57" s="1">
        <v>250</v>
      </c>
      <c r="S57" s="1">
        <v>2</v>
      </c>
      <c r="T57" s="1" t="s">
        <v>654</v>
      </c>
      <c r="U57" s="1">
        <v>40</v>
      </c>
      <c r="V57" s="1">
        <v>0.32</v>
      </c>
      <c r="W57" s="1" t="s">
        <v>655</v>
      </c>
      <c r="X57" s="1">
        <v>150</v>
      </c>
      <c r="Y57" s="1">
        <v>1</v>
      </c>
      <c r="Z57" s="1" t="s">
        <v>656</v>
      </c>
      <c r="AA57" s="1">
        <v>150</v>
      </c>
      <c r="AB57" s="1">
        <v>1</v>
      </c>
      <c r="AC57" s="1" t="s">
        <v>657</v>
      </c>
      <c r="AD57" s="1">
        <v>10</v>
      </c>
      <c r="AE57" s="1">
        <v>0.2</v>
      </c>
      <c r="AF57" s="1" t="s">
        <v>658</v>
      </c>
      <c r="AG57" s="1">
        <v>1000</v>
      </c>
      <c r="AH57" s="1">
        <v>2</v>
      </c>
    </row>
    <row r="58" spans="1:329" x14ac:dyDescent="0.15">
      <c r="A58" s="2" t="s">
        <v>530</v>
      </c>
      <c r="B58" s="1" t="s">
        <v>635</v>
      </c>
    </row>
    <row r="59" spans="1:329" x14ac:dyDescent="0.15">
      <c r="A59" s="2" t="s">
        <v>531</v>
      </c>
      <c r="B59" s="2" t="s">
        <v>137</v>
      </c>
      <c r="C59" s="2"/>
      <c r="D59" s="2"/>
      <c r="E59" s="2"/>
    </row>
    <row r="60" spans="1:329" x14ac:dyDescent="0.15">
      <c r="A60" s="2" t="s">
        <v>532</v>
      </c>
      <c r="B60" s="2" t="s">
        <v>137</v>
      </c>
      <c r="C60" s="2"/>
      <c r="D60" s="2"/>
      <c r="E60" s="2"/>
    </row>
    <row r="61" spans="1:329" x14ac:dyDescent="0.15">
      <c r="A61" s="2">
        <v>1</v>
      </c>
      <c r="B61" s="2">
        <v>2</v>
      </c>
      <c r="C61" s="21">
        <v>3</v>
      </c>
      <c r="D61" s="2">
        <v>4</v>
      </c>
      <c r="E61" s="2">
        <v>5</v>
      </c>
      <c r="F61" s="21">
        <v>6</v>
      </c>
      <c r="G61" s="2">
        <v>7</v>
      </c>
      <c r="H61" s="2">
        <v>8</v>
      </c>
      <c r="I61" s="21">
        <v>9</v>
      </c>
      <c r="J61" s="2">
        <v>10</v>
      </c>
      <c r="K61" s="2">
        <v>11</v>
      </c>
      <c r="L61" s="21">
        <v>12</v>
      </c>
      <c r="M61" s="2">
        <v>13</v>
      </c>
      <c r="N61" s="2">
        <v>14</v>
      </c>
      <c r="O61" s="21">
        <v>15</v>
      </c>
      <c r="P61" s="2">
        <v>16</v>
      </c>
      <c r="Q61" s="2">
        <v>17</v>
      </c>
      <c r="R61" s="21">
        <v>18</v>
      </c>
      <c r="S61" s="2">
        <v>19</v>
      </c>
      <c r="T61" s="2">
        <v>20</v>
      </c>
      <c r="U61" s="21">
        <v>21</v>
      </c>
      <c r="V61" s="2">
        <v>22</v>
      </c>
      <c r="W61" s="2">
        <v>23</v>
      </c>
      <c r="X61" s="21">
        <v>24</v>
      </c>
      <c r="Y61" s="2">
        <v>25</v>
      </c>
      <c r="Z61" s="2">
        <v>26</v>
      </c>
      <c r="AA61" s="21">
        <v>27</v>
      </c>
      <c r="AB61" s="2">
        <v>28</v>
      </c>
      <c r="AC61" s="2">
        <v>29</v>
      </c>
      <c r="AD61" s="21">
        <v>30</v>
      </c>
      <c r="AE61" s="2">
        <v>31</v>
      </c>
      <c r="AF61" s="2">
        <v>32</v>
      </c>
      <c r="AG61" s="21">
        <v>33</v>
      </c>
      <c r="AH61" s="2">
        <v>34</v>
      </c>
      <c r="AI61" s="2">
        <v>35</v>
      </c>
      <c r="AJ61" s="21">
        <v>36</v>
      </c>
      <c r="AK61" s="2">
        <v>37</v>
      </c>
      <c r="AL61" s="2">
        <v>38</v>
      </c>
      <c r="AM61" s="21">
        <v>39</v>
      </c>
      <c r="AN61" s="2">
        <v>40</v>
      </c>
      <c r="AO61" s="2">
        <v>41</v>
      </c>
      <c r="AP61" s="21">
        <v>42</v>
      </c>
      <c r="AQ61" s="2">
        <v>43</v>
      </c>
      <c r="AR61" s="2">
        <v>44</v>
      </c>
      <c r="AS61" s="21">
        <v>45</v>
      </c>
      <c r="AT61" s="2">
        <v>46</v>
      </c>
      <c r="AU61" s="2">
        <v>47</v>
      </c>
      <c r="AV61" s="21">
        <v>48</v>
      </c>
      <c r="AW61" s="2">
        <v>49</v>
      </c>
      <c r="AX61" s="2">
        <v>50</v>
      </c>
      <c r="AY61" s="21"/>
      <c r="AZ61" s="2"/>
      <c r="BA61" s="2"/>
      <c r="BB61" s="21"/>
      <c r="BC61" s="2"/>
      <c r="BD61" s="2"/>
      <c r="BE61" s="21"/>
      <c r="BF61" s="2"/>
      <c r="BG61" s="2"/>
      <c r="BH61" s="21"/>
      <c r="BI61" s="2"/>
      <c r="BJ61" s="2"/>
      <c r="BK61" s="21"/>
      <c r="BL61" s="2"/>
      <c r="BM61" s="2"/>
      <c r="BN61" s="21"/>
      <c r="BO61" s="2"/>
      <c r="BP61" s="2"/>
      <c r="BQ61" s="21"/>
      <c r="BR61" s="2"/>
      <c r="BS61" s="2"/>
      <c r="BT61" s="21"/>
      <c r="BU61" s="2"/>
      <c r="BV61" s="2"/>
      <c r="BW61" s="21"/>
      <c r="BX61" s="2"/>
      <c r="BY61" s="2"/>
      <c r="BZ61" s="21"/>
      <c r="CA61" s="2"/>
      <c r="CB61" s="2"/>
      <c r="CC61" s="21"/>
      <c r="CD61" s="2"/>
      <c r="CE61" s="2"/>
      <c r="CF61" s="21"/>
      <c r="CG61" s="2"/>
      <c r="CH61" s="2"/>
      <c r="CI61" s="21"/>
      <c r="CJ61" s="2"/>
      <c r="CK61" s="2"/>
      <c r="CL61" s="21"/>
      <c r="CM61" s="2"/>
      <c r="CN61" s="2"/>
      <c r="CO61" s="21"/>
      <c r="CP61" s="2"/>
      <c r="CQ61" s="2"/>
      <c r="CR61" s="21"/>
      <c r="CS61" s="2"/>
      <c r="CT61" s="2"/>
      <c r="CU61" s="21"/>
      <c r="CV61" s="2"/>
      <c r="CW61" s="2"/>
      <c r="CX61" s="21"/>
      <c r="CY61" s="2"/>
      <c r="CZ61" s="2"/>
      <c r="DA61" s="21"/>
      <c r="DB61" s="2"/>
      <c r="DC61" s="2"/>
      <c r="DD61" s="21"/>
      <c r="DE61" s="2"/>
      <c r="DF61" s="2"/>
      <c r="DG61" s="21"/>
      <c r="DH61" s="2"/>
      <c r="DI61" s="2"/>
      <c r="DJ61" s="21"/>
      <c r="DK61" s="2"/>
      <c r="DL61" s="2"/>
      <c r="DM61" s="21"/>
      <c r="DN61" s="2"/>
      <c r="DO61" s="2"/>
    </row>
    <row r="62" spans="1:329" ht="12" customHeight="1" x14ac:dyDescent="0.15">
      <c r="A62" s="2" t="s">
        <v>700</v>
      </c>
      <c r="B62" s="2" t="s">
        <v>701</v>
      </c>
      <c r="C62" s="21"/>
      <c r="D62" s="2" t="s">
        <v>702</v>
      </c>
      <c r="E62" s="2"/>
      <c r="F62" s="75">
        <v>1103</v>
      </c>
      <c r="G62" s="75" t="s">
        <v>703</v>
      </c>
      <c r="H62" s="1" t="s">
        <v>704</v>
      </c>
      <c r="K62" s="1" t="s">
        <v>705</v>
      </c>
      <c r="L62" s="1">
        <v>10</v>
      </c>
      <c r="M62" s="1">
        <v>150</v>
      </c>
      <c r="N62" s="1">
        <v>1</v>
      </c>
      <c r="S62" s="1" t="s">
        <v>706</v>
      </c>
      <c r="T62" s="1" t="s">
        <v>707</v>
      </c>
      <c r="U62" s="1">
        <v>4</v>
      </c>
      <c r="V62" s="1" t="s">
        <v>708</v>
      </c>
      <c r="W62" s="1" t="s">
        <v>709</v>
      </c>
    </row>
    <row r="63" spans="1:329" x14ac:dyDescent="0.15">
      <c r="A63" s="2" t="s">
        <v>533</v>
      </c>
      <c r="B63" s="2"/>
      <c r="C63" s="21">
        <v>137</v>
      </c>
      <c r="D63" s="2" t="s">
        <v>634</v>
      </c>
      <c r="E63" s="2"/>
    </row>
    <row r="64" spans="1:329" x14ac:dyDescent="0.15">
      <c r="A64" s="2" t="s">
        <v>638</v>
      </c>
      <c r="B64" s="2"/>
      <c r="C64" s="21" t="s">
        <v>636</v>
      </c>
      <c r="D64" s="1">
        <v>136</v>
      </c>
      <c r="E64" s="1" t="s">
        <v>639</v>
      </c>
      <c r="F64" s="1" t="s">
        <v>710</v>
      </c>
      <c r="G64" s="1">
        <v>2</v>
      </c>
      <c r="H64" s="1">
        <v>10</v>
      </c>
      <c r="I64" s="1">
        <v>20</v>
      </c>
      <c r="J64" s="1" t="s">
        <v>711</v>
      </c>
      <c r="N64" s="1" t="s">
        <v>712</v>
      </c>
      <c r="R64" s="1" t="s">
        <v>713</v>
      </c>
      <c r="V64" s="1" t="s">
        <v>517</v>
      </c>
      <c r="Z64" s="1" t="s">
        <v>519</v>
      </c>
      <c r="AD64" s="1" t="s">
        <v>522</v>
      </c>
      <c r="AH64" s="1" t="s">
        <v>714</v>
      </c>
      <c r="AI64" s="1">
        <v>48.66</v>
      </c>
      <c r="AJ64" s="1">
        <v>50.65</v>
      </c>
      <c r="AK64" s="1">
        <v>50.66</v>
      </c>
      <c r="AL64" s="1" t="s">
        <v>715</v>
      </c>
      <c r="AM64" s="1">
        <v>58.31</v>
      </c>
      <c r="AN64" s="1">
        <v>56.85</v>
      </c>
      <c r="AO64" s="1">
        <v>55.28</v>
      </c>
    </row>
    <row r="65" spans="1:41" x14ac:dyDescent="0.15">
      <c r="A65" s="2" t="s">
        <v>640</v>
      </c>
      <c r="B65" s="2"/>
      <c r="C65" s="21" t="s">
        <v>636</v>
      </c>
      <c r="D65" s="1">
        <v>141</v>
      </c>
      <c r="E65" s="1" t="s">
        <v>642</v>
      </c>
      <c r="F65" s="1" t="s">
        <v>659</v>
      </c>
      <c r="G65" s="1">
        <v>2</v>
      </c>
      <c r="H65" s="1">
        <v>10</v>
      </c>
      <c r="I65" s="1">
        <v>20</v>
      </c>
      <c r="J65" s="1" t="s">
        <v>249</v>
      </c>
      <c r="N65" s="1" t="s">
        <v>258</v>
      </c>
      <c r="R65" s="1" t="s">
        <v>512</v>
      </c>
      <c r="V65" s="1" t="s">
        <v>517</v>
      </c>
      <c r="Z65" s="1" t="s">
        <v>519</v>
      </c>
      <c r="AD65" s="1" t="s">
        <v>522</v>
      </c>
      <c r="AH65" s="1" t="s">
        <v>694</v>
      </c>
      <c r="AI65" s="1">
        <v>60.86</v>
      </c>
      <c r="AJ65" s="1">
        <v>62.11</v>
      </c>
      <c r="AK65" s="1">
        <v>61.4</v>
      </c>
      <c r="AL65" s="1" t="s">
        <v>693</v>
      </c>
      <c r="AM65" s="1">
        <v>69.73</v>
      </c>
      <c r="AN65" s="1">
        <v>71.36</v>
      </c>
      <c r="AO65" s="1">
        <v>70.680000000000007</v>
      </c>
    </row>
    <row r="66" spans="1:41" x14ac:dyDescent="0.15">
      <c r="B66" s="2"/>
      <c r="C66" s="21"/>
    </row>
    <row r="67" spans="1:41" x14ac:dyDescent="0.15">
      <c r="B67" s="2"/>
    </row>
    <row r="68" spans="1:41" x14ac:dyDescent="0.15">
      <c r="B68" s="2"/>
    </row>
    <row r="69" spans="1:41" x14ac:dyDescent="0.15">
      <c r="B69" s="2"/>
    </row>
    <row r="70" spans="1:41" x14ac:dyDescent="0.15">
      <c r="B70" s="2"/>
    </row>
    <row r="71" spans="1:41" x14ac:dyDescent="0.15">
      <c r="B71" s="2"/>
    </row>
    <row r="72" spans="1:41" x14ac:dyDescent="0.15">
      <c r="B72" s="2"/>
    </row>
    <row r="73" spans="1:41" x14ac:dyDescent="0.15">
      <c r="B73" s="2"/>
    </row>
    <row r="74" spans="1:41" x14ac:dyDescent="0.15">
      <c r="B74" s="2"/>
    </row>
    <row r="75" spans="1:41" x14ac:dyDescent="0.15">
      <c r="B75" s="2"/>
    </row>
    <row r="76" spans="1:41" x14ac:dyDescent="0.15">
      <c r="B76" s="2"/>
    </row>
    <row r="77" spans="1:41" x14ac:dyDescent="0.15">
      <c r="B77" s="2"/>
    </row>
    <row r="78" spans="1:41" x14ac:dyDescent="0.15">
      <c r="B78" s="2"/>
    </row>
    <row r="79" spans="1:41" x14ac:dyDescent="0.15">
      <c r="B79" s="2"/>
    </row>
    <row r="80" spans="1:41" x14ac:dyDescent="0.15">
      <c r="B80" s="2"/>
    </row>
    <row r="81" spans="2:2" x14ac:dyDescent="0.15">
      <c r="B81" s="2"/>
    </row>
    <row r="82" spans="2:2" x14ac:dyDescent="0.15">
      <c r="B82" s="2"/>
    </row>
    <row r="83" spans="2:2" x14ac:dyDescent="0.15">
      <c r="B83" s="2"/>
    </row>
    <row r="84" spans="2:2" x14ac:dyDescent="0.15">
      <c r="B84" s="2"/>
    </row>
    <row r="85" spans="2:2" x14ac:dyDescent="0.15">
      <c r="B85" s="2"/>
    </row>
    <row r="86" spans="2:2" x14ac:dyDescent="0.15">
      <c r="B86" s="2"/>
    </row>
    <row r="87" spans="2:2" x14ac:dyDescent="0.15">
      <c r="B87" s="2"/>
    </row>
    <row r="88" spans="2:2" x14ac:dyDescent="0.15">
      <c r="B88" s="2"/>
    </row>
    <row r="89" spans="2:2" x14ac:dyDescent="0.15">
      <c r="B89" s="2"/>
    </row>
    <row r="90" spans="2:2" x14ac:dyDescent="0.15">
      <c r="B90" s="2"/>
    </row>
    <row r="91" spans="2:2" x14ac:dyDescent="0.15">
      <c r="B91" s="2"/>
    </row>
    <row r="92" spans="2:2" x14ac:dyDescent="0.15">
      <c r="B92" s="2"/>
    </row>
    <row r="93" spans="2:2" x14ac:dyDescent="0.15">
      <c r="B93" s="2"/>
    </row>
    <row r="94" spans="2:2" x14ac:dyDescent="0.15">
      <c r="B94" s="2"/>
    </row>
    <row r="95" spans="2:2" x14ac:dyDescent="0.15">
      <c r="B95" s="2"/>
    </row>
    <row r="96" spans="2:2" x14ac:dyDescent="0.15">
      <c r="B96" s="2"/>
    </row>
    <row r="97" spans="2:2" x14ac:dyDescent="0.15">
      <c r="B97" s="2"/>
    </row>
    <row r="98" spans="2:2" x14ac:dyDescent="0.15">
      <c r="B98" s="2"/>
    </row>
    <row r="99" spans="2:2" x14ac:dyDescent="0.15">
      <c r="B99" s="2"/>
    </row>
    <row r="100" spans="2:2" x14ac:dyDescent="0.15">
      <c r="B100" s="2"/>
    </row>
    <row r="101" spans="2:2" x14ac:dyDescent="0.15">
      <c r="B101" s="2"/>
    </row>
    <row r="102" spans="2:2" x14ac:dyDescent="0.15">
      <c r="B102" s="2"/>
    </row>
    <row r="103" spans="2:2" x14ac:dyDescent="0.15">
      <c r="B103" s="2"/>
    </row>
    <row r="104" spans="2:2" x14ac:dyDescent="0.15">
      <c r="B104" s="2"/>
    </row>
    <row r="105" spans="2:2" x14ac:dyDescent="0.15">
      <c r="B105" s="2"/>
    </row>
    <row r="106" spans="2:2" x14ac:dyDescent="0.15">
      <c r="B106" s="2"/>
    </row>
    <row r="107" spans="2:2" x14ac:dyDescent="0.15">
      <c r="B107" s="2"/>
    </row>
    <row r="108" spans="2:2" x14ac:dyDescent="0.15">
      <c r="B108" s="2"/>
    </row>
    <row r="109" spans="2:2" x14ac:dyDescent="0.15">
      <c r="B109" s="2"/>
    </row>
    <row r="110" spans="2:2" x14ac:dyDescent="0.15">
      <c r="B110" s="2"/>
    </row>
    <row r="111" spans="2:2" x14ac:dyDescent="0.15">
      <c r="B111" s="2"/>
    </row>
    <row r="112" spans="2:2" x14ac:dyDescent="0.15">
      <c r="B112" s="2"/>
    </row>
    <row r="113" spans="2:2" x14ac:dyDescent="0.15">
      <c r="B113" s="2"/>
    </row>
    <row r="114" spans="2:2" x14ac:dyDescent="0.15">
      <c r="B114" s="2"/>
    </row>
    <row r="115" spans="2:2" x14ac:dyDescent="0.15">
      <c r="B115" s="2"/>
    </row>
    <row r="116" spans="2:2" x14ac:dyDescent="0.15">
      <c r="B116" s="2"/>
    </row>
    <row r="117" spans="2:2" x14ac:dyDescent="0.15">
      <c r="B117" s="2"/>
    </row>
    <row r="118" spans="2:2" x14ac:dyDescent="0.15">
      <c r="B118" s="2"/>
    </row>
    <row r="119" spans="2:2" x14ac:dyDescent="0.15">
      <c r="B119" s="2"/>
    </row>
    <row r="120" spans="2:2" x14ac:dyDescent="0.15">
      <c r="B120" s="2"/>
    </row>
    <row r="121" spans="2:2" x14ac:dyDescent="0.15">
      <c r="B121" s="2"/>
    </row>
    <row r="122" spans="2:2" x14ac:dyDescent="0.15">
      <c r="B122" s="2"/>
    </row>
    <row r="123" spans="2:2" x14ac:dyDescent="0.15">
      <c r="B123" s="2"/>
    </row>
    <row r="124" spans="2:2" x14ac:dyDescent="0.15">
      <c r="B124" s="2"/>
    </row>
    <row r="125" spans="2:2" x14ac:dyDescent="0.15">
      <c r="B125" s="2"/>
    </row>
    <row r="126" spans="2:2" x14ac:dyDescent="0.15">
      <c r="B126" s="2"/>
    </row>
    <row r="127" spans="2:2" x14ac:dyDescent="0.15">
      <c r="B127" s="2"/>
    </row>
    <row r="128" spans="2:2" x14ac:dyDescent="0.15">
      <c r="B128" s="2"/>
    </row>
    <row r="129" spans="2:2" x14ac:dyDescent="0.15">
      <c r="B129" s="2"/>
    </row>
    <row r="130" spans="2:2" x14ac:dyDescent="0.15">
      <c r="B130" s="2"/>
    </row>
    <row r="131" spans="2:2" x14ac:dyDescent="0.15">
      <c r="B131" s="2"/>
    </row>
    <row r="132" spans="2:2" x14ac:dyDescent="0.15">
      <c r="B132" s="2"/>
    </row>
    <row r="133" spans="2:2" x14ac:dyDescent="0.15">
      <c r="B133" s="2"/>
    </row>
    <row r="134" spans="2:2" x14ac:dyDescent="0.15">
      <c r="B134" s="2"/>
    </row>
    <row r="135" spans="2:2" x14ac:dyDescent="0.15">
      <c r="B135" s="2"/>
    </row>
    <row r="136" spans="2:2" x14ac:dyDescent="0.15">
      <c r="B136" s="2"/>
    </row>
    <row r="137" spans="2:2" x14ac:dyDescent="0.15">
      <c r="B137" s="2"/>
    </row>
    <row r="138" spans="2:2" x14ac:dyDescent="0.15">
      <c r="B138" s="2"/>
    </row>
    <row r="139" spans="2:2" x14ac:dyDescent="0.15">
      <c r="B139" s="2"/>
    </row>
    <row r="140" spans="2:2" x14ac:dyDescent="0.15">
      <c r="B140" s="2"/>
    </row>
  </sheetData>
  <phoneticPr fontId="2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W221"/>
  <sheetViews>
    <sheetView topLeftCell="A4" workbookViewId="0"/>
  </sheetViews>
  <sheetFormatPr defaultRowHeight="13.5" x14ac:dyDescent="0.15"/>
  <cols>
    <col min="1" max="1" width="8.33203125" style="6" customWidth="1"/>
    <col min="2" max="2" width="9.88671875" style="6" bestFit="1" customWidth="1"/>
    <col min="3" max="3" width="9.5546875" style="76" bestFit="1" customWidth="1"/>
    <col min="4" max="4" width="8.88671875" style="6"/>
    <col min="5" max="5" width="9.88671875" style="6" bestFit="1" customWidth="1"/>
    <col min="6" max="6" width="11.6640625" style="76" bestFit="1" customWidth="1"/>
    <col min="7" max="16384" width="8.88671875" style="76"/>
  </cols>
  <sheetData>
    <row r="1" spans="1:75" x14ac:dyDescent="0.15">
      <c r="A1" s="6" t="s">
        <v>662</v>
      </c>
    </row>
    <row r="2" spans="1:75" x14ac:dyDescent="0.15">
      <c r="A2" s="6">
        <v>11</v>
      </c>
      <c r="C2" s="6"/>
      <c r="D2" s="6">
        <v>12</v>
      </c>
      <c r="E2" s="8"/>
      <c r="F2" s="8"/>
      <c r="G2" s="8">
        <v>13</v>
      </c>
      <c r="H2" s="8"/>
      <c r="I2" s="8"/>
      <c r="J2" s="8">
        <v>14</v>
      </c>
      <c r="K2" s="8"/>
      <c r="L2" s="8"/>
      <c r="M2" s="8">
        <v>15</v>
      </c>
      <c r="N2" s="8"/>
      <c r="O2" s="8"/>
      <c r="P2" s="8">
        <v>21</v>
      </c>
      <c r="S2" s="76">
        <v>22</v>
      </c>
      <c r="V2" s="76">
        <v>23</v>
      </c>
      <c r="Y2" s="76">
        <v>24</v>
      </c>
      <c r="AB2" s="76">
        <v>25</v>
      </c>
      <c r="AE2" s="76">
        <v>31</v>
      </c>
      <c r="AH2" s="76">
        <v>32</v>
      </c>
      <c r="AK2" s="76">
        <v>33</v>
      </c>
      <c r="AN2" s="76">
        <v>34</v>
      </c>
      <c r="AQ2" s="76">
        <v>35</v>
      </c>
      <c r="AT2" s="76">
        <v>41</v>
      </c>
      <c r="AW2" s="76">
        <v>42</v>
      </c>
      <c r="AZ2" s="76">
        <v>43</v>
      </c>
      <c r="BC2" s="76">
        <v>44</v>
      </c>
      <c r="BF2" s="76">
        <v>45</v>
      </c>
      <c r="BI2" s="76">
        <v>51</v>
      </c>
      <c r="BL2" s="76">
        <v>52</v>
      </c>
      <c r="BO2" s="76">
        <v>53</v>
      </c>
      <c r="BR2" s="76">
        <v>54</v>
      </c>
      <c r="BU2" s="76">
        <v>55</v>
      </c>
    </row>
    <row r="3" spans="1:75" s="8" customFormat="1" x14ac:dyDescent="0.15">
      <c r="A3" s="6" t="s">
        <v>556</v>
      </c>
      <c r="B3" s="6" t="s">
        <v>557</v>
      </c>
      <c r="C3" s="8" t="s">
        <v>558</v>
      </c>
      <c r="D3" s="6" t="s">
        <v>556</v>
      </c>
      <c r="E3" s="6" t="s">
        <v>557</v>
      </c>
      <c r="F3" s="8" t="s">
        <v>558</v>
      </c>
      <c r="G3" s="8" t="s">
        <v>556</v>
      </c>
      <c r="H3" s="8" t="s">
        <v>557</v>
      </c>
      <c r="I3" s="8" t="s">
        <v>558</v>
      </c>
      <c r="J3" s="8" t="s">
        <v>556</v>
      </c>
      <c r="K3" s="8" t="s">
        <v>557</v>
      </c>
      <c r="L3" s="8" t="s">
        <v>558</v>
      </c>
      <c r="M3" s="8" t="s">
        <v>556</v>
      </c>
      <c r="N3" s="8" t="s">
        <v>557</v>
      </c>
      <c r="O3" s="8" t="s">
        <v>558</v>
      </c>
      <c r="P3" s="8" t="s">
        <v>556</v>
      </c>
      <c r="Q3" s="8" t="s">
        <v>557</v>
      </c>
      <c r="R3" s="8" t="s">
        <v>558</v>
      </c>
      <c r="S3" s="8" t="s">
        <v>556</v>
      </c>
      <c r="T3" s="8" t="s">
        <v>557</v>
      </c>
      <c r="U3" s="8" t="s">
        <v>558</v>
      </c>
      <c r="V3" s="8" t="s">
        <v>556</v>
      </c>
      <c r="W3" s="8" t="s">
        <v>557</v>
      </c>
      <c r="X3" s="8" t="s">
        <v>558</v>
      </c>
      <c r="Y3" s="8" t="s">
        <v>556</v>
      </c>
      <c r="Z3" s="8" t="s">
        <v>557</v>
      </c>
      <c r="AA3" s="8" t="s">
        <v>558</v>
      </c>
      <c r="AB3" s="8" t="s">
        <v>556</v>
      </c>
      <c r="AC3" s="8" t="s">
        <v>557</v>
      </c>
      <c r="AD3" s="8" t="s">
        <v>558</v>
      </c>
      <c r="AE3" s="8" t="s">
        <v>556</v>
      </c>
      <c r="AF3" s="8" t="s">
        <v>557</v>
      </c>
      <c r="AG3" s="8" t="s">
        <v>558</v>
      </c>
      <c r="AH3" s="8" t="s">
        <v>556</v>
      </c>
      <c r="AI3" s="8" t="s">
        <v>557</v>
      </c>
      <c r="AJ3" s="8" t="s">
        <v>558</v>
      </c>
      <c r="AK3" s="8" t="s">
        <v>556</v>
      </c>
      <c r="AL3" s="8" t="s">
        <v>557</v>
      </c>
      <c r="AM3" s="8" t="s">
        <v>558</v>
      </c>
      <c r="AN3" s="8" t="s">
        <v>556</v>
      </c>
      <c r="AO3" s="8" t="s">
        <v>557</v>
      </c>
      <c r="AP3" s="8" t="s">
        <v>558</v>
      </c>
      <c r="AQ3" s="8" t="s">
        <v>556</v>
      </c>
      <c r="AR3" s="8" t="s">
        <v>557</v>
      </c>
      <c r="AS3" s="8" t="s">
        <v>558</v>
      </c>
      <c r="AT3" s="8" t="s">
        <v>556</v>
      </c>
      <c r="AU3" s="8" t="s">
        <v>557</v>
      </c>
      <c r="AV3" s="8" t="s">
        <v>558</v>
      </c>
      <c r="AW3" s="8" t="s">
        <v>556</v>
      </c>
      <c r="AX3" s="8" t="s">
        <v>557</v>
      </c>
      <c r="AY3" s="8" t="s">
        <v>558</v>
      </c>
      <c r="AZ3" s="8" t="s">
        <v>556</v>
      </c>
      <c r="BA3" s="8" t="s">
        <v>557</v>
      </c>
      <c r="BB3" s="8" t="s">
        <v>558</v>
      </c>
      <c r="BC3" s="8" t="s">
        <v>556</v>
      </c>
      <c r="BD3" s="8" t="s">
        <v>557</v>
      </c>
      <c r="BE3" s="8" t="s">
        <v>558</v>
      </c>
      <c r="BF3" s="8" t="s">
        <v>556</v>
      </c>
      <c r="BG3" s="8" t="s">
        <v>557</v>
      </c>
      <c r="BH3" s="8" t="s">
        <v>558</v>
      </c>
      <c r="BI3" s="8" t="s">
        <v>556</v>
      </c>
      <c r="BJ3" s="8" t="s">
        <v>557</v>
      </c>
      <c r="BK3" s="8" t="s">
        <v>558</v>
      </c>
      <c r="BL3" s="8" t="s">
        <v>556</v>
      </c>
      <c r="BM3" s="8" t="s">
        <v>557</v>
      </c>
      <c r="BN3" s="8" t="s">
        <v>558</v>
      </c>
      <c r="BO3" s="8" t="s">
        <v>556</v>
      </c>
      <c r="BP3" s="8" t="s">
        <v>557</v>
      </c>
      <c r="BQ3" s="8" t="s">
        <v>558</v>
      </c>
      <c r="BR3" s="8" t="s">
        <v>556</v>
      </c>
      <c r="BS3" s="8" t="s">
        <v>557</v>
      </c>
      <c r="BT3" s="8" t="s">
        <v>558</v>
      </c>
      <c r="BU3" s="8" t="s">
        <v>556</v>
      </c>
      <c r="BV3" s="8" t="s">
        <v>557</v>
      </c>
      <c r="BW3" s="8" t="s">
        <v>558</v>
      </c>
    </row>
    <row r="4" spans="1:75" x14ac:dyDescent="0.15">
      <c r="A4" s="6">
        <v>-5</v>
      </c>
      <c r="B4" s="7">
        <v>4.1E-5</v>
      </c>
      <c r="C4" s="76">
        <v>-3.4973047158592276</v>
      </c>
      <c r="D4" s="6">
        <v>-5</v>
      </c>
      <c r="E4" s="7">
        <v>4.18E-5</v>
      </c>
      <c r="F4" s="76">
        <v>-3.7599921676513537</v>
      </c>
      <c r="G4" s="76">
        <v>-5</v>
      </c>
      <c r="H4" s="121">
        <v>3.9900000000000001E-5</v>
      </c>
      <c r="I4" s="76">
        <v>-2.8851784349917788</v>
      </c>
      <c r="J4" s="76">
        <v>-5</v>
      </c>
      <c r="K4" s="76">
        <v>2.0899999999999998E-3</v>
      </c>
      <c r="L4" s="76">
        <v>-5.7164962749914787</v>
      </c>
      <c r="M4" s="76">
        <v>-5</v>
      </c>
      <c r="N4" s="76">
        <v>250</v>
      </c>
      <c r="O4" s="76">
        <v>0</v>
      </c>
      <c r="P4" s="76">
        <v>-5</v>
      </c>
      <c r="Q4" s="76">
        <v>4.0299999999999997E-5</v>
      </c>
      <c r="R4" s="76">
        <v>-2.885095445718139</v>
      </c>
      <c r="S4" s="76">
        <v>-5</v>
      </c>
      <c r="T4" s="76">
        <v>1.9599999999999999E-4</v>
      </c>
      <c r="U4" s="76">
        <v>-1.8436445842375513</v>
      </c>
      <c r="V4" s="76">
        <v>-5</v>
      </c>
      <c r="W4" s="121">
        <v>9.6299999999999997E-3</v>
      </c>
      <c r="X4" s="76">
        <v>-10.709607573376038</v>
      </c>
      <c r="Y4" s="76">
        <v>-5</v>
      </c>
      <c r="Z4" s="76">
        <v>4.0899999999999998E-5</v>
      </c>
      <c r="AA4" s="76">
        <v>-3.2335570171874233</v>
      </c>
      <c r="AB4" s="76">
        <v>-5</v>
      </c>
      <c r="AC4" s="76">
        <v>4.0200000000000001E-5</v>
      </c>
      <c r="AD4" s="76">
        <v>-2.8934182387014498</v>
      </c>
      <c r="AE4" s="76">
        <v>-5</v>
      </c>
      <c r="AF4" s="76">
        <v>4.1E-5</v>
      </c>
      <c r="AG4" s="76">
        <v>-2.7958486221916266</v>
      </c>
      <c r="AH4" s="76">
        <v>-5</v>
      </c>
      <c r="AI4" s="76">
        <v>1.1299999999999999E-3</v>
      </c>
      <c r="AJ4" s="76">
        <v>3.0305010268009553</v>
      </c>
      <c r="AK4" s="76">
        <v>-5</v>
      </c>
      <c r="AL4" s="76">
        <v>1.2800000000000001E-3</v>
      </c>
      <c r="AM4" s="76">
        <v>-3.0767221732828465</v>
      </c>
      <c r="AN4" s="76">
        <v>-5</v>
      </c>
      <c r="AO4" s="76">
        <v>5.4699999999999996E-4</v>
      </c>
      <c r="AP4" s="76">
        <v>-4.1280459059621117</v>
      </c>
      <c r="AQ4" s="76">
        <v>-5</v>
      </c>
      <c r="AR4" s="76">
        <v>4.4700000000000002E-5</v>
      </c>
      <c r="AS4" s="76">
        <v>-2.5035611483909559</v>
      </c>
      <c r="AT4" s="76">
        <v>-5</v>
      </c>
      <c r="AU4" s="76">
        <v>4.1600000000000002E-5</v>
      </c>
      <c r="AV4" s="76">
        <v>-3.33591773755859</v>
      </c>
      <c r="AW4" s="76">
        <v>-5</v>
      </c>
      <c r="AX4" s="76">
        <v>4.35E-5</v>
      </c>
      <c r="AY4" s="76">
        <v>-3.6823576633980921</v>
      </c>
      <c r="AZ4" s="76">
        <v>-5</v>
      </c>
      <c r="BA4" s="76">
        <v>4.2500000000000003E-5</v>
      </c>
      <c r="BB4" s="76">
        <v>-2.8689806613957383</v>
      </c>
      <c r="BC4" s="76">
        <v>-5</v>
      </c>
      <c r="BD4" s="76">
        <v>5.3299999999999997E-3</v>
      </c>
      <c r="BE4" s="76">
        <v>-0.24692612590371343</v>
      </c>
      <c r="BF4" s="76">
        <v>-5</v>
      </c>
      <c r="BG4" s="76">
        <v>0.44700000000000001</v>
      </c>
      <c r="BH4" s="76">
        <v>-4.1558323827375059</v>
      </c>
      <c r="BI4" s="76">
        <v>-5</v>
      </c>
      <c r="BJ4" s="76">
        <v>4.2500000000000003E-5</v>
      </c>
      <c r="BK4" s="76">
        <v>-3.317773923170074</v>
      </c>
      <c r="BL4" s="76">
        <v>-5</v>
      </c>
      <c r="BM4" s="76">
        <v>4.1900000000000002E-5</v>
      </c>
      <c r="BN4" s="76">
        <v>-3.3408844526593859</v>
      </c>
      <c r="BO4" s="76">
        <v>-5</v>
      </c>
      <c r="BP4" s="76">
        <v>3.8899999999999998E-3</v>
      </c>
      <c r="BQ4" s="76">
        <v>-1.7361917272119394</v>
      </c>
      <c r="BR4" s="76">
        <v>-5</v>
      </c>
      <c r="BS4" s="76">
        <v>7.7100000000000002E-2</v>
      </c>
      <c r="BT4" s="76">
        <v>-0.20970624314304928</v>
      </c>
      <c r="BU4" s="76">
        <v>-5</v>
      </c>
      <c r="BV4" s="76">
        <v>2.5599999999999999E-4</v>
      </c>
      <c r="BW4" s="76">
        <v>-1.5154989812720085</v>
      </c>
    </row>
    <row r="5" spans="1:75" x14ac:dyDescent="0.15">
      <c r="A5" s="6">
        <v>-4.9000000000000004</v>
      </c>
      <c r="B5" s="7">
        <v>2.8900000000000001E-5</v>
      </c>
      <c r="C5" s="76">
        <v>-9.302282397179308</v>
      </c>
      <c r="D5" s="6">
        <v>-4.9000000000000004</v>
      </c>
      <c r="E5" s="7">
        <v>2.87E-5</v>
      </c>
      <c r="F5" s="76">
        <v>-9.1455008739636643</v>
      </c>
      <c r="G5" s="76">
        <v>-4.9000000000000004</v>
      </c>
      <c r="H5" s="76">
        <v>2.9899999999999998E-5</v>
      </c>
      <c r="I5" s="76">
        <v>-9.7305575467834178</v>
      </c>
      <c r="J5" s="76">
        <v>-4.9000000000000004</v>
      </c>
      <c r="K5" s="76">
        <v>1.1800000000000001E-3</v>
      </c>
      <c r="L5" s="76">
        <v>0.1680711831638062</v>
      </c>
      <c r="M5" s="76">
        <v>-4.9000000000000004</v>
      </c>
      <c r="N5" s="76">
        <v>250</v>
      </c>
      <c r="O5" s="76">
        <v>0</v>
      </c>
      <c r="P5" s="76">
        <v>-4.9000000000000004</v>
      </c>
      <c r="Q5" s="76">
        <v>3.0199999999999999E-5</v>
      </c>
      <c r="R5" s="76">
        <v>-9.830391986625246</v>
      </c>
      <c r="S5" s="76">
        <v>-4.9000000000000004</v>
      </c>
      <c r="T5" s="76">
        <v>1.63E-4</v>
      </c>
      <c r="U5" s="76">
        <v>-3.0625845802471487</v>
      </c>
      <c r="V5" s="76">
        <v>-4.9000000000000004</v>
      </c>
      <c r="W5" s="76">
        <v>3.3E-3</v>
      </c>
      <c r="X5" s="76">
        <v>7.7598318613909028</v>
      </c>
      <c r="Y5" s="76">
        <v>-4.9000000000000004</v>
      </c>
      <c r="Z5" s="76">
        <v>2.9600000000000001E-5</v>
      </c>
      <c r="AA5" s="76">
        <v>-9.5416100592956017</v>
      </c>
      <c r="AB5" s="76">
        <v>-4.9000000000000004</v>
      </c>
      <c r="AC5" s="76">
        <v>3.01E-5</v>
      </c>
      <c r="AD5" s="76">
        <v>-9.797224460365312</v>
      </c>
      <c r="AE5" s="76">
        <v>-4.9000000000000004</v>
      </c>
      <c r="AF5" s="76">
        <v>3.1000000000000001E-5</v>
      </c>
      <c r="AG5" s="76">
        <v>-9.9164016911593578</v>
      </c>
      <c r="AH5" s="76">
        <v>-4.9000000000000004</v>
      </c>
      <c r="AI5" s="76">
        <v>1.5299999999999999E-3</v>
      </c>
      <c r="AJ5" s="76">
        <v>6.7000565199824802</v>
      </c>
      <c r="AK5" s="76">
        <v>-4.9000000000000004</v>
      </c>
      <c r="AL5" s="76">
        <v>9.41E-4</v>
      </c>
      <c r="AM5" s="76">
        <v>-1.2792998520011898</v>
      </c>
      <c r="AN5" s="76">
        <v>-4.9000000000000004</v>
      </c>
      <c r="AO5" s="76">
        <v>3.6200000000000002E-4</v>
      </c>
      <c r="AP5" s="76">
        <v>-2.89525390946068</v>
      </c>
      <c r="AQ5" s="76">
        <v>-4.9000000000000004</v>
      </c>
      <c r="AR5" s="76">
        <v>3.4799999999999999E-5</v>
      </c>
      <c r="AS5" s="76">
        <v>-2.7247265378825101</v>
      </c>
      <c r="AT5" s="76">
        <v>-4.9000000000000004</v>
      </c>
      <c r="AU5" s="76">
        <v>2.9799999999999999E-5</v>
      </c>
      <c r="AV5" s="76">
        <v>-9.7859461521030529</v>
      </c>
      <c r="AW5" s="76">
        <v>-4.9000000000000004</v>
      </c>
      <c r="AX5" s="76">
        <v>3.01E-5</v>
      </c>
      <c r="AY5" s="76">
        <v>-9.1131971915213104</v>
      </c>
      <c r="AZ5" s="76">
        <v>-4.9000000000000004</v>
      </c>
      <c r="BA5" s="76">
        <v>3.1900000000000003E-5</v>
      </c>
      <c r="BB5" s="76">
        <v>-10.289926543903432</v>
      </c>
      <c r="BC5" s="76">
        <v>-4.9000000000000004</v>
      </c>
      <c r="BD5" s="76">
        <v>5.1999999999999998E-3</v>
      </c>
      <c r="BE5" s="76">
        <v>-2.9024946795702466</v>
      </c>
      <c r="BF5" s="76">
        <v>-4.9000000000000004</v>
      </c>
      <c r="BG5" s="76">
        <v>0.29499999999999998</v>
      </c>
      <c r="BH5" s="76">
        <v>3.0198606055004213</v>
      </c>
      <c r="BI5" s="76">
        <v>-4.9000000000000004</v>
      </c>
      <c r="BJ5" s="76">
        <v>3.0499999999999999E-5</v>
      </c>
      <c r="BK5" s="76">
        <v>-8.6049937224573441</v>
      </c>
      <c r="BL5" s="76">
        <v>-4.9000000000000004</v>
      </c>
      <c r="BM5" s="76">
        <v>3.0000000000000001E-5</v>
      </c>
      <c r="BN5" s="76">
        <v>-9.6758402626169921</v>
      </c>
      <c r="BO5" s="76">
        <v>-4.9000000000000004</v>
      </c>
      <c r="BP5" s="76">
        <v>3.2699999999999999E-3</v>
      </c>
      <c r="BQ5" s="76">
        <v>-0.21639175103480451</v>
      </c>
      <c r="BR5" s="76">
        <v>-4.9000000000000004</v>
      </c>
      <c r="BS5" s="76">
        <v>7.5499999999999998E-2</v>
      </c>
      <c r="BT5" s="76">
        <v>1.1734143706232185</v>
      </c>
      <c r="BU5" s="76">
        <v>-4.9000000000000004</v>
      </c>
      <c r="BV5" s="76">
        <v>2.2000000000000001E-4</v>
      </c>
      <c r="BW5" s="76">
        <v>-1.8962085927556491</v>
      </c>
    </row>
    <row r="6" spans="1:75" x14ac:dyDescent="0.15">
      <c r="A6" s="6">
        <v>-4.8</v>
      </c>
      <c r="B6" s="7">
        <v>1.1399999999999999E-5</v>
      </c>
      <c r="C6" s="76">
        <v>-2.8185115214098846</v>
      </c>
      <c r="D6" s="6">
        <v>-4.8</v>
      </c>
      <c r="E6" s="7">
        <v>1.15E-5</v>
      </c>
      <c r="F6" s="76">
        <v>-2.9407930275951806</v>
      </c>
      <c r="G6" s="76">
        <v>-4.8</v>
      </c>
      <c r="H6" s="76">
        <v>1.13E-5</v>
      </c>
      <c r="I6" s="76">
        <v>-2.9063628434921287</v>
      </c>
      <c r="J6" s="76">
        <v>-4.8</v>
      </c>
      <c r="K6" s="76">
        <v>1.1999999999999999E-3</v>
      </c>
      <c r="L6" s="76">
        <v>-3.7833644071991257</v>
      </c>
      <c r="M6" s="76">
        <v>-4.8</v>
      </c>
      <c r="N6" s="76">
        <v>250</v>
      </c>
      <c r="O6" s="76">
        <v>0</v>
      </c>
      <c r="P6" s="76">
        <v>-4.8</v>
      </c>
      <c r="Q6" s="76">
        <v>1.13E-5</v>
      </c>
      <c r="R6" s="76">
        <v>-2.8356078313301327</v>
      </c>
      <c r="S6" s="76">
        <v>-4.8</v>
      </c>
      <c r="T6" s="76">
        <v>1.2E-4</v>
      </c>
      <c r="U6" s="76">
        <v>-0.1680711831638077</v>
      </c>
      <c r="V6" s="76">
        <v>-4.8</v>
      </c>
      <c r="W6" s="76">
        <v>7.1700000000000002E-3</v>
      </c>
      <c r="X6" s="76">
        <v>-1.3094458389917965</v>
      </c>
      <c r="Y6" s="76">
        <v>-4.8</v>
      </c>
      <c r="Z6" s="76">
        <v>1.1399999999999999E-5</v>
      </c>
      <c r="AA6" s="76">
        <v>-2.935471919041809</v>
      </c>
      <c r="AB6" s="76">
        <v>-4.8</v>
      </c>
      <c r="AC6" s="76">
        <v>1.13E-5</v>
      </c>
      <c r="AD6" s="76">
        <v>-2.8591372539504003</v>
      </c>
      <c r="AE6" s="76">
        <v>-4.8</v>
      </c>
      <c r="AF6" s="76">
        <v>1.15E-5</v>
      </c>
      <c r="AG6" s="76">
        <v>-2.8826195069360341</v>
      </c>
      <c r="AH6" s="76">
        <v>-4.8</v>
      </c>
      <c r="AI6" s="76">
        <v>2.99E-3</v>
      </c>
      <c r="AJ6" s="76">
        <v>-19.651577464626016</v>
      </c>
      <c r="AK6" s="76">
        <v>-4.8</v>
      </c>
      <c r="AL6" s="76">
        <v>8.2799999999999996E-4</v>
      </c>
      <c r="AM6" s="76">
        <v>-0.256894861153115</v>
      </c>
      <c r="AN6" s="76">
        <v>-4.8</v>
      </c>
      <c r="AO6" s="76">
        <v>2.7099999999999997E-4</v>
      </c>
      <c r="AP6" s="76">
        <v>-1.2984814720822737</v>
      </c>
      <c r="AQ6" s="76">
        <v>-4.8</v>
      </c>
      <c r="AR6" s="76">
        <v>2.65E-5</v>
      </c>
      <c r="AS6" s="76">
        <v>-6.0299608356564995</v>
      </c>
      <c r="AT6" s="76">
        <v>-4.8</v>
      </c>
      <c r="AU6" s="76">
        <v>1.1199999999999999E-5</v>
      </c>
      <c r="AV6" s="76">
        <v>-2.8530395004681455</v>
      </c>
      <c r="AW6" s="76">
        <v>-4.8</v>
      </c>
      <c r="AX6" s="76">
        <v>1.2099999999999999E-5</v>
      </c>
      <c r="AY6" s="76">
        <v>-3.2072904495567061</v>
      </c>
      <c r="AZ6" s="76">
        <v>-4.8</v>
      </c>
      <c r="BA6" s="76">
        <v>1.1399999999999999E-5</v>
      </c>
      <c r="BB6" s="76">
        <v>-3.0181658338668633</v>
      </c>
      <c r="BC6" s="76">
        <v>-4.8</v>
      </c>
      <c r="BD6" s="76">
        <v>3.8899999999999998E-3</v>
      </c>
      <c r="BE6" s="76">
        <v>-0.42000923974630994</v>
      </c>
      <c r="BF6" s="76">
        <v>-4.8</v>
      </c>
      <c r="BG6" s="76">
        <v>0.39900000000000002</v>
      </c>
      <c r="BH6" s="76">
        <v>-7.6321474317666498</v>
      </c>
      <c r="BI6" s="76">
        <v>-4.8</v>
      </c>
      <c r="BJ6" s="76">
        <v>1.29E-5</v>
      </c>
      <c r="BK6" s="76">
        <v>-2.4469188752041315</v>
      </c>
      <c r="BL6" s="76">
        <v>-4.8</v>
      </c>
      <c r="BM6" s="76">
        <v>1.1399999999999999E-5</v>
      </c>
      <c r="BN6" s="76">
        <v>-2.9119701455922633</v>
      </c>
      <c r="BO6" s="76">
        <v>-4.8</v>
      </c>
      <c r="BP6" s="76">
        <v>3.2000000000000002E-3</v>
      </c>
      <c r="BQ6" s="76">
        <v>3.949938082408698</v>
      </c>
      <c r="BR6" s="76">
        <v>-4.8</v>
      </c>
      <c r="BS6" s="76">
        <v>8.4900000000000003E-2</v>
      </c>
      <c r="BT6" s="76">
        <v>-0.17825783952600435</v>
      </c>
      <c r="BU6" s="76">
        <v>-4.8</v>
      </c>
      <c r="BV6" s="76">
        <v>1.8200000000000001E-4</v>
      </c>
      <c r="BW6" s="76">
        <v>0.58683501828090667</v>
      </c>
    </row>
    <row r="7" spans="1:75" x14ac:dyDescent="0.15">
      <c r="A7" s="6">
        <v>-4.7</v>
      </c>
      <c r="B7" s="7">
        <v>8.6000000000000007E-6</v>
      </c>
      <c r="C7" s="76">
        <v>-2.2024079165624739</v>
      </c>
      <c r="D7" s="6">
        <v>-4.7</v>
      </c>
      <c r="E7" s="7">
        <v>8.5699999999999993E-6</v>
      </c>
      <c r="F7" s="76">
        <v>-1.8958239206565151</v>
      </c>
      <c r="G7" s="76">
        <v>-4.7</v>
      </c>
      <c r="H7" s="76">
        <v>8.4500000000000004E-6</v>
      </c>
      <c r="I7" s="76">
        <v>-2.0700233513482291</v>
      </c>
      <c r="J7" s="76">
        <v>-4.7</v>
      </c>
      <c r="K7" s="76">
        <v>8.2200000000000003E-4</v>
      </c>
      <c r="L7" s="76">
        <v>-5.317237414036045</v>
      </c>
      <c r="M7" s="76">
        <v>-4.7</v>
      </c>
      <c r="N7" s="76">
        <v>250</v>
      </c>
      <c r="O7" s="76">
        <v>0</v>
      </c>
      <c r="P7" s="76">
        <v>-4.7</v>
      </c>
      <c r="Q7" s="76">
        <v>8.5099999999999998E-6</v>
      </c>
      <c r="R7" s="76">
        <v>-2.0972053098206689</v>
      </c>
      <c r="S7" s="76">
        <v>-4.7</v>
      </c>
      <c r="T7" s="76">
        <v>1.18E-4</v>
      </c>
      <c r="U7" s="76">
        <v>-4.5988549908014882</v>
      </c>
      <c r="V7" s="76">
        <v>-4.7</v>
      </c>
      <c r="W7" s="76">
        <v>6.2899999999999996E-3</v>
      </c>
      <c r="X7" s="76">
        <v>-3.3933802428545419</v>
      </c>
      <c r="Y7" s="76">
        <v>-4.7</v>
      </c>
      <c r="Z7" s="76">
        <v>8.4999999999999999E-6</v>
      </c>
      <c r="AA7" s="76">
        <v>-2.1290205726201057</v>
      </c>
      <c r="AB7" s="76">
        <v>-4.7</v>
      </c>
      <c r="AC7" s="76">
        <v>8.49E-6</v>
      </c>
      <c r="AD7" s="76">
        <v>-2.0881791529768701</v>
      </c>
      <c r="AE7" s="76">
        <v>-4.7</v>
      </c>
      <c r="AF7" s="76">
        <v>8.6200000000000005E-6</v>
      </c>
      <c r="AG7" s="76">
        <v>-2.1678331015688874</v>
      </c>
      <c r="AH7" s="76">
        <v>-4.7</v>
      </c>
      <c r="AI7" s="76">
        <v>4.1899999999999999E-4</v>
      </c>
      <c r="AJ7" s="76">
        <v>-4.657168877443711</v>
      </c>
      <c r="AK7" s="76">
        <v>-4.7</v>
      </c>
      <c r="AL7" s="76">
        <v>8.0699999999999999E-4</v>
      </c>
      <c r="AM7" s="76">
        <v>-0.50836866902691913</v>
      </c>
      <c r="AN7" s="76">
        <v>-4.7</v>
      </c>
      <c r="AO7" s="76">
        <v>2.3800000000000001E-4</v>
      </c>
      <c r="AP7" s="76">
        <v>-3.074846997479598</v>
      </c>
      <c r="AQ7" s="76">
        <v>-4.7</v>
      </c>
      <c r="AR7" s="76">
        <v>1.45E-5</v>
      </c>
      <c r="AS7" s="76">
        <v>-2.1455980762281675</v>
      </c>
      <c r="AT7" s="76">
        <v>-4.7</v>
      </c>
      <c r="AU7" s="76">
        <v>8.4200000000000007E-6</v>
      </c>
      <c r="AV7" s="76">
        <v>-2.151588866836291</v>
      </c>
      <c r="AW7" s="76">
        <v>-4.7</v>
      </c>
      <c r="AX7" s="76">
        <v>8.7800000000000006E-6</v>
      </c>
      <c r="AY7" s="76">
        <v>-2.3086118287459154</v>
      </c>
      <c r="AZ7" s="76">
        <v>-4.7</v>
      </c>
      <c r="BA7" s="76">
        <v>8.4300000000000006E-6</v>
      </c>
      <c r="BB7" s="76">
        <v>-1.959369588119529</v>
      </c>
      <c r="BC7" s="76">
        <v>-4.7</v>
      </c>
      <c r="BD7" s="76">
        <v>3.7299999999999998E-3</v>
      </c>
      <c r="BE7" s="76">
        <v>-0.55110362710518213</v>
      </c>
      <c r="BF7" s="76">
        <v>-4.7</v>
      </c>
      <c r="BG7" s="76">
        <v>0.186</v>
      </c>
      <c r="BH7" s="76">
        <v>-1.1980119981261985</v>
      </c>
      <c r="BI7" s="76">
        <v>-4.7</v>
      </c>
      <c r="BJ7" s="76">
        <v>1.01E-5</v>
      </c>
      <c r="BK7" s="76">
        <v>-0.90076375332452463</v>
      </c>
      <c r="BL7" s="76">
        <v>-4.7</v>
      </c>
      <c r="BM7" s="76">
        <v>8.5199999999999997E-6</v>
      </c>
      <c r="BN7" s="76">
        <v>-2.1670889910342934</v>
      </c>
      <c r="BO7" s="76">
        <v>-4.7</v>
      </c>
      <c r="BP7" s="76">
        <v>4.7499999999999999E-3</v>
      </c>
      <c r="BQ7" s="76">
        <v>-1.3022858223583909</v>
      </c>
      <c r="BR7" s="76">
        <v>-4.7</v>
      </c>
      <c r="BS7" s="76">
        <v>8.3400000000000002E-2</v>
      </c>
      <c r="BT7" s="76">
        <v>0.21353124470568804</v>
      </c>
      <c r="BU7" s="76">
        <v>-4.7</v>
      </c>
      <c r="BV7" s="76">
        <v>1.93E-4</v>
      </c>
      <c r="BW7" s="76">
        <v>-1.3872620950162611</v>
      </c>
    </row>
    <row r="8" spans="1:75" x14ac:dyDescent="0.15">
      <c r="A8" s="6">
        <v>-4.5999999999999996</v>
      </c>
      <c r="B8" s="7">
        <v>6.9E-6</v>
      </c>
      <c r="C8" s="76">
        <v>-1.6337180801429398</v>
      </c>
      <c r="D8" s="6">
        <v>-4.5999999999999996</v>
      </c>
      <c r="E8" s="7">
        <v>7.0899999999999999E-6</v>
      </c>
      <c r="F8" s="76">
        <v>-1.9910476968021555</v>
      </c>
      <c r="G8" s="76">
        <v>-4.5999999999999996</v>
      </c>
      <c r="H8" s="76">
        <v>6.8700000000000003E-6</v>
      </c>
      <c r="I8" s="76">
        <v>-1.7449202571425166</v>
      </c>
      <c r="J8" s="76">
        <v>-4.5999999999999996</v>
      </c>
      <c r="K8" s="76">
        <v>4.8299999999999998E-4</v>
      </c>
      <c r="L8" s="76">
        <v>1.078419065092117</v>
      </c>
      <c r="M8" s="76">
        <v>-4.5999999999999996</v>
      </c>
      <c r="N8" s="76">
        <v>250</v>
      </c>
      <c r="O8" s="76">
        <v>0</v>
      </c>
      <c r="P8" s="76">
        <v>-4.5999999999999996</v>
      </c>
      <c r="Q8" s="76">
        <v>6.9E-6</v>
      </c>
      <c r="R8" s="76">
        <v>-1.7022114985986885</v>
      </c>
      <c r="S8" s="76">
        <v>-4.5999999999999996</v>
      </c>
      <c r="T8" s="76">
        <v>7.4499999999999995E-5</v>
      </c>
      <c r="U8" s="76">
        <v>1.4818855042449695</v>
      </c>
      <c r="V8" s="76">
        <v>-4.5999999999999996</v>
      </c>
      <c r="W8" s="76">
        <v>4.4799999999999996E-3</v>
      </c>
      <c r="X8" s="76">
        <v>-23.115537629768134</v>
      </c>
      <c r="Y8" s="76">
        <v>-4.5999999999999996</v>
      </c>
      <c r="Z8" s="76">
        <v>6.8700000000000003E-6</v>
      </c>
      <c r="AA8" s="76">
        <v>-1.7622663152645996</v>
      </c>
      <c r="AB8" s="76">
        <v>-4.5999999999999996</v>
      </c>
      <c r="AC8" s="76">
        <v>6.8900000000000001E-6</v>
      </c>
      <c r="AD8" s="76">
        <v>-1.7049051416174759</v>
      </c>
      <c r="AE8" s="76">
        <v>-4.5999999999999996</v>
      </c>
      <c r="AF8" s="76">
        <v>6.9399999999999996E-6</v>
      </c>
      <c r="AG8" s="76">
        <v>-1.7428477415631134</v>
      </c>
      <c r="AH8" s="76">
        <v>-4.5999999999999996</v>
      </c>
      <c r="AI8" s="76">
        <v>2.63E-4</v>
      </c>
      <c r="AJ8" s="76">
        <v>3.4404803042967238</v>
      </c>
      <c r="AK8" s="76">
        <v>-4.5999999999999996</v>
      </c>
      <c r="AL8" s="76">
        <v>7.67E-4</v>
      </c>
      <c r="AM8" s="76">
        <v>-0.14445425187723565</v>
      </c>
      <c r="AN8" s="76">
        <v>-4.5999999999999996</v>
      </c>
      <c r="AO8" s="76">
        <v>1.75E-4</v>
      </c>
      <c r="AP8" s="76">
        <v>-3.4450440831847775</v>
      </c>
      <c r="AQ8" s="76">
        <v>-4.5999999999999996</v>
      </c>
      <c r="AR8" s="76">
        <v>1.17E-5</v>
      </c>
      <c r="AS8" s="76">
        <v>-1.640283637466299</v>
      </c>
      <c r="AT8" s="76">
        <v>-4.5999999999999996</v>
      </c>
      <c r="AU8" s="76">
        <v>6.7900000000000002E-6</v>
      </c>
      <c r="AV8" s="76">
        <v>-1.8202704935551381</v>
      </c>
      <c r="AW8" s="76">
        <v>-4.5999999999999996</v>
      </c>
      <c r="AX8" s="76">
        <v>6.9700000000000002E-6</v>
      </c>
      <c r="AY8" s="76">
        <v>-1.5822400521489455</v>
      </c>
      <c r="AZ8" s="76">
        <v>-4.5999999999999996</v>
      </c>
      <c r="BA8" s="76">
        <v>6.9299999999999997E-6</v>
      </c>
      <c r="BB8" s="76">
        <v>-1.5921398178380441</v>
      </c>
      <c r="BC8" s="76">
        <v>-4.5999999999999996</v>
      </c>
      <c r="BD8" s="76">
        <v>3.5300000000000002E-3</v>
      </c>
      <c r="BE8" s="76">
        <v>-2.5333995054522784</v>
      </c>
      <c r="BF8" s="76">
        <v>-4.5999999999999996</v>
      </c>
      <c r="BG8" s="76">
        <v>0.16500000000000001</v>
      </c>
      <c r="BH8" s="76">
        <v>-1.5718558352241307</v>
      </c>
      <c r="BI8" s="76">
        <v>-4.5999999999999996</v>
      </c>
      <c r="BJ8" s="76">
        <v>9.2299999999999997E-6</v>
      </c>
      <c r="BK8" s="76">
        <v>-3.2334106096620845</v>
      </c>
      <c r="BL8" s="76">
        <v>-4.5999999999999996</v>
      </c>
      <c r="BM8" s="76">
        <v>6.8600000000000004E-6</v>
      </c>
      <c r="BN8" s="76">
        <v>-1.8173863634608864</v>
      </c>
      <c r="BO8" s="76">
        <v>-4.5999999999999996</v>
      </c>
      <c r="BP8" s="76">
        <v>4.1700000000000001E-3</v>
      </c>
      <c r="BQ8" s="76">
        <v>2.3952107259548414E-2</v>
      </c>
      <c r="BR8" s="76">
        <v>-4.5999999999999996</v>
      </c>
      <c r="BS8" s="76">
        <v>8.5199999999999998E-2</v>
      </c>
      <c r="BT8" s="76">
        <v>-2.1234525581565786</v>
      </c>
      <c r="BU8" s="76">
        <v>-4.5999999999999996</v>
      </c>
      <c r="BV8" s="76">
        <v>1.6799999999999999E-4</v>
      </c>
      <c r="BW8" s="76">
        <v>-1.0668414258833574</v>
      </c>
    </row>
    <row r="9" spans="1:75" x14ac:dyDescent="0.15">
      <c r="A9" s="6">
        <v>-4.5</v>
      </c>
      <c r="B9" s="7">
        <v>5.8599999999999998E-6</v>
      </c>
      <c r="C9" s="76">
        <v>-1.7281061553432293</v>
      </c>
      <c r="D9" s="12">
        <v>-4.5</v>
      </c>
      <c r="E9" s="13">
        <v>5.8100000000000003E-6</v>
      </c>
      <c r="F9" s="11">
        <v>-1.581748301269853</v>
      </c>
      <c r="G9" s="11">
        <v>-4.5</v>
      </c>
      <c r="H9" s="11">
        <v>5.7699999999999998E-6</v>
      </c>
      <c r="I9" s="11">
        <v>-1.4323416808590801</v>
      </c>
      <c r="J9" s="76">
        <v>-4.5</v>
      </c>
      <c r="K9" s="76">
        <v>5.3799999999999996E-4</v>
      </c>
      <c r="L9" s="76">
        <v>-1.8604656529195362E-2</v>
      </c>
      <c r="M9" s="76">
        <v>-4.5</v>
      </c>
      <c r="N9" s="76">
        <v>250</v>
      </c>
      <c r="O9" s="76">
        <v>0</v>
      </c>
      <c r="P9" s="76">
        <v>-4.5</v>
      </c>
      <c r="Q9" s="76">
        <v>5.8200000000000002E-6</v>
      </c>
      <c r="R9" s="76">
        <v>-1.4787032803970899</v>
      </c>
      <c r="S9" s="76">
        <v>-4.5</v>
      </c>
      <c r="T9" s="76">
        <v>8.6399999999999999E-5</v>
      </c>
      <c r="U9" s="76">
        <v>0.68220968708370822</v>
      </c>
      <c r="V9" s="76">
        <v>-4.5</v>
      </c>
      <c r="W9" s="76">
        <v>4.44E-4</v>
      </c>
      <c r="X9" s="76">
        <v>-4.682034487415895</v>
      </c>
      <c r="Y9" s="76">
        <v>-4.5</v>
      </c>
      <c r="Z9" s="76">
        <v>5.7599999999999999E-6</v>
      </c>
      <c r="AA9" s="76">
        <v>-1.5154989812720085</v>
      </c>
      <c r="AB9" s="76">
        <v>-4.5</v>
      </c>
      <c r="AC9" s="76">
        <v>5.8100000000000003E-6</v>
      </c>
      <c r="AD9" s="76">
        <v>-1.4814465576704681</v>
      </c>
      <c r="AE9" s="76">
        <v>-4.5</v>
      </c>
      <c r="AF9" s="76">
        <v>5.8300000000000001E-6</v>
      </c>
      <c r="AG9" s="76">
        <v>-1.5558109059897574</v>
      </c>
      <c r="AH9" s="76">
        <v>-4.5</v>
      </c>
      <c r="AI9" s="76">
        <v>3.7100000000000002E-4</v>
      </c>
      <c r="AJ9" s="76">
        <v>-1.7962976512824345</v>
      </c>
      <c r="AK9" s="76">
        <v>-4.5</v>
      </c>
      <c r="AL9" s="76">
        <v>7.5600000000000005E-4</v>
      </c>
      <c r="AM9" s="76">
        <v>0</v>
      </c>
      <c r="AN9" s="76">
        <v>-4.5</v>
      </c>
      <c r="AO9" s="76">
        <v>1.2400000000000001E-4</v>
      </c>
      <c r="AP9" s="76">
        <v>2.6731476962734839</v>
      </c>
      <c r="AQ9" s="76">
        <v>-4.5</v>
      </c>
      <c r="AR9" s="76">
        <v>9.9299999999999998E-6</v>
      </c>
      <c r="AS9" s="76">
        <v>-1.3800115711329268</v>
      </c>
      <c r="AT9" s="76">
        <v>-4.5</v>
      </c>
      <c r="AU9" s="76">
        <v>5.66E-6</v>
      </c>
      <c r="AV9" s="76">
        <v>-1.4418868709851169</v>
      </c>
      <c r="AW9" s="76">
        <v>-4.5</v>
      </c>
      <c r="AX9" s="76">
        <v>5.9499999999999998E-6</v>
      </c>
      <c r="AY9" s="76">
        <v>-1.3858616328614786</v>
      </c>
      <c r="AZ9" s="76">
        <v>-4.5</v>
      </c>
      <c r="BA9" s="76">
        <v>5.9100000000000002E-6</v>
      </c>
      <c r="BB9" s="76">
        <v>-1.8333730091379039</v>
      </c>
      <c r="BC9" s="76">
        <v>-4.5</v>
      </c>
      <c r="BD9" s="76">
        <v>2.7399999999999998E-3</v>
      </c>
      <c r="BE9" s="76">
        <v>0.14493007302566471</v>
      </c>
      <c r="BF9" s="76">
        <v>-4.5</v>
      </c>
      <c r="BG9" s="76">
        <v>0.14099999999999999</v>
      </c>
      <c r="BH9" s="76">
        <v>0</v>
      </c>
      <c r="BI9" s="76">
        <v>-4.5</v>
      </c>
      <c r="BJ9" s="76">
        <v>6.6800000000000004E-6</v>
      </c>
      <c r="BK9" s="76">
        <v>-2.6401232836587689</v>
      </c>
      <c r="BL9" s="76">
        <v>-4.5</v>
      </c>
      <c r="BM9" s="76">
        <v>5.7200000000000003E-6</v>
      </c>
      <c r="BN9" s="76">
        <v>-1.5066027488748954</v>
      </c>
      <c r="BO9" s="76">
        <v>-4.5</v>
      </c>
      <c r="BP9" s="76">
        <v>4.1799999999999997E-3</v>
      </c>
      <c r="BQ9" s="76">
        <v>-9.6154586994421712E-2</v>
      </c>
      <c r="BR9" s="76">
        <v>-4.5</v>
      </c>
      <c r="BS9" s="76">
        <v>6.8900000000000003E-2</v>
      </c>
      <c r="BT9" s="76">
        <v>-0.65990954217886488</v>
      </c>
      <c r="BU9" s="76">
        <v>-4.5</v>
      </c>
      <c r="BV9" s="76">
        <v>1.5100000000000001E-4</v>
      </c>
      <c r="BW9" s="76">
        <v>-0.82805903684232196</v>
      </c>
    </row>
    <row r="10" spans="1:75" x14ac:dyDescent="0.15">
      <c r="A10" s="6">
        <v>-4.4000000000000004</v>
      </c>
      <c r="B10" s="7">
        <v>4.9300000000000002E-6</v>
      </c>
      <c r="C10" s="76">
        <v>-1.0693940399755362</v>
      </c>
      <c r="D10" s="12">
        <v>-4.4000000000000004</v>
      </c>
      <c r="E10" s="13">
        <v>4.9599999999999999E-6</v>
      </c>
      <c r="F10" s="11">
        <v>-1.1753105127808121</v>
      </c>
      <c r="G10" s="11">
        <v>-4.4000000000000004</v>
      </c>
      <c r="H10" s="11">
        <v>5.0000000000000004E-6</v>
      </c>
      <c r="I10" s="11">
        <v>-1.2556322297534561</v>
      </c>
      <c r="J10" s="76">
        <v>-4.4000000000000004</v>
      </c>
      <c r="K10" s="76">
        <v>5.3700000000000004E-4</v>
      </c>
      <c r="L10" s="76">
        <v>-2.9954608922442478</v>
      </c>
      <c r="M10" s="76">
        <v>-4.4000000000000004</v>
      </c>
      <c r="N10" s="76">
        <v>250</v>
      </c>
      <c r="O10" s="76">
        <v>0</v>
      </c>
      <c r="P10" s="76">
        <v>-4.4000000000000004</v>
      </c>
      <c r="Q10" s="76">
        <v>5.0200000000000002E-6</v>
      </c>
      <c r="R10" s="76">
        <v>-1.2729023761402944</v>
      </c>
      <c r="S10" s="76">
        <v>-4.4000000000000004</v>
      </c>
      <c r="T10" s="76">
        <v>9.2499999999999999E-5</v>
      </c>
      <c r="U10" s="76">
        <v>2.9307292108665473</v>
      </c>
      <c r="V10" s="76">
        <v>-4.4000000000000004</v>
      </c>
      <c r="W10" s="76">
        <v>2.7799999999999998E-4</v>
      </c>
      <c r="X10" s="76">
        <v>0.9269066291677448</v>
      </c>
      <c r="Y10" s="76">
        <v>-4.4000000000000004</v>
      </c>
      <c r="Z10" s="76">
        <v>4.95E-6</v>
      </c>
      <c r="AA10" s="76">
        <v>-1.3151322846828535</v>
      </c>
      <c r="AB10" s="76">
        <v>-4.4000000000000004</v>
      </c>
      <c r="AC10" s="76">
        <v>5.0100000000000003E-6</v>
      </c>
      <c r="AD10" s="76">
        <v>-1.2983137417255828</v>
      </c>
      <c r="AE10" s="76">
        <v>-4.4000000000000004</v>
      </c>
      <c r="AF10" s="76">
        <v>4.9899999999999997E-6</v>
      </c>
      <c r="AG10" s="76">
        <v>-1.2583136883921076</v>
      </c>
      <c r="AH10" s="76">
        <v>-4.4000000000000004</v>
      </c>
      <c r="AI10" s="76">
        <v>3.1E-4</v>
      </c>
      <c r="AJ10" s="76">
        <v>6.5534481591340574</v>
      </c>
      <c r="AK10" s="76">
        <v>-4.4000000000000004</v>
      </c>
      <c r="AL10" s="76">
        <v>7.5600000000000005E-4</v>
      </c>
      <c r="AM10" s="76">
        <v>-1.0889408823913658</v>
      </c>
      <c r="AN10" s="76">
        <v>-4.4000000000000004</v>
      </c>
      <c r="AO10" s="76">
        <v>1.6200000000000001E-4</v>
      </c>
      <c r="AP10" s="76">
        <v>-1.5312240210169132</v>
      </c>
      <c r="AQ10" s="76">
        <v>-4.4000000000000004</v>
      </c>
      <c r="AR10" s="76">
        <v>8.6500000000000002E-6</v>
      </c>
      <c r="AS10" s="76">
        <v>-1.2941107365150304</v>
      </c>
      <c r="AT10" s="76">
        <v>-4.4000000000000004</v>
      </c>
      <c r="AU10" s="76">
        <v>4.8999999999999997E-6</v>
      </c>
      <c r="AV10" s="76">
        <v>-1.3762137787604727</v>
      </c>
      <c r="AW10" s="76">
        <v>-4.4000000000000004</v>
      </c>
      <c r="AX10" s="76">
        <v>5.1800000000000004E-6</v>
      </c>
      <c r="AY10" s="76">
        <v>-0.8245875137114167</v>
      </c>
      <c r="AZ10" s="76">
        <v>-4.4000000000000004</v>
      </c>
      <c r="BA10" s="76">
        <v>4.9200000000000003E-6</v>
      </c>
      <c r="BB10" s="76">
        <v>-1.4403937022293711</v>
      </c>
      <c r="BC10" s="76">
        <v>-4.4000000000000004</v>
      </c>
      <c r="BD10" s="76">
        <v>2.7799999999999999E-3</v>
      </c>
      <c r="BE10" s="76">
        <v>-0.36634133179780176</v>
      </c>
      <c r="BF10" s="76">
        <v>-4.4000000000000004</v>
      </c>
      <c r="BG10" s="76">
        <v>0.14099999999999999</v>
      </c>
      <c r="BH10" s="76">
        <v>-0.58410762156413965</v>
      </c>
      <c r="BI10" s="76">
        <v>-4.4000000000000004</v>
      </c>
      <c r="BJ10" s="76">
        <v>5.13E-6</v>
      </c>
      <c r="BK10" s="76">
        <v>-1.444512827385448</v>
      </c>
      <c r="BL10" s="76">
        <v>-4.4000000000000004</v>
      </c>
      <c r="BM10" s="76">
        <v>4.9200000000000003E-6</v>
      </c>
      <c r="BN10" s="76">
        <v>-1.2774098848981839</v>
      </c>
      <c r="BO10" s="76">
        <v>-4.4000000000000004</v>
      </c>
      <c r="BP10" s="76">
        <v>4.1399999999999996E-3</v>
      </c>
      <c r="BQ10" s="76">
        <v>-3.5598505084479268</v>
      </c>
      <c r="BR10" s="76">
        <v>-4.4000000000000004</v>
      </c>
      <c r="BS10" s="76">
        <v>6.4500000000000002E-2</v>
      </c>
      <c r="BT10" s="76">
        <v>-0.44381292890384599</v>
      </c>
      <c r="BU10" s="76">
        <v>-4.4000000000000004</v>
      </c>
      <c r="BV10" s="76">
        <v>1.3899999999999999E-4</v>
      </c>
      <c r="BW10" s="76">
        <v>3.5883089159379886</v>
      </c>
    </row>
    <row r="11" spans="1:75" x14ac:dyDescent="0.15">
      <c r="A11" s="6">
        <v>-4.3</v>
      </c>
      <c r="B11" s="7">
        <v>4.4299999999999999E-6</v>
      </c>
      <c r="C11" s="76">
        <v>-1.3256443042186252</v>
      </c>
      <c r="D11" s="12">
        <v>-4.3</v>
      </c>
      <c r="E11" s="13">
        <v>4.4100000000000001E-6</v>
      </c>
      <c r="F11" s="11">
        <v>-1.410098862661991</v>
      </c>
      <c r="G11" s="11">
        <v>-4.3</v>
      </c>
      <c r="H11" s="11">
        <v>4.4100000000000001E-6</v>
      </c>
      <c r="I11" s="11">
        <v>-1.1269396614891254</v>
      </c>
      <c r="J11" s="76">
        <v>-4.3</v>
      </c>
      <c r="K11" s="76">
        <v>3.9800000000000002E-4</v>
      </c>
      <c r="L11" s="76">
        <v>-1.7531101230773833</v>
      </c>
      <c r="M11" s="76">
        <v>-4.3</v>
      </c>
      <c r="N11" s="76">
        <v>250</v>
      </c>
      <c r="O11" s="76">
        <v>0</v>
      </c>
      <c r="P11" s="76">
        <v>-4.3</v>
      </c>
      <c r="Q11" s="76">
        <v>4.42E-6</v>
      </c>
      <c r="R11" s="76">
        <v>-1.1495897277976614</v>
      </c>
      <c r="S11" s="76">
        <v>-4.3</v>
      </c>
      <c r="T11" s="76">
        <v>1.2400000000000001E-4</v>
      </c>
      <c r="U11" s="76">
        <v>-10.180734261841007</v>
      </c>
      <c r="V11" s="76">
        <v>-4.3</v>
      </c>
      <c r="W11" s="76">
        <v>3.0499999999999999E-4</v>
      </c>
      <c r="X11" s="76">
        <v>-0.46988509435920089</v>
      </c>
      <c r="Y11" s="76">
        <v>-4.3</v>
      </c>
      <c r="Z11" s="76">
        <v>4.34E-6</v>
      </c>
      <c r="AA11" s="76">
        <v>-1.0946519048195786</v>
      </c>
      <c r="AB11" s="76">
        <v>-4.3</v>
      </c>
      <c r="AC11" s="76">
        <v>4.4000000000000002E-6</v>
      </c>
      <c r="AD11" s="76">
        <v>-1.1806716692694195</v>
      </c>
      <c r="AE11" s="76">
        <v>-4.3</v>
      </c>
      <c r="AF11" s="76">
        <v>4.4000000000000002E-6</v>
      </c>
      <c r="AG11" s="76">
        <v>-1.0283844622511609</v>
      </c>
      <c r="AH11" s="76">
        <v>-4.3</v>
      </c>
      <c r="AI11" s="76">
        <v>5.9699999999999998E-4</v>
      </c>
      <c r="AJ11" s="76">
        <v>-5.4837269636124404</v>
      </c>
      <c r="AK11" s="76">
        <v>-4.3</v>
      </c>
      <c r="AL11" s="76">
        <v>6.78E-4</v>
      </c>
      <c r="AM11" s="76">
        <v>-0.8942780990125897</v>
      </c>
      <c r="AN11" s="76">
        <v>-4.3</v>
      </c>
      <c r="AO11" s="76">
        <v>1.3899999999999999E-4</v>
      </c>
      <c r="AP11" s="76">
        <v>-2.4312605090154888</v>
      </c>
      <c r="AQ11" s="76">
        <v>-4.3</v>
      </c>
      <c r="AR11" s="76">
        <v>7.6000000000000001E-6</v>
      </c>
      <c r="AS11" s="76">
        <v>-0.92288434090474047</v>
      </c>
      <c r="AT11" s="76">
        <v>-4.3</v>
      </c>
      <c r="AU11" s="76">
        <v>4.2699999999999998E-6</v>
      </c>
      <c r="AV11" s="76">
        <v>-1.1924780814619715</v>
      </c>
      <c r="AW11" s="76">
        <v>-4.3</v>
      </c>
      <c r="AX11" s="76">
        <v>4.7700000000000001E-6</v>
      </c>
      <c r="AY11" s="76">
        <v>-1.5870330544574662</v>
      </c>
      <c r="AZ11" s="76">
        <v>-4.3</v>
      </c>
      <c r="BA11" s="76">
        <v>4.2599999999999999E-6</v>
      </c>
      <c r="BB11" s="76">
        <v>-0.96014653239589254</v>
      </c>
      <c r="BC11" s="76">
        <v>-4.3</v>
      </c>
      <c r="BD11" s="76">
        <v>2.6800000000000001E-3</v>
      </c>
      <c r="BE11" s="76">
        <v>-7.4906717291574318E-2</v>
      </c>
      <c r="BF11" s="76">
        <v>-4.3</v>
      </c>
      <c r="BG11" s="76">
        <v>0.13300000000000001</v>
      </c>
      <c r="BH11" s="76">
        <v>-0.8632808348849772</v>
      </c>
      <c r="BI11" s="76">
        <v>-4.3</v>
      </c>
      <c r="BJ11" s="76">
        <v>4.4399999999999998E-6</v>
      </c>
      <c r="BK11" s="76">
        <v>-1.1693879753110223</v>
      </c>
      <c r="BL11" s="76">
        <v>-4.3</v>
      </c>
      <c r="BM11" s="76">
        <v>4.33E-6</v>
      </c>
      <c r="BN11" s="76">
        <v>-1.0973238837921646</v>
      </c>
      <c r="BO11" s="76">
        <v>-4.3</v>
      </c>
      <c r="BP11" s="76">
        <v>2.8999999999999998E-3</v>
      </c>
      <c r="BQ11" s="76">
        <v>2.5437487443401352</v>
      </c>
      <c r="BR11" s="76">
        <v>-4.3</v>
      </c>
      <c r="BS11" s="76">
        <v>6.1699999999999998E-2</v>
      </c>
      <c r="BT11" s="76">
        <v>0.74918016750466876</v>
      </c>
      <c r="BU11" s="76">
        <v>-4.3</v>
      </c>
      <c r="BV11" s="76">
        <v>1.9900000000000001E-4</v>
      </c>
      <c r="BW11" s="76">
        <v>-0.62196207869906539</v>
      </c>
    </row>
    <row r="12" spans="1:75" x14ac:dyDescent="0.15">
      <c r="A12" s="6">
        <v>-4.2</v>
      </c>
      <c r="B12" s="7">
        <v>3.8800000000000001E-6</v>
      </c>
      <c r="C12" s="76">
        <v>-1.0880285984879854</v>
      </c>
      <c r="D12" s="12">
        <v>-4.2</v>
      </c>
      <c r="E12" s="13">
        <v>3.8299999999999998E-6</v>
      </c>
      <c r="F12" s="11">
        <v>-0.90101834697186212</v>
      </c>
      <c r="G12" s="11">
        <v>-4.2</v>
      </c>
      <c r="H12" s="11">
        <v>3.9400000000000004E-6</v>
      </c>
      <c r="I12" s="11">
        <v>-1.1556468583206696</v>
      </c>
      <c r="J12" s="76">
        <v>-4.2</v>
      </c>
      <c r="K12" s="76">
        <v>3.3399999999999999E-4</v>
      </c>
      <c r="L12" s="76">
        <v>-3.6872328245490475</v>
      </c>
      <c r="M12" s="76">
        <v>-4.2</v>
      </c>
      <c r="N12" s="76">
        <v>250</v>
      </c>
      <c r="O12" s="76">
        <v>0</v>
      </c>
      <c r="P12" s="76">
        <v>-4.2</v>
      </c>
      <c r="Q12" s="76">
        <v>3.9400000000000004E-6</v>
      </c>
      <c r="R12" s="76">
        <v>-1.1271973369983475</v>
      </c>
      <c r="S12" s="76">
        <v>-4.2</v>
      </c>
      <c r="T12" s="76">
        <v>4.4799999999999998E-5</v>
      </c>
      <c r="U12" s="76">
        <v>-1.646219796945525</v>
      </c>
      <c r="V12" s="76">
        <v>-4.2</v>
      </c>
      <c r="W12" s="76">
        <v>2.9100000000000003E-4</v>
      </c>
      <c r="X12" s="76">
        <v>-2.9804485948732502</v>
      </c>
      <c r="Y12" s="76">
        <v>-4.2</v>
      </c>
      <c r="Z12" s="76">
        <v>3.89E-6</v>
      </c>
      <c r="AA12" s="76">
        <v>-0.99948168020348582</v>
      </c>
      <c r="AB12" s="76">
        <v>-4.2</v>
      </c>
      <c r="AC12" s="76">
        <v>3.9099999999999998E-6</v>
      </c>
      <c r="AD12" s="76">
        <v>-1.1650508021088983</v>
      </c>
      <c r="AE12" s="76">
        <v>-4.2</v>
      </c>
      <c r="AF12" s="76">
        <v>3.9700000000000001E-6</v>
      </c>
      <c r="AG12" s="76">
        <v>-1.0900554983515973</v>
      </c>
      <c r="AH12" s="76">
        <v>-4.2</v>
      </c>
      <c r="AI12" s="76">
        <v>3.4499999999999998E-4</v>
      </c>
      <c r="AJ12" s="76">
        <v>11.034315751040523</v>
      </c>
      <c r="AK12" s="76">
        <v>-4.2</v>
      </c>
      <c r="AL12" s="76">
        <v>6.2E-4</v>
      </c>
      <c r="AM12" s="76">
        <v>-0.34457879923687246</v>
      </c>
      <c r="AN12" s="76">
        <v>-4.2</v>
      </c>
      <c r="AO12" s="76">
        <v>1.0900000000000001E-4</v>
      </c>
      <c r="AP12" s="76">
        <v>-2.1060777461922764</v>
      </c>
      <c r="AQ12" s="76">
        <v>-4.2</v>
      </c>
      <c r="AR12" s="76">
        <v>6.9299999999999997E-6</v>
      </c>
      <c r="AS12" s="76">
        <v>-0.98489832721703341</v>
      </c>
      <c r="AT12" s="76">
        <v>-4.2</v>
      </c>
      <c r="AU12" s="76">
        <v>3.7900000000000001E-6</v>
      </c>
      <c r="AV12" s="76">
        <v>-0.96894547709028533</v>
      </c>
      <c r="AW12" s="76">
        <v>-4.2</v>
      </c>
      <c r="AX12" s="76">
        <v>4.07E-6</v>
      </c>
      <c r="AY12" s="76">
        <v>-0.71276980360167008</v>
      </c>
      <c r="AZ12" s="76">
        <v>-4.2</v>
      </c>
      <c r="BA12" s="76">
        <v>3.8700000000000002E-6</v>
      </c>
      <c r="BB12" s="76">
        <v>-0.80688911250141893</v>
      </c>
      <c r="BC12" s="76">
        <v>-4.2</v>
      </c>
      <c r="BD12" s="76">
        <v>2.66E-3</v>
      </c>
      <c r="BE12" s="76">
        <v>-0.82238098236971269</v>
      </c>
      <c r="BF12" s="76">
        <v>-4.2</v>
      </c>
      <c r="BG12" s="76">
        <v>0.122</v>
      </c>
      <c r="BH12" s="76">
        <v>-0.50430853626891547</v>
      </c>
      <c r="BI12" s="76">
        <v>-4.2</v>
      </c>
      <c r="BJ12" s="76">
        <v>3.9500000000000003E-6</v>
      </c>
      <c r="BK12" s="76">
        <v>-0.90007806568241</v>
      </c>
      <c r="BL12" s="76">
        <v>-4.2</v>
      </c>
      <c r="BM12" s="76">
        <v>3.8800000000000001E-6</v>
      </c>
      <c r="BN12" s="76">
        <v>-0.88887550147857175</v>
      </c>
      <c r="BO12" s="76">
        <v>-4.2</v>
      </c>
      <c r="BP12" s="76">
        <v>3.7399999999999998E-3</v>
      </c>
      <c r="BQ12" s="76">
        <v>-1.4351228162220155</v>
      </c>
      <c r="BR12" s="76">
        <v>-4.2</v>
      </c>
      <c r="BS12" s="76">
        <v>6.6500000000000004E-2</v>
      </c>
      <c r="BT12" s="76">
        <v>-0.43017385083690346</v>
      </c>
      <c r="BU12" s="76">
        <v>-4.2</v>
      </c>
      <c r="BV12" s="76">
        <v>1.8699999999999999E-4</v>
      </c>
      <c r="BW12" s="76">
        <v>-0.49325066562500647</v>
      </c>
    </row>
    <row r="13" spans="1:75" x14ac:dyDescent="0.15">
      <c r="A13" s="6">
        <v>-4.0999999999999996</v>
      </c>
      <c r="B13" s="7">
        <v>3.4800000000000001E-6</v>
      </c>
      <c r="C13" s="76">
        <v>-0.80761356644459004</v>
      </c>
      <c r="D13" s="12">
        <v>-4.0999999999999996</v>
      </c>
      <c r="E13" s="13">
        <v>3.4999999999999999E-6</v>
      </c>
      <c r="F13" s="11">
        <v>-1.1814024230422546</v>
      </c>
      <c r="G13" s="11">
        <v>-4.0999999999999996</v>
      </c>
      <c r="H13" s="11">
        <v>3.5099999999999999E-6</v>
      </c>
      <c r="I13" s="11">
        <v>-1.0188444958858547</v>
      </c>
      <c r="J13" s="76">
        <v>-4.0999999999999996</v>
      </c>
      <c r="K13" s="76">
        <v>2.31E-4</v>
      </c>
      <c r="L13" s="76">
        <v>-4.5881108881345849</v>
      </c>
      <c r="M13" s="76">
        <v>-4.0999999999999996</v>
      </c>
      <c r="N13" s="76">
        <v>250</v>
      </c>
      <c r="O13" s="76">
        <v>0</v>
      </c>
      <c r="P13" s="76">
        <v>-4.0999999999999996</v>
      </c>
      <c r="Q13" s="76">
        <v>3.5200000000000002E-6</v>
      </c>
      <c r="R13" s="76">
        <v>-1.0157979281792109</v>
      </c>
      <c r="S13" s="76">
        <v>-4.0999999999999996</v>
      </c>
      <c r="T13" s="76">
        <v>3.8000000000000002E-5</v>
      </c>
      <c r="U13" s="76">
        <v>5.0713460982078296</v>
      </c>
      <c r="V13" s="76">
        <v>-4.0999999999999996</v>
      </c>
      <c r="W13" s="76">
        <v>2.1599999999999999E-4</v>
      </c>
      <c r="X13" s="76">
        <v>-3.7133210173870834</v>
      </c>
      <c r="Y13" s="76">
        <v>-4.0999999999999996</v>
      </c>
      <c r="Z13" s="76">
        <v>3.5200000000000002E-6</v>
      </c>
      <c r="AA13" s="76">
        <v>-0.92190052468082206</v>
      </c>
      <c r="AB13" s="76">
        <v>-4.0999999999999996</v>
      </c>
      <c r="AC13" s="76">
        <v>3.4800000000000001E-6</v>
      </c>
      <c r="AD13" s="76">
        <v>-1.0919929196499327</v>
      </c>
      <c r="AE13" s="76">
        <v>-4.0999999999999996</v>
      </c>
      <c r="AF13" s="76">
        <v>3.5599999999999998E-6</v>
      </c>
      <c r="AG13" s="76">
        <v>-0.94187215059701734</v>
      </c>
      <c r="AH13" s="76">
        <v>-4.0999999999999996</v>
      </c>
      <c r="AI13" s="76">
        <v>1.0399999999999999E-3</v>
      </c>
      <c r="AJ13" s="76">
        <v>2.7559002668675356</v>
      </c>
      <c r="AK13" s="76">
        <v>-4.0999999999999996</v>
      </c>
      <c r="AL13" s="76">
        <v>5.9900000000000003E-4</v>
      </c>
      <c r="AM13" s="76">
        <v>-1.68724928827985</v>
      </c>
      <c r="AN13" s="76">
        <v>-4.0999999999999996</v>
      </c>
      <c r="AO13" s="76">
        <v>8.8300000000000005E-5</v>
      </c>
      <c r="AP13" s="76">
        <v>-1.1509695218655875</v>
      </c>
      <c r="AQ13" s="76">
        <v>-4.0999999999999996</v>
      </c>
      <c r="AR13" s="76">
        <v>6.28E-6</v>
      </c>
      <c r="AS13" s="76">
        <v>-0.69220376891186564</v>
      </c>
      <c r="AT13" s="76">
        <v>-4.0999999999999996</v>
      </c>
      <c r="AU13" s="76">
        <v>3.4400000000000001E-6</v>
      </c>
      <c r="AV13" s="76">
        <v>-0.81739883496118115</v>
      </c>
      <c r="AW13" s="76">
        <v>-4.0999999999999996</v>
      </c>
      <c r="AX13" s="76">
        <v>3.7900000000000001E-6</v>
      </c>
      <c r="AY13" s="76">
        <v>-1.66095081952412</v>
      </c>
      <c r="AZ13" s="76">
        <v>-4.0999999999999996</v>
      </c>
      <c r="BA13" s="76">
        <v>3.5700000000000001E-6</v>
      </c>
      <c r="BB13" s="76">
        <v>-0.72600812863150821</v>
      </c>
      <c r="BC13" s="76">
        <v>-4.0999999999999996</v>
      </c>
      <c r="BD13" s="76">
        <v>2.4499999999999999E-3</v>
      </c>
      <c r="BE13" s="76">
        <v>-0.80723211272441486</v>
      </c>
      <c r="BF13" s="76">
        <v>-4.0999999999999996</v>
      </c>
      <c r="BG13" s="76">
        <v>0.11600000000000001</v>
      </c>
      <c r="BH13" s="76">
        <v>-0.44059989794030741</v>
      </c>
      <c r="BI13" s="76">
        <v>-4.0999999999999996</v>
      </c>
      <c r="BJ13" s="76">
        <v>3.6100000000000002E-6</v>
      </c>
      <c r="BK13" s="76">
        <v>-1.0198057696617404</v>
      </c>
      <c r="BL13" s="76">
        <v>-4.0999999999999996</v>
      </c>
      <c r="BM13" s="76">
        <v>3.5499999999999999E-6</v>
      </c>
      <c r="BN13" s="76">
        <v>-1.0067666634540053</v>
      </c>
      <c r="BO13" s="76">
        <v>-4.0999999999999996</v>
      </c>
      <c r="BP13" s="76">
        <v>3.2399999999999998E-3</v>
      </c>
      <c r="BQ13" s="76">
        <v>-0.70316498417460493</v>
      </c>
      <c r="BR13" s="76">
        <v>-4.0999999999999996</v>
      </c>
      <c r="BS13" s="76">
        <v>6.3700000000000007E-2</v>
      </c>
      <c r="BT13" s="76">
        <v>-0.81744835744067612</v>
      </c>
      <c r="BU13" s="76">
        <v>-4.0999999999999996</v>
      </c>
      <c r="BV13" s="76">
        <v>1.7799999999999999E-4</v>
      </c>
      <c r="BW13" s="76">
        <v>-5.3739265115071442</v>
      </c>
    </row>
    <row r="14" spans="1:75" x14ac:dyDescent="0.15">
      <c r="A14" s="6">
        <v>-4</v>
      </c>
      <c r="B14" s="7">
        <v>3.2100000000000002E-6</v>
      </c>
      <c r="C14" s="76">
        <v>-0.84465766790195496</v>
      </c>
      <c r="D14" s="12">
        <v>-4</v>
      </c>
      <c r="E14" s="13">
        <v>3.1099999999999999E-6</v>
      </c>
      <c r="F14" s="11">
        <v>-0.8730373191058397</v>
      </c>
      <c r="G14" s="11">
        <v>-4</v>
      </c>
      <c r="H14" s="11">
        <v>3.1700000000000001E-6</v>
      </c>
      <c r="I14" s="11">
        <v>-0.99419558117659701</v>
      </c>
      <c r="J14" s="76">
        <v>-4</v>
      </c>
      <c r="K14" s="76">
        <v>1.46E-4</v>
      </c>
      <c r="L14" s="76">
        <v>-0.20761991448429365</v>
      </c>
      <c r="M14" s="76">
        <v>-4</v>
      </c>
      <c r="N14" s="76">
        <v>250</v>
      </c>
      <c r="O14" s="76">
        <v>0</v>
      </c>
      <c r="P14" s="76">
        <v>-4</v>
      </c>
      <c r="Q14" s="76">
        <v>3.18E-6</v>
      </c>
      <c r="R14" s="76">
        <v>-1.0605957196032447</v>
      </c>
      <c r="S14" s="76">
        <v>-4</v>
      </c>
      <c r="T14" s="76">
        <v>6.3100000000000002E-5</v>
      </c>
      <c r="U14" s="76">
        <v>-0.89463596033112858</v>
      </c>
      <c r="V14" s="76">
        <v>-4</v>
      </c>
      <c r="W14" s="76">
        <v>1.4899999999999999E-4</v>
      </c>
      <c r="X14" s="76">
        <v>-1.5975921948686698</v>
      </c>
      <c r="Y14" s="76">
        <v>-4</v>
      </c>
      <c r="Z14" s="76">
        <v>3.2100000000000002E-6</v>
      </c>
      <c r="AA14" s="76">
        <v>-0.91268514112948929</v>
      </c>
      <c r="AB14" s="76">
        <v>-4</v>
      </c>
      <c r="AC14" s="76">
        <v>3.1200000000000002E-6</v>
      </c>
      <c r="AD14" s="76">
        <v>-1.0109611687136768</v>
      </c>
      <c r="AE14" s="76">
        <v>-4</v>
      </c>
      <c r="AF14" s="76">
        <v>3.2399999999999999E-6</v>
      </c>
      <c r="AG14" s="76">
        <v>-0.73633251043453574</v>
      </c>
      <c r="AH14" s="76">
        <v>-4</v>
      </c>
      <c r="AI14" s="76">
        <v>1.3699999999999999E-3</v>
      </c>
      <c r="AJ14" s="76">
        <v>0.49832373747875591</v>
      </c>
      <c r="AK14" s="76">
        <v>-4</v>
      </c>
      <c r="AL14" s="76">
        <v>5.0600000000000005E-4</v>
      </c>
      <c r="AM14" s="76">
        <v>-0.4238777834998238</v>
      </c>
      <c r="AN14" s="76">
        <v>-4</v>
      </c>
      <c r="AO14" s="76">
        <v>7.8700000000000002E-5</v>
      </c>
      <c r="AP14" s="76">
        <v>-0.25741447050146227</v>
      </c>
      <c r="AQ14" s="76">
        <v>-4</v>
      </c>
      <c r="AR14" s="76">
        <v>5.8599999999999998E-6</v>
      </c>
      <c r="AS14" s="76">
        <v>-0.89185628506209291</v>
      </c>
      <c r="AT14" s="76">
        <v>-4</v>
      </c>
      <c r="AU14" s="76">
        <v>3.1700000000000001E-6</v>
      </c>
      <c r="AV14" s="76">
        <v>-0.78729164860213463</v>
      </c>
      <c r="AW14" s="76">
        <v>-4</v>
      </c>
      <c r="AX14" s="76">
        <v>3.2100000000000002E-6</v>
      </c>
      <c r="AY14" s="76">
        <v>-0.44593375542818908</v>
      </c>
      <c r="AZ14" s="76">
        <v>-4</v>
      </c>
      <c r="BA14" s="76">
        <v>3.32E-6</v>
      </c>
      <c r="BB14" s="76">
        <v>-0.88107267510267129</v>
      </c>
      <c r="BC14" s="76">
        <v>-4</v>
      </c>
      <c r="BD14" s="76">
        <v>2.2599999999999999E-3</v>
      </c>
      <c r="BE14" s="76">
        <v>-0.45256591588120859</v>
      </c>
      <c r="BF14" s="76">
        <v>-4</v>
      </c>
      <c r="BG14" s="76">
        <v>0.111</v>
      </c>
      <c r="BH14" s="76">
        <v>-0.94409684471074584</v>
      </c>
      <c r="BI14" s="76">
        <v>-4</v>
      </c>
      <c r="BJ14" s="76">
        <v>3.2600000000000001E-6</v>
      </c>
      <c r="BK14" s="76">
        <v>-1.1701645838618713</v>
      </c>
      <c r="BL14" s="76">
        <v>-4</v>
      </c>
      <c r="BM14" s="76">
        <v>3.2100000000000002E-6</v>
      </c>
      <c r="BN14" s="76">
        <v>-0.98117855958523759</v>
      </c>
      <c r="BO14" s="76">
        <v>-4</v>
      </c>
      <c r="BP14" s="76">
        <v>3.0200000000000001E-3</v>
      </c>
      <c r="BQ14" s="76">
        <v>-0.37103750203376828</v>
      </c>
      <c r="BR14" s="76">
        <v>-4</v>
      </c>
      <c r="BS14" s="76">
        <v>5.8700000000000002E-2</v>
      </c>
      <c r="BT14" s="76">
        <v>-0.5245957990081247</v>
      </c>
      <c r="BU14" s="76">
        <v>-4</v>
      </c>
      <c r="BV14" s="76">
        <v>1.0399999999999999E-4</v>
      </c>
      <c r="BW14" s="76">
        <v>-0.19418085857102679</v>
      </c>
    </row>
    <row r="15" spans="1:75" x14ac:dyDescent="0.15">
      <c r="A15" s="6">
        <v>-3.9</v>
      </c>
      <c r="B15" s="7">
        <v>2.9500000000000001E-6</v>
      </c>
      <c r="C15" s="76">
        <v>-0.95988375828962713</v>
      </c>
      <c r="D15" s="12">
        <v>-3.9</v>
      </c>
      <c r="E15" s="13">
        <v>2.8499999999999998E-6</v>
      </c>
      <c r="F15" s="11">
        <v>-0.87968772945957874</v>
      </c>
      <c r="G15" s="11">
        <v>-3.9</v>
      </c>
      <c r="H15" s="11">
        <v>2.8700000000000001E-6</v>
      </c>
      <c r="I15" s="11">
        <v>-0.98800584744091946</v>
      </c>
      <c r="J15" s="76">
        <v>-3.9</v>
      </c>
      <c r="K15" s="76">
        <v>1.4300000000000001E-4</v>
      </c>
      <c r="L15" s="76">
        <v>-0.4286370443178274</v>
      </c>
      <c r="M15" s="76">
        <v>-3.9</v>
      </c>
      <c r="N15" s="76">
        <v>250</v>
      </c>
      <c r="O15" s="76">
        <v>0</v>
      </c>
      <c r="P15" s="76">
        <v>-3.9</v>
      </c>
      <c r="Q15" s="76">
        <v>2.8600000000000001E-6</v>
      </c>
      <c r="R15" s="76">
        <v>-0.95310179804323791</v>
      </c>
      <c r="S15" s="76">
        <v>-3.9</v>
      </c>
      <c r="T15" s="76">
        <v>5.77E-5</v>
      </c>
      <c r="U15" s="76">
        <v>-1.1173550102653698</v>
      </c>
      <c r="V15" s="76">
        <v>-3.9</v>
      </c>
      <c r="W15" s="76">
        <v>1.27E-4</v>
      </c>
      <c r="X15" s="76">
        <v>-0.32002731086173214</v>
      </c>
      <c r="Y15" s="76">
        <v>-3.9</v>
      </c>
      <c r="Z15" s="76">
        <v>2.9299999999999999E-6</v>
      </c>
      <c r="AA15" s="76">
        <v>-0.89185628506209291</v>
      </c>
      <c r="AB15" s="76">
        <v>-3.9</v>
      </c>
      <c r="AC15" s="76">
        <v>2.8200000000000001E-6</v>
      </c>
      <c r="AD15" s="76">
        <v>-0.36105004642116933</v>
      </c>
      <c r="AE15" s="76">
        <v>-3.9</v>
      </c>
      <c r="AF15" s="76">
        <v>3.01E-6</v>
      </c>
      <c r="AG15" s="76">
        <v>-0.79489151058238439</v>
      </c>
      <c r="AH15" s="76">
        <v>-3.9</v>
      </c>
      <c r="AI15" s="76">
        <v>1.4400000000000001E-3</v>
      </c>
      <c r="AJ15" s="76">
        <v>-1.256262131174094</v>
      </c>
      <c r="AK15" s="76">
        <v>-3.9</v>
      </c>
      <c r="AL15" s="76">
        <v>4.8500000000000003E-4</v>
      </c>
      <c r="AM15" s="76">
        <v>-0.52922401454342305</v>
      </c>
      <c r="AN15" s="76">
        <v>-3.9</v>
      </c>
      <c r="AO15" s="76">
        <v>7.6699999999999994E-5</v>
      </c>
      <c r="AP15" s="76">
        <v>-1.9201637922308006</v>
      </c>
      <c r="AQ15" s="76">
        <v>-3.9</v>
      </c>
      <c r="AR15" s="76">
        <v>5.3600000000000004E-6</v>
      </c>
      <c r="AS15" s="76">
        <v>-0.95870037988213053</v>
      </c>
      <c r="AT15" s="76">
        <v>-3.9</v>
      </c>
      <c r="AU15" s="76">
        <v>2.9299999999999999E-6</v>
      </c>
      <c r="AV15" s="76">
        <v>-0.85461229415226747</v>
      </c>
      <c r="AW15" s="76">
        <v>-3.9</v>
      </c>
      <c r="AX15" s="76">
        <v>3.0699999999999998E-6</v>
      </c>
      <c r="AY15" s="76">
        <v>-1.5850324382610013</v>
      </c>
      <c r="AZ15" s="76">
        <v>-3.9</v>
      </c>
      <c r="BA15" s="76">
        <v>3.0400000000000001E-6</v>
      </c>
      <c r="BB15" s="76">
        <v>-1.6406811648460524</v>
      </c>
      <c r="BC15" s="76">
        <v>-3.9</v>
      </c>
      <c r="BD15" s="76">
        <v>2.16E-3</v>
      </c>
      <c r="BE15" s="76">
        <v>-0.81973582959672975</v>
      </c>
      <c r="BF15" s="76">
        <v>-3.9</v>
      </c>
      <c r="BG15" s="76">
        <v>0.10100000000000001</v>
      </c>
      <c r="BH15" s="76">
        <v>-0.49731200865012548</v>
      </c>
      <c r="BI15" s="76">
        <v>-3.9</v>
      </c>
      <c r="BJ15" s="76">
        <v>2.9000000000000002E-6</v>
      </c>
      <c r="BK15" s="76">
        <v>-0.90151096994297497</v>
      </c>
      <c r="BL15" s="76">
        <v>-3.9</v>
      </c>
      <c r="BM15" s="76">
        <v>2.9100000000000001E-6</v>
      </c>
      <c r="BN15" s="76">
        <v>-1.2424718227627263</v>
      </c>
      <c r="BO15" s="76">
        <v>-3.9</v>
      </c>
      <c r="BP15" s="76">
        <v>2.9099999999999998E-3</v>
      </c>
      <c r="BQ15" s="76">
        <v>0.13652089168327375</v>
      </c>
      <c r="BR15" s="76">
        <v>-3.9</v>
      </c>
      <c r="BS15" s="76">
        <v>5.57E-2</v>
      </c>
      <c r="BT15" s="76">
        <v>1.7937224540269785E-2</v>
      </c>
      <c r="BU15" s="76">
        <v>-3.9</v>
      </c>
      <c r="BV15" s="76">
        <v>1.02E-4</v>
      </c>
      <c r="BW15" s="76">
        <v>-1.7528753013657357</v>
      </c>
    </row>
    <row r="16" spans="1:75" x14ac:dyDescent="0.15">
      <c r="A16" s="6">
        <v>-3.8</v>
      </c>
      <c r="B16" s="7">
        <v>2.6800000000000002E-6</v>
      </c>
      <c r="C16" s="76">
        <v>-0.26466573188164683</v>
      </c>
      <c r="D16" s="12">
        <v>-3.8</v>
      </c>
      <c r="E16" s="13">
        <v>2.61E-6</v>
      </c>
      <c r="F16" s="11">
        <v>7.6336248550710473E-2</v>
      </c>
      <c r="G16" s="11">
        <v>-3.8</v>
      </c>
      <c r="H16" s="11">
        <v>2.6000000000000001E-6</v>
      </c>
      <c r="I16" s="11">
        <v>-0.27292142288008231</v>
      </c>
      <c r="J16" s="76">
        <v>-3.8</v>
      </c>
      <c r="K16" s="76">
        <v>1.37E-4</v>
      </c>
      <c r="L16" s="76">
        <v>-1.6639073472176118</v>
      </c>
      <c r="M16" s="76">
        <v>-3.8</v>
      </c>
      <c r="N16" s="76">
        <v>250</v>
      </c>
      <c r="O16" s="76">
        <v>0</v>
      </c>
      <c r="P16" s="76">
        <v>-3.8</v>
      </c>
      <c r="Q16" s="76">
        <v>2.6000000000000001E-6</v>
      </c>
      <c r="R16" s="76">
        <v>-0.23347363996991971</v>
      </c>
      <c r="S16" s="76">
        <v>-3.8</v>
      </c>
      <c r="T16" s="76">
        <v>5.1600000000000001E-5</v>
      </c>
      <c r="U16" s="76">
        <v>1.7714019805195731</v>
      </c>
      <c r="V16" s="76">
        <v>-3.8</v>
      </c>
      <c r="W16" s="76">
        <v>1.2300000000000001E-4</v>
      </c>
      <c r="X16" s="76">
        <v>-0.93685484077325021</v>
      </c>
      <c r="Y16" s="76">
        <v>-3.8</v>
      </c>
      <c r="Z16" s="76">
        <v>2.6800000000000002E-6</v>
      </c>
      <c r="AA16" s="76">
        <v>-0.30305349495329031</v>
      </c>
      <c r="AB16" s="76">
        <v>-3.8</v>
      </c>
      <c r="AC16" s="76">
        <v>2.7199999999999998E-6</v>
      </c>
      <c r="AD16" s="76">
        <v>-1.1274062295544813</v>
      </c>
      <c r="AE16" s="76">
        <v>-3.8</v>
      </c>
      <c r="AF16" s="76">
        <v>2.7800000000000001E-6</v>
      </c>
      <c r="AG16" s="76">
        <v>-0.82443669211074</v>
      </c>
      <c r="AH16" s="76">
        <v>-3.8</v>
      </c>
      <c r="AI16" s="76">
        <v>1.2700000000000001E-3</v>
      </c>
      <c r="AJ16" s="76">
        <v>-8.7957163091127786</v>
      </c>
      <c r="AK16" s="76">
        <v>-3.8</v>
      </c>
      <c r="AL16" s="76">
        <v>4.6000000000000001E-4</v>
      </c>
      <c r="AM16" s="76">
        <v>-1.6251892949777571</v>
      </c>
      <c r="AN16" s="76">
        <v>-3.8</v>
      </c>
      <c r="AO16" s="76">
        <v>6.3299999999999994E-5</v>
      </c>
      <c r="AP16" s="76">
        <v>0.78948416118049203</v>
      </c>
      <c r="AQ16" s="76">
        <v>-3.8</v>
      </c>
      <c r="AR16" s="76">
        <v>4.87E-6</v>
      </c>
      <c r="AS16" s="76">
        <v>-0.74581943250358318</v>
      </c>
      <c r="AT16" s="76">
        <v>-3.8</v>
      </c>
      <c r="AU16" s="76">
        <v>2.6900000000000001E-6</v>
      </c>
      <c r="AV16" s="76">
        <v>-0.41751794680223647</v>
      </c>
      <c r="AW16" s="76">
        <v>-3.8</v>
      </c>
      <c r="AX16" s="76">
        <v>2.6199999999999999E-6</v>
      </c>
      <c r="AY16" s="76">
        <v>0.52056361956053199</v>
      </c>
      <c r="AZ16" s="76">
        <v>-3.8</v>
      </c>
      <c r="BA16" s="76">
        <v>2.5799999999999999E-6</v>
      </c>
      <c r="BB16" s="76">
        <v>0.81830018247633096</v>
      </c>
      <c r="BC16" s="76">
        <v>-3.8</v>
      </c>
      <c r="BD16" s="76">
        <v>1.99E-3</v>
      </c>
      <c r="BE16" s="76">
        <v>-1.3424952550996363</v>
      </c>
      <c r="BF16" s="76">
        <v>-3.8</v>
      </c>
      <c r="BG16" s="76">
        <v>9.6100000000000005E-2</v>
      </c>
      <c r="BH16" s="76">
        <v>-0.71150690695437369</v>
      </c>
      <c r="BI16" s="76">
        <v>-3.8</v>
      </c>
      <c r="BJ16" s="76">
        <v>2.65E-6</v>
      </c>
      <c r="BK16" s="76">
        <v>7.518832414026759E-2</v>
      </c>
      <c r="BL16" s="76">
        <v>-3.8</v>
      </c>
      <c r="BM16" s="76">
        <v>2.57E-6</v>
      </c>
      <c r="BN16" s="76">
        <v>-3.8986404156560323E-2</v>
      </c>
      <c r="BO16" s="76">
        <v>-3.8</v>
      </c>
      <c r="BP16" s="76">
        <v>2.9499999999999999E-3</v>
      </c>
      <c r="BQ16" s="76">
        <v>-4.8296866926302675</v>
      </c>
      <c r="BR16" s="76">
        <v>-3.8</v>
      </c>
      <c r="BS16" s="76">
        <v>5.5800000000000002E-2</v>
      </c>
      <c r="BT16" s="76">
        <v>-0.66691374498672362</v>
      </c>
      <c r="BU16" s="76">
        <v>-3.8</v>
      </c>
      <c r="BV16" s="76">
        <v>8.5599999999999994E-5</v>
      </c>
      <c r="BW16" s="76">
        <v>-0.62671106962776557</v>
      </c>
    </row>
    <row r="17" spans="1:75" x14ac:dyDescent="0.15">
      <c r="A17" s="6">
        <v>-3.7</v>
      </c>
      <c r="B17" s="7">
        <v>2.61E-6</v>
      </c>
      <c r="C17" s="76">
        <v>-1.1778303565638371</v>
      </c>
      <c r="D17" s="12">
        <v>-3.7</v>
      </c>
      <c r="E17" s="13">
        <v>2.6299999999999998E-6</v>
      </c>
      <c r="F17" s="11">
        <v>-0.91515108835771664</v>
      </c>
      <c r="G17" s="11">
        <v>-3.7</v>
      </c>
      <c r="H17" s="11">
        <v>2.5299999999999999E-6</v>
      </c>
      <c r="I17" s="11">
        <v>-1.0404385977308008</v>
      </c>
      <c r="J17" s="76">
        <v>-3.7</v>
      </c>
      <c r="K17" s="76">
        <v>1.16E-4</v>
      </c>
      <c r="L17" s="76">
        <v>0</v>
      </c>
      <c r="M17" s="76">
        <v>-3.7</v>
      </c>
      <c r="N17" s="76">
        <v>250</v>
      </c>
      <c r="O17" s="76">
        <v>0</v>
      </c>
      <c r="P17" s="76">
        <v>-3.7</v>
      </c>
      <c r="Q17" s="76">
        <v>2.5399999999999998E-6</v>
      </c>
      <c r="R17" s="76">
        <v>-0.73502461992926915</v>
      </c>
      <c r="S17" s="76">
        <v>-3.7</v>
      </c>
      <c r="T17" s="76">
        <v>6.1600000000000007E-5</v>
      </c>
      <c r="U17" s="76">
        <v>-2.3703833963302556</v>
      </c>
      <c r="V17" s="76">
        <v>-3.7</v>
      </c>
      <c r="W17" s="76">
        <v>1.12E-4</v>
      </c>
      <c r="X17" s="76">
        <v>-1.1332868530700135</v>
      </c>
      <c r="Y17" s="76">
        <v>-3.7</v>
      </c>
      <c r="Z17" s="76">
        <v>2.6000000000000001E-6</v>
      </c>
      <c r="AA17" s="76">
        <v>-1.1394425934921937</v>
      </c>
      <c r="AB17" s="76">
        <v>-3.7</v>
      </c>
      <c r="AC17" s="76">
        <v>2.43E-6</v>
      </c>
      <c r="AD17" s="76">
        <v>-1.5072719137573807</v>
      </c>
      <c r="AE17" s="76">
        <v>-3.7</v>
      </c>
      <c r="AF17" s="76">
        <v>2.5600000000000001E-6</v>
      </c>
      <c r="AG17" s="76">
        <v>-0.64538521137571025</v>
      </c>
      <c r="AH17" s="76">
        <v>-3.7</v>
      </c>
      <c r="AI17" s="76">
        <v>5.2700000000000002E-4</v>
      </c>
      <c r="AJ17" s="76">
        <v>11.886761389504617</v>
      </c>
      <c r="AK17" s="76">
        <v>-3.7</v>
      </c>
      <c r="AL17" s="76">
        <v>3.9100000000000002E-4</v>
      </c>
      <c r="AM17" s="76">
        <v>-0.57910915944837826</v>
      </c>
      <c r="AN17" s="76">
        <v>-3.7</v>
      </c>
      <c r="AO17" s="76">
        <v>6.8499999999999998E-5</v>
      </c>
      <c r="AP17" s="76">
        <v>1.1567213124341957</v>
      </c>
      <c r="AQ17" s="76">
        <v>-3.7</v>
      </c>
      <c r="AR17" s="76">
        <v>4.5199999999999999E-6</v>
      </c>
      <c r="AS17" s="76">
        <v>-0.87816206006916453</v>
      </c>
      <c r="AT17" s="76">
        <v>-3.7</v>
      </c>
      <c r="AU17" s="76">
        <v>2.5799999999999999E-6</v>
      </c>
      <c r="AV17" s="76">
        <v>-1.0192113135591532</v>
      </c>
      <c r="AW17" s="76">
        <v>-3.7</v>
      </c>
      <c r="AX17" s="76">
        <v>2.7599999999999998E-6</v>
      </c>
      <c r="AY17" s="76">
        <v>-0.87011376989629163</v>
      </c>
      <c r="AZ17" s="76">
        <v>-3.7</v>
      </c>
      <c r="BA17" s="76">
        <v>2.7999999999999999E-6</v>
      </c>
      <c r="BB17" s="76">
        <v>-1.5832605123773811</v>
      </c>
      <c r="BC17" s="76">
        <v>-3.7</v>
      </c>
      <c r="BD17" s="76">
        <v>1.74E-3</v>
      </c>
      <c r="BE17" s="76">
        <v>0.826917158451134</v>
      </c>
      <c r="BF17" s="76">
        <v>-3.7</v>
      </c>
      <c r="BG17" s="76">
        <v>8.9499999999999996E-2</v>
      </c>
      <c r="BH17" s="76">
        <v>-0.20316725902672397</v>
      </c>
      <c r="BI17" s="76">
        <v>-3.7</v>
      </c>
      <c r="BJ17" s="76">
        <v>2.6699999999999998E-6</v>
      </c>
      <c r="BK17" s="76">
        <v>-1.2766314425608971</v>
      </c>
      <c r="BL17" s="76">
        <v>-3.7</v>
      </c>
      <c r="BM17" s="76">
        <v>2.5600000000000001E-6</v>
      </c>
      <c r="BN17" s="76">
        <v>-0.98440072813254087</v>
      </c>
      <c r="BO17" s="76">
        <v>-3.7</v>
      </c>
      <c r="BP17" s="76">
        <v>1.82E-3</v>
      </c>
      <c r="BQ17" s="76">
        <v>-1.2260232209233191</v>
      </c>
      <c r="BR17" s="76">
        <v>-3.7</v>
      </c>
      <c r="BS17" s="76">
        <v>5.2200000000000003E-2</v>
      </c>
      <c r="BT17" s="76">
        <v>-0.71458963982144952</v>
      </c>
      <c r="BU17" s="76">
        <v>-3.7</v>
      </c>
      <c r="BV17" s="76">
        <v>8.0400000000000003E-5</v>
      </c>
      <c r="BW17" s="76">
        <v>-0.56280835898588621</v>
      </c>
    </row>
    <row r="18" spans="1:75" x14ac:dyDescent="0.15">
      <c r="A18" s="6">
        <v>-3.6</v>
      </c>
      <c r="B18" s="7">
        <v>2.3199999999999998E-6</v>
      </c>
      <c r="C18" s="76">
        <v>-1.0919929196499103</v>
      </c>
      <c r="D18" s="6">
        <v>-3.6</v>
      </c>
      <c r="E18" s="7">
        <v>2.3999999999999999E-6</v>
      </c>
      <c r="F18" s="76">
        <v>-1.3353139262452263</v>
      </c>
      <c r="G18" s="76">
        <v>-3.6</v>
      </c>
      <c r="H18" s="76">
        <v>2.2800000000000002E-6</v>
      </c>
      <c r="I18" s="76">
        <v>-1.360408042299478</v>
      </c>
      <c r="J18" s="76">
        <v>-3.6</v>
      </c>
      <c r="K18" s="76">
        <v>1.16E-4</v>
      </c>
      <c r="L18" s="76">
        <v>-3.9816423822966094</v>
      </c>
      <c r="M18" s="76">
        <v>-3.6</v>
      </c>
      <c r="N18" s="76">
        <v>250</v>
      </c>
      <c r="O18" s="76">
        <v>0</v>
      </c>
      <c r="P18" s="76">
        <v>-3.6</v>
      </c>
      <c r="Q18" s="76">
        <v>2.3599999999999999E-6</v>
      </c>
      <c r="R18" s="76">
        <v>-1.2629372532429162</v>
      </c>
      <c r="S18" s="76">
        <v>-3.6</v>
      </c>
      <c r="T18" s="76">
        <v>4.8600000000000002E-5</v>
      </c>
      <c r="U18" s="76">
        <v>-2.4340924877379222</v>
      </c>
      <c r="V18" s="76">
        <v>-3.6</v>
      </c>
      <c r="W18" s="76">
        <v>1E-4</v>
      </c>
      <c r="X18" s="76">
        <v>-0.39780870011846015</v>
      </c>
      <c r="Y18" s="76">
        <v>-3.6</v>
      </c>
      <c r="Z18" s="76">
        <v>2.3199999999999998E-6</v>
      </c>
      <c r="AA18" s="76">
        <v>-1.3353139262452085</v>
      </c>
      <c r="AB18" s="76">
        <v>-3.6</v>
      </c>
      <c r="AC18" s="76">
        <v>2.0899999999999999E-6</v>
      </c>
      <c r="AD18" s="76">
        <v>-1.0058723690516826</v>
      </c>
      <c r="AE18" s="76">
        <v>-3.6</v>
      </c>
      <c r="AF18" s="76">
        <v>2.3999999999999999E-6</v>
      </c>
      <c r="AG18" s="76">
        <v>-1.4792013007662228</v>
      </c>
      <c r="AH18" s="76">
        <v>-3.6</v>
      </c>
      <c r="AI18" s="76">
        <v>1.73E-3</v>
      </c>
      <c r="AJ18" s="76">
        <v>-6.3041665123651693</v>
      </c>
      <c r="AK18" s="76">
        <v>-3.6</v>
      </c>
      <c r="AL18" s="76">
        <v>3.6900000000000002E-4</v>
      </c>
      <c r="AM18" s="76">
        <v>-0.99655651063827033</v>
      </c>
      <c r="AN18" s="76">
        <v>-3.6</v>
      </c>
      <c r="AO18" s="76">
        <v>7.6899999999999999E-5</v>
      </c>
      <c r="AP18" s="76">
        <v>-0.19698601497688967</v>
      </c>
      <c r="AQ18" s="76">
        <v>-3.6</v>
      </c>
      <c r="AR18" s="76">
        <v>4.1400000000000002E-6</v>
      </c>
      <c r="AS18" s="76">
        <v>-1.0428755418149995</v>
      </c>
      <c r="AT18" s="76">
        <v>-3.6</v>
      </c>
      <c r="AU18" s="76">
        <v>2.3300000000000001E-6</v>
      </c>
      <c r="AV18" s="76">
        <v>-1.039309228482316</v>
      </c>
      <c r="AW18" s="76">
        <v>-3.6</v>
      </c>
      <c r="AX18" s="76">
        <v>2.5299999999999999E-6</v>
      </c>
      <c r="AY18" s="76">
        <v>-1.3522678720976689</v>
      </c>
      <c r="AZ18" s="76">
        <v>-3.6</v>
      </c>
      <c r="BA18" s="76">
        <v>2.39E-6</v>
      </c>
      <c r="BB18" s="76">
        <v>-1.2935602121404155</v>
      </c>
      <c r="BC18" s="76">
        <v>-3.6</v>
      </c>
      <c r="BD18" s="76">
        <v>1.89E-3</v>
      </c>
      <c r="BE18" s="76">
        <v>-1.728428128394109</v>
      </c>
      <c r="BF18" s="76">
        <v>-3.6</v>
      </c>
      <c r="BG18" s="76">
        <v>8.77E-2</v>
      </c>
      <c r="BH18" s="76">
        <v>-0.88152278425421315</v>
      </c>
      <c r="BI18" s="76">
        <v>-3.6</v>
      </c>
      <c r="BJ18" s="76">
        <v>2.3499999999999999E-6</v>
      </c>
      <c r="BK18" s="76">
        <v>-1.5131781674295461</v>
      </c>
      <c r="BL18" s="76">
        <v>-3.6</v>
      </c>
      <c r="BM18" s="76">
        <v>2.3199999999999998E-6</v>
      </c>
      <c r="BN18" s="76">
        <v>-1.5847034097177279</v>
      </c>
      <c r="BO18" s="76">
        <v>-3.6</v>
      </c>
      <c r="BP18" s="76">
        <v>1.6100000000000001E-3</v>
      </c>
      <c r="BQ18" s="76">
        <v>-1.3264447460629458</v>
      </c>
      <c r="BR18" s="76">
        <v>-3.6</v>
      </c>
      <c r="BS18" s="76">
        <v>4.8599999999999997E-2</v>
      </c>
      <c r="BT18" s="76">
        <v>-0.92638853855357894</v>
      </c>
      <c r="BU18" s="76">
        <v>-3.6</v>
      </c>
      <c r="BV18" s="76">
        <v>7.6000000000000004E-5</v>
      </c>
      <c r="BW18" s="76">
        <v>-0.23969190112996563</v>
      </c>
    </row>
    <row r="19" spans="1:75" x14ac:dyDescent="0.15">
      <c r="A19" s="6">
        <v>-3.5</v>
      </c>
      <c r="B19" s="7">
        <v>2.08E-6</v>
      </c>
      <c r="C19" s="76">
        <v>-0.64538521137571025</v>
      </c>
      <c r="D19" s="6">
        <v>-3.5</v>
      </c>
      <c r="E19" s="7">
        <v>2.0999999999999998E-6</v>
      </c>
      <c r="F19" s="76">
        <v>-1.4861049945164404</v>
      </c>
      <c r="G19" s="76">
        <v>-3.5</v>
      </c>
      <c r="H19" s="76">
        <v>1.99E-6</v>
      </c>
      <c r="I19" s="76">
        <v>-1.0591901888373725</v>
      </c>
      <c r="J19" s="76">
        <v>-3.5</v>
      </c>
      <c r="K19" s="76">
        <v>7.7899999999999996E-5</v>
      </c>
      <c r="L19" s="76">
        <v>-1.4033977295847309</v>
      </c>
      <c r="M19" s="76">
        <v>-3.5</v>
      </c>
      <c r="N19" s="76">
        <v>250</v>
      </c>
      <c r="O19" s="76">
        <v>0</v>
      </c>
      <c r="P19" s="76">
        <v>-3.5</v>
      </c>
      <c r="Q19" s="76">
        <v>2.08E-6</v>
      </c>
      <c r="R19" s="76">
        <v>-0.95791064641675217</v>
      </c>
      <c r="S19" s="76">
        <v>-3.5</v>
      </c>
      <c r="T19" s="76">
        <v>3.8099999999999998E-5</v>
      </c>
      <c r="U19" s="76">
        <v>-3.1158759330533643</v>
      </c>
      <c r="V19" s="76">
        <v>-3.5</v>
      </c>
      <c r="W19" s="76">
        <v>9.6100000000000005E-5</v>
      </c>
      <c r="X19" s="76">
        <v>0.30740125359695697</v>
      </c>
      <c r="Y19" s="76">
        <v>-3.5</v>
      </c>
      <c r="Z19" s="76">
        <v>2.03E-6</v>
      </c>
      <c r="AA19" s="76">
        <v>-0.92850153963462667</v>
      </c>
      <c r="AB19" s="76">
        <v>-3.5</v>
      </c>
      <c r="AC19" s="76">
        <v>1.8899999999999999E-6</v>
      </c>
      <c r="AD19" s="76">
        <v>-1.1778303565638371</v>
      </c>
      <c r="AE19" s="76">
        <v>-3.5</v>
      </c>
      <c r="AF19" s="76">
        <v>2.0700000000000001E-6</v>
      </c>
      <c r="AG19" s="76">
        <v>-0.80445365218739728</v>
      </c>
      <c r="AH19" s="76">
        <v>-3.5</v>
      </c>
      <c r="AI19" s="76">
        <v>9.2100000000000005E-4</v>
      </c>
      <c r="AJ19" s="76">
        <v>6.5890860703082259</v>
      </c>
      <c r="AK19" s="76">
        <v>-3.5</v>
      </c>
      <c r="AL19" s="76">
        <v>3.3399999999999999E-4</v>
      </c>
      <c r="AM19" s="76">
        <v>-1.1740885417400004</v>
      </c>
      <c r="AN19" s="76">
        <v>-3.5</v>
      </c>
      <c r="AO19" s="76">
        <v>7.5400000000000003E-5</v>
      </c>
      <c r="AP19" s="76">
        <v>-1.1960830787972643</v>
      </c>
      <c r="AQ19" s="76">
        <v>-3.5</v>
      </c>
      <c r="AR19" s="76">
        <v>3.7299999999999999E-6</v>
      </c>
      <c r="AS19" s="76">
        <v>-0.72253639696956573</v>
      </c>
      <c r="AT19" s="76">
        <v>-3.5</v>
      </c>
      <c r="AU19" s="76">
        <v>2.0999999999999998E-6</v>
      </c>
      <c r="AV19" s="76">
        <v>-0.79249371654141076</v>
      </c>
      <c r="AW19" s="76">
        <v>-3.5</v>
      </c>
      <c r="AX19" s="76">
        <v>2.21E-6</v>
      </c>
      <c r="AY19" s="76">
        <v>-0.94857793458677531</v>
      </c>
      <c r="AZ19" s="76">
        <v>-3.5</v>
      </c>
      <c r="BA19" s="76">
        <v>2.0999999999999998E-6</v>
      </c>
      <c r="BB19" s="76">
        <v>-0.6899287148695159</v>
      </c>
      <c r="BC19" s="76">
        <v>-3.5</v>
      </c>
      <c r="BD19" s="76">
        <v>1.5900000000000001E-3</v>
      </c>
      <c r="BE19" s="76">
        <v>0.24845998586530782</v>
      </c>
      <c r="BF19" s="76">
        <v>-3.5</v>
      </c>
      <c r="BG19" s="76">
        <v>8.0299999999999996E-2</v>
      </c>
      <c r="BH19" s="76">
        <v>-0.61636964697736774</v>
      </c>
      <c r="BI19" s="76">
        <v>-3.5</v>
      </c>
      <c r="BJ19" s="76">
        <v>2.0200000000000001E-6</v>
      </c>
      <c r="BK19" s="76">
        <v>-1.3211796482737437</v>
      </c>
      <c r="BL19" s="76">
        <v>-3.5</v>
      </c>
      <c r="BM19" s="76">
        <v>1.9800000000000001E-6</v>
      </c>
      <c r="BN19" s="76">
        <v>-0.84260343617740852</v>
      </c>
      <c r="BO19" s="76">
        <v>-3.5</v>
      </c>
      <c r="BP19" s="76">
        <v>1.41E-3</v>
      </c>
      <c r="BQ19" s="76">
        <v>-1.5296934478142696</v>
      </c>
      <c r="BR19" s="76">
        <v>-3.5</v>
      </c>
      <c r="BS19" s="76">
        <v>4.4299999999999999E-2</v>
      </c>
      <c r="BT19" s="76">
        <v>-0.77412610346782196</v>
      </c>
      <c r="BU19" s="76">
        <v>-3.5</v>
      </c>
      <c r="BV19" s="76">
        <v>7.4200000000000001E-5</v>
      </c>
      <c r="BW19" s="76">
        <v>-1.0956220251152606</v>
      </c>
    </row>
    <row r="20" spans="1:75" x14ac:dyDescent="0.15">
      <c r="A20" s="6">
        <v>-3.4</v>
      </c>
      <c r="B20" s="7">
        <v>1.95E-6</v>
      </c>
      <c r="C20" s="76">
        <v>-0.91216008271661686</v>
      </c>
      <c r="D20" s="6">
        <v>-3.4</v>
      </c>
      <c r="E20" s="7">
        <v>1.81E-6</v>
      </c>
      <c r="F20" s="76">
        <v>-0.80503218849070568</v>
      </c>
      <c r="G20" s="76">
        <v>-3.4</v>
      </c>
      <c r="H20" s="76">
        <v>1.79E-6</v>
      </c>
      <c r="I20" s="76">
        <v>-0.87519378016556992</v>
      </c>
      <c r="J20" s="76">
        <v>-3.4</v>
      </c>
      <c r="K20" s="76">
        <v>6.7700000000000006E-5</v>
      </c>
      <c r="L20" s="76">
        <v>-2.2240527147262927</v>
      </c>
      <c r="M20" s="76">
        <v>-3.4</v>
      </c>
      <c r="N20" s="76">
        <v>250</v>
      </c>
      <c r="O20" s="76">
        <v>0</v>
      </c>
      <c r="P20" s="76">
        <v>-3.4</v>
      </c>
      <c r="Q20" s="76">
        <v>1.8899999999999999E-6</v>
      </c>
      <c r="R20" s="76">
        <v>-1.0008345855698222</v>
      </c>
      <c r="S20" s="76">
        <v>-3.4</v>
      </c>
      <c r="T20" s="76">
        <v>2.7900000000000001E-5</v>
      </c>
      <c r="U20" s="76">
        <v>-3.6335362275803686</v>
      </c>
      <c r="V20" s="76">
        <v>-3.4</v>
      </c>
      <c r="W20" s="76">
        <v>9.9099999999999996E-5</v>
      </c>
      <c r="X20" s="76">
        <v>-4.186699724033339</v>
      </c>
      <c r="Y20" s="76">
        <v>-3.4</v>
      </c>
      <c r="Z20" s="76">
        <v>1.8500000000000001E-6</v>
      </c>
      <c r="AA20" s="76">
        <v>-0.96391845675066445</v>
      </c>
      <c r="AB20" s="76">
        <v>-3.4</v>
      </c>
      <c r="AC20" s="76">
        <v>1.68E-6</v>
      </c>
      <c r="AD20" s="76">
        <v>-1.0008345855698222</v>
      </c>
      <c r="AE20" s="76">
        <v>-3.4</v>
      </c>
      <c r="AF20" s="76">
        <v>1.9099999999999999E-6</v>
      </c>
      <c r="AG20" s="76">
        <v>-0.64887622205874906</v>
      </c>
      <c r="AH20" s="76">
        <v>-3.4</v>
      </c>
      <c r="AI20" s="76">
        <v>1.7799999999999999E-3</v>
      </c>
      <c r="AJ20" s="76">
        <v>-0.16997576368570563</v>
      </c>
      <c r="AK20" s="76">
        <v>-3.4</v>
      </c>
      <c r="AL20" s="76">
        <v>2.9700000000000001E-4</v>
      </c>
      <c r="AM20" s="76">
        <v>-0.84260343617740852</v>
      </c>
      <c r="AN20" s="76">
        <v>-3.4</v>
      </c>
      <c r="AO20" s="76">
        <v>6.69E-5</v>
      </c>
      <c r="AP20" s="76">
        <v>-0.8091503622284073</v>
      </c>
      <c r="AQ20" s="76">
        <v>-3.4</v>
      </c>
      <c r="AR20" s="76">
        <v>3.4699999999999998E-6</v>
      </c>
      <c r="AS20" s="76">
        <v>-0.84133677162013065</v>
      </c>
      <c r="AT20" s="76">
        <v>-3.4</v>
      </c>
      <c r="AU20" s="76">
        <v>1.9400000000000001E-6</v>
      </c>
      <c r="AV20" s="76">
        <v>-1.0880285984879903</v>
      </c>
      <c r="AW20" s="76">
        <v>-3.4</v>
      </c>
      <c r="AX20" s="76">
        <v>2.0099999999999998E-6</v>
      </c>
      <c r="AY20" s="76">
        <v>-2.7286698666664022</v>
      </c>
      <c r="AZ20" s="76">
        <v>-3.4</v>
      </c>
      <c r="BA20" s="76">
        <v>1.9599999999999999E-6</v>
      </c>
      <c r="BB20" s="76">
        <v>-0.52367985517315985</v>
      </c>
      <c r="BC20" s="76">
        <v>-3.4</v>
      </c>
      <c r="BD20" s="76">
        <v>1.6299999999999999E-3</v>
      </c>
      <c r="BE20" s="76">
        <v>-1.664965156495571</v>
      </c>
      <c r="BF20" s="76">
        <v>-3.4</v>
      </c>
      <c r="BG20" s="76">
        <v>7.5499999999999998E-2</v>
      </c>
      <c r="BH20" s="76">
        <v>-0.57236328834728789</v>
      </c>
      <c r="BI20" s="76">
        <v>-3.4</v>
      </c>
      <c r="BJ20" s="76">
        <v>1.77E-6</v>
      </c>
      <c r="BK20" s="76">
        <v>-0.82399531767066414</v>
      </c>
      <c r="BL20" s="76">
        <v>-3.4</v>
      </c>
      <c r="BM20" s="76">
        <v>1.8199999999999999E-6</v>
      </c>
      <c r="BN20" s="76">
        <v>-1.164103518444114</v>
      </c>
      <c r="BO20" s="76">
        <v>-3.4</v>
      </c>
      <c r="BP20" s="76">
        <v>1.2099999999999999E-3</v>
      </c>
      <c r="BQ20" s="76">
        <v>-2.6104282390519518</v>
      </c>
      <c r="BR20" s="76">
        <v>-3.4</v>
      </c>
      <c r="BS20" s="76">
        <v>4.1000000000000002E-2</v>
      </c>
      <c r="BT20" s="76">
        <v>-0.91901362283821542</v>
      </c>
      <c r="BU20" s="76">
        <v>-3.4</v>
      </c>
      <c r="BV20" s="76">
        <v>6.6500000000000004E-5</v>
      </c>
      <c r="BW20" s="76">
        <v>-0.47738086218629361</v>
      </c>
    </row>
    <row r="21" spans="1:75" x14ac:dyDescent="0.15">
      <c r="A21" s="6">
        <v>-3.3</v>
      </c>
      <c r="B21" s="7">
        <v>1.7799999999999999E-6</v>
      </c>
      <c r="C21" s="76">
        <v>-1.1287934807185391</v>
      </c>
      <c r="D21" s="6">
        <v>-3.3</v>
      </c>
      <c r="E21" s="7">
        <v>1.6700000000000001E-6</v>
      </c>
      <c r="F21" s="76">
        <v>-1.1404750647129664</v>
      </c>
      <c r="G21" s="76">
        <v>-3.3</v>
      </c>
      <c r="H21" s="76">
        <v>1.64E-6</v>
      </c>
      <c r="I21" s="76">
        <v>-0.89231133727942658</v>
      </c>
      <c r="J21" s="76">
        <v>-3.3</v>
      </c>
      <c r="K21" s="76">
        <v>5.4200000000000003E-5</v>
      </c>
      <c r="L21" s="76">
        <v>0.3445490408305053</v>
      </c>
      <c r="M21" s="76">
        <v>-3.3</v>
      </c>
      <c r="N21" s="76">
        <v>250</v>
      </c>
      <c r="O21" s="76">
        <v>0</v>
      </c>
      <c r="P21" s="76">
        <v>-3.3</v>
      </c>
      <c r="Q21" s="76">
        <v>1.7099999999999999E-6</v>
      </c>
      <c r="R21" s="76">
        <v>-0.85417751154352872</v>
      </c>
      <c r="S21" s="76">
        <v>-3.3</v>
      </c>
      <c r="T21" s="76">
        <v>1.9400000000000001E-5</v>
      </c>
      <c r="U21" s="76">
        <v>-5.5832795775099537</v>
      </c>
      <c r="V21" s="76">
        <v>-3.3</v>
      </c>
      <c r="W21" s="76">
        <v>6.5199999999999999E-5</v>
      </c>
      <c r="X21" s="76">
        <v>1.0612709292802196</v>
      </c>
      <c r="Y21" s="76">
        <v>-3.3</v>
      </c>
      <c r="Z21" s="76">
        <v>1.68E-6</v>
      </c>
      <c r="AA21" s="76">
        <v>-0.74107972153722823</v>
      </c>
      <c r="AB21" s="76">
        <v>-3.3</v>
      </c>
      <c r="AC21" s="76">
        <v>1.5200000000000001E-6</v>
      </c>
      <c r="AD21" s="76">
        <v>-0.68053463245016732</v>
      </c>
      <c r="AE21" s="76">
        <v>-3.3</v>
      </c>
      <c r="AF21" s="76">
        <v>1.79E-6</v>
      </c>
      <c r="AG21" s="76">
        <v>-1.0598144085629218</v>
      </c>
      <c r="AH21" s="76">
        <v>-3.3</v>
      </c>
      <c r="AI21" s="76">
        <v>1.75E-3</v>
      </c>
      <c r="AJ21" s="76">
        <v>5.6980211146378169E-2</v>
      </c>
      <c r="AK21" s="76">
        <v>-3.3</v>
      </c>
      <c r="AL21" s="76">
        <v>2.7300000000000002E-4</v>
      </c>
      <c r="AM21" s="76">
        <v>-0.64294350705397696</v>
      </c>
      <c r="AN21" s="76">
        <v>-3.3</v>
      </c>
      <c r="AO21" s="76">
        <v>6.1699999999999995E-5</v>
      </c>
      <c r="AP21" s="76">
        <v>-3.7277985498097221</v>
      </c>
      <c r="AQ21" s="76">
        <v>-3.3</v>
      </c>
      <c r="AR21" s="76">
        <v>3.19E-6</v>
      </c>
      <c r="AS21" s="76">
        <v>-0.88437300516563822</v>
      </c>
      <c r="AT21" s="76">
        <v>-3.3</v>
      </c>
      <c r="AU21" s="76">
        <v>1.7400000000000001E-6</v>
      </c>
      <c r="AV21" s="76">
        <v>-0.90151096994297897</v>
      </c>
      <c r="AW21" s="76">
        <v>-3.3</v>
      </c>
      <c r="AX21" s="76">
        <v>1.53E-6</v>
      </c>
      <c r="AY21" s="76">
        <v>0.93526058010823809</v>
      </c>
      <c r="AZ21" s="76">
        <v>-3.3</v>
      </c>
      <c r="BA21" s="76">
        <v>1.86E-6</v>
      </c>
      <c r="BB21" s="76">
        <v>-1.8232155679395554</v>
      </c>
      <c r="BC21" s="76">
        <v>-3.3</v>
      </c>
      <c r="BD21" s="76">
        <v>1.3799999999999999E-3</v>
      </c>
      <c r="BE21" s="76">
        <v>-0.90971778205727427</v>
      </c>
      <c r="BF21" s="76">
        <v>-3.3</v>
      </c>
      <c r="BG21" s="76">
        <v>7.1300000000000002E-2</v>
      </c>
      <c r="BH21" s="76">
        <v>-0.80276489088978953</v>
      </c>
      <c r="BI21" s="76">
        <v>-3.3</v>
      </c>
      <c r="BJ21" s="76">
        <v>1.6300000000000001E-6</v>
      </c>
      <c r="BK21" s="76">
        <v>-0.89803894861305233</v>
      </c>
      <c r="BL21" s="76">
        <v>-3.3</v>
      </c>
      <c r="BM21" s="76">
        <v>1.6199999999999999E-6</v>
      </c>
      <c r="BN21" s="76">
        <v>-0.83650029286925631</v>
      </c>
      <c r="BO21" s="76">
        <v>-3.3</v>
      </c>
      <c r="BP21" s="76">
        <v>9.3199999999999999E-4</v>
      </c>
      <c r="BQ21" s="76">
        <v>-1.5397186891931691</v>
      </c>
      <c r="BR21" s="76">
        <v>-3.3</v>
      </c>
      <c r="BS21" s="76">
        <v>3.7400000000000003E-2</v>
      </c>
      <c r="BT21" s="76">
        <v>-0.49325066562501529</v>
      </c>
      <c r="BU21" s="76">
        <v>-3.3</v>
      </c>
      <c r="BV21" s="76">
        <v>6.3399999999999996E-5</v>
      </c>
      <c r="BW21" s="76">
        <v>-1.0641259360862991</v>
      </c>
    </row>
    <row r="22" spans="1:75" x14ac:dyDescent="0.15">
      <c r="A22" s="6">
        <v>-3.2</v>
      </c>
      <c r="B22" s="7">
        <v>1.59E-6</v>
      </c>
      <c r="C22" s="76">
        <v>-0.78471615441495435</v>
      </c>
      <c r="D22" s="6">
        <v>-3.2</v>
      </c>
      <c r="E22" s="7">
        <v>1.4899999999999999E-6</v>
      </c>
      <c r="F22" s="76">
        <v>-0.76692620788254051</v>
      </c>
      <c r="G22" s="76">
        <v>-3.2</v>
      </c>
      <c r="H22" s="76">
        <v>1.5E-6</v>
      </c>
      <c r="I22" s="76">
        <v>-0.97980408360203963</v>
      </c>
      <c r="J22" s="76">
        <v>-3.2</v>
      </c>
      <c r="K22" s="76">
        <v>5.6100000000000002E-5</v>
      </c>
      <c r="L22" s="76">
        <v>-2.8708807184031366</v>
      </c>
      <c r="M22" s="76">
        <v>-3.2</v>
      </c>
      <c r="N22" s="76">
        <v>250</v>
      </c>
      <c r="O22" s="76">
        <v>0</v>
      </c>
      <c r="P22" s="76">
        <v>-3.2</v>
      </c>
      <c r="Q22" s="76">
        <v>1.57E-6</v>
      </c>
      <c r="R22" s="76">
        <v>-0.93401175088400656</v>
      </c>
      <c r="S22" s="76">
        <v>-3.2</v>
      </c>
      <c r="T22" s="76">
        <v>1.11E-5</v>
      </c>
      <c r="U22" s="76">
        <v>-2.5170060322295185</v>
      </c>
      <c r="V22" s="76">
        <v>-3.2</v>
      </c>
      <c r="W22" s="76">
        <v>7.25E-5</v>
      </c>
      <c r="X22" s="76">
        <v>-2.5466980496098457</v>
      </c>
      <c r="Y22" s="76">
        <v>-3.2</v>
      </c>
      <c r="Z22" s="76">
        <v>1.5600000000000001E-6</v>
      </c>
      <c r="AA22" s="76">
        <v>-0.80042707673536317</v>
      </c>
      <c r="AB22" s="76">
        <v>-3.2</v>
      </c>
      <c r="AC22" s="76">
        <v>1.42E-6</v>
      </c>
      <c r="AD22" s="76">
        <v>-0.80629734400108721</v>
      </c>
      <c r="AE22" s="76">
        <v>-3.2</v>
      </c>
      <c r="AF22" s="76">
        <v>1.61E-6</v>
      </c>
      <c r="AG22" s="76">
        <v>-0.97797743276126692</v>
      </c>
      <c r="AH22" s="76">
        <v>-3.2</v>
      </c>
      <c r="AI22" s="76">
        <v>1.7600000000000001E-3</v>
      </c>
      <c r="AJ22" s="76">
        <v>-4.6095379372581702</v>
      </c>
      <c r="AK22" s="76">
        <v>-3.2</v>
      </c>
      <c r="AL22" s="76">
        <v>2.5599999999999999E-4</v>
      </c>
      <c r="AM22" s="76">
        <v>-0.89856329121859624</v>
      </c>
      <c r="AN22" s="76">
        <v>-3.2</v>
      </c>
      <c r="AO22" s="76">
        <v>4.2500000000000003E-5</v>
      </c>
      <c r="AP22" s="76">
        <v>-1.1191791620398552</v>
      </c>
      <c r="AQ22" s="76">
        <v>-3.2</v>
      </c>
      <c r="AR22" s="76">
        <v>2.92E-6</v>
      </c>
      <c r="AS22" s="76">
        <v>-0.63625695880212108</v>
      </c>
      <c r="AT22" s="76">
        <v>-3.2</v>
      </c>
      <c r="AU22" s="76">
        <v>1.59E-6</v>
      </c>
      <c r="AV22" s="76">
        <v>-1.2726177961092755</v>
      </c>
      <c r="AW22" s="76">
        <v>-3.2</v>
      </c>
      <c r="AX22" s="76">
        <v>1.68E-6</v>
      </c>
      <c r="AY22" s="76">
        <v>-1.6813692180199864</v>
      </c>
      <c r="AZ22" s="76">
        <v>-3.2</v>
      </c>
      <c r="BA22" s="76">
        <v>1.55E-6</v>
      </c>
      <c r="BB22" s="76">
        <v>0.25479085300984727</v>
      </c>
      <c r="BC22" s="76">
        <v>-3.2</v>
      </c>
      <c r="BD22" s="76">
        <v>1.2600000000000001E-3</v>
      </c>
      <c r="BE22" s="76">
        <v>-1.0008345855698222</v>
      </c>
      <c r="BF22" s="76">
        <v>-3.2</v>
      </c>
      <c r="BG22" s="76">
        <v>6.5799999999999997E-2</v>
      </c>
      <c r="BH22" s="76">
        <v>-0.562648385861379</v>
      </c>
      <c r="BI22" s="76">
        <v>-3.2</v>
      </c>
      <c r="BJ22" s="76">
        <v>1.4899999999999999E-6</v>
      </c>
      <c r="BK22" s="76">
        <v>-1.2874898274430702</v>
      </c>
      <c r="BL22" s="76">
        <v>-3.2</v>
      </c>
      <c r="BM22" s="76">
        <v>1.4899999999999999E-6</v>
      </c>
      <c r="BN22" s="76">
        <v>-0.76692620788254051</v>
      </c>
      <c r="BO22" s="76">
        <v>-3.2</v>
      </c>
      <c r="BP22" s="76">
        <v>7.9900000000000001E-4</v>
      </c>
      <c r="BQ22" s="76">
        <v>0.55975681590898452</v>
      </c>
      <c r="BR22" s="76">
        <v>-3.2</v>
      </c>
      <c r="BS22" s="76">
        <v>3.56E-2</v>
      </c>
      <c r="BT22" s="76">
        <v>-0.48930623471580015</v>
      </c>
      <c r="BU22" s="76">
        <v>-3.2</v>
      </c>
      <c r="BV22" s="76">
        <v>5.7000000000000003E-5</v>
      </c>
      <c r="BW22" s="76">
        <v>-0.86054896763671984</v>
      </c>
    </row>
    <row r="23" spans="1:75" x14ac:dyDescent="0.15">
      <c r="A23" s="6">
        <v>-3.1</v>
      </c>
      <c r="B23" s="7">
        <v>1.4699999999999999E-6</v>
      </c>
      <c r="C23" s="76">
        <v>-1.2289813632315283</v>
      </c>
      <c r="D23" s="6">
        <v>-3.1</v>
      </c>
      <c r="E23" s="7">
        <v>1.3799999999999999E-6</v>
      </c>
      <c r="F23" s="76">
        <v>-1.4813019204567532</v>
      </c>
      <c r="G23" s="76">
        <v>-3.1</v>
      </c>
      <c r="H23" s="76">
        <v>1.3599999999999999E-6</v>
      </c>
      <c r="I23" s="76">
        <v>-1.1686434013931002</v>
      </c>
      <c r="J23" s="76">
        <v>-3.1</v>
      </c>
      <c r="K23" s="76">
        <v>4.21E-5</v>
      </c>
      <c r="L23" s="76">
        <v>-2.0782209661977706</v>
      </c>
      <c r="M23" s="76">
        <v>-3.1</v>
      </c>
      <c r="N23" s="76">
        <v>250</v>
      </c>
      <c r="O23" s="76">
        <v>0</v>
      </c>
      <c r="P23" s="76">
        <v>-3.1</v>
      </c>
      <c r="Q23" s="76">
        <v>1.4300000000000001E-6</v>
      </c>
      <c r="R23" s="76">
        <v>-1.0303222589823404</v>
      </c>
      <c r="S23" s="76">
        <v>-3.1</v>
      </c>
      <c r="T23" s="76">
        <v>8.6300000000000004E-6</v>
      </c>
      <c r="U23" s="76">
        <v>-1.4971864636566843</v>
      </c>
      <c r="V23" s="76">
        <v>-3.1</v>
      </c>
      <c r="W23" s="76">
        <v>5.6199999999999997E-5</v>
      </c>
      <c r="X23" s="76">
        <v>0.73726608137151861</v>
      </c>
      <c r="Y23" s="76">
        <v>-3.1</v>
      </c>
      <c r="Z23" s="76">
        <v>1.44E-6</v>
      </c>
      <c r="AA23" s="76">
        <v>-0.94615976374848554</v>
      </c>
      <c r="AB23" s="76">
        <v>-3.1</v>
      </c>
      <c r="AC23" s="76">
        <v>1.31E-6</v>
      </c>
      <c r="AD23" s="76">
        <v>-0.63012967828733168</v>
      </c>
      <c r="AE23" s="76">
        <v>-3.1</v>
      </c>
      <c r="AF23" s="76">
        <v>1.46E-6</v>
      </c>
      <c r="AG23" s="76">
        <v>-1.0080469912196568</v>
      </c>
      <c r="AH23" s="76">
        <v>-3.1</v>
      </c>
      <c r="AI23" s="76">
        <v>1.1100000000000001E-3</v>
      </c>
      <c r="AJ23" s="76">
        <v>-2.9673190797169875</v>
      </c>
      <c r="AK23" s="76">
        <v>-3.1</v>
      </c>
      <c r="AL23" s="76">
        <v>2.34E-4</v>
      </c>
      <c r="AM23" s="76">
        <v>-0.3037109787629963</v>
      </c>
      <c r="AN23" s="76">
        <v>-3.1</v>
      </c>
      <c r="AO23" s="76">
        <v>3.8000000000000002E-5</v>
      </c>
      <c r="AP23" s="76">
        <v>-2.5659148538175081</v>
      </c>
      <c r="AQ23" s="76">
        <v>-3.1</v>
      </c>
      <c r="AR23" s="76">
        <v>2.74E-6</v>
      </c>
      <c r="AS23" s="76">
        <v>0.39361073880581154</v>
      </c>
      <c r="AT23" s="76">
        <v>-3.1</v>
      </c>
      <c r="AU23" s="76">
        <v>1.3999999999999999E-6</v>
      </c>
      <c r="AV23" s="76">
        <v>-1.0536051565782669</v>
      </c>
      <c r="AW23" s="76">
        <v>-3.1</v>
      </c>
      <c r="AX23" s="76">
        <v>1.42E-6</v>
      </c>
      <c r="AY23" s="76">
        <v>-0.14184634991956088</v>
      </c>
      <c r="AZ23" s="76">
        <v>-3.1</v>
      </c>
      <c r="BA23" s="76">
        <v>1.59E-6</v>
      </c>
      <c r="BB23" s="76">
        <v>-1.0605957196032447</v>
      </c>
      <c r="BC23" s="76">
        <v>-3.1</v>
      </c>
      <c r="BD23" s="76">
        <v>1.14E-3</v>
      </c>
      <c r="BE23" s="76">
        <v>0.34486176071169405</v>
      </c>
      <c r="BF23" s="76">
        <v>-3.1</v>
      </c>
      <c r="BG23" s="76">
        <v>6.2199999999999998E-2</v>
      </c>
      <c r="BH23" s="76">
        <v>-0.96114361592738362</v>
      </c>
      <c r="BI23" s="76">
        <v>-3.1</v>
      </c>
      <c r="BJ23" s="76">
        <v>1.31E-6</v>
      </c>
      <c r="BK23" s="76">
        <v>-0.71176278467895249</v>
      </c>
      <c r="BL23" s="76">
        <v>-3.1</v>
      </c>
      <c r="BM23" s="76">
        <v>1.3799999999999999E-6</v>
      </c>
      <c r="BN23" s="76">
        <v>-1.6507975035944773</v>
      </c>
      <c r="BO23" s="76">
        <v>-3.1</v>
      </c>
      <c r="BP23" s="76">
        <v>8.4500000000000005E-4</v>
      </c>
      <c r="BQ23" s="76">
        <v>-3.5414222835944789</v>
      </c>
      <c r="BR23" s="76">
        <v>-3.1</v>
      </c>
      <c r="BS23" s="76">
        <v>3.39E-2</v>
      </c>
      <c r="BT23" s="76">
        <v>-0.60809004595605953</v>
      </c>
      <c r="BU23" s="76">
        <v>-3.1</v>
      </c>
      <c r="BV23" s="76">
        <v>5.2299999999999997E-5</v>
      </c>
      <c r="BW23" s="76">
        <v>-1.0897869561864395</v>
      </c>
    </row>
    <row r="24" spans="1:75" x14ac:dyDescent="0.15">
      <c r="A24" s="6">
        <v>-3</v>
      </c>
      <c r="B24" s="7">
        <v>1.3E-6</v>
      </c>
      <c r="C24" s="76">
        <v>-1.1394425934921759</v>
      </c>
      <c r="D24" s="6">
        <v>-3</v>
      </c>
      <c r="E24" s="7">
        <v>1.19E-6</v>
      </c>
      <c r="F24" s="76">
        <v>-0.78643127319112982</v>
      </c>
      <c r="G24" s="76">
        <v>-3</v>
      </c>
      <c r="H24" s="76">
        <v>1.2100000000000001E-6</v>
      </c>
      <c r="I24" s="76">
        <v>-0.68402726884400467</v>
      </c>
      <c r="J24" s="76">
        <v>-3</v>
      </c>
      <c r="K24" s="76">
        <v>3.4199999999999998E-5</v>
      </c>
      <c r="L24" s="76">
        <v>-3.8377228349690427</v>
      </c>
      <c r="M24" s="76">
        <v>-3</v>
      </c>
      <c r="N24" s="76">
        <v>250</v>
      </c>
      <c r="O24" s="76">
        <v>0</v>
      </c>
      <c r="P24" s="76">
        <v>-3</v>
      </c>
      <c r="Q24" s="76">
        <v>1.2899999999999999E-6</v>
      </c>
      <c r="R24" s="76">
        <v>-1.2361395596717795</v>
      </c>
      <c r="S24" s="76">
        <v>-3</v>
      </c>
      <c r="T24" s="76">
        <v>7.43E-6</v>
      </c>
      <c r="U24" s="76">
        <v>-2.615570533379612</v>
      </c>
      <c r="V24" s="76">
        <v>-3</v>
      </c>
      <c r="W24" s="76">
        <v>6.05E-5</v>
      </c>
      <c r="X24" s="76">
        <v>-1.7671745443965909</v>
      </c>
      <c r="Y24" s="76">
        <v>-3</v>
      </c>
      <c r="Z24" s="76">
        <v>1.31E-6</v>
      </c>
      <c r="AA24" s="76">
        <v>-1.0451269873548688</v>
      </c>
      <c r="AB24" s="76">
        <v>-3</v>
      </c>
      <c r="AC24" s="76">
        <v>1.2300000000000001E-6</v>
      </c>
      <c r="AD24" s="76">
        <v>-1.0265415406008307</v>
      </c>
      <c r="AE24" s="76">
        <v>-3</v>
      </c>
      <c r="AF24" s="76">
        <v>1.3200000000000001E-6</v>
      </c>
      <c r="AG24" s="76">
        <v>-0.95310179804323791</v>
      </c>
      <c r="AH24" s="76">
        <v>-3</v>
      </c>
      <c r="AI24" s="76">
        <v>8.25E-4</v>
      </c>
      <c r="AJ24" s="76">
        <v>-1.0065778613092027</v>
      </c>
      <c r="AK24" s="76">
        <v>-3</v>
      </c>
      <c r="AL24" s="76">
        <v>2.2699999999999999E-4</v>
      </c>
      <c r="AM24" s="76">
        <v>-1.1668232008019774</v>
      </c>
      <c r="AN24" s="76">
        <v>-3</v>
      </c>
      <c r="AO24" s="76">
        <v>2.94E-5</v>
      </c>
      <c r="AP24" s="76">
        <v>0.59423420470801902</v>
      </c>
      <c r="AQ24" s="76">
        <v>-3</v>
      </c>
      <c r="AR24" s="76">
        <v>2.8499999999999998E-6</v>
      </c>
      <c r="AS24" s="76">
        <v>-0.76540077122334726</v>
      </c>
      <c r="AT24" s="76">
        <v>-3</v>
      </c>
      <c r="AU24" s="76">
        <v>1.26E-6</v>
      </c>
      <c r="AV24" s="76">
        <v>-1.2675170563914218</v>
      </c>
      <c r="AW24" s="76">
        <v>-3</v>
      </c>
      <c r="AX24" s="76">
        <v>1.3999999999999999E-6</v>
      </c>
      <c r="AY24" s="76">
        <v>-2.6881358814739698</v>
      </c>
      <c r="AZ24" s="76">
        <v>-3</v>
      </c>
      <c r="BA24" s="76">
        <v>1.4300000000000001E-6</v>
      </c>
      <c r="BB24" s="76">
        <v>-2.9001579579800003</v>
      </c>
      <c r="BC24" s="76">
        <v>-3</v>
      </c>
      <c r="BD24" s="76">
        <v>1.1800000000000001E-3</v>
      </c>
      <c r="BE24" s="76">
        <v>-1.1672427430814192</v>
      </c>
      <c r="BF24" s="76">
        <v>-3</v>
      </c>
      <c r="BG24" s="76">
        <v>5.6500000000000002E-2</v>
      </c>
      <c r="BH24" s="76">
        <v>-0.9071896566487806</v>
      </c>
      <c r="BI24" s="76">
        <v>-3</v>
      </c>
      <c r="BJ24" s="76">
        <v>1.22E-6</v>
      </c>
      <c r="BK24" s="76">
        <v>-1.4058195062118792</v>
      </c>
      <c r="BL24" s="76">
        <v>-3</v>
      </c>
      <c r="BM24" s="76">
        <v>1.17E-6</v>
      </c>
      <c r="BN24" s="76">
        <v>-0.98734840685688408</v>
      </c>
      <c r="BO24" s="76">
        <v>-3</v>
      </c>
      <c r="BP24" s="76">
        <v>5.9299999999999999E-4</v>
      </c>
      <c r="BQ24" s="76">
        <v>-1.1231739245155739</v>
      </c>
      <c r="BR24" s="76">
        <v>-3</v>
      </c>
      <c r="BS24" s="76">
        <v>3.1899999999999998E-2</v>
      </c>
      <c r="BT24" s="76">
        <v>-1.3397932096347842</v>
      </c>
      <c r="BU24" s="76">
        <v>-3</v>
      </c>
      <c r="BV24" s="76">
        <v>4.6900000000000002E-5</v>
      </c>
      <c r="BW24" s="76">
        <v>-1.3688761240347691</v>
      </c>
    </row>
    <row r="25" spans="1:75" x14ac:dyDescent="0.15">
      <c r="A25" s="6">
        <v>-2.9</v>
      </c>
      <c r="B25" s="7">
        <v>1.1599999999999999E-6</v>
      </c>
      <c r="C25" s="76">
        <v>-1.5142451413857203</v>
      </c>
      <c r="D25" s="6">
        <v>-2.9</v>
      </c>
      <c r="E25" s="7">
        <v>1.1000000000000001E-6</v>
      </c>
      <c r="F25" s="76">
        <v>-1.5506018421009835</v>
      </c>
      <c r="G25" s="76">
        <v>-2.9</v>
      </c>
      <c r="H25" s="76">
        <v>1.13E-6</v>
      </c>
      <c r="I25" s="76">
        <v>-1.222176327242489</v>
      </c>
      <c r="J25" s="76">
        <v>-2.9</v>
      </c>
      <c r="K25" s="76">
        <v>2.3300000000000001E-5</v>
      </c>
      <c r="L25" s="76">
        <v>-3.5728825275893752</v>
      </c>
      <c r="M25" s="76">
        <v>-2.9</v>
      </c>
      <c r="N25" s="76">
        <v>250</v>
      </c>
      <c r="O25" s="76">
        <v>0</v>
      </c>
      <c r="P25" s="76">
        <v>-2.9</v>
      </c>
      <c r="Q25" s="76">
        <v>1.1400000000000001E-6</v>
      </c>
      <c r="R25" s="76">
        <v>-1.350362838039415</v>
      </c>
      <c r="S25" s="76">
        <v>-2.9</v>
      </c>
      <c r="T25" s="76">
        <v>5.7200000000000003E-6</v>
      </c>
      <c r="U25" s="76">
        <v>-2.2008878131925318</v>
      </c>
      <c r="V25" s="76">
        <v>-2.9</v>
      </c>
      <c r="W25" s="76">
        <v>5.0699999999999999E-5</v>
      </c>
      <c r="X25" s="76">
        <v>-4.7593836476554996</v>
      </c>
      <c r="Y25" s="76">
        <v>-2.9</v>
      </c>
      <c r="Z25" s="76">
        <v>1.1799999999999999E-6</v>
      </c>
      <c r="AA25" s="76">
        <v>-1.0724553035359632</v>
      </c>
      <c r="AB25" s="76">
        <v>-2.9</v>
      </c>
      <c r="AC25" s="76">
        <v>1.11E-6</v>
      </c>
      <c r="AD25" s="76">
        <v>-1.2048939725412733</v>
      </c>
      <c r="AE25" s="76">
        <v>-2.9</v>
      </c>
      <c r="AF25" s="76">
        <v>1.1999999999999999E-6</v>
      </c>
      <c r="AG25" s="76">
        <v>-2.1587834032279734</v>
      </c>
      <c r="AH25" s="76">
        <v>-2.9</v>
      </c>
      <c r="AI25" s="76">
        <v>7.4600000000000003E-4</v>
      </c>
      <c r="AJ25" s="76">
        <v>0.62357861043374763</v>
      </c>
      <c r="AK25" s="76">
        <v>-2.9</v>
      </c>
      <c r="AL25" s="76">
        <v>2.02E-4</v>
      </c>
      <c r="AM25" s="76">
        <v>-0.61243625240718857</v>
      </c>
      <c r="AN25" s="76">
        <v>-2.9</v>
      </c>
      <c r="AO25" s="76">
        <v>3.1199999999999999E-5</v>
      </c>
      <c r="AP25" s="76">
        <v>-5.6121963751739781</v>
      </c>
      <c r="AQ25" s="76">
        <v>-2.9</v>
      </c>
      <c r="AR25" s="76">
        <v>2.6400000000000001E-6</v>
      </c>
      <c r="AS25" s="76">
        <v>-0.7878087785311465</v>
      </c>
      <c r="AT25" s="76">
        <v>-2.9</v>
      </c>
      <c r="AU25" s="76">
        <v>1.11E-6</v>
      </c>
      <c r="AV25" s="76">
        <v>-1.0836803672178155</v>
      </c>
      <c r="AW25" s="76">
        <v>-2.9</v>
      </c>
      <c r="AX25" s="76">
        <v>1.0699999999999999E-6</v>
      </c>
      <c r="AY25" s="76">
        <v>-0.71666669871353439</v>
      </c>
      <c r="AZ25" s="76">
        <v>-2.9</v>
      </c>
      <c r="BA25" s="76">
        <v>1.0699999999999999E-6</v>
      </c>
      <c r="BB25" s="76">
        <v>0.45670036833188338</v>
      </c>
      <c r="BC25" s="76">
        <v>-2.9</v>
      </c>
      <c r="BD25" s="76">
        <v>1.0499999999999999E-3</v>
      </c>
      <c r="BE25" s="76">
        <v>-0.19231361927887197</v>
      </c>
      <c r="BF25" s="76">
        <v>-2.9</v>
      </c>
      <c r="BG25" s="76">
        <v>5.16E-2</v>
      </c>
      <c r="BH25" s="76">
        <v>-1.0622221325530736</v>
      </c>
      <c r="BI25" s="76">
        <v>-2.9</v>
      </c>
      <c r="BJ25" s="76">
        <v>1.06E-6</v>
      </c>
      <c r="BK25" s="76">
        <v>-0.73382545934023757</v>
      </c>
      <c r="BL25" s="76">
        <v>-2.9</v>
      </c>
      <c r="BM25" s="76">
        <v>1.06E-6</v>
      </c>
      <c r="BN25" s="76">
        <v>-1.7592695159220801</v>
      </c>
      <c r="BO25" s="76">
        <v>-2.9</v>
      </c>
      <c r="BP25" s="76">
        <v>5.2999999999999998E-4</v>
      </c>
      <c r="BQ25" s="76">
        <v>-2.7394044459948463</v>
      </c>
      <c r="BR25" s="76">
        <v>-2.9</v>
      </c>
      <c r="BS25" s="76">
        <v>2.7900000000000001E-2</v>
      </c>
      <c r="BT25" s="76">
        <v>-0.62867278060268761</v>
      </c>
      <c r="BU25" s="76">
        <v>-2.9</v>
      </c>
      <c r="BV25" s="76">
        <v>4.0899999999999998E-5</v>
      </c>
      <c r="BW25" s="76">
        <v>-0.68294547436227704</v>
      </c>
    </row>
    <row r="26" spans="1:75" x14ac:dyDescent="0.15">
      <c r="A26" s="6">
        <v>-2.8</v>
      </c>
      <c r="B26" s="7">
        <v>9.9699999999999994E-7</v>
      </c>
      <c r="C26" s="76">
        <v>-0.96815826261913773</v>
      </c>
      <c r="D26" s="6">
        <v>-2.8</v>
      </c>
      <c r="E26" s="7">
        <v>9.4200000000000004E-7</v>
      </c>
      <c r="F26" s="76">
        <v>-0.34560675065467572</v>
      </c>
      <c r="G26" s="76">
        <v>-2.8</v>
      </c>
      <c r="H26" s="76">
        <v>9.9999999999999995E-7</v>
      </c>
      <c r="I26" s="76">
        <v>-1.2556322297534672</v>
      </c>
      <c r="J26" s="76">
        <v>-2.8</v>
      </c>
      <c r="K26" s="76">
        <v>1.63E-5</v>
      </c>
      <c r="L26" s="76">
        <v>-3.9326983501434714</v>
      </c>
      <c r="M26" s="76">
        <v>-2.8</v>
      </c>
      <c r="N26" s="76">
        <v>250</v>
      </c>
      <c r="O26" s="76">
        <v>0</v>
      </c>
      <c r="P26" s="76">
        <v>-2.8</v>
      </c>
      <c r="Q26" s="76">
        <v>9.9600000000000008E-7</v>
      </c>
      <c r="R26" s="76">
        <v>-1.2610066394948349</v>
      </c>
      <c r="S26" s="76">
        <v>-2.8</v>
      </c>
      <c r="T26" s="76">
        <v>4.5900000000000001E-6</v>
      </c>
      <c r="U26" s="76">
        <v>-0.65265001372935905</v>
      </c>
      <c r="V26" s="76">
        <v>-2.8</v>
      </c>
      <c r="W26" s="76">
        <v>3.15E-5</v>
      </c>
      <c r="X26" s="76">
        <v>-14.772963740986373</v>
      </c>
      <c r="Y26" s="76">
        <v>-2.8</v>
      </c>
      <c r="Z26" s="76">
        <v>1.06E-6</v>
      </c>
      <c r="AA26" s="76">
        <v>-1.0851012456072378</v>
      </c>
      <c r="AB26" s="76">
        <v>-2.8</v>
      </c>
      <c r="AC26" s="76">
        <v>9.8400000000000002E-7</v>
      </c>
      <c r="AD26" s="76">
        <v>-1.3237062638856092</v>
      </c>
      <c r="AE26" s="76">
        <v>-2.8</v>
      </c>
      <c r="AF26" s="76">
        <v>9.6700000000000002E-7</v>
      </c>
      <c r="AG26" s="76">
        <v>-0.76258082478365008</v>
      </c>
      <c r="AH26" s="76">
        <v>-2.8</v>
      </c>
      <c r="AI26" s="76">
        <v>7.94E-4</v>
      </c>
      <c r="AJ26" s="76">
        <v>-2.7848852671192956</v>
      </c>
      <c r="AK26" s="76">
        <v>-2.8</v>
      </c>
      <c r="AL26" s="76">
        <v>1.9000000000000001E-4</v>
      </c>
      <c r="AM26" s="76">
        <v>0.46280752564007155</v>
      </c>
      <c r="AN26" s="76">
        <v>-2.8</v>
      </c>
      <c r="AO26" s="76">
        <v>1.7799999999999999E-5</v>
      </c>
      <c r="AP26" s="76">
        <v>-1.2553774494377601</v>
      </c>
      <c r="AQ26" s="76">
        <v>-2.8</v>
      </c>
      <c r="AR26" s="76">
        <v>2.4399999999999999E-6</v>
      </c>
      <c r="AS26" s="76">
        <v>-1.4531009181713601</v>
      </c>
      <c r="AT26" s="76">
        <v>-2.8</v>
      </c>
      <c r="AU26" s="76">
        <v>9.9600000000000008E-7</v>
      </c>
      <c r="AV26" s="76">
        <v>-0.53621091439097956</v>
      </c>
      <c r="AW26" s="76">
        <v>-2.8</v>
      </c>
      <c r="AX26" s="76">
        <v>9.9600000000000008E-7</v>
      </c>
      <c r="AY26" s="76">
        <v>-0.79373587541512969</v>
      </c>
      <c r="AZ26" s="76">
        <v>-2.8</v>
      </c>
      <c r="BA26" s="76">
        <v>1.1200000000000001E-6</v>
      </c>
      <c r="BB26" s="76">
        <v>0.26433257068154342</v>
      </c>
      <c r="BC26" s="76">
        <v>-2.8</v>
      </c>
      <c r="BD26" s="76">
        <v>1.0300000000000001E-3</v>
      </c>
      <c r="BE26" s="76">
        <v>-0.78749046432316228</v>
      </c>
      <c r="BF26" s="76">
        <v>-2.8</v>
      </c>
      <c r="BG26" s="76">
        <v>4.6399999999999997E-2</v>
      </c>
      <c r="BH26" s="76">
        <v>-0.35091319811270461</v>
      </c>
      <c r="BI26" s="76">
        <v>-2.8</v>
      </c>
      <c r="BJ26" s="76">
        <v>9.850000000000001E-7</v>
      </c>
      <c r="BK26" s="76">
        <v>-2.1681841953724299</v>
      </c>
      <c r="BL26" s="76">
        <v>-2.8</v>
      </c>
      <c r="BM26" s="76">
        <v>8.8899999999999998E-7</v>
      </c>
      <c r="BN26" s="76">
        <v>-1.5022140168737028</v>
      </c>
      <c r="BO26" s="76">
        <v>-2.8</v>
      </c>
      <c r="BP26" s="76">
        <v>4.0299999999999998E-4</v>
      </c>
      <c r="BQ26" s="76">
        <v>-0.88139917906155807</v>
      </c>
      <c r="BR26" s="76">
        <v>-2.8</v>
      </c>
      <c r="BS26" s="76">
        <v>2.6200000000000001E-2</v>
      </c>
      <c r="BT26" s="76">
        <v>-0.83547570270442539</v>
      </c>
      <c r="BU26" s="76">
        <v>-2.8</v>
      </c>
      <c r="BV26" s="76">
        <v>3.82E-5</v>
      </c>
      <c r="BW26" s="76">
        <v>-1.2533767825421416</v>
      </c>
    </row>
    <row r="27" spans="1:75" x14ac:dyDescent="0.15">
      <c r="A27" s="6">
        <v>-2.7</v>
      </c>
      <c r="B27" s="7">
        <v>9.0500000000000002E-7</v>
      </c>
      <c r="C27" s="76">
        <v>-1.8919596018270628</v>
      </c>
      <c r="D27" s="6">
        <v>-2.7</v>
      </c>
      <c r="E27" s="7">
        <v>9.0999999999999997E-7</v>
      </c>
      <c r="F27" s="76">
        <v>-1.4014663174324213</v>
      </c>
      <c r="G27" s="76">
        <v>-2.7</v>
      </c>
      <c r="H27" s="76">
        <v>8.8199999999999998E-7</v>
      </c>
      <c r="I27" s="76">
        <v>-1.423162221802555</v>
      </c>
      <c r="J27" s="76">
        <v>-2.7</v>
      </c>
      <c r="K27" s="76">
        <v>1.1E-5</v>
      </c>
      <c r="L27" s="76">
        <v>1.5933203856925524</v>
      </c>
      <c r="M27" s="76">
        <v>-2.7</v>
      </c>
      <c r="N27" s="76">
        <v>250</v>
      </c>
      <c r="O27" s="76">
        <v>0</v>
      </c>
      <c r="P27" s="76">
        <v>-2.7</v>
      </c>
      <c r="Q27" s="76">
        <v>8.78E-7</v>
      </c>
      <c r="R27" s="76">
        <v>-1.6292099343135453</v>
      </c>
      <c r="S27" s="76">
        <v>-2.7</v>
      </c>
      <c r="T27" s="76">
        <v>4.3000000000000003E-6</v>
      </c>
      <c r="U27" s="76">
        <v>-1.7768117723745276</v>
      </c>
      <c r="V27" s="76">
        <v>-2.7</v>
      </c>
      <c r="W27" s="76">
        <v>7.1899999999999998E-6</v>
      </c>
      <c r="X27" s="76">
        <v>-1.9773882082128029</v>
      </c>
      <c r="Y27" s="76">
        <v>-2.7</v>
      </c>
      <c r="Z27" s="76">
        <v>9.5099999999999998E-7</v>
      </c>
      <c r="AA27" s="76">
        <v>-1.1817743518821711</v>
      </c>
      <c r="AB27" s="76">
        <v>-2.7</v>
      </c>
      <c r="AC27" s="76">
        <v>8.6199999999999996E-7</v>
      </c>
      <c r="AD27" s="76">
        <v>-1.0381492029604535</v>
      </c>
      <c r="AE27" s="76">
        <v>-2.7</v>
      </c>
      <c r="AF27" s="76">
        <v>8.9599999999999998E-7</v>
      </c>
      <c r="AG27" s="76">
        <v>-1.7387518517503671</v>
      </c>
      <c r="AH27" s="76">
        <v>-2.7</v>
      </c>
      <c r="AI27" s="76">
        <v>6.0099999999999997E-4</v>
      </c>
      <c r="AJ27" s="76">
        <v>-3.535896204991952</v>
      </c>
      <c r="AK27" s="76">
        <v>-2.7</v>
      </c>
      <c r="AL27" s="76">
        <v>1.9900000000000001E-4</v>
      </c>
      <c r="AM27" s="76">
        <v>-2.1813100949066548</v>
      </c>
      <c r="AN27" s="76">
        <v>-2.7</v>
      </c>
      <c r="AO27" s="76">
        <v>1.5699999999999999E-5</v>
      </c>
      <c r="AP27" s="76">
        <v>-3.2885798663596835</v>
      </c>
      <c r="AQ27" s="76">
        <v>-2.7</v>
      </c>
      <c r="AR27" s="76">
        <v>2.1100000000000001E-6</v>
      </c>
      <c r="AS27" s="76">
        <v>-1.5336110221024044</v>
      </c>
      <c r="AT27" s="76">
        <v>-2.7</v>
      </c>
      <c r="AU27" s="76">
        <v>9.4399999999999998E-7</v>
      </c>
      <c r="AV27" s="76">
        <v>-1.3960305669307247</v>
      </c>
      <c r="AW27" s="76">
        <v>-2.7</v>
      </c>
      <c r="AX27" s="76">
        <v>9.1999999999999998E-7</v>
      </c>
      <c r="AY27" s="76">
        <v>-1.0054122922187672</v>
      </c>
      <c r="AZ27" s="76">
        <v>-2.7</v>
      </c>
      <c r="BA27" s="76">
        <v>1.15E-6</v>
      </c>
      <c r="BB27" s="76">
        <v>-4.2345199355740135</v>
      </c>
      <c r="BC27" s="76">
        <v>-2.7</v>
      </c>
      <c r="BD27" s="76">
        <v>9.5200000000000005E-4</v>
      </c>
      <c r="BE27" s="76">
        <v>0.59140575043939714</v>
      </c>
      <c r="BF27" s="76">
        <v>-2.7</v>
      </c>
      <c r="BG27" s="76">
        <v>4.48E-2</v>
      </c>
      <c r="BH27" s="76">
        <v>-1.4895586295015382</v>
      </c>
      <c r="BI27" s="76">
        <v>-2.7</v>
      </c>
      <c r="BJ27" s="76">
        <v>7.9299999999999997E-7</v>
      </c>
      <c r="BK27" s="76">
        <v>-1.6407789199011964</v>
      </c>
      <c r="BL27" s="76">
        <v>-2.7</v>
      </c>
      <c r="BM27" s="76">
        <v>7.6499999999999998E-7</v>
      </c>
      <c r="BN27" s="76">
        <v>-0.95963988261743705</v>
      </c>
      <c r="BO27" s="76">
        <v>-2.7</v>
      </c>
      <c r="BP27" s="76">
        <v>3.6900000000000002E-4</v>
      </c>
      <c r="BQ27" s="76">
        <v>-1.1778303565638371</v>
      </c>
      <c r="BR27" s="76">
        <v>-2.7</v>
      </c>
      <c r="BS27" s="76">
        <v>2.41E-2</v>
      </c>
      <c r="BT27" s="76">
        <v>-1.0030187070156584</v>
      </c>
      <c r="BU27" s="76">
        <v>-2.7</v>
      </c>
      <c r="BV27" s="76">
        <v>3.3699999999999999E-5</v>
      </c>
      <c r="BW27" s="76">
        <v>-1.0965591297749091</v>
      </c>
    </row>
    <row r="28" spans="1:75" x14ac:dyDescent="0.15">
      <c r="A28" s="6">
        <v>-2.6</v>
      </c>
      <c r="B28" s="7">
        <v>7.4900000000000005E-7</v>
      </c>
      <c r="C28" s="76">
        <v>-1.4639268901631817</v>
      </c>
      <c r="D28" s="6">
        <v>-2.6</v>
      </c>
      <c r="E28" s="7">
        <v>7.9100000000000003E-7</v>
      </c>
      <c r="F28" s="76">
        <v>-0.80253433625216464</v>
      </c>
      <c r="G28" s="76">
        <v>-2.6</v>
      </c>
      <c r="H28" s="76">
        <v>7.6499999999999998E-7</v>
      </c>
      <c r="I28" s="76">
        <v>-2.3961838851771389</v>
      </c>
      <c r="J28" s="76">
        <v>-2.6</v>
      </c>
      <c r="K28" s="76">
        <v>1.29E-5</v>
      </c>
      <c r="L28" s="76">
        <v>-0.97638469563916441</v>
      </c>
      <c r="M28" s="76">
        <v>-2.6</v>
      </c>
      <c r="N28" s="76">
        <v>250</v>
      </c>
      <c r="O28" s="76">
        <v>0</v>
      </c>
      <c r="P28" s="76">
        <v>-2.6</v>
      </c>
      <c r="Q28" s="76">
        <v>7.4600000000000004E-7</v>
      </c>
      <c r="R28" s="76">
        <v>-1.5482114582622573</v>
      </c>
      <c r="S28" s="76">
        <v>-2.6</v>
      </c>
      <c r="T28" s="76">
        <v>3.5999999999999998E-6</v>
      </c>
      <c r="U28" s="76">
        <v>-4.7893225999003652</v>
      </c>
      <c r="V28" s="76">
        <v>-2.6</v>
      </c>
      <c r="W28" s="76">
        <v>5.9000000000000003E-6</v>
      </c>
      <c r="X28" s="76">
        <v>-2.8655276685462967</v>
      </c>
      <c r="Y28" s="76">
        <v>-2.6</v>
      </c>
      <c r="Z28" s="76">
        <v>8.4499999999999996E-7</v>
      </c>
      <c r="AA28" s="76">
        <v>-1.4492316760739485</v>
      </c>
      <c r="AB28" s="76">
        <v>-2.6</v>
      </c>
      <c r="AC28" s="76">
        <v>7.7700000000000004E-7</v>
      </c>
      <c r="AD28" s="76">
        <v>-1.7233299891044835</v>
      </c>
      <c r="AE28" s="76">
        <v>-2.6</v>
      </c>
      <c r="AF28" s="76">
        <v>7.5300000000000003E-7</v>
      </c>
      <c r="AG28" s="76">
        <v>-0.94646389537668707</v>
      </c>
      <c r="AH28" s="76">
        <v>-2.6</v>
      </c>
      <c r="AI28" s="76">
        <v>4.2200000000000001E-4</v>
      </c>
      <c r="AJ28" s="76">
        <v>-1.2880325142857607</v>
      </c>
      <c r="AK28" s="76">
        <v>-2.6</v>
      </c>
      <c r="AL28" s="76">
        <v>1.6000000000000001E-4</v>
      </c>
      <c r="AM28" s="76">
        <v>-1.6251892949777498</v>
      </c>
      <c r="AN28" s="76">
        <v>-2.6</v>
      </c>
      <c r="AO28" s="76">
        <v>1.13E-5</v>
      </c>
      <c r="AP28" s="76">
        <v>1.1679926774625027</v>
      </c>
      <c r="AQ28" s="76">
        <v>-2.6</v>
      </c>
      <c r="AR28" s="76">
        <v>1.81E-6</v>
      </c>
      <c r="AS28" s="76">
        <v>-1.2959282904559355</v>
      </c>
      <c r="AT28" s="76">
        <v>-2.6</v>
      </c>
      <c r="AU28" s="76">
        <v>8.2099999999999995E-7</v>
      </c>
      <c r="AV28" s="76">
        <v>-0.89117457688294188</v>
      </c>
      <c r="AW28" s="76">
        <v>-2.6</v>
      </c>
      <c r="AX28" s="76">
        <v>8.3200000000000004E-7</v>
      </c>
      <c r="AY28" s="76">
        <v>-0.30508772551261359</v>
      </c>
      <c r="AZ28" s="76">
        <v>-2.6</v>
      </c>
      <c r="BA28" s="76">
        <v>7.5300000000000003E-7</v>
      </c>
      <c r="BB28" s="76">
        <v>0.80349127164213319</v>
      </c>
      <c r="BC28" s="76">
        <v>-2.6</v>
      </c>
      <c r="BD28" s="76">
        <v>1.01E-3</v>
      </c>
      <c r="BE28" s="76">
        <v>-3.8246433882164652</v>
      </c>
      <c r="BF28" s="76">
        <v>-2.6</v>
      </c>
      <c r="BG28" s="76">
        <v>3.8600000000000002E-2</v>
      </c>
      <c r="BH28" s="76">
        <v>-0.69733338014675561</v>
      </c>
      <c r="BI28" s="76">
        <v>-2.6</v>
      </c>
      <c r="BJ28" s="76">
        <v>6.7299999999999995E-7</v>
      </c>
      <c r="BK28" s="76">
        <v>-2.1279608278878452</v>
      </c>
      <c r="BL28" s="76">
        <v>-2.6</v>
      </c>
      <c r="BM28" s="76">
        <v>6.9500000000000002E-7</v>
      </c>
      <c r="BN28" s="76">
        <v>-0.5622782708018188</v>
      </c>
      <c r="BO28" s="76">
        <v>-2.6</v>
      </c>
      <c r="BP28" s="76">
        <v>3.28E-4</v>
      </c>
      <c r="BQ28" s="76">
        <v>-2.170645052378271</v>
      </c>
      <c r="BR28" s="76">
        <v>-2.6</v>
      </c>
      <c r="BS28" s="76">
        <v>2.18E-2</v>
      </c>
      <c r="BT28" s="76">
        <v>-0.373875320716199</v>
      </c>
      <c r="BU28" s="76">
        <v>-2.6</v>
      </c>
      <c r="BV28" s="76">
        <v>3.0199999999999999E-5</v>
      </c>
      <c r="BW28" s="76">
        <v>-0.2684725003618913</v>
      </c>
    </row>
    <row r="29" spans="1:75" x14ac:dyDescent="0.15">
      <c r="A29" s="6">
        <v>-2.5</v>
      </c>
      <c r="B29" s="7">
        <v>6.4700000000000001E-7</v>
      </c>
      <c r="C29" s="76">
        <v>-1.6789749207891964</v>
      </c>
      <c r="D29" s="6">
        <v>-2.5</v>
      </c>
      <c r="E29" s="7">
        <v>7.3E-7</v>
      </c>
      <c r="F29" s="76">
        <v>-0.70951735972284813</v>
      </c>
      <c r="G29" s="76">
        <v>-2.5</v>
      </c>
      <c r="H29" s="76">
        <v>6.0200000000000002E-7</v>
      </c>
      <c r="I29" s="76">
        <v>-1.4258985742618244</v>
      </c>
      <c r="J29" s="76">
        <v>-2.5</v>
      </c>
      <c r="K29" s="76">
        <v>1.17E-5</v>
      </c>
      <c r="L29" s="76">
        <v>-1.3720112151348463</v>
      </c>
      <c r="M29" s="76">
        <v>-2.5</v>
      </c>
      <c r="N29" s="76">
        <v>250</v>
      </c>
      <c r="O29" s="76">
        <v>0</v>
      </c>
      <c r="P29" s="76">
        <v>-2.5</v>
      </c>
      <c r="Q29" s="76">
        <v>6.3900000000000004E-7</v>
      </c>
      <c r="R29" s="76">
        <v>-2.060756428020623</v>
      </c>
      <c r="S29" s="76">
        <v>-2.5</v>
      </c>
      <c r="T29" s="76">
        <v>2.2299999999999998E-6</v>
      </c>
      <c r="U29" s="76">
        <v>-1.0885440491208156</v>
      </c>
      <c r="V29" s="76">
        <v>-2.5</v>
      </c>
      <c r="W29" s="76">
        <v>4.4299999999999999E-6</v>
      </c>
      <c r="X29" s="76">
        <v>-2.9447711558460883</v>
      </c>
      <c r="Y29" s="76">
        <v>-2.5</v>
      </c>
      <c r="Z29" s="76">
        <v>7.3099999999999997E-7</v>
      </c>
      <c r="AA29" s="76">
        <v>-2.0921906075205303</v>
      </c>
      <c r="AB29" s="76">
        <v>-2.5</v>
      </c>
      <c r="AC29" s="76">
        <v>6.5400000000000001E-7</v>
      </c>
      <c r="AD29" s="76">
        <v>-2.1211891959889844</v>
      </c>
      <c r="AE29" s="76">
        <v>-2.5</v>
      </c>
      <c r="AF29" s="76">
        <v>6.8500000000000001E-7</v>
      </c>
      <c r="AG29" s="76">
        <v>-0.66389381341554754</v>
      </c>
      <c r="AH29" s="76">
        <v>-2.5</v>
      </c>
      <c r="AI29" s="76">
        <v>3.7100000000000002E-4</v>
      </c>
      <c r="AJ29" s="76">
        <v>-1.9917436120121295</v>
      </c>
      <c r="AK29" s="76">
        <v>-2.5</v>
      </c>
      <c r="AL29" s="76">
        <v>1.36E-4</v>
      </c>
      <c r="AM29" s="76">
        <v>-1.3353139262452263</v>
      </c>
      <c r="AN29" s="76">
        <v>-2.5</v>
      </c>
      <c r="AO29" s="76">
        <v>1.27E-5</v>
      </c>
      <c r="AP29" s="76">
        <v>-2.1921427317431945</v>
      </c>
      <c r="AQ29" s="76">
        <v>-2.5</v>
      </c>
      <c r="AR29" s="76">
        <v>1.59E-6</v>
      </c>
      <c r="AS29" s="76">
        <v>-1.1307714461897145</v>
      </c>
      <c r="AT29" s="76">
        <v>-2.5</v>
      </c>
      <c r="AU29" s="76">
        <v>7.5099999999999999E-7</v>
      </c>
      <c r="AV29" s="76">
        <v>-1.772743950636942</v>
      </c>
      <c r="AW29" s="76">
        <v>-2.5</v>
      </c>
      <c r="AX29" s="76">
        <v>8.0699999999999996E-7</v>
      </c>
      <c r="AY29" s="76">
        <v>-0.37883317902300784</v>
      </c>
      <c r="AZ29" s="76">
        <v>-2.5</v>
      </c>
      <c r="BA29" s="76">
        <v>8.16E-7</v>
      </c>
      <c r="BB29" s="76">
        <v>-3.9631591345457515</v>
      </c>
      <c r="BC29" s="76">
        <v>-2.5</v>
      </c>
      <c r="BD29" s="76">
        <v>6.8900000000000005E-4</v>
      </c>
      <c r="BE29" s="76">
        <v>0.83497712503561339</v>
      </c>
      <c r="BF29" s="76">
        <v>-2.5</v>
      </c>
      <c r="BG29" s="76">
        <v>3.5999999999999997E-2</v>
      </c>
      <c r="BH29" s="76">
        <v>-0.63058135967136442</v>
      </c>
      <c r="BI29" s="76">
        <v>-2.5</v>
      </c>
      <c r="BJ29" s="76">
        <v>5.44E-7</v>
      </c>
      <c r="BK29" s="76">
        <v>-2.4450990058657296</v>
      </c>
      <c r="BL29" s="76">
        <v>-2.5</v>
      </c>
      <c r="BM29" s="76">
        <v>6.5700000000000002E-7</v>
      </c>
      <c r="BN29" s="76">
        <v>-2.5523600193408646</v>
      </c>
      <c r="BO29" s="76">
        <v>-2.5</v>
      </c>
      <c r="BP29" s="76">
        <v>2.6400000000000002E-4</v>
      </c>
      <c r="BQ29" s="76">
        <v>-2.3361485118150482</v>
      </c>
      <c r="BR29" s="76">
        <v>-2.5</v>
      </c>
      <c r="BS29" s="76">
        <v>2.1000000000000001E-2</v>
      </c>
      <c r="BT29" s="76">
        <v>-0.94834102670838938</v>
      </c>
      <c r="BU29" s="76">
        <v>-2.5</v>
      </c>
      <c r="BV29" s="76">
        <v>2.94E-5</v>
      </c>
      <c r="BW29" s="76">
        <v>-1.2675170563914218</v>
      </c>
    </row>
    <row r="30" spans="1:75" x14ac:dyDescent="0.15">
      <c r="A30" s="6">
        <v>-2.4</v>
      </c>
      <c r="B30" s="7">
        <v>5.4700000000000001E-7</v>
      </c>
      <c r="C30" s="76">
        <v>-0.85848682730251291</v>
      </c>
      <c r="D30" s="6">
        <v>-2.4</v>
      </c>
      <c r="E30" s="7">
        <v>6.7999999999999995E-7</v>
      </c>
      <c r="F30" s="76">
        <v>-2.0492811142286786</v>
      </c>
      <c r="G30" s="76">
        <v>-2.4</v>
      </c>
      <c r="H30" s="76">
        <v>5.2200000000000004E-7</v>
      </c>
      <c r="I30" s="76">
        <v>-2.3907437338640469</v>
      </c>
      <c r="J30" s="76">
        <v>-2.4</v>
      </c>
      <c r="K30" s="76">
        <v>1.0200000000000001E-5</v>
      </c>
      <c r="L30" s="76">
        <v>-3.4691876899336695</v>
      </c>
      <c r="M30" s="76">
        <v>-2.4</v>
      </c>
      <c r="N30" s="76">
        <v>250</v>
      </c>
      <c r="O30" s="76">
        <v>0</v>
      </c>
      <c r="P30" s="76">
        <v>-2.4</v>
      </c>
      <c r="Q30" s="76">
        <v>5.2E-7</v>
      </c>
      <c r="R30" s="76">
        <v>-2.1595789165333539</v>
      </c>
      <c r="S30" s="76">
        <v>-2.4</v>
      </c>
      <c r="T30" s="76">
        <v>1.9999999999999999E-6</v>
      </c>
      <c r="U30" s="76">
        <v>-1.9237189264745584</v>
      </c>
      <c r="V30" s="76">
        <v>-2.4</v>
      </c>
      <c r="W30" s="76">
        <v>3.3000000000000002E-6</v>
      </c>
      <c r="X30" s="76">
        <v>-1.9329058816452953</v>
      </c>
      <c r="Y30" s="76">
        <v>-2.4</v>
      </c>
      <c r="Z30" s="76">
        <v>5.9299999999999998E-7</v>
      </c>
      <c r="AA30" s="76">
        <v>-2.1558366650626919</v>
      </c>
      <c r="AB30" s="76">
        <v>-2.4</v>
      </c>
      <c r="AC30" s="76">
        <v>5.2900000000000004E-7</v>
      </c>
      <c r="AD30" s="76">
        <v>-2.3790221005949852</v>
      </c>
      <c r="AE30" s="76">
        <v>-2.4</v>
      </c>
      <c r="AF30" s="76">
        <v>6.4099999999999998E-7</v>
      </c>
      <c r="AG30" s="76">
        <v>-1.6776345548102418</v>
      </c>
      <c r="AH30" s="76">
        <v>-2.4</v>
      </c>
      <c r="AI30" s="76">
        <v>3.0400000000000002E-4</v>
      </c>
      <c r="AJ30" s="76">
        <v>-3.9890770756200631</v>
      </c>
      <c r="AK30" s="76">
        <v>-2.4</v>
      </c>
      <c r="AL30" s="76">
        <v>1.1900000000000001E-4</v>
      </c>
      <c r="AM30" s="76">
        <v>-0.87775610882385202</v>
      </c>
      <c r="AN30" s="76">
        <v>-2.4</v>
      </c>
      <c r="AO30" s="76">
        <v>1.0200000000000001E-5</v>
      </c>
      <c r="AP30" s="76">
        <v>-3.5527536358430791</v>
      </c>
      <c r="AQ30" s="76">
        <v>-2.4</v>
      </c>
      <c r="AR30" s="76">
        <v>1.42E-6</v>
      </c>
      <c r="AS30" s="76">
        <v>-1.2751332029895923</v>
      </c>
      <c r="AT30" s="76">
        <v>-2.4</v>
      </c>
      <c r="AU30" s="76">
        <v>6.2900000000000003E-7</v>
      </c>
      <c r="AV30" s="76">
        <v>-1.6560983253459567</v>
      </c>
      <c r="AW30" s="76">
        <v>-2.4</v>
      </c>
      <c r="AX30" s="76">
        <v>7.7700000000000004E-7</v>
      </c>
      <c r="AY30" s="76">
        <v>-2.3707541443143554</v>
      </c>
      <c r="AZ30" s="76">
        <v>-2.4</v>
      </c>
      <c r="BA30" s="76">
        <v>5.4899999999999995E-7</v>
      </c>
      <c r="BB30" s="76">
        <v>-1.5536574680542601</v>
      </c>
      <c r="BC30" s="76">
        <v>-2.4</v>
      </c>
      <c r="BD30" s="76">
        <v>7.4899999999999999E-4</v>
      </c>
      <c r="BE30" s="76">
        <v>-2.3017757797158978</v>
      </c>
      <c r="BF30" s="76">
        <v>-2.4</v>
      </c>
      <c r="BG30" s="76">
        <v>3.3799999999999997E-2</v>
      </c>
      <c r="BH30" s="76">
        <v>-1.3268644115895822</v>
      </c>
      <c r="BI30" s="76">
        <v>-2.4</v>
      </c>
      <c r="BJ30" s="76">
        <v>4.2599999999999998E-7</v>
      </c>
      <c r="BK30" s="76">
        <v>-2.4930437735288158</v>
      </c>
      <c r="BL30" s="76">
        <v>-2.4</v>
      </c>
      <c r="BM30" s="76">
        <v>5.0900000000000002E-7</v>
      </c>
      <c r="BN30" s="76">
        <v>-1.4567328963821589</v>
      </c>
      <c r="BO30" s="76">
        <v>-2.4</v>
      </c>
      <c r="BP30" s="76">
        <v>2.0900000000000001E-4</v>
      </c>
      <c r="BQ30" s="76">
        <v>9.7302374955752224</v>
      </c>
      <c r="BR30" s="76">
        <v>-2.4</v>
      </c>
      <c r="BS30" s="76">
        <v>1.9099999999999999E-2</v>
      </c>
      <c r="BT30" s="76">
        <v>-0.98981833548850506</v>
      </c>
      <c r="BU30" s="76">
        <v>-2.4</v>
      </c>
      <c r="BV30" s="76">
        <v>2.5899999999999999E-5</v>
      </c>
      <c r="BW30" s="76">
        <v>1.6348371490787257</v>
      </c>
    </row>
    <row r="31" spans="1:75" x14ac:dyDescent="0.15">
      <c r="A31" s="6">
        <v>-2.2999999999999998</v>
      </c>
      <c r="B31" s="7">
        <v>5.0200000000000002E-7</v>
      </c>
      <c r="C31" s="76">
        <v>-1.4095787634269514</v>
      </c>
      <c r="D31" s="6">
        <v>-2.2999999999999998</v>
      </c>
      <c r="E31" s="7">
        <v>5.5400000000000001E-7</v>
      </c>
      <c r="F31" s="76">
        <v>-1.9906748870593631</v>
      </c>
      <c r="G31" s="76">
        <v>-2.2999999999999998</v>
      </c>
      <c r="H31" s="76">
        <v>4.1100000000000001E-7</v>
      </c>
      <c r="I31" s="76">
        <v>-2.9500811254385368</v>
      </c>
      <c r="J31" s="76">
        <v>-2.2999999999999998</v>
      </c>
      <c r="K31" s="76">
        <v>7.2099999999999996E-6</v>
      </c>
      <c r="L31" s="76">
        <v>-1.9713250240094453</v>
      </c>
      <c r="M31" s="76">
        <v>-2.2999999999999998</v>
      </c>
      <c r="N31" s="76">
        <v>250</v>
      </c>
      <c r="O31" s="76">
        <v>0</v>
      </c>
      <c r="P31" s="76">
        <v>-2.2999999999999998</v>
      </c>
      <c r="Q31" s="76">
        <v>4.1899999999999998E-7</v>
      </c>
      <c r="R31" s="76">
        <v>-2.2672992694543739</v>
      </c>
      <c r="S31" s="76">
        <v>-2.2999999999999998</v>
      </c>
      <c r="T31" s="76">
        <v>1.6500000000000001E-6</v>
      </c>
      <c r="U31" s="76">
        <v>-1.932905881645304</v>
      </c>
      <c r="V31" s="76">
        <v>-2.2999999999999998</v>
      </c>
      <c r="W31" s="76">
        <v>2.7199999999999998E-6</v>
      </c>
      <c r="X31" s="76">
        <v>-1.504809509382957</v>
      </c>
      <c r="Y31" s="76">
        <v>-2.2999999999999998</v>
      </c>
      <c r="Z31" s="76">
        <v>4.7800000000000002E-7</v>
      </c>
      <c r="AA31" s="76">
        <v>-2.588140884509285</v>
      </c>
      <c r="AB31" s="76">
        <v>-2.2999999999999998</v>
      </c>
      <c r="AC31" s="76">
        <v>4.1699999999999999E-7</v>
      </c>
      <c r="AD31" s="76">
        <v>-3.5633241953052015</v>
      </c>
      <c r="AE31" s="76">
        <v>-2.2999999999999998</v>
      </c>
      <c r="AF31" s="76">
        <v>5.4199999999999996E-7</v>
      </c>
      <c r="AG31" s="76">
        <v>-3.3942863197481485</v>
      </c>
      <c r="AH31" s="76">
        <v>-2.2999999999999998</v>
      </c>
      <c r="AI31" s="76">
        <v>2.04E-4</v>
      </c>
      <c r="AJ31" s="76">
        <v>-0.92373320131015624</v>
      </c>
      <c r="AK31" s="76">
        <v>-2.2999999999999998</v>
      </c>
      <c r="AL31" s="76">
        <v>1.0900000000000001E-4</v>
      </c>
      <c r="AM31" s="76">
        <v>-0.8617769624105196</v>
      </c>
      <c r="AN31" s="76">
        <v>-2.2999999999999998</v>
      </c>
      <c r="AO31" s="76">
        <v>7.1500000000000002E-6</v>
      </c>
      <c r="AP31" s="76">
        <v>-1.972577228659123</v>
      </c>
      <c r="AQ31" s="76">
        <v>-2.2999999999999998</v>
      </c>
      <c r="AR31" s="76">
        <v>1.2500000000000001E-6</v>
      </c>
      <c r="AS31" s="76">
        <v>-1.2783337150988539</v>
      </c>
      <c r="AT31" s="76">
        <v>-2.2999999999999998</v>
      </c>
      <c r="AU31" s="76">
        <v>5.3300000000000002E-7</v>
      </c>
      <c r="AV31" s="76">
        <v>-4.0922451103207145</v>
      </c>
      <c r="AW31" s="76">
        <v>-2.2999999999999998</v>
      </c>
      <c r="AX31" s="76">
        <v>6.13E-7</v>
      </c>
      <c r="AY31" s="76">
        <v>-0.45045146359198701</v>
      </c>
      <c r="AZ31" s="76">
        <v>-2.2999999999999998</v>
      </c>
      <c r="BA31" s="76">
        <v>4.7E-7</v>
      </c>
      <c r="BB31" s="76">
        <v>-0.98293348434735595</v>
      </c>
      <c r="BC31" s="76">
        <v>-2.2999999999999998</v>
      </c>
      <c r="BD31" s="76">
        <v>5.9500000000000004E-4</v>
      </c>
      <c r="BE31" s="76">
        <v>-0.35932009226063449</v>
      </c>
      <c r="BF31" s="76">
        <v>-2.2999999999999998</v>
      </c>
      <c r="BG31" s="76">
        <v>2.9600000000000001E-2</v>
      </c>
      <c r="BH31" s="76">
        <v>-0.95648074722221821</v>
      </c>
      <c r="BI31" s="76">
        <v>-2.2999999999999998</v>
      </c>
      <c r="BJ31" s="76">
        <v>3.3200000000000001E-7</v>
      </c>
      <c r="BK31" s="76">
        <v>-1.9933290262049113</v>
      </c>
      <c r="BL31" s="76">
        <v>-2.2999999999999998</v>
      </c>
      <c r="BM31" s="76">
        <v>4.4000000000000002E-7</v>
      </c>
      <c r="BN31" s="76">
        <v>-1.3093735744747594</v>
      </c>
      <c r="BO31" s="76">
        <v>-2.2999999999999998</v>
      </c>
      <c r="BP31" s="76">
        <v>5.53E-4</v>
      </c>
      <c r="BQ31" s="76">
        <v>-2.3542480642674497</v>
      </c>
      <c r="BR31" s="76">
        <v>-2.2999999999999998</v>
      </c>
      <c r="BS31" s="76">
        <v>1.7299999999999999E-2</v>
      </c>
      <c r="BT31" s="76">
        <v>-0.41303806141235777</v>
      </c>
      <c r="BU31" s="76">
        <v>-2.2999999999999998</v>
      </c>
      <c r="BV31" s="76">
        <v>3.0499999999999999E-5</v>
      </c>
      <c r="BW31" s="76">
        <v>-3.7797752464260226</v>
      </c>
    </row>
    <row r="32" spans="1:75" x14ac:dyDescent="0.15">
      <c r="A32" s="6">
        <v>-2.2000000000000002</v>
      </c>
      <c r="B32" s="7">
        <v>4.3599999999999999E-7</v>
      </c>
      <c r="C32" s="76">
        <v>-2.5459634786601604</v>
      </c>
      <c r="D32" s="6">
        <v>-2.2000000000000002</v>
      </c>
      <c r="E32" s="7">
        <v>4.5400000000000002E-7</v>
      </c>
      <c r="F32" s="76">
        <v>-4.868854162199816</v>
      </c>
      <c r="G32" s="76">
        <v>-2.2000000000000002</v>
      </c>
      <c r="H32" s="76">
        <v>3.0600000000000001E-7</v>
      </c>
      <c r="I32" s="76">
        <v>-3.7172696847631461</v>
      </c>
      <c r="J32" s="76">
        <v>-2.2000000000000002</v>
      </c>
      <c r="K32" s="76">
        <v>5.9200000000000001E-6</v>
      </c>
      <c r="L32" s="76">
        <v>-2.097205309820696</v>
      </c>
      <c r="M32" s="76">
        <v>-2.2000000000000002</v>
      </c>
      <c r="N32" s="76">
        <v>250</v>
      </c>
      <c r="O32" s="76">
        <v>0</v>
      </c>
      <c r="P32" s="76">
        <v>-2.2000000000000002</v>
      </c>
      <c r="Q32" s="76">
        <v>3.34E-7</v>
      </c>
      <c r="R32" s="76">
        <v>-2.6596354849713832</v>
      </c>
      <c r="S32" s="76">
        <v>-2.2000000000000002</v>
      </c>
      <c r="T32" s="76">
        <v>1.3599999999999999E-6</v>
      </c>
      <c r="U32" s="76">
        <v>-1.852670670237105</v>
      </c>
      <c r="V32" s="76">
        <v>-2.2000000000000002</v>
      </c>
      <c r="W32" s="76">
        <v>2.34E-6</v>
      </c>
      <c r="X32" s="76">
        <v>-1.0346298188163585</v>
      </c>
      <c r="Y32" s="76">
        <v>-2.2000000000000002</v>
      </c>
      <c r="Z32" s="76">
        <v>3.6899999999999998E-7</v>
      </c>
      <c r="AA32" s="76">
        <v>-3.7346237702199017</v>
      </c>
      <c r="AB32" s="76">
        <v>-2.2000000000000002</v>
      </c>
      <c r="AC32" s="76">
        <v>2.9200000000000002E-7</v>
      </c>
      <c r="AD32" s="76">
        <v>-3.8344897754378913</v>
      </c>
      <c r="AE32" s="76">
        <v>-2.2000000000000002</v>
      </c>
      <c r="AF32" s="76">
        <v>3.8599999999999999E-7</v>
      </c>
      <c r="AG32" s="76">
        <v>-2.6210523066213098</v>
      </c>
      <c r="AH32" s="76">
        <v>-2.2000000000000002</v>
      </c>
      <c r="AI32" s="76">
        <v>1.8599999999999999E-4</v>
      </c>
      <c r="AJ32" s="76">
        <v>-5.7178632355567718</v>
      </c>
      <c r="AK32" s="76">
        <v>-2.2000000000000002</v>
      </c>
      <c r="AL32" s="76">
        <v>1E-4</v>
      </c>
      <c r="AM32" s="76">
        <v>-1.4618251017808235</v>
      </c>
      <c r="AN32" s="76">
        <v>-2.2000000000000002</v>
      </c>
      <c r="AO32" s="76">
        <v>5.8699999999999997E-6</v>
      </c>
      <c r="AP32" s="76">
        <v>-3.276526407818189</v>
      </c>
      <c r="AQ32" s="76">
        <v>-2.2000000000000002</v>
      </c>
      <c r="AR32" s="76">
        <v>1.1000000000000001E-6</v>
      </c>
      <c r="AS32" s="76">
        <v>-1.7435338714477651</v>
      </c>
      <c r="AT32" s="76">
        <v>-2.2000000000000002</v>
      </c>
      <c r="AU32" s="76">
        <v>3.5400000000000002E-7</v>
      </c>
      <c r="AV32" s="76">
        <v>-2.8204825473352431</v>
      </c>
      <c r="AW32" s="76">
        <v>-2.2000000000000002</v>
      </c>
      <c r="AX32" s="76">
        <v>5.8599999999999998E-7</v>
      </c>
      <c r="AY32" s="76">
        <v>-1.5871169115482062</v>
      </c>
      <c r="AZ32" s="76">
        <v>-2.2000000000000002</v>
      </c>
      <c r="BA32" s="76">
        <v>4.2599999999999998E-7</v>
      </c>
      <c r="BB32" s="76">
        <v>-2.080005712116451</v>
      </c>
      <c r="BC32" s="76">
        <v>-2.2000000000000002</v>
      </c>
      <c r="BD32" s="76">
        <v>5.7399999999999997E-4</v>
      </c>
      <c r="BE32" s="76">
        <v>-1.1235355114879644</v>
      </c>
      <c r="BF32" s="76">
        <v>-2.2000000000000002</v>
      </c>
      <c r="BG32" s="76">
        <v>2.69E-2</v>
      </c>
      <c r="BH32" s="76">
        <v>-0.65282292090415639</v>
      </c>
      <c r="BI32" s="76">
        <v>-2.2000000000000002</v>
      </c>
      <c r="BJ32" s="76">
        <v>2.72E-7</v>
      </c>
      <c r="BK32" s="76">
        <v>-1.9863029483587784</v>
      </c>
      <c r="BL32" s="76">
        <v>-2.2000000000000002</v>
      </c>
      <c r="BM32" s="76">
        <v>3.8599999999999999E-7</v>
      </c>
      <c r="BN32" s="76">
        <v>-4.5457915892010403</v>
      </c>
      <c r="BO32" s="76">
        <v>-2.2000000000000002</v>
      </c>
      <c r="BP32" s="76">
        <v>4.37E-4</v>
      </c>
      <c r="BQ32" s="76">
        <v>-2.2773071532111611</v>
      </c>
      <c r="BR32" s="76">
        <v>-2.2000000000000002</v>
      </c>
      <c r="BS32" s="76">
        <v>1.66E-2</v>
      </c>
      <c r="BT32" s="76">
        <v>-0.94707951541619284</v>
      </c>
      <c r="BU32" s="76">
        <v>-2.2000000000000002</v>
      </c>
      <c r="BV32" s="76">
        <v>2.09E-5</v>
      </c>
      <c r="BW32" s="76">
        <v>-1.2197842688648552</v>
      </c>
    </row>
    <row r="33" spans="1:75" x14ac:dyDescent="0.15">
      <c r="A33" s="6">
        <v>-2.1</v>
      </c>
      <c r="B33" s="7">
        <v>3.3799999999999998E-7</v>
      </c>
      <c r="C33" s="76">
        <v>-2.7008631056140131</v>
      </c>
      <c r="D33" s="6">
        <v>-2.1</v>
      </c>
      <c r="E33" s="7">
        <v>2.79E-7</v>
      </c>
      <c r="F33" s="76">
        <v>-3.2294408442016094</v>
      </c>
      <c r="G33" s="76">
        <v>-2.1</v>
      </c>
      <c r="H33" s="76">
        <v>2.11E-7</v>
      </c>
      <c r="I33" s="76">
        <v>-6.3335926218097196</v>
      </c>
      <c r="J33" s="76">
        <v>-2.1</v>
      </c>
      <c r="K33" s="76">
        <v>4.7999999999999998E-6</v>
      </c>
      <c r="L33" s="76">
        <v>-8.7546873735389781</v>
      </c>
      <c r="M33" s="76">
        <v>-2.1</v>
      </c>
      <c r="N33" s="76">
        <v>250</v>
      </c>
      <c r="O33" s="76">
        <v>0</v>
      </c>
      <c r="P33" s="76">
        <v>-2.1</v>
      </c>
      <c r="Q33" s="76">
        <v>2.5600000000000002E-7</v>
      </c>
      <c r="R33" s="76">
        <v>-2.4187253642048545</v>
      </c>
      <c r="S33" s="76">
        <v>-2.1</v>
      </c>
      <c r="T33" s="76">
        <v>1.13E-6</v>
      </c>
      <c r="U33" s="76">
        <v>-2.489152857702075</v>
      </c>
      <c r="V33" s="76">
        <v>-2.1</v>
      </c>
      <c r="W33" s="76">
        <v>2.1100000000000001E-6</v>
      </c>
      <c r="X33" s="76">
        <v>-1.5336110221024044</v>
      </c>
      <c r="Y33" s="76">
        <v>-2.1</v>
      </c>
      <c r="Z33" s="76">
        <v>2.5400000000000002E-7</v>
      </c>
      <c r="AA33" s="76">
        <v>-4.497379317861526</v>
      </c>
      <c r="AB33" s="76">
        <v>-2.1</v>
      </c>
      <c r="AC33" s="76">
        <v>1.99E-7</v>
      </c>
      <c r="AD33" s="76">
        <v>-3.9546502477358167</v>
      </c>
      <c r="AE33" s="76">
        <v>-2.1</v>
      </c>
      <c r="AF33" s="76">
        <v>2.9700000000000003E-7</v>
      </c>
      <c r="AG33" s="76">
        <v>-2.0893520531204484</v>
      </c>
      <c r="AH33" s="76">
        <v>-2.1</v>
      </c>
      <c r="AI33" s="76">
        <v>1.05E-4</v>
      </c>
      <c r="AJ33" s="76">
        <v>-1.3652907847743723</v>
      </c>
      <c r="AK33" s="76">
        <v>-2.1</v>
      </c>
      <c r="AL33" s="76">
        <v>8.6399999999999999E-5</v>
      </c>
      <c r="AM33" s="76">
        <v>-1.0742024862083701</v>
      </c>
      <c r="AN33" s="76">
        <v>-2.1</v>
      </c>
      <c r="AO33" s="76">
        <v>4.2300000000000002E-6</v>
      </c>
      <c r="AP33" s="76">
        <v>-2.1256144198367171</v>
      </c>
      <c r="AQ33" s="76">
        <v>-2.1</v>
      </c>
      <c r="AR33" s="76">
        <v>9.2399999999999996E-7</v>
      </c>
      <c r="AS33" s="76">
        <v>-2.0863886511132872</v>
      </c>
      <c r="AT33" s="76">
        <v>-2.1</v>
      </c>
      <c r="AU33" s="76">
        <v>2.67E-7</v>
      </c>
      <c r="AV33" s="76">
        <v>-6.2440402814034126</v>
      </c>
      <c r="AW33" s="76">
        <v>-2.1</v>
      </c>
      <c r="AX33" s="76">
        <v>4.9999999999999998E-7</v>
      </c>
      <c r="AY33" s="76">
        <v>-7.5928698306449078</v>
      </c>
      <c r="AZ33" s="76">
        <v>-2.1</v>
      </c>
      <c r="BA33" s="76">
        <v>3.46E-7</v>
      </c>
      <c r="BB33" s="76">
        <v>-19.205128644605853</v>
      </c>
      <c r="BC33" s="76">
        <v>-2.1</v>
      </c>
      <c r="BD33" s="76">
        <v>5.13E-4</v>
      </c>
      <c r="BE33" s="76">
        <v>-1.489659630930714</v>
      </c>
      <c r="BF33" s="76">
        <v>-2.1</v>
      </c>
      <c r="BG33" s="76">
        <v>2.52E-2</v>
      </c>
      <c r="BH33" s="76">
        <v>-0.87011376989629607</v>
      </c>
      <c r="BI33" s="76">
        <v>-2.1</v>
      </c>
      <c r="BJ33" s="76">
        <v>2.23E-7</v>
      </c>
      <c r="BK33" s="76">
        <v>-5.0933197150920817</v>
      </c>
      <c r="BL33" s="76">
        <v>-2.1</v>
      </c>
      <c r="BM33" s="76">
        <v>2.4499999999999998E-7</v>
      </c>
      <c r="BN33" s="76">
        <v>-6.8907385517230972</v>
      </c>
      <c r="BO33" s="76">
        <v>-2.1</v>
      </c>
      <c r="BP33" s="76">
        <v>3.48E-4</v>
      </c>
      <c r="BQ33" s="76">
        <v>-4.1412317085127857</v>
      </c>
      <c r="BR33" s="76">
        <v>-2.1</v>
      </c>
      <c r="BS33" s="76">
        <v>1.5100000000000001E-2</v>
      </c>
      <c r="BT33" s="76">
        <v>-0.97298910986799125</v>
      </c>
      <c r="BU33" s="76">
        <v>-2.1</v>
      </c>
      <c r="BV33" s="76">
        <v>1.8499999999999999E-5</v>
      </c>
      <c r="BW33" s="76">
        <v>-0.84557388028063152</v>
      </c>
    </row>
    <row r="34" spans="1:75" x14ac:dyDescent="0.15">
      <c r="A34" s="6">
        <v>-2</v>
      </c>
      <c r="B34" s="7">
        <v>2.5800000000000001E-7</v>
      </c>
      <c r="C34" s="76">
        <v>-5.0953446800236923</v>
      </c>
      <c r="D34" s="6">
        <v>-2</v>
      </c>
      <c r="E34" s="7">
        <v>2.0200000000000001E-7</v>
      </c>
      <c r="F34" s="76">
        <v>-15.038299026529959</v>
      </c>
      <c r="G34" s="76">
        <v>-2</v>
      </c>
      <c r="H34" s="76">
        <v>1.12E-7</v>
      </c>
      <c r="I34" s="76">
        <v>-4.1308333899305403</v>
      </c>
      <c r="J34" s="76">
        <v>-2</v>
      </c>
      <c r="K34" s="76">
        <v>1.9999999999999999E-6</v>
      </c>
      <c r="L34" s="76">
        <v>-2.4846135929850077</v>
      </c>
      <c r="M34" s="76">
        <v>-2</v>
      </c>
      <c r="N34" s="76">
        <v>250</v>
      </c>
      <c r="O34" s="76">
        <v>0</v>
      </c>
      <c r="P34" s="76">
        <v>-2</v>
      </c>
      <c r="Q34" s="76">
        <v>2.0100000000000001E-7</v>
      </c>
      <c r="R34" s="76">
        <v>-6.3047607359716853</v>
      </c>
      <c r="S34" s="76">
        <v>-2</v>
      </c>
      <c r="T34" s="76">
        <v>8.8100000000000001E-7</v>
      </c>
      <c r="U34" s="76">
        <v>-1.825485973216628</v>
      </c>
      <c r="V34" s="76">
        <v>-2</v>
      </c>
      <c r="W34" s="76">
        <v>1.81E-6</v>
      </c>
      <c r="X34" s="76">
        <v>-1.8786173716956949</v>
      </c>
      <c r="Y34" s="76">
        <v>-2</v>
      </c>
      <c r="Z34" s="76">
        <v>1.6199999999999999E-7</v>
      </c>
      <c r="AA34" s="76">
        <v>-8.1232007050538186</v>
      </c>
      <c r="AB34" s="76">
        <v>-2</v>
      </c>
      <c r="AC34" s="76">
        <v>1.3400000000000001E-7</v>
      </c>
      <c r="AD34" s="76">
        <v>-11.227826495959199</v>
      </c>
      <c r="AE34" s="76">
        <v>-2</v>
      </c>
      <c r="AF34" s="76">
        <v>2.41E-7</v>
      </c>
      <c r="AG34" s="76">
        <v>-19.068490400839977</v>
      </c>
      <c r="AH34" s="76">
        <v>-2</v>
      </c>
      <c r="AI34" s="76">
        <v>9.1600000000000004E-5</v>
      </c>
      <c r="AJ34" s="76">
        <v>-2.7466670433971152</v>
      </c>
      <c r="AK34" s="76">
        <v>-2</v>
      </c>
      <c r="AL34" s="76">
        <v>7.7600000000000002E-5</v>
      </c>
      <c r="AM34" s="76">
        <v>-1.5136247426759462</v>
      </c>
      <c r="AN34" s="76">
        <v>-2</v>
      </c>
      <c r="AO34" s="76">
        <v>3.4199999999999999E-6</v>
      </c>
      <c r="AP34" s="76">
        <v>-0.26668247082161733</v>
      </c>
      <c r="AQ34" s="76">
        <v>-2</v>
      </c>
      <c r="AR34" s="76">
        <v>7.5000000000000002E-7</v>
      </c>
      <c r="AS34" s="76">
        <v>-2.7795178780920411</v>
      </c>
      <c r="AT34" s="76">
        <v>-2</v>
      </c>
      <c r="AU34" s="76">
        <v>1.43E-7</v>
      </c>
      <c r="AV34" s="76">
        <v>-10.173868487455247</v>
      </c>
      <c r="AW34" s="76">
        <v>-2</v>
      </c>
      <c r="AX34" s="76">
        <v>2.34E-7</v>
      </c>
      <c r="AY34" s="76">
        <v>-0.66249385541199801</v>
      </c>
      <c r="AZ34" s="76">
        <v>-2</v>
      </c>
      <c r="BA34" s="76">
        <v>5.0699999999999997E-8</v>
      </c>
      <c r="BB34" s="76">
        <v>6.6311489346107004</v>
      </c>
      <c r="BC34" s="76">
        <v>-2</v>
      </c>
      <c r="BD34" s="76">
        <v>4.4200000000000001E-4</v>
      </c>
      <c r="BE34" s="76">
        <v>-0.60624621816435409</v>
      </c>
      <c r="BF34" s="76">
        <v>-2</v>
      </c>
      <c r="BG34" s="76">
        <v>2.3099999999999999E-2</v>
      </c>
      <c r="BH34" s="76">
        <v>-1.2429771667757705</v>
      </c>
      <c r="BI34" s="76">
        <v>-2</v>
      </c>
      <c r="BJ34" s="76">
        <v>1.3400000000000001E-7</v>
      </c>
      <c r="BK34" s="76">
        <v>-7.5470507355937606</v>
      </c>
      <c r="BL34" s="76">
        <v>-2</v>
      </c>
      <c r="BM34" s="76">
        <v>1.23E-7</v>
      </c>
      <c r="BN34" s="76">
        <v>-13.653764624582069</v>
      </c>
      <c r="BO34" s="76">
        <v>-2</v>
      </c>
      <c r="BP34" s="76">
        <v>2.3000000000000001E-4</v>
      </c>
      <c r="BQ34" s="76">
        <v>-3.3821288109899652</v>
      </c>
      <c r="BR34" s="76">
        <v>-2</v>
      </c>
      <c r="BS34" s="76">
        <v>1.37E-2</v>
      </c>
      <c r="BT34" s="76">
        <v>-1.1595988109486821</v>
      </c>
      <c r="BU34" s="76">
        <v>-2</v>
      </c>
      <c r="BV34" s="76">
        <v>1.7E-5</v>
      </c>
      <c r="BW34" s="76">
        <v>-0.92373320131015213</v>
      </c>
    </row>
    <row r="35" spans="1:75" x14ac:dyDescent="0.15">
      <c r="A35" s="6">
        <v>-1.9</v>
      </c>
      <c r="B35" s="7">
        <v>1.55E-7</v>
      </c>
      <c r="C35" s="76">
        <v>-19.894239352412846</v>
      </c>
      <c r="D35" s="6">
        <v>-1.9</v>
      </c>
      <c r="E35" s="7">
        <v>4.4899999999999998E-8</v>
      </c>
      <c r="F35" s="76">
        <v>-13.620907593790061</v>
      </c>
      <c r="G35" s="76">
        <v>-1.9</v>
      </c>
      <c r="H35" s="76">
        <v>7.4099999999999995E-8</v>
      </c>
      <c r="I35" s="76">
        <v>-5.8213465147077139</v>
      </c>
      <c r="J35" s="76">
        <v>-1.9</v>
      </c>
      <c r="K35" s="76">
        <v>1.5600000000000001E-6</v>
      </c>
      <c r="L35" s="76">
        <v>-1.9782574332991869</v>
      </c>
      <c r="M35" s="76">
        <v>-1.9</v>
      </c>
      <c r="N35" s="76">
        <v>250</v>
      </c>
      <c r="O35" s="76">
        <v>0</v>
      </c>
      <c r="P35" s="76">
        <v>-1.9</v>
      </c>
      <c r="Q35" s="76">
        <v>1.0700000000000001E-7</v>
      </c>
      <c r="R35" s="76">
        <v>-9.8394938034797388</v>
      </c>
      <c r="S35" s="76">
        <v>-1.9</v>
      </c>
      <c r="T35" s="76">
        <v>7.3399999999999998E-7</v>
      </c>
      <c r="U35" s="76">
        <v>-2.3375827176260553</v>
      </c>
      <c r="V35" s="76">
        <v>-1.9</v>
      </c>
      <c r="W35" s="76">
        <v>1.5E-6</v>
      </c>
      <c r="X35" s="76">
        <v>-1.5082288973458289</v>
      </c>
      <c r="Y35" s="76">
        <v>-1.9</v>
      </c>
      <c r="Z35" s="76">
        <v>7.1900000000000002E-8</v>
      </c>
      <c r="AA35" s="76">
        <v>-13.793643264552227</v>
      </c>
      <c r="AB35" s="76">
        <v>-1.9</v>
      </c>
      <c r="AC35" s="76">
        <v>4.36E-8</v>
      </c>
      <c r="AD35" s="76">
        <v>-5.0169314020271898</v>
      </c>
      <c r="AE35" s="76">
        <v>-1.9</v>
      </c>
      <c r="AF35" s="76">
        <v>3.5800000000000003E-8</v>
      </c>
      <c r="AG35" s="76">
        <v>-5.478141931353349</v>
      </c>
      <c r="AH35" s="76">
        <v>-1.9</v>
      </c>
      <c r="AI35" s="76">
        <v>6.9599999999999998E-5</v>
      </c>
      <c r="AJ35" s="76">
        <v>-1.1240956759523983</v>
      </c>
      <c r="AK35" s="76">
        <v>-1.9</v>
      </c>
      <c r="AL35" s="76">
        <v>6.6699999999999995E-5</v>
      </c>
      <c r="AM35" s="76">
        <v>-1.1759564691789863</v>
      </c>
      <c r="AN35" s="76">
        <v>-1.9</v>
      </c>
      <c r="AO35" s="76">
        <v>3.3299999999999999E-6</v>
      </c>
      <c r="AP35" s="76">
        <v>15.633468052338348</v>
      </c>
      <c r="AQ35" s="76">
        <v>-1.9</v>
      </c>
      <c r="AR35" s="76">
        <v>5.68E-7</v>
      </c>
      <c r="AS35" s="76">
        <v>-3.5818513803396228</v>
      </c>
      <c r="AT35" s="76">
        <v>-1.9</v>
      </c>
      <c r="AU35" s="76">
        <v>5.17E-8</v>
      </c>
      <c r="AV35" s="76">
        <v>-9.9576944646179779</v>
      </c>
      <c r="AW35" s="76">
        <v>-1.9</v>
      </c>
      <c r="AX35" s="76">
        <v>2.1899999999999999E-7</v>
      </c>
      <c r="AY35" s="76">
        <v>-0.18433701688838536</v>
      </c>
      <c r="AZ35" s="76">
        <v>-1.9</v>
      </c>
      <c r="BA35" s="76">
        <v>9.8399999999999994E-8</v>
      </c>
      <c r="BB35" s="76">
        <v>-10.223289839184822</v>
      </c>
      <c r="BC35" s="76">
        <v>-1.9</v>
      </c>
      <c r="BD35" s="76">
        <v>4.1599999999999997E-4</v>
      </c>
      <c r="BE35" s="76">
        <v>-1.0910684061744751</v>
      </c>
      <c r="BF35" s="76">
        <v>-1.9</v>
      </c>
      <c r="BG35" s="76">
        <v>2.0400000000000001E-2</v>
      </c>
      <c r="BH35" s="76">
        <v>-1.0863384100279532</v>
      </c>
      <c r="BI35" s="76">
        <v>-1.9</v>
      </c>
      <c r="BJ35" s="76">
        <v>6.2999999999999995E-8</v>
      </c>
      <c r="BK35" s="76">
        <v>-1.7095779814363987</v>
      </c>
      <c r="BL35" s="76">
        <v>-1.9</v>
      </c>
      <c r="BM35" s="76">
        <v>3.1400000000000003E-8</v>
      </c>
      <c r="BN35" s="76">
        <v>13.067822981921573</v>
      </c>
      <c r="BO35" s="76">
        <v>-1.9</v>
      </c>
      <c r="BP35" s="76">
        <v>1.64E-4</v>
      </c>
      <c r="BQ35" s="76">
        <v>9.2115692152532915</v>
      </c>
      <c r="BR35" s="76">
        <v>-1.9</v>
      </c>
      <c r="BS35" s="76">
        <v>1.2200000000000001E-2</v>
      </c>
      <c r="BT35" s="76">
        <v>-0.5908891637000665</v>
      </c>
      <c r="BU35" s="76">
        <v>-1.9</v>
      </c>
      <c r="BV35" s="76">
        <v>1.5500000000000001E-5</v>
      </c>
      <c r="BW35" s="76">
        <v>-6.4725145056172634E-2</v>
      </c>
    </row>
    <row r="36" spans="1:75" x14ac:dyDescent="0.15">
      <c r="A36" s="6">
        <v>-1.8</v>
      </c>
      <c r="B36" s="7">
        <v>2.1200000000000001E-8</v>
      </c>
      <c r="C36" s="76">
        <v>13.708454501788433</v>
      </c>
      <c r="D36" s="6">
        <v>-1.8</v>
      </c>
      <c r="E36" s="7">
        <v>1.15E-8</v>
      </c>
      <c r="F36" s="76">
        <v>19.789003124579576</v>
      </c>
      <c r="G36" s="76">
        <v>-1.8</v>
      </c>
      <c r="H36" s="76">
        <v>4.14E-8</v>
      </c>
      <c r="I36" s="76">
        <v>3.8430890814085181</v>
      </c>
      <c r="J36" s="76">
        <v>-1.8</v>
      </c>
      <c r="K36" s="76">
        <v>1.28E-6</v>
      </c>
      <c r="L36" s="76">
        <v>-2.8352406230311695</v>
      </c>
      <c r="M36" s="76">
        <v>-1.8</v>
      </c>
      <c r="N36" s="76">
        <v>250</v>
      </c>
      <c r="O36" s="76">
        <v>0</v>
      </c>
      <c r="P36" s="76">
        <v>-1.8</v>
      </c>
      <c r="Q36" s="76">
        <v>4.0000000000000001E-8</v>
      </c>
      <c r="R36" s="76">
        <v>4.1210965082683479</v>
      </c>
      <c r="S36" s="76">
        <v>-1.8</v>
      </c>
      <c r="T36" s="76">
        <v>5.8100000000000003E-7</v>
      </c>
      <c r="U36" s="76">
        <v>-2.1201806214780543</v>
      </c>
      <c r="V36" s="76">
        <v>-1.8</v>
      </c>
      <c r="W36" s="76">
        <v>1.2899999999999999E-6</v>
      </c>
      <c r="X36" s="76">
        <v>-0.64021858764931439</v>
      </c>
      <c r="Y36" s="76">
        <v>-1.8</v>
      </c>
      <c r="Z36" s="76">
        <v>1.81E-8</v>
      </c>
      <c r="AA36" s="76">
        <v>12.376533371036007</v>
      </c>
      <c r="AB36" s="76">
        <v>-1.8</v>
      </c>
      <c r="AC36" s="76">
        <v>2.6400000000000001E-8</v>
      </c>
      <c r="AD36" s="76">
        <v>12.319858405536078</v>
      </c>
      <c r="AE36" s="76">
        <v>-1.8</v>
      </c>
      <c r="AF36" s="76">
        <v>2.07E-8</v>
      </c>
      <c r="AG36" s="76">
        <v>17.738873444619333</v>
      </c>
      <c r="AH36" s="76">
        <v>-1.8</v>
      </c>
      <c r="AI36" s="76">
        <v>6.2199999999999994E-5</v>
      </c>
      <c r="AJ36" s="76">
        <v>-4.6679335361548757</v>
      </c>
      <c r="AK36" s="76">
        <v>-1.8</v>
      </c>
      <c r="AL36" s="76">
        <v>5.9299999999999998E-5</v>
      </c>
      <c r="AM36" s="76">
        <v>-1.237027146766837</v>
      </c>
      <c r="AN36" s="76">
        <v>-1.8</v>
      </c>
      <c r="AO36" s="76">
        <v>1.59E-5</v>
      </c>
      <c r="AP36" s="76">
        <v>0</v>
      </c>
      <c r="AQ36" s="76">
        <v>-1.8</v>
      </c>
      <c r="AR36" s="76">
        <v>3.9700000000000002E-7</v>
      </c>
      <c r="AS36" s="76">
        <v>-4.8676805539398726</v>
      </c>
      <c r="AT36" s="76">
        <v>-1.8</v>
      </c>
      <c r="AU36" s="76">
        <v>1.9099999999999999E-8</v>
      </c>
      <c r="AV36" s="76">
        <v>17.507920307398294</v>
      </c>
      <c r="AW36" s="76">
        <v>-1.8</v>
      </c>
      <c r="AX36" s="76">
        <v>2.1500000000000001E-7</v>
      </c>
      <c r="AY36" s="76">
        <v>-21.842853949650181</v>
      </c>
      <c r="AZ36" s="76">
        <v>-1.8</v>
      </c>
      <c r="BA36" s="76">
        <v>3.5399999999999999E-8</v>
      </c>
      <c r="BB36" s="76">
        <v>17.415558772614762</v>
      </c>
      <c r="BC36" s="76">
        <v>-1.8</v>
      </c>
      <c r="BD36" s="76">
        <v>3.7300000000000001E-4</v>
      </c>
      <c r="BE36" s="76">
        <v>-1.8178550746458184</v>
      </c>
      <c r="BF36" s="76">
        <v>-1.8</v>
      </c>
      <c r="BG36" s="76">
        <v>1.83E-2</v>
      </c>
      <c r="BH36" s="76">
        <v>-1.0354067894084098</v>
      </c>
      <c r="BI36" s="76">
        <v>-1.8</v>
      </c>
      <c r="BJ36" s="76">
        <v>5.3099999999999999E-8</v>
      </c>
      <c r="BK36" s="76">
        <v>6.4294358859336445</v>
      </c>
      <c r="BL36" s="76">
        <v>-1.8</v>
      </c>
      <c r="BM36" s="76">
        <v>1.1600000000000001E-7</v>
      </c>
      <c r="BN36" s="76">
        <v>-0.26202372394024542</v>
      </c>
      <c r="BO36" s="76">
        <v>-1.8</v>
      </c>
      <c r="BP36" s="76">
        <v>4.1199999999999999E-4</v>
      </c>
      <c r="BQ36" s="76">
        <v>-9.7561749453642849E-2</v>
      </c>
      <c r="BR36" s="76">
        <v>-1.8</v>
      </c>
      <c r="BS36" s="76">
        <v>1.15E-2</v>
      </c>
      <c r="BT36" s="76">
        <v>-0.62800901239030205</v>
      </c>
      <c r="BU36" s="76">
        <v>-1.8</v>
      </c>
      <c r="BV36" s="76">
        <v>1.5400000000000002E-5</v>
      </c>
      <c r="BW36" s="76">
        <v>-2.1667103680859139</v>
      </c>
    </row>
    <row r="37" spans="1:75" x14ac:dyDescent="0.15">
      <c r="A37" s="6">
        <v>-1.7</v>
      </c>
      <c r="B37" s="7">
        <v>8.35E-8</v>
      </c>
      <c r="C37" s="76">
        <v>8.7347073469122751</v>
      </c>
      <c r="D37" s="6">
        <v>-1.7</v>
      </c>
      <c r="E37" s="7">
        <v>8.3200000000000004E-8</v>
      </c>
      <c r="F37" s="76">
        <v>6.0263317301911536</v>
      </c>
      <c r="G37" s="76">
        <v>-1.7</v>
      </c>
      <c r="H37" s="76">
        <v>6.0800000000000002E-8</v>
      </c>
      <c r="I37" s="76">
        <v>9.6131441324811231</v>
      </c>
      <c r="J37" s="76">
        <v>-1.7</v>
      </c>
      <c r="K37" s="76">
        <v>9.64E-7</v>
      </c>
      <c r="L37" s="76">
        <v>-2.6579337366234448</v>
      </c>
      <c r="M37" s="76">
        <v>-1.7</v>
      </c>
      <c r="N37" s="76">
        <v>250</v>
      </c>
      <c r="O37" s="76">
        <v>0</v>
      </c>
      <c r="P37" s="76">
        <v>-1.7</v>
      </c>
      <c r="Q37" s="76">
        <v>6.0399999999999998E-8</v>
      </c>
      <c r="R37" s="76">
        <v>7.510411589788478</v>
      </c>
      <c r="S37" s="76">
        <v>-1.7</v>
      </c>
      <c r="T37" s="76">
        <v>4.7E-7</v>
      </c>
      <c r="U37" s="76">
        <v>-3.1792195764150089</v>
      </c>
      <c r="V37" s="76">
        <v>-1.7</v>
      </c>
      <c r="W37" s="76">
        <v>1.2100000000000001E-6</v>
      </c>
      <c r="X37" s="76">
        <v>-2.3561772553938662</v>
      </c>
      <c r="Y37" s="76">
        <v>-1.7</v>
      </c>
      <c r="Z37" s="76">
        <v>6.2400000000000003E-8</v>
      </c>
      <c r="AA37" s="76">
        <v>8.0090865775531057</v>
      </c>
      <c r="AB37" s="76">
        <v>-1.7</v>
      </c>
      <c r="AC37" s="76">
        <v>9.0499999999999996E-8</v>
      </c>
      <c r="AD37" s="76">
        <v>5.8224648452650465</v>
      </c>
      <c r="AE37" s="76">
        <v>-1.7</v>
      </c>
      <c r="AF37" s="76">
        <v>1.2200000000000001E-7</v>
      </c>
      <c r="AG37" s="76">
        <v>2.7738332025120762</v>
      </c>
      <c r="AH37" s="76">
        <v>-1.7</v>
      </c>
      <c r="AI37" s="76">
        <v>3.8999999999999999E-5</v>
      </c>
      <c r="AJ37" s="76">
        <v>-5.7251919277133014</v>
      </c>
      <c r="AK37" s="76">
        <v>-1.7</v>
      </c>
      <c r="AL37" s="76">
        <v>5.24E-5</v>
      </c>
      <c r="AM37" s="76">
        <v>-1.2809364132439267</v>
      </c>
      <c r="AN37" s="76">
        <v>-1.7</v>
      </c>
      <c r="AO37" s="76">
        <v>1.59E-5</v>
      </c>
      <c r="AP37" s="76">
        <v>0.1250016276423162</v>
      </c>
      <c r="AQ37" s="76">
        <v>-1.7</v>
      </c>
      <c r="AR37" s="76">
        <v>2.4400000000000001E-7</v>
      </c>
      <c r="AS37" s="76">
        <v>-7.9668785950078664</v>
      </c>
      <c r="AT37" s="76">
        <v>-1.7</v>
      </c>
      <c r="AU37" s="76">
        <v>1.1000000000000001E-7</v>
      </c>
      <c r="AV37" s="76">
        <v>4.8130318449966998</v>
      </c>
      <c r="AW37" s="76">
        <v>-1.7</v>
      </c>
      <c r="AX37" s="76">
        <v>2.4200000000000002E-8</v>
      </c>
      <c r="AY37" s="76">
        <v>21.169522748964368</v>
      </c>
      <c r="AZ37" s="76">
        <v>-1.7</v>
      </c>
      <c r="BA37" s="76">
        <v>2.0200000000000001E-7</v>
      </c>
      <c r="BB37" s="76">
        <v>0.57708317620646177</v>
      </c>
      <c r="BC37" s="76">
        <v>-1.7</v>
      </c>
      <c r="BD37" s="76">
        <v>3.1100000000000002E-4</v>
      </c>
      <c r="BE37" s="76">
        <v>-1.9852936702080752</v>
      </c>
      <c r="BF37" s="76">
        <v>-1.7</v>
      </c>
      <c r="BG37" s="76">
        <v>1.6500000000000001E-2</v>
      </c>
      <c r="BH37" s="76">
        <v>-1.6430305129127665</v>
      </c>
      <c r="BI37" s="76">
        <v>-1.7</v>
      </c>
      <c r="BJ37" s="76">
        <v>1.01E-7</v>
      </c>
      <c r="BK37" s="76">
        <v>8.1422511211318245</v>
      </c>
      <c r="BL37" s="76">
        <v>-1.7</v>
      </c>
      <c r="BM37" s="76">
        <v>1.1300000000000001E-7</v>
      </c>
      <c r="BN37" s="76">
        <v>3.6636238209442289</v>
      </c>
      <c r="BO37" s="76">
        <v>-1.7</v>
      </c>
      <c r="BP37" s="76">
        <v>4.08E-4</v>
      </c>
      <c r="BQ37" s="76">
        <v>-2.3671562885975326</v>
      </c>
      <c r="BR37" s="76">
        <v>-1.7</v>
      </c>
      <c r="BS37" s="76">
        <v>1.0800000000000001E-2</v>
      </c>
      <c r="BT37" s="76">
        <v>-2.0252426411147466</v>
      </c>
      <c r="BU37" s="76">
        <v>-1.7</v>
      </c>
      <c r="BV37" s="76">
        <v>1.24E-5</v>
      </c>
      <c r="BW37" s="76">
        <v>-1.3815033848081821</v>
      </c>
    </row>
    <row r="38" spans="1:75" x14ac:dyDescent="0.15">
      <c r="A38" s="6">
        <v>-1.6</v>
      </c>
      <c r="B38" s="7">
        <v>1.9999999999999999E-7</v>
      </c>
      <c r="C38" s="76">
        <v>3.9541477225466402</v>
      </c>
      <c r="D38" s="6">
        <v>-1.6</v>
      </c>
      <c r="E38" s="7">
        <v>1.5200000000000001E-7</v>
      </c>
      <c r="F38" s="76">
        <v>8.2832195892819556</v>
      </c>
      <c r="G38" s="76">
        <v>-1.6</v>
      </c>
      <c r="H38" s="76">
        <v>1.5900000000000001E-7</v>
      </c>
      <c r="I38" s="76">
        <v>4.9177742879529474</v>
      </c>
      <c r="J38" s="76">
        <v>-1.6</v>
      </c>
      <c r="K38" s="76">
        <v>7.3900000000000004E-7</v>
      </c>
      <c r="L38" s="76">
        <v>-3.0084911852622094</v>
      </c>
      <c r="M38" s="76">
        <v>-1.6</v>
      </c>
      <c r="N38" s="76">
        <v>250</v>
      </c>
      <c r="O38" s="76">
        <v>0</v>
      </c>
      <c r="P38" s="76">
        <v>-1.6</v>
      </c>
      <c r="Q38" s="76">
        <v>1.2800000000000001E-7</v>
      </c>
      <c r="R38" s="76">
        <v>6.075552502245424</v>
      </c>
      <c r="S38" s="76">
        <v>-1.6</v>
      </c>
      <c r="T38" s="76">
        <v>3.4200000000000002E-7</v>
      </c>
      <c r="U38" s="76">
        <v>-3.2542240043462702</v>
      </c>
      <c r="V38" s="76">
        <v>-1.6</v>
      </c>
      <c r="W38" s="76">
        <v>9.5600000000000004E-7</v>
      </c>
      <c r="X38" s="76">
        <v>-3.9972845613073069</v>
      </c>
      <c r="Y38" s="76">
        <v>-1.6</v>
      </c>
      <c r="Z38" s="76">
        <v>1.3899999999999999E-7</v>
      </c>
      <c r="AA38" s="76">
        <v>4.5459779668580813</v>
      </c>
      <c r="AB38" s="76">
        <v>-1.6</v>
      </c>
      <c r="AC38" s="76">
        <v>1.6199999999999999E-7</v>
      </c>
      <c r="AD38" s="76">
        <v>4.0134139092430097</v>
      </c>
      <c r="AE38" s="76">
        <v>-1.6</v>
      </c>
      <c r="AF38" s="76">
        <v>1.61E-7</v>
      </c>
      <c r="AG38" s="76">
        <v>5.4621674870617332</v>
      </c>
      <c r="AH38" s="76">
        <v>-1.6</v>
      </c>
      <c r="AI38" s="76">
        <v>2.1999999999999999E-5</v>
      </c>
      <c r="AJ38" s="76">
        <v>-9.1324835632739992E-2</v>
      </c>
      <c r="AK38" s="76">
        <v>-1.6</v>
      </c>
      <c r="AL38" s="76">
        <v>4.6100000000000002E-5</v>
      </c>
      <c r="AM38" s="76">
        <v>-1.6213620320618625</v>
      </c>
      <c r="AN38" s="76">
        <v>-1.6</v>
      </c>
      <c r="AO38" s="76">
        <v>1.6099999999999998E-5</v>
      </c>
      <c r="AP38" s="76">
        <v>-4.0857553052255611</v>
      </c>
      <c r="AQ38" s="76">
        <v>-1.6</v>
      </c>
      <c r="AR38" s="76">
        <v>1.1000000000000001E-7</v>
      </c>
      <c r="AS38" s="76">
        <v>-30.990746250555759</v>
      </c>
      <c r="AT38" s="76">
        <v>-1.6</v>
      </c>
      <c r="AU38" s="76">
        <v>1.7800000000000001E-7</v>
      </c>
      <c r="AV38" s="76">
        <v>2.2538822116803359</v>
      </c>
      <c r="AW38" s="76">
        <v>-1.6</v>
      </c>
      <c r="AX38" s="76">
        <v>2.0100000000000001E-7</v>
      </c>
      <c r="AY38" s="76">
        <v>-2.0955470725231411</v>
      </c>
      <c r="AZ38" s="76">
        <v>-1.6</v>
      </c>
      <c r="BA38" s="76">
        <v>2.1400000000000001E-7</v>
      </c>
      <c r="BB38" s="76">
        <v>3.2438343930220954</v>
      </c>
      <c r="BC38" s="76">
        <v>-1.6</v>
      </c>
      <c r="BD38" s="76">
        <v>2.5500000000000002E-4</v>
      </c>
      <c r="BE38" s="76">
        <v>-1.0318423623523101</v>
      </c>
      <c r="BF38" s="76">
        <v>-1.6</v>
      </c>
      <c r="BG38" s="76">
        <v>1.4E-2</v>
      </c>
      <c r="BH38" s="76">
        <v>-1.053605156578258</v>
      </c>
      <c r="BI38" s="76">
        <v>-1.6</v>
      </c>
      <c r="BJ38" s="76">
        <v>2.28E-7</v>
      </c>
      <c r="BK38" s="76">
        <v>3.3897536683933152</v>
      </c>
      <c r="BL38" s="76">
        <v>-1.6</v>
      </c>
      <c r="BM38" s="76">
        <v>1.6299999999999999E-7</v>
      </c>
      <c r="BN38" s="76">
        <v>5.266506649103877</v>
      </c>
      <c r="BO38" s="76">
        <v>-1.6</v>
      </c>
      <c r="BP38" s="76">
        <v>3.2200000000000002E-4</v>
      </c>
      <c r="BQ38" s="76">
        <v>-9.787609999476663</v>
      </c>
      <c r="BR38" s="76">
        <v>-1.6</v>
      </c>
      <c r="BS38" s="76">
        <v>8.8199999999999997E-3</v>
      </c>
      <c r="BT38" s="76">
        <v>-1.2675170563914395</v>
      </c>
      <c r="BU38" s="76">
        <v>-1.6</v>
      </c>
      <c r="BV38" s="76">
        <v>1.08E-5</v>
      </c>
      <c r="BW38" s="76">
        <v>-1.1362502550771925</v>
      </c>
    </row>
    <row r="39" spans="1:75" x14ac:dyDescent="0.15">
      <c r="A39" s="6">
        <v>-1.5</v>
      </c>
      <c r="B39" s="7">
        <v>2.9700000000000003E-7</v>
      </c>
      <c r="C39" s="76">
        <v>2.5691041378502688</v>
      </c>
      <c r="D39" s="6">
        <v>-1.5</v>
      </c>
      <c r="E39" s="7">
        <v>3.4799999999999999E-7</v>
      </c>
      <c r="F39" s="76">
        <v>1.51684587332065</v>
      </c>
      <c r="G39" s="76">
        <v>-1.5</v>
      </c>
      <c r="H39" s="76">
        <v>2.6E-7</v>
      </c>
      <c r="I39" s="76">
        <v>2.9152084875894575</v>
      </c>
      <c r="J39" s="76">
        <v>-1.5</v>
      </c>
      <c r="K39" s="76">
        <v>5.4700000000000001E-7</v>
      </c>
      <c r="L39" s="76">
        <v>-3.7220361497396905</v>
      </c>
      <c r="M39" s="76">
        <v>-1.5</v>
      </c>
      <c r="N39" s="76">
        <v>250</v>
      </c>
      <c r="O39" s="76">
        <v>0</v>
      </c>
      <c r="P39" s="76">
        <v>-1.5</v>
      </c>
      <c r="Q39" s="76">
        <v>2.35E-7</v>
      </c>
      <c r="R39" s="76">
        <v>4.1253227533125489</v>
      </c>
      <c r="S39" s="76">
        <v>-1.5</v>
      </c>
      <c r="T39" s="76">
        <v>2.4699999999999998E-7</v>
      </c>
      <c r="U39" s="76">
        <v>-5.0544203068251781</v>
      </c>
      <c r="V39" s="76">
        <v>-1.5</v>
      </c>
      <c r="W39" s="76">
        <v>6.4099999999999998E-7</v>
      </c>
      <c r="X39" s="76">
        <v>-2.976116026892492</v>
      </c>
      <c r="Y39" s="76">
        <v>-1.5</v>
      </c>
      <c r="Z39" s="76">
        <v>2.1899999999999999E-7</v>
      </c>
      <c r="AA39" s="76">
        <v>3.1803853493237506</v>
      </c>
      <c r="AB39" s="76">
        <v>-1.5</v>
      </c>
      <c r="AC39" s="76">
        <v>2.4200000000000002E-7</v>
      </c>
      <c r="AD39" s="76">
        <v>3.5750104890103853</v>
      </c>
      <c r="AE39" s="76">
        <v>-1.5</v>
      </c>
      <c r="AF39" s="76">
        <v>2.7799999999999997E-7</v>
      </c>
      <c r="AG39" s="76">
        <v>1.153820741188446</v>
      </c>
      <c r="AH39" s="76">
        <v>-1.5</v>
      </c>
      <c r="AI39" s="76">
        <v>2.1800000000000001E-5</v>
      </c>
      <c r="AJ39" s="76">
        <v>-2.4283150628642836</v>
      </c>
      <c r="AK39" s="76">
        <v>-1.5</v>
      </c>
      <c r="AL39" s="76">
        <v>3.9199999999999997E-5</v>
      </c>
      <c r="AM39" s="76">
        <v>-1.482159443074432</v>
      </c>
      <c r="AN39" s="76">
        <v>-1.5</v>
      </c>
      <c r="AO39" s="76">
        <v>1.0699999999999999E-5</v>
      </c>
      <c r="AP39" s="76">
        <v>-13.659421322709916</v>
      </c>
      <c r="AQ39" s="76">
        <v>-1.5</v>
      </c>
      <c r="AR39" s="76">
        <v>4.9600000000000002E-9</v>
      </c>
      <c r="AS39" s="76">
        <v>29.514179648790428</v>
      </c>
      <c r="AT39" s="76">
        <v>-1.5</v>
      </c>
      <c r="AU39" s="76">
        <v>2.23E-7</v>
      </c>
      <c r="AV39" s="76">
        <v>3.2940052601907124</v>
      </c>
      <c r="AW39" s="76">
        <v>-1.5</v>
      </c>
      <c r="AX39" s="76">
        <v>1.6299999999999999E-7</v>
      </c>
      <c r="AY39" s="76">
        <v>11.268399692929759</v>
      </c>
      <c r="AZ39" s="76">
        <v>-1.5</v>
      </c>
      <c r="BA39" s="76">
        <v>2.96E-7</v>
      </c>
      <c r="BB39" s="76">
        <v>-0.52004784990314645</v>
      </c>
      <c r="BC39" s="76">
        <v>-1.5</v>
      </c>
      <c r="BD39" s="76">
        <v>2.3000000000000001E-4</v>
      </c>
      <c r="BE39" s="76">
        <v>-1.1020314013361334</v>
      </c>
      <c r="BF39" s="76">
        <v>-1.5</v>
      </c>
      <c r="BG39" s="76">
        <v>1.26E-2</v>
      </c>
      <c r="BH39" s="76">
        <v>-1.6345307248957204</v>
      </c>
      <c r="BI39" s="76">
        <v>-1.5</v>
      </c>
      <c r="BJ39" s="76">
        <v>3.2000000000000001E-7</v>
      </c>
      <c r="BK39" s="76">
        <v>3.6940605829246178</v>
      </c>
      <c r="BL39" s="76">
        <v>-1.5</v>
      </c>
      <c r="BM39" s="76">
        <v>2.7599999999999998E-7</v>
      </c>
      <c r="BN39" s="76">
        <v>2.2314355131420864</v>
      </c>
      <c r="BO39" s="76">
        <v>-1.5</v>
      </c>
      <c r="BP39" s="76">
        <v>1.21E-4</v>
      </c>
      <c r="BQ39" s="76">
        <v>-15.492995536955657</v>
      </c>
      <c r="BR39" s="76">
        <v>-1.5</v>
      </c>
      <c r="BS39" s="76">
        <v>7.77E-3</v>
      </c>
      <c r="BT39" s="76">
        <v>-1.1874875277634167</v>
      </c>
      <c r="BU39" s="76">
        <v>-1.5</v>
      </c>
      <c r="BV39" s="76">
        <v>9.6399999999999992E-6</v>
      </c>
      <c r="BW39" s="76">
        <v>-1.7282324049513227</v>
      </c>
    </row>
    <row r="40" spans="1:75" x14ac:dyDescent="0.15">
      <c r="A40" s="6">
        <v>-1.4</v>
      </c>
      <c r="B40" s="7">
        <v>3.84E-7</v>
      </c>
      <c r="C40" s="76">
        <v>1.0379679368164232</v>
      </c>
      <c r="D40" s="6">
        <v>-1.4</v>
      </c>
      <c r="E40" s="7">
        <v>4.0499999999999999E-7</v>
      </c>
      <c r="F40" s="76">
        <v>0.36367644170875174</v>
      </c>
      <c r="G40" s="76">
        <v>-1.4</v>
      </c>
      <c r="H40" s="76">
        <v>3.4799999999999999E-7</v>
      </c>
      <c r="I40" s="76">
        <v>3.0053021492963201</v>
      </c>
      <c r="J40" s="76">
        <v>-1.4</v>
      </c>
      <c r="K40" s="76">
        <v>3.77E-7</v>
      </c>
      <c r="L40" s="76">
        <v>-5.5696677976384805</v>
      </c>
      <c r="M40" s="76">
        <v>-1.4</v>
      </c>
      <c r="N40" s="76">
        <v>250</v>
      </c>
      <c r="O40" s="76">
        <v>0</v>
      </c>
      <c r="P40" s="76">
        <v>-1.4</v>
      </c>
      <c r="Q40" s="76">
        <v>3.5499999999999999E-7</v>
      </c>
      <c r="R40" s="76">
        <v>2.9958280793550114</v>
      </c>
      <c r="S40" s="76">
        <v>-1.4</v>
      </c>
      <c r="T40" s="76">
        <v>1.49E-7</v>
      </c>
      <c r="U40" s="76">
        <v>-10.431331363478812</v>
      </c>
      <c r="V40" s="76">
        <v>-1.4</v>
      </c>
      <c r="W40" s="76">
        <v>4.7599999999999997E-7</v>
      </c>
      <c r="X40" s="76">
        <v>-6.2808358721288373</v>
      </c>
      <c r="Y40" s="76">
        <v>-1.4</v>
      </c>
      <c r="Z40" s="76">
        <v>3.0100000000000001E-7</v>
      </c>
      <c r="AA40" s="76">
        <v>2.4613306953890866</v>
      </c>
      <c r="AB40" s="76">
        <v>-1.4</v>
      </c>
      <c r="AC40" s="76">
        <v>3.46E-7</v>
      </c>
      <c r="AD40" s="76">
        <v>1.9856653897828762</v>
      </c>
      <c r="AE40" s="76">
        <v>-1.4</v>
      </c>
      <c r="AF40" s="76">
        <v>3.1199999999999999E-7</v>
      </c>
      <c r="AG40" s="76">
        <v>2.6088387929705661</v>
      </c>
      <c r="AH40" s="76">
        <v>-1.4</v>
      </c>
      <c r="AI40" s="76">
        <v>1.7099999999999999E-5</v>
      </c>
      <c r="AJ40" s="76">
        <v>-1.6492981408208629</v>
      </c>
      <c r="AK40" s="76">
        <v>-1.4</v>
      </c>
      <c r="AL40" s="76">
        <v>3.3800000000000002E-5</v>
      </c>
      <c r="AM40" s="76">
        <v>-2.3954958670132096</v>
      </c>
      <c r="AN40" s="76">
        <v>-1.4</v>
      </c>
      <c r="AO40" s="76">
        <v>2.7300000000000001E-6</v>
      </c>
      <c r="AP40" s="76">
        <v>-1.8893679591267289</v>
      </c>
      <c r="AQ40" s="76">
        <v>-1.4</v>
      </c>
      <c r="AR40" s="76">
        <v>9.4899999999999996E-8</v>
      </c>
      <c r="AS40" s="76">
        <v>7.4549366093215417</v>
      </c>
      <c r="AT40" s="76">
        <v>-1.4</v>
      </c>
      <c r="AU40" s="76">
        <v>3.1E-7</v>
      </c>
      <c r="AV40" s="76">
        <v>3.1316115775276683</v>
      </c>
      <c r="AW40" s="76">
        <v>-1.4</v>
      </c>
      <c r="AX40" s="76">
        <v>5.0299999999999999E-7</v>
      </c>
      <c r="AY40" s="76">
        <v>0.98377943646696187</v>
      </c>
      <c r="AZ40" s="76">
        <v>-1.4</v>
      </c>
      <c r="BA40" s="76">
        <v>2.8099999999999999E-7</v>
      </c>
      <c r="BB40" s="76">
        <v>5.4373023738288566</v>
      </c>
      <c r="BC40" s="76">
        <v>-1.4</v>
      </c>
      <c r="BD40" s="76">
        <v>2.0599999999999999E-4</v>
      </c>
      <c r="BE40" s="76">
        <v>-1.2937913752375625</v>
      </c>
      <c r="BF40" s="76">
        <v>-1.4</v>
      </c>
      <c r="BG40" s="76">
        <v>1.0699999999999999E-2</v>
      </c>
      <c r="BH40" s="76">
        <v>-1.0225009324343328</v>
      </c>
      <c r="BI40" s="76">
        <v>-1.4</v>
      </c>
      <c r="BJ40" s="76">
        <v>4.63E-7</v>
      </c>
      <c r="BK40" s="76">
        <v>0.96683671632137225</v>
      </c>
      <c r="BL40" s="76">
        <v>-1.4</v>
      </c>
      <c r="BM40" s="76">
        <v>3.4499999999999998E-7</v>
      </c>
      <c r="BN40" s="76">
        <v>2.5452986513488121</v>
      </c>
      <c r="BO40" s="76">
        <v>-1.4</v>
      </c>
      <c r="BP40" s="76">
        <v>2.5700000000000001E-5</v>
      </c>
      <c r="BQ40" s="76">
        <v>14.984411364620771</v>
      </c>
      <c r="BR40" s="76">
        <v>-1.4</v>
      </c>
      <c r="BS40" s="76">
        <v>6.8999999999999999E-3</v>
      </c>
      <c r="BT40" s="76">
        <v>-0.53584246134106794</v>
      </c>
      <c r="BU40" s="76">
        <v>-1.4</v>
      </c>
      <c r="BV40" s="76">
        <v>8.1100000000000003E-6</v>
      </c>
      <c r="BW40" s="76">
        <v>-1.6157645652410779</v>
      </c>
    </row>
    <row r="41" spans="1:75" x14ac:dyDescent="0.15">
      <c r="A41" s="6">
        <v>-1.3</v>
      </c>
      <c r="B41" s="7">
        <v>4.2599999999999998E-7</v>
      </c>
      <c r="C41" s="76">
        <v>1.8193024393433517</v>
      </c>
      <c r="D41" s="6">
        <v>-1.3</v>
      </c>
      <c r="E41" s="7">
        <v>4.2E-7</v>
      </c>
      <c r="F41" s="76">
        <v>-0.61368946376292699</v>
      </c>
      <c r="G41" s="76">
        <v>-1.3</v>
      </c>
      <c r="H41" s="76">
        <v>4.7E-7</v>
      </c>
      <c r="I41" s="76">
        <v>1.998967016154614</v>
      </c>
      <c r="J41" s="76">
        <v>-1.3</v>
      </c>
      <c r="K41" s="76">
        <v>2.16E-7</v>
      </c>
      <c r="L41" s="76">
        <v>-10.340737675305354</v>
      </c>
      <c r="M41" s="76">
        <v>-1.3</v>
      </c>
      <c r="N41" s="76">
        <v>250</v>
      </c>
      <c r="O41" s="76">
        <v>0</v>
      </c>
      <c r="P41" s="76">
        <v>-1.3</v>
      </c>
      <c r="Q41" s="76">
        <v>4.7899999999999999E-7</v>
      </c>
      <c r="R41" s="76">
        <v>1.6512513373552535</v>
      </c>
      <c r="S41" s="76">
        <v>-1.3</v>
      </c>
      <c r="T41" s="76">
        <v>5.25E-8</v>
      </c>
      <c r="U41" s="76">
        <v>2.4387944979338605</v>
      </c>
      <c r="V41" s="76">
        <v>-1.3</v>
      </c>
      <c r="W41" s="76">
        <v>2.5400000000000002E-7</v>
      </c>
      <c r="X41" s="76">
        <v>-9.7194495104228817</v>
      </c>
      <c r="Y41" s="76">
        <v>-1.3</v>
      </c>
      <c r="Z41" s="76">
        <v>3.8500000000000002E-7</v>
      </c>
      <c r="AA41" s="76">
        <v>2.1427315660055672</v>
      </c>
      <c r="AB41" s="76">
        <v>-1.3</v>
      </c>
      <c r="AC41" s="76">
        <v>4.2199999999999999E-7</v>
      </c>
      <c r="AD41" s="76">
        <v>2.3163817530563313</v>
      </c>
      <c r="AE41" s="76">
        <v>-1.3</v>
      </c>
      <c r="AF41" s="76">
        <v>4.0499999999999999E-7</v>
      </c>
      <c r="AG41" s="76">
        <v>1.8026182383094442</v>
      </c>
      <c r="AH41" s="76">
        <v>-1.3</v>
      </c>
      <c r="AI41" s="76">
        <v>1.45E-5</v>
      </c>
      <c r="AJ41" s="76">
        <v>-2.6720354110823918</v>
      </c>
      <c r="AK41" s="76">
        <v>-1.3</v>
      </c>
      <c r="AL41" s="76">
        <v>2.6599999999999999E-5</v>
      </c>
      <c r="AM41" s="76">
        <v>0.65477929379507971</v>
      </c>
      <c r="AN41" s="76">
        <v>-1.3</v>
      </c>
      <c r="AO41" s="76">
        <v>2.26E-6</v>
      </c>
      <c r="AP41" s="76">
        <v>13.885043067706922</v>
      </c>
      <c r="AQ41" s="76">
        <v>-1.3</v>
      </c>
      <c r="AR41" s="76">
        <v>1.9999999999999999E-7</v>
      </c>
      <c r="AS41" s="76">
        <v>4.2853038103916106</v>
      </c>
      <c r="AT41" s="76">
        <v>-1.3</v>
      </c>
      <c r="AU41" s="76">
        <v>4.2399999999999999E-7</v>
      </c>
      <c r="AV41" s="76">
        <v>1.6487464319023444</v>
      </c>
      <c r="AW41" s="76">
        <v>-1.3</v>
      </c>
      <c r="AX41" s="76">
        <v>5.5499999999999998E-7</v>
      </c>
      <c r="AY41" s="76">
        <v>3.4160703609325052</v>
      </c>
      <c r="AZ41" s="76">
        <v>-1.3</v>
      </c>
      <c r="BA41" s="76">
        <v>4.8400000000000005E-7</v>
      </c>
      <c r="BB41" s="76">
        <v>-1.9312348982676735</v>
      </c>
      <c r="BC41" s="76">
        <v>-1.3</v>
      </c>
      <c r="BD41" s="76">
        <v>1.8100000000000001E-4</v>
      </c>
      <c r="BE41" s="76">
        <v>-1.3590199823885907</v>
      </c>
      <c r="BF41" s="76">
        <v>-1.3</v>
      </c>
      <c r="BG41" s="76">
        <v>9.6600000000000002E-3</v>
      </c>
      <c r="BH41" s="76">
        <v>-1.6385949395421913</v>
      </c>
      <c r="BI41" s="76">
        <v>-1.3</v>
      </c>
      <c r="BJ41" s="76">
        <v>5.0999999999999999E-7</v>
      </c>
      <c r="BK41" s="76">
        <v>2.425616371713113</v>
      </c>
      <c r="BL41" s="76">
        <v>-1.3</v>
      </c>
      <c r="BM41" s="76">
        <v>4.4499999999999997E-7</v>
      </c>
      <c r="BN41" s="76">
        <v>2.6495382137422552</v>
      </c>
      <c r="BO41" s="76">
        <v>-1.3</v>
      </c>
      <c r="BP41" s="76">
        <v>1.15E-4</v>
      </c>
      <c r="BQ41" s="76">
        <v>-3.0818059400012183</v>
      </c>
      <c r="BR41" s="76">
        <v>-1.3</v>
      </c>
      <c r="BS41" s="76">
        <v>6.5399999999999998E-3</v>
      </c>
      <c r="BT41" s="76">
        <v>-2.9484322837460892</v>
      </c>
      <c r="BU41" s="76">
        <v>-1.3</v>
      </c>
      <c r="BV41" s="76">
        <v>6.9E-6</v>
      </c>
      <c r="BW41" s="76">
        <v>-1.7884933108320651</v>
      </c>
    </row>
    <row r="42" spans="1:75" x14ac:dyDescent="0.15">
      <c r="A42" s="6">
        <v>-1.2</v>
      </c>
      <c r="B42" s="7">
        <v>5.1099999999999996E-7</v>
      </c>
      <c r="C42" s="76">
        <v>0.86195649723578183</v>
      </c>
      <c r="D42" s="6">
        <v>-1.2</v>
      </c>
      <c r="E42" s="7">
        <v>3.9499999999999998E-7</v>
      </c>
      <c r="F42" s="76">
        <v>3.436794750261627</v>
      </c>
      <c r="G42" s="76">
        <v>-1.2</v>
      </c>
      <c r="H42" s="76">
        <v>5.7400000000000003E-7</v>
      </c>
      <c r="I42" s="76">
        <v>1.5762894420358384</v>
      </c>
      <c r="J42" s="76">
        <v>-1.2</v>
      </c>
      <c r="K42" s="76">
        <v>7.6799999999999999E-8</v>
      </c>
      <c r="L42" s="76">
        <v>-1.7144343864677247</v>
      </c>
      <c r="M42" s="76">
        <v>-1.2</v>
      </c>
      <c r="N42" s="76">
        <v>250</v>
      </c>
      <c r="O42" s="76">
        <v>-4.0080213975386469E-2</v>
      </c>
      <c r="P42" s="76">
        <v>-1.2</v>
      </c>
      <c r="Q42" s="76">
        <v>5.6499999999999999E-7</v>
      </c>
      <c r="R42" s="76">
        <v>1.852670670237109</v>
      </c>
      <c r="S42" s="76">
        <v>-1.2</v>
      </c>
      <c r="T42" s="76">
        <v>6.7000000000000004E-8</v>
      </c>
      <c r="U42" s="76">
        <v>10.102431382180207</v>
      </c>
      <c r="V42" s="76">
        <v>-1.2</v>
      </c>
      <c r="W42" s="76">
        <v>9.6099999999999994E-8</v>
      </c>
      <c r="X42" s="76">
        <v>-7.2378877484465063</v>
      </c>
      <c r="Y42" s="76">
        <v>-1.2</v>
      </c>
      <c r="Z42" s="76">
        <v>4.7700000000000005E-7</v>
      </c>
      <c r="AA42" s="76">
        <v>2.2607426306229104</v>
      </c>
      <c r="AB42" s="76">
        <v>-1.2</v>
      </c>
      <c r="AC42" s="76">
        <v>5.3200000000000005E-7</v>
      </c>
      <c r="AD42" s="76">
        <v>1.7540546509558144</v>
      </c>
      <c r="AE42" s="76">
        <v>-1.2</v>
      </c>
      <c r="AF42" s="76">
        <v>4.8500000000000002E-7</v>
      </c>
      <c r="AG42" s="76">
        <v>2.4879120180169632</v>
      </c>
      <c r="AH42" s="76">
        <v>-1.2</v>
      </c>
      <c r="AI42" s="76">
        <v>1.11E-5</v>
      </c>
      <c r="AJ42" s="76">
        <v>-4.3983275161237207</v>
      </c>
      <c r="AK42" s="76">
        <v>-1.2</v>
      </c>
      <c r="AL42" s="76">
        <v>2.8399999999999999E-5</v>
      </c>
      <c r="AM42" s="76">
        <v>-3.5273405179694399E-2</v>
      </c>
      <c r="AN42" s="76">
        <v>-1.2</v>
      </c>
      <c r="AO42" s="76">
        <v>9.0599999999999997E-6</v>
      </c>
      <c r="AP42" s="76">
        <v>0.26145280104321633</v>
      </c>
      <c r="AQ42" s="76">
        <v>-1.2</v>
      </c>
      <c r="AR42" s="76">
        <v>3.0699999999999998E-7</v>
      </c>
      <c r="AS42" s="76">
        <v>2.9417560176232844</v>
      </c>
      <c r="AT42" s="76">
        <v>-1.2</v>
      </c>
      <c r="AU42" s="76">
        <v>4.9999999999999998E-7</v>
      </c>
      <c r="AV42" s="76">
        <v>2.7914574142949391</v>
      </c>
      <c r="AW42" s="76">
        <v>-1.2</v>
      </c>
      <c r="AX42" s="76">
        <v>7.8100000000000002E-7</v>
      </c>
      <c r="AY42" s="76">
        <v>0.19024036004697845</v>
      </c>
      <c r="AZ42" s="76">
        <v>-1.2</v>
      </c>
      <c r="BA42" s="76">
        <v>3.9900000000000001E-7</v>
      </c>
      <c r="BB42" s="76">
        <v>2.6101382536962028</v>
      </c>
      <c r="BC42" s="76">
        <v>-1.2</v>
      </c>
      <c r="BD42" s="76">
        <v>1.5799999999999999E-4</v>
      </c>
      <c r="BE42" s="76">
        <v>-1.5732025458853747</v>
      </c>
      <c r="BF42" s="76">
        <v>-1.2</v>
      </c>
      <c r="BG42" s="76">
        <v>8.2000000000000007E-3</v>
      </c>
      <c r="BH42" s="76">
        <v>-1.4968910276505751</v>
      </c>
      <c r="BI42" s="76">
        <v>-1.2</v>
      </c>
      <c r="BJ42" s="76">
        <v>6.5000000000000002E-7</v>
      </c>
      <c r="BK42" s="76">
        <v>0.92509057524612481</v>
      </c>
      <c r="BL42" s="76">
        <v>-1.2</v>
      </c>
      <c r="BM42" s="76">
        <v>5.7999999999999995E-7</v>
      </c>
      <c r="BN42" s="76">
        <v>2.2589837399305455</v>
      </c>
      <c r="BO42" s="76">
        <v>-1.2</v>
      </c>
      <c r="BP42" s="76">
        <v>8.4499999999999994E-5</v>
      </c>
      <c r="BQ42" s="76">
        <v>-0.21531932333482856</v>
      </c>
      <c r="BR42" s="76">
        <v>-1.2</v>
      </c>
      <c r="BS42" s="76">
        <v>4.8700000000000002E-3</v>
      </c>
      <c r="BT42" s="76">
        <v>-1.7454896703978773</v>
      </c>
      <c r="BU42" s="76">
        <v>-1.2</v>
      </c>
      <c r="BV42" s="76">
        <v>5.7699999999999998E-6</v>
      </c>
      <c r="BW42" s="76">
        <v>-1.8823153401664274</v>
      </c>
    </row>
    <row r="43" spans="1:75" x14ac:dyDescent="0.15">
      <c r="A43" s="6">
        <v>-1.1000000000000001</v>
      </c>
      <c r="B43" s="7">
        <v>5.5700000000000002E-7</v>
      </c>
      <c r="C43" s="76">
        <v>1.7118859992440234</v>
      </c>
      <c r="D43" s="6">
        <v>-1.1000000000000001</v>
      </c>
      <c r="E43" s="7">
        <v>5.5700000000000002E-7</v>
      </c>
      <c r="F43" s="76">
        <v>1.8321882020094533</v>
      </c>
      <c r="G43" s="76">
        <v>-1.1000000000000001</v>
      </c>
      <c r="H43" s="76">
        <v>6.7199999999999998E-7</v>
      </c>
      <c r="I43" s="76">
        <v>0.66211228525073496</v>
      </c>
      <c r="J43" s="76">
        <v>-1.1000000000000001</v>
      </c>
      <c r="K43" s="76">
        <v>6.4700000000000004E-8</v>
      </c>
      <c r="L43" s="76">
        <v>11.285561650411793</v>
      </c>
      <c r="M43" s="76">
        <v>-1.1000000000000001</v>
      </c>
      <c r="N43" s="76">
        <v>249</v>
      </c>
      <c r="O43" s="76">
        <v>-0.83730892910467347</v>
      </c>
      <c r="P43" s="76">
        <v>-1.1000000000000001</v>
      </c>
      <c r="Q43" s="76">
        <v>6.7999999999999995E-7</v>
      </c>
      <c r="R43" s="76">
        <v>0.99312853593982364</v>
      </c>
      <c r="S43" s="76">
        <v>-1.1000000000000001</v>
      </c>
      <c r="T43" s="76">
        <v>1.8400000000000001E-7</v>
      </c>
      <c r="U43" s="76">
        <v>5.9019921130750266</v>
      </c>
      <c r="V43" s="76">
        <v>-1.1000000000000001</v>
      </c>
      <c r="W43" s="76">
        <v>4.66E-8</v>
      </c>
      <c r="X43" s="76">
        <v>13.62406145945196</v>
      </c>
      <c r="Y43" s="76">
        <v>-1.1000000000000001</v>
      </c>
      <c r="Z43" s="76">
        <v>5.9800000000000003E-7</v>
      </c>
      <c r="AA43" s="76">
        <v>1.7026477258149504</v>
      </c>
      <c r="AB43" s="76">
        <v>-1.1000000000000001</v>
      </c>
      <c r="AC43" s="76">
        <v>6.3399999999999999E-7</v>
      </c>
      <c r="AD43" s="76">
        <v>1.6401623069559064</v>
      </c>
      <c r="AE43" s="76">
        <v>-1.1000000000000001</v>
      </c>
      <c r="AF43" s="76">
        <v>6.2200000000000004E-7</v>
      </c>
      <c r="AG43" s="76">
        <v>1.6284042122213178</v>
      </c>
      <c r="AH43" s="76">
        <v>-1.1000000000000001</v>
      </c>
      <c r="AI43" s="76">
        <v>7.1500000000000002E-6</v>
      </c>
      <c r="AJ43" s="76">
        <v>-3.556764416091426</v>
      </c>
      <c r="AK43" s="76">
        <v>-1.1000000000000001</v>
      </c>
      <c r="AL43" s="76">
        <v>2.83E-5</v>
      </c>
      <c r="AM43" s="76">
        <v>-2.0302918712144251</v>
      </c>
      <c r="AN43" s="76">
        <v>-1.1000000000000001</v>
      </c>
      <c r="AO43" s="76">
        <v>9.3000000000000007E-6</v>
      </c>
      <c r="AP43" s="76">
        <v>-4.1681965021109022</v>
      </c>
      <c r="AQ43" s="76">
        <v>-1.1000000000000001</v>
      </c>
      <c r="AR43" s="76">
        <v>4.1199999999999998E-7</v>
      </c>
      <c r="AS43" s="76">
        <v>2.6683521081225847</v>
      </c>
      <c r="AT43" s="76">
        <v>-1.1000000000000001</v>
      </c>
      <c r="AU43" s="76">
        <v>6.61E-7</v>
      </c>
      <c r="AV43" s="76">
        <v>0.96547208345000879</v>
      </c>
      <c r="AW43" s="76">
        <v>-1.1000000000000001</v>
      </c>
      <c r="AX43" s="76">
        <v>7.9599999999999998E-7</v>
      </c>
      <c r="AY43" s="76">
        <v>-0.59525979314027866</v>
      </c>
      <c r="AZ43" s="76">
        <v>-1.1000000000000001</v>
      </c>
      <c r="BA43" s="76">
        <v>5.1799999999999995E-7</v>
      </c>
      <c r="BB43" s="76">
        <v>4.1187949828582724</v>
      </c>
      <c r="BC43" s="76">
        <v>-1.1000000000000001</v>
      </c>
      <c r="BD43" s="76">
        <v>1.35E-4</v>
      </c>
      <c r="BE43" s="76">
        <v>-2.0479441264601288</v>
      </c>
      <c r="BF43" s="76">
        <v>-1.1000000000000001</v>
      </c>
      <c r="BG43" s="76">
        <v>7.0600000000000003E-3</v>
      </c>
      <c r="BH43" s="76">
        <v>-1.1072584334638416</v>
      </c>
      <c r="BI43" s="76">
        <v>-1.1000000000000001</v>
      </c>
      <c r="BJ43" s="76">
        <v>7.1299999999999999E-7</v>
      </c>
      <c r="BK43" s="76">
        <v>1.1513030725363105</v>
      </c>
      <c r="BL43" s="76">
        <v>-1.1000000000000001</v>
      </c>
      <c r="BM43" s="76">
        <v>7.2699999999999999E-7</v>
      </c>
      <c r="BN43" s="76">
        <v>0.60058072491255332</v>
      </c>
      <c r="BO43" s="76">
        <v>-1.1000000000000001</v>
      </c>
      <c r="BP43" s="76">
        <v>8.2700000000000004E-5</v>
      </c>
      <c r="BQ43" s="76">
        <v>-9.5575331224351334</v>
      </c>
      <c r="BR43" s="76">
        <v>-1.1000000000000001</v>
      </c>
      <c r="BS43" s="76">
        <v>4.0899999999999999E-3</v>
      </c>
      <c r="BT43" s="76">
        <v>-2.7714285856360972</v>
      </c>
      <c r="BU43" s="76">
        <v>-1.1000000000000001</v>
      </c>
      <c r="BV43" s="76">
        <v>4.78E-6</v>
      </c>
      <c r="BW43" s="76">
        <v>-2.2681135736475588</v>
      </c>
    </row>
    <row r="44" spans="1:75" x14ac:dyDescent="0.15">
      <c r="A44" s="6">
        <v>-1</v>
      </c>
      <c r="B44" s="7">
        <v>6.61E-7</v>
      </c>
      <c r="C44" s="76">
        <v>1.1963037852787297</v>
      </c>
      <c r="D44" s="6">
        <v>-1</v>
      </c>
      <c r="E44" s="7">
        <v>6.6899999999999997E-7</v>
      </c>
      <c r="F44" s="76">
        <v>1.3147397115622896</v>
      </c>
      <c r="G44" s="76">
        <v>-1</v>
      </c>
      <c r="H44" s="76">
        <v>7.1800000000000005E-7</v>
      </c>
      <c r="I44" s="76">
        <v>0.46266754901616036</v>
      </c>
      <c r="J44" s="76">
        <v>-1</v>
      </c>
      <c r="K44" s="76">
        <v>1.9999999999999999E-7</v>
      </c>
      <c r="L44" s="76">
        <v>4.6058440732924497</v>
      </c>
      <c r="M44" s="76">
        <v>-1</v>
      </c>
      <c r="N44" s="76">
        <v>229</v>
      </c>
      <c r="O44" s="76">
        <v>-0.91387751589429045</v>
      </c>
      <c r="P44" s="76">
        <v>-1</v>
      </c>
      <c r="Q44" s="76">
        <v>7.5099999999999999E-7</v>
      </c>
      <c r="R44" s="76">
        <v>1.5624094187098163</v>
      </c>
      <c r="S44" s="76">
        <v>-1</v>
      </c>
      <c r="T44" s="76">
        <v>3.3200000000000001E-7</v>
      </c>
      <c r="U44" s="76">
        <v>3.2826307408016051</v>
      </c>
      <c r="V44" s="76">
        <v>-1</v>
      </c>
      <c r="W44" s="76">
        <v>1.8199999999999999E-7</v>
      </c>
      <c r="X44" s="76">
        <v>4.2001081911054259</v>
      </c>
      <c r="Y44" s="76">
        <v>-1</v>
      </c>
      <c r="Z44" s="76">
        <v>7.0900000000000001E-7</v>
      </c>
      <c r="AA44" s="76">
        <v>1.1825307091768169</v>
      </c>
      <c r="AB44" s="76">
        <v>-1</v>
      </c>
      <c r="AC44" s="76">
        <v>7.4700000000000001E-7</v>
      </c>
      <c r="AD44" s="76">
        <v>1.173367067045419</v>
      </c>
      <c r="AE44" s="76">
        <v>-1</v>
      </c>
      <c r="AF44" s="76">
        <v>7.3200000000000004E-7</v>
      </c>
      <c r="AG44" s="76">
        <v>1.5882358552665115</v>
      </c>
      <c r="AH44" s="76">
        <v>-1</v>
      </c>
      <c r="AI44" s="76">
        <v>5.0100000000000003E-6</v>
      </c>
      <c r="AJ44" s="76">
        <v>-0.22200709980193528</v>
      </c>
      <c r="AK44" s="76">
        <v>-1</v>
      </c>
      <c r="AL44" s="76">
        <v>2.3099999999999999E-5</v>
      </c>
      <c r="AM44" s="76">
        <v>-2.3841102344499991</v>
      </c>
      <c r="AN44" s="76">
        <v>-1</v>
      </c>
      <c r="AO44" s="76">
        <v>6.1299999999999998E-6</v>
      </c>
      <c r="AP44" s="76">
        <v>-4.2440350862964147</v>
      </c>
      <c r="AQ44" s="76">
        <v>-1</v>
      </c>
      <c r="AR44" s="76">
        <v>5.3799999999999997E-7</v>
      </c>
      <c r="AS44" s="76">
        <v>2.4593027777156</v>
      </c>
      <c r="AT44" s="76">
        <v>-1</v>
      </c>
      <c r="AU44" s="76">
        <v>7.2799999999999995E-7</v>
      </c>
      <c r="AV44" s="76">
        <v>1.466659098051686</v>
      </c>
      <c r="AW44" s="76">
        <v>-1</v>
      </c>
      <c r="AX44" s="76">
        <v>7.5000000000000002E-7</v>
      </c>
      <c r="AY44" s="76">
        <v>1.7563256864315773</v>
      </c>
      <c r="AZ44" s="76">
        <v>-1</v>
      </c>
      <c r="BA44" s="76">
        <v>7.8199999999999999E-7</v>
      </c>
      <c r="BB44" s="76">
        <v>-0.35136991296285564</v>
      </c>
      <c r="BC44" s="76">
        <v>-1</v>
      </c>
      <c r="BD44" s="76">
        <v>1.1E-4</v>
      </c>
      <c r="BE44" s="76">
        <v>-1.7977933643077475</v>
      </c>
      <c r="BF44" s="76">
        <v>-1</v>
      </c>
      <c r="BG44" s="76">
        <v>6.3200000000000001E-3</v>
      </c>
      <c r="BH44" s="76">
        <v>-1.9891415188737409</v>
      </c>
      <c r="BI44" s="76">
        <v>-1</v>
      </c>
      <c r="BJ44" s="76">
        <v>7.9999999999999996E-7</v>
      </c>
      <c r="BK44" s="76">
        <v>1.1332868530700326</v>
      </c>
      <c r="BL44" s="76">
        <v>-1</v>
      </c>
      <c r="BM44" s="76">
        <v>7.7199999999999998E-7</v>
      </c>
      <c r="BN44" s="76">
        <v>0.8083952046469991</v>
      </c>
      <c r="BO44" s="76">
        <v>-1</v>
      </c>
      <c r="BP44" s="76">
        <v>3.18E-5</v>
      </c>
      <c r="BQ44" s="76">
        <v>0.12500162764231607</v>
      </c>
      <c r="BR44" s="76">
        <v>-1</v>
      </c>
      <c r="BS44" s="76">
        <v>3.0999999999999999E-3</v>
      </c>
      <c r="BT44" s="76">
        <v>1.2989575945410528</v>
      </c>
      <c r="BU44" s="76">
        <v>-1</v>
      </c>
      <c r="BV44" s="76">
        <v>3.8099999999999999E-6</v>
      </c>
      <c r="BW44" s="76">
        <v>-2.4570588862129665</v>
      </c>
    </row>
    <row r="45" spans="1:75" x14ac:dyDescent="0.15">
      <c r="A45" s="6">
        <v>-0.9</v>
      </c>
      <c r="B45" s="7">
        <v>7.4499999999999996E-7</v>
      </c>
      <c r="C45" s="76">
        <v>0.76215050799408623</v>
      </c>
      <c r="D45" s="6">
        <v>-0.9</v>
      </c>
      <c r="E45" s="7">
        <v>7.6300000000000004E-7</v>
      </c>
      <c r="F45" s="76">
        <v>0.56065636985490397</v>
      </c>
      <c r="G45" s="76">
        <v>-0.9</v>
      </c>
      <c r="H45" s="76">
        <v>7.5199999999999996E-7</v>
      </c>
      <c r="I45" s="76">
        <v>1.2132286236150771</v>
      </c>
      <c r="J45" s="76">
        <v>-0.9</v>
      </c>
      <c r="K45" s="76">
        <v>3.1699999999999999E-7</v>
      </c>
      <c r="L45" s="76">
        <v>3.1874046947175403</v>
      </c>
      <c r="M45" s="76">
        <v>-0.9</v>
      </c>
      <c r="N45" s="76">
        <v>209</v>
      </c>
      <c r="O45" s="76">
        <v>-1.0058723690516838</v>
      </c>
      <c r="P45" s="76">
        <v>-0.9</v>
      </c>
      <c r="Q45" s="76">
        <v>8.78E-7</v>
      </c>
      <c r="R45" s="76">
        <v>0.23636440836504852</v>
      </c>
      <c r="S45" s="76">
        <v>-0.9</v>
      </c>
      <c r="T45" s="76">
        <v>4.6100000000000001E-7</v>
      </c>
      <c r="U45" s="76">
        <v>1.5817109656167188</v>
      </c>
      <c r="V45" s="76">
        <v>-0.9</v>
      </c>
      <c r="W45" s="76">
        <v>2.7700000000000001E-7</v>
      </c>
      <c r="X45" s="76">
        <v>2.310544160150894</v>
      </c>
      <c r="Y45" s="76">
        <v>-0.9</v>
      </c>
      <c r="Z45" s="76">
        <v>7.9800000000000003E-7</v>
      </c>
      <c r="AA45" s="76">
        <v>1.1806147085239085</v>
      </c>
      <c r="AB45" s="76">
        <v>-0.9</v>
      </c>
      <c r="AC45" s="76">
        <v>8.4E-7</v>
      </c>
      <c r="AD45" s="76">
        <v>0.7010336577097932</v>
      </c>
      <c r="AE45" s="76">
        <v>-0.9</v>
      </c>
      <c r="AF45" s="76">
        <v>8.5799999999999998E-7</v>
      </c>
      <c r="AG45" s="76">
        <v>0.82728715197628611</v>
      </c>
      <c r="AH45" s="76">
        <v>-0.9</v>
      </c>
      <c r="AI45" s="76">
        <v>4.8999999999999997E-6</v>
      </c>
      <c r="AJ45" s="76">
        <v>-7.9624268958691875</v>
      </c>
      <c r="AK45" s="76">
        <v>-0.9</v>
      </c>
      <c r="AL45" s="76">
        <v>1.8199999999999999E-5</v>
      </c>
      <c r="AM45" s="76">
        <v>-2.2040006536845884</v>
      </c>
      <c r="AN45" s="76">
        <v>-0.9</v>
      </c>
      <c r="AO45" s="76">
        <v>4.0099999999999997E-6</v>
      </c>
      <c r="AP45" s="76">
        <v>-0.85878489137638092</v>
      </c>
      <c r="AQ45" s="76">
        <v>-0.9</v>
      </c>
      <c r="AR45" s="76">
        <v>6.8800000000000002E-7</v>
      </c>
      <c r="AS45" s="76">
        <v>1.5581043124562304</v>
      </c>
      <c r="AT45" s="76">
        <v>-0.9</v>
      </c>
      <c r="AU45" s="76">
        <v>8.4300000000000002E-7</v>
      </c>
      <c r="AV45" s="76">
        <v>0.2807201877868693</v>
      </c>
      <c r="AW45" s="76">
        <v>-0.9</v>
      </c>
      <c r="AX45" s="76">
        <v>8.9400000000000004E-7</v>
      </c>
      <c r="AY45" s="76">
        <v>-0.34133006369458491</v>
      </c>
      <c r="AZ45" s="76">
        <v>-0.9</v>
      </c>
      <c r="BA45" s="76">
        <v>7.5499999999999997E-7</v>
      </c>
      <c r="BB45" s="76">
        <v>-0.62862222716898242</v>
      </c>
      <c r="BC45" s="76">
        <v>-0.9</v>
      </c>
      <c r="BD45" s="76">
        <v>9.1899999999999998E-5</v>
      </c>
      <c r="BE45" s="76">
        <v>-2.0454713883846769</v>
      </c>
      <c r="BF45" s="76">
        <v>-0.9</v>
      </c>
      <c r="BG45" s="76">
        <v>5.1799999999999997E-3</v>
      </c>
      <c r="BH45" s="76">
        <v>-2.2169672202878492</v>
      </c>
      <c r="BI45" s="76">
        <v>-0.9</v>
      </c>
      <c r="BJ45" s="76">
        <v>8.9599999999999998E-7</v>
      </c>
      <c r="BK45" s="76">
        <v>0.7418768836405577</v>
      </c>
      <c r="BL45" s="76">
        <v>-0.9</v>
      </c>
      <c r="BM45" s="76">
        <v>8.3699999999999999E-7</v>
      </c>
      <c r="BN45" s="76">
        <v>0.86911810105492671</v>
      </c>
      <c r="BO45" s="76">
        <v>-0.9</v>
      </c>
      <c r="BP45" s="76">
        <v>3.2199999999999997E-5</v>
      </c>
      <c r="BQ45" s="76">
        <v>-20.368819272610409</v>
      </c>
      <c r="BR45" s="76">
        <v>-0.9</v>
      </c>
      <c r="BS45" s="76">
        <v>3.5300000000000002E-3</v>
      </c>
      <c r="BT45" s="76">
        <v>-2.46067191216147</v>
      </c>
      <c r="BU45" s="76">
        <v>-0.9</v>
      </c>
      <c r="BV45" s="76">
        <v>2.9799999999999998E-6</v>
      </c>
      <c r="BW45" s="76">
        <v>-1.1359717772370461</v>
      </c>
    </row>
    <row r="46" spans="1:75" x14ac:dyDescent="0.15">
      <c r="A46" s="6">
        <v>-0.8</v>
      </c>
      <c r="B46" s="7">
        <v>8.0400000000000005E-7</v>
      </c>
      <c r="C46" s="76">
        <v>1.4019446833345826</v>
      </c>
      <c r="D46" s="6">
        <v>-0.8</v>
      </c>
      <c r="E46" s="7">
        <v>8.0699999999999996E-7</v>
      </c>
      <c r="F46" s="76">
        <v>1.2996245408573859</v>
      </c>
      <c r="G46" s="76">
        <v>-0.8</v>
      </c>
      <c r="H46" s="76">
        <v>8.4900000000000005E-7</v>
      </c>
      <c r="I46" s="76">
        <v>0.88972546474852898</v>
      </c>
      <c r="J46" s="76">
        <v>-0.8</v>
      </c>
      <c r="K46" s="76">
        <v>4.3599999999999999E-7</v>
      </c>
      <c r="L46" s="76">
        <v>2.377157581732996</v>
      </c>
      <c r="M46" s="76">
        <v>-0.8</v>
      </c>
      <c r="N46" s="76">
        <v>189</v>
      </c>
      <c r="O46" s="76">
        <v>-1.1184830013656901</v>
      </c>
      <c r="P46" s="76">
        <v>-0.8</v>
      </c>
      <c r="Q46" s="76">
        <v>8.9899999999999999E-7</v>
      </c>
      <c r="R46" s="76">
        <v>0.65650249990261089</v>
      </c>
      <c r="S46" s="76">
        <v>-0.8</v>
      </c>
      <c r="T46" s="76">
        <v>5.4000000000000002E-7</v>
      </c>
      <c r="U46" s="76">
        <v>2.1570857282669191</v>
      </c>
      <c r="V46" s="76">
        <v>-0.8</v>
      </c>
      <c r="W46" s="76">
        <v>3.4900000000000001E-7</v>
      </c>
      <c r="X46" s="76">
        <v>2.4075264022979659</v>
      </c>
      <c r="Y46" s="76">
        <v>-0.8</v>
      </c>
      <c r="Z46" s="76">
        <v>8.9800000000000002E-7</v>
      </c>
      <c r="AA46" s="76">
        <v>1.0056059574297285</v>
      </c>
      <c r="AB46" s="76">
        <v>-0.8</v>
      </c>
      <c r="AC46" s="76">
        <v>9.0100000000000003E-7</v>
      </c>
      <c r="AD46" s="76">
        <v>0.68622843730647476</v>
      </c>
      <c r="AE46" s="76">
        <v>-0.8</v>
      </c>
      <c r="AF46" s="76">
        <v>9.3200000000000003E-7</v>
      </c>
      <c r="AG46" s="76">
        <v>0.99981266538090718</v>
      </c>
      <c r="AH46" s="76">
        <v>-0.8</v>
      </c>
      <c r="AI46" s="76">
        <v>2.21E-6</v>
      </c>
      <c r="AJ46" s="76">
        <v>-24.124807638172619</v>
      </c>
      <c r="AK46" s="76">
        <v>-0.8</v>
      </c>
      <c r="AL46" s="76">
        <v>1.4600000000000001E-5</v>
      </c>
      <c r="AM46" s="76">
        <v>-3.2016752759626828</v>
      </c>
      <c r="AN46" s="76">
        <v>-0.8</v>
      </c>
      <c r="AO46" s="76">
        <v>3.6799999999999999E-6</v>
      </c>
      <c r="AP46" s="76">
        <v>-38.971879390242016</v>
      </c>
      <c r="AQ46" s="76">
        <v>-0.8</v>
      </c>
      <c r="AR46" s="76">
        <v>8.0400000000000005E-7</v>
      </c>
      <c r="AS46" s="76">
        <v>1.3802996532388421</v>
      </c>
      <c r="AT46" s="76">
        <v>-0.8</v>
      </c>
      <c r="AU46" s="76">
        <v>8.6700000000000002E-7</v>
      </c>
      <c r="AV46" s="76">
        <v>0.57158413839948297</v>
      </c>
      <c r="AW46" s="76">
        <v>-0.8</v>
      </c>
      <c r="AX46" s="76">
        <v>8.6400000000000001E-7</v>
      </c>
      <c r="AY46" s="76">
        <v>2.9460251529635579</v>
      </c>
      <c r="AZ46" s="76">
        <v>-0.8</v>
      </c>
      <c r="BA46" s="76">
        <v>7.0900000000000001E-7</v>
      </c>
      <c r="BB46" s="76">
        <v>1.9191339545212731</v>
      </c>
      <c r="BC46" s="76">
        <v>-0.8</v>
      </c>
      <c r="BD46" s="76">
        <v>7.4900000000000005E-5</v>
      </c>
      <c r="BE46" s="76">
        <v>-2.234773854017698</v>
      </c>
      <c r="BF46" s="76">
        <v>-0.8</v>
      </c>
      <c r="BG46" s="76">
        <v>4.15E-3</v>
      </c>
      <c r="BH46" s="76">
        <v>-2.7570588140506542</v>
      </c>
      <c r="BI46" s="76">
        <v>-0.8</v>
      </c>
      <c r="BJ46" s="76">
        <v>9.6500000000000008E-7</v>
      </c>
      <c r="BK46" s="76">
        <v>0.55429804939331317</v>
      </c>
      <c r="BL46" s="76">
        <v>-0.8</v>
      </c>
      <c r="BM46" s="76">
        <v>9.1299999999999998E-7</v>
      </c>
      <c r="BN46" s="76">
        <v>0.83994783450204757</v>
      </c>
      <c r="BO46" s="76">
        <v>-0.8</v>
      </c>
      <c r="BP46" s="76">
        <v>4.1999999999999996E-6</v>
      </c>
      <c r="BQ46" s="76">
        <v>-10.163741904311356</v>
      </c>
      <c r="BR46" s="76">
        <v>-0.8</v>
      </c>
      <c r="BS46" s="76">
        <v>2.7599999999999999E-3</v>
      </c>
      <c r="BT46" s="76">
        <v>-2.2677331936478828</v>
      </c>
      <c r="BU46" s="76">
        <v>-0.8</v>
      </c>
      <c r="BV46" s="76">
        <v>2.6599999999999999E-6</v>
      </c>
      <c r="BW46" s="76">
        <v>-2.7029032973991085</v>
      </c>
    </row>
    <row r="47" spans="1:75" x14ac:dyDescent="0.15">
      <c r="A47" s="6">
        <v>-0.7</v>
      </c>
      <c r="B47" s="7">
        <v>9.2500000000000004E-7</v>
      </c>
      <c r="C47" s="76">
        <v>0.87911872322878915</v>
      </c>
      <c r="D47" s="6">
        <v>-0.7</v>
      </c>
      <c r="E47" s="7">
        <v>9.1900000000000001E-7</v>
      </c>
      <c r="F47" s="76">
        <v>1.1402795886799491</v>
      </c>
      <c r="G47" s="76">
        <v>-0.7</v>
      </c>
      <c r="H47" s="76">
        <v>9.2800000000000005E-7</v>
      </c>
      <c r="I47" s="76">
        <v>0.64673210342435905</v>
      </c>
      <c r="J47" s="76">
        <v>-0.7</v>
      </c>
      <c r="K47" s="76">
        <v>5.5300000000000004E-7</v>
      </c>
      <c r="L47" s="76">
        <v>1.7688183349813618</v>
      </c>
      <c r="M47" s="76">
        <v>-0.7</v>
      </c>
      <c r="N47" s="76">
        <v>169</v>
      </c>
      <c r="O47" s="76">
        <v>-1.4629209321473715</v>
      </c>
      <c r="P47" s="76">
        <v>-0.7</v>
      </c>
      <c r="Q47" s="76">
        <v>9.5999999999999991E-7</v>
      </c>
      <c r="R47" s="76">
        <v>0.80042707673536406</v>
      </c>
      <c r="S47" s="76">
        <v>-0.7</v>
      </c>
      <c r="T47" s="76">
        <v>6.7000000000000004E-7</v>
      </c>
      <c r="U47" s="76">
        <v>1.6854550924983518</v>
      </c>
      <c r="V47" s="76">
        <v>-0.7</v>
      </c>
      <c r="W47" s="76">
        <v>4.4400000000000001E-7</v>
      </c>
      <c r="X47" s="76">
        <v>2.0679441331268049</v>
      </c>
      <c r="Y47" s="76">
        <v>-0.7</v>
      </c>
      <c r="Z47" s="76">
        <v>9.9300000000000006E-7</v>
      </c>
      <c r="AA47" s="76">
        <v>0.55814779106396994</v>
      </c>
      <c r="AB47" s="76">
        <v>-0.7</v>
      </c>
      <c r="AC47" s="76">
        <v>9.6500000000000008E-7</v>
      </c>
      <c r="AD47" s="76">
        <v>0.74847890796432293</v>
      </c>
      <c r="AE47" s="76">
        <v>-0.7</v>
      </c>
      <c r="AF47" s="76">
        <v>1.0300000000000001E-6</v>
      </c>
      <c r="AG47" s="76">
        <v>0.4740223889458407</v>
      </c>
      <c r="AH47" s="76">
        <v>-0.7</v>
      </c>
      <c r="AI47" s="76">
        <v>1.98E-7</v>
      </c>
      <c r="AJ47" s="76">
        <v>-7.9514634851506489</v>
      </c>
      <c r="AK47" s="76">
        <v>-0.7</v>
      </c>
      <c r="AL47" s="76">
        <v>1.06E-5</v>
      </c>
      <c r="AM47" s="76">
        <v>-4.3368989488376295</v>
      </c>
      <c r="AN47" s="76">
        <v>-0.7</v>
      </c>
      <c r="AO47" s="76">
        <v>7.4700000000000001E-8</v>
      </c>
      <c r="AP47" s="76">
        <v>13.734952642010473</v>
      </c>
      <c r="AQ47" s="76">
        <v>-0.7</v>
      </c>
      <c r="AR47" s="76">
        <v>9.2299999999999999E-7</v>
      </c>
      <c r="AS47" s="76">
        <v>0.99928671775465738</v>
      </c>
      <c r="AT47" s="76">
        <v>-0.7</v>
      </c>
      <c r="AU47" s="76">
        <v>9.1800000000000004E-7</v>
      </c>
      <c r="AV47" s="76">
        <v>1.053605156578268</v>
      </c>
      <c r="AW47" s="76">
        <v>-0.7</v>
      </c>
      <c r="AX47" s="76">
        <v>1.1599999999999999E-6</v>
      </c>
      <c r="AY47" s="76">
        <v>0.25533302005163355</v>
      </c>
      <c r="AZ47" s="76">
        <v>-0.7</v>
      </c>
      <c r="BA47" s="76">
        <v>8.5899999999999995E-7</v>
      </c>
      <c r="BB47" s="76">
        <v>-0.24750821502172121</v>
      </c>
      <c r="BC47" s="76">
        <v>-0.7</v>
      </c>
      <c r="BD47" s="76">
        <v>5.9899999999999999E-5</v>
      </c>
      <c r="BE47" s="76">
        <v>-4.5246222298874814</v>
      </c>
      <c r="BF47" s="76">
        <v>-0.7</v>
      </c>
      <c r="BG47" s="76">
        <v>3.15E-3</v>
      </c>
      <c r="BH47" s="76">
        <v>-2.3511974236092574</v>
      </c>
      <c r="BI47" s="76">
        <v>-0.7</v>
      </c>
      <c r="BJ47" s="76">
        <v>1.02E-6</v>
      </c>
      <c r="BK47" s="76">
        <v>0.57158413839948363</v>
      </c>
      <c r="BL47" s="76">
        <v>-0.7</v>
      </c>
      <c r="BM47" s="76">
        <v>9.9300000000000006E-7</v>
      </c>
      <c r="BN47" s="76">
        <v>0.46245328090245519</v>
      </c>
      <c r="BO47" s="76">
        <v>-0.7</v>
      </c>
      <c r="BP47" s="76">
        <v>1.5200000000000001E-6</v>
      </c>
      <c r="BQ47" s="76">
        <v>-15.334520054561786</v>
      </c>
      <c r="BR47" s="76">
        <v>-0.7</v>
      </c>
      <c r="BS47" s="76">
        <v>2.2000000000000001E-3</v>
      </c>
      <c r="BT47" s="76">
        <v>-4.1002092464402571</v>
      </c>
      <c r="BU47" s="76">
        <v>-0.7</v>
      </c>
      <c r="BV47" s="76">
        <v>2.03E-6</v>
      </c>
      <c r="BW47" s="76">
        <v>-5.340824859302594</v>
      </c>
    </row>
    <row r="48" spans="1:75" x14ac:dyDescent="0.15">
      <c r="A48" s="6">
        <v>-0.6</v>
      </c>
      <c r="B48" s="7">
        <v>1.0100000000000001E-6</v>
      </c>
      <c r="C48" s="76">
        <v>1.0337835445383627</v>
      </c>
      <c r="D48" s="6">
        <v>-0.6</v>
      </c>
      <c r="E48" s="7">
        <v>1.0300000000000001E-6</v>
      </c>
      <c r="F48" s="76">
        <v>1.0146946016485894</v>
      </c>
      <c r="G48" s="76">
        <v>-0.6</v>
      </c>
      <c r="H48" s="76">
        <v>9.9000000000000005E-7</v>
      </c>
      <c r="I48" s="76">
        <v>1.1441035117774414</v>
      </c>
      <c r="J48" s="76">
        <v>-0.6</v>
      </c>
      <c r="K48" s="76">
        <v>6.6000000000000003E-7</v>
      </c>
      <c r="L48" s="76">
        <v>1.4763599880606473</v>
      </c>
      <c r="M48" s="76">
        <v>-0.6</v>
      </c>
      <c r="N48" s="76">
        <v>146</v>
      </c>
      <c r="O48" s="76">
        <v>-1.5529288440603488</v>
      </c>
      <c r="P48" s="76">
        <v>-0.6</v>
      </c>
      <c r="Q48" s="76">
        <v>1.04E-6</v>
      </c>
      <c r="R48" s="76">
        <v>0.82996919570968353</v>
      </c>
      <c r="S48" s="76">
        <v>-0.6</v>
      </c>
      <c r="T48" s="76">
        <v>7.9299999999999997E-7</v>
      </c>
      <c r="U48" s="76">
        <v>0.26137144367693216</v>
      </c>
      <c r="V48" s="76">
        <v>-0.6</v>
      </c>
      <c r="W48" s="76">
        <v>5.4600000000000005E-7</v>
      </c>
      <c r="X48" s="76">
        <v>1.6663134105086823</v>
      </c>
      <c r="Y48" s="76">
        <v>-0.6</v>
      </c>
      <c r="Z48" s="76">
        <v>1.0499999999999999E-6</v>
      </c>
      <c r="AA48" s="76">
        <v>0.55569851154810845</v>
      </c>
      <c r="AB48" s="76">
        <v>-0.6</v>
      </c>
      <c r="AC48" s="76">
        <v>1.04E-6</v>
      </c>
      <c r="AD48" s="76">
        <v>0.56089466651043207</v>
      </c>
      <c r="AE48" s="76">
        <v>-0.6</v>
      </c>
      <c r="AF48" s="76">
        <v>1.08E-6</v>
      </c>
      <c r="AG48" s="76">
        <v>0.3636764417087513</v>
      </c>
      <c r="AH48" s="76">
        <v>-0.6</v>
      </c>
      <c r="AI48" s="76">
        <v>8.9400000000000006E-8</v>
      </c>
      <c r="AJ48" s="76">
        <v>12.937766991872376</v>
      </c>
      <c r="AK48" s="76">
        <v>-0.6</v>
      </c>
      <c r="AL48" s="76">
        <v>6.8700000000000003E-6</v>
      </c>
      <c r="AM48" s="76">
        <v>-4.6390870397823933</v>
      </c>
      <c r="AN48" s="76">
        <v>-0.6</v>
      </c>
      <c r="AO48" s="76">
        <v>2.9499999999999998E-7</v>
      </c>
      <c r="AP48" s="76">
        <v>5.6685345523565376</v>
      </c>
      <c r="AQ48" s="76">
        <v>-0.6</v>
      </c>
      <c r="AR48" s="76">
        <v>1.02E-6</v>
      </c>
      <c r="AS48" s="76">
        <v>0.93526058010823498</v>
      </c>
      <c r="AT48" s="76">
        <v>-0.6</v>
      </c>
      <c r="AU48" s="76">
        <v>1.02E-6</v>
      </c>
      <c r="AV48" s="76">
        <v>0.66375068944871896</v>
      </c>
      <c r="AW48" s="76">
        <v>-0.6</v>
      </c>
      <c r="AX48" s="76">
        <v>1.19E-6</v>
      </c>
      <c r="AY48" s="76">
        <v>1.1122563511022501</v>
      </c>
      <c r="AZ48" s="76">
        <v>-0.6</v>
      </c>
      <c r="BA48" s="76">
        <v>8.3799999999999996E-7</v>
      </c>
      <c r="BB48" s="76">
        <v>1.7673717850005493</v>
      </c>
      <c r="BC48" s="76">
        <v>-0.6</v>
      </c>
      <c r="BD48" s="76">
        <v>3.8099999999999998E-5</v>
      </c>
      <c r="BE48" s="76">
        <v>-3.97621930647139</v>
      </c>
      <c r="BF48" s="76">
        <v>-0.6</v>
      </c>
      <c r="BG48" s="76">
        <v>2.49E-3</v>
      </c>
      <c r="BH48" s="76">
        <v>-2.6517946841807754</v>
      </c>
      <c r="BI48" s="76">
        <v>-0.6</v>
      </c>
      <c r="BJ48" s="76">
        <v>1.08E-6</v>
      </c>
      <c r="BK48" s="76">
        <v>0.96992265987308834</v>
      </c>
      <c r="BL48" s="76">
        <v>-0.6</v>
      </c>
      <c r="BM48" s="76">
        <v>1.04E-6</v>
      </c>
      <c r="BN48" s="76">
        <v>1.1778303565638384</v>
      </c>
      <c r="BO48" s="76">
        <v>-0.6</v>
      </c>
      <c r="BP48" s="76">
        <v>3.2800000000000003E-7</v>
      </c>
      <c r="BQ48" s="76">
        <v>-4.177352006999798</v>
      </c>
      <c r="BR48" s="76">
        <v>-0.6</v>
      </c>
      <c r="BS48" s="76">
        <v>1.4599999999999999E-3</v>
      </c>
      <c r="BT48" s="76">
        <v>-4.477865138550384</v>
      </c>
      <c r="BU48" s="76">
        <v>-0.6</v>
      </c>
      <c r="BV48" s="76">
        <v>1.19E-6</v>
      </c>
      <c r="BW48" s="76">
        <v>-13.51608803132001</v>
      </c>
    </row>
    <row r="49" spans="1:75" x14ac:dyDescent="0.15">
      <c r="A49" s="6">
        <v>-0.5</v>
      </c>
      <c r="B49" s="7">
        <v>1.1200000000000001E-6</v>
      </c>
      <c r="C49" s="76">
        <v>0.93685484077322934</v>
      </c>
      <c r="D49" s="6">
        <v>-0.5</v>
      </c>
      <c r="E49" s="7">
        <v>1.1400000000000001E-6</v>
      </c>
      <c r="F49" s="76">
        <v>1.2361395596717808</v>
      </c>
      <c r="G49" s="76">
        <v>-0.5</v>
      </c>
      <c r="H49" s="76">
        <v>1.11E-6</v>
      </c>
      <c r="I49" s="76">
        <v>0.94490843420921089</v>
      </c>
      <c r="J49" s="76">
        <v>-0.5</v>
      </c>
      <c r="K49" s="76">
        <v>7.6499999999999998E-7</v>
      </c>
      <c r="L49" s="76">
        <v>1.2400907473590019</v>
      </c>
      <c r="M49" s="76">
        <v>-0.5</v>
      </c>
      <c r="N49" s="76">
        <v>125</v>
      </c>
      <c r="O49" s="76">
        <v>-2.0334092401803088</v>
      </c>
      <c r="P49" s="76">
        <v>-0.5</v>
      </c>
      <c r="Q49" s="76">
        <v>1.13E-6</v>
      </c>
      <c r="R49" s="76">
        <v>0.68402726884400533</v>
      </c>
      <c r="S49" s="76">
        <v>-0.5</v>
      </c>
      <c r="T49" s="76">
        <v>8.1399999999999996E-7</v>
      </c>
      <c r="U49" s="76">
        <v>0.90384061468268961</v>
      </c>
      <c r="V49" s="76">
        <v>-0.5</v>
      </c>
      <c r="W49" s="76">
        <v>6.4499999999999997E-7</v>
      </c>
      <c r="X49" s="76">
        <v>2.1160436199444104</v>
      </c>
      <c r="Y49" s="76">
        <v>-0.5</v>
      </c>
      <c r="Z49" s="76">
        <v>1.11E-6</v>
      </c>
      <c r="AA49" s="76">
        <v>0.69593291799193946</v>
      </c>
      <c r="AB49" s="76">
        <v>-0.5</v>
      </c>
      <c r="AC49" s="76">
        <v>1.1000000000000001E-6</v>
      </c>
      <c r="AD49" s="76">
        <v>0.8701137698963104</v>
      </c>
      <c r="AE49" s="76">
        <v>-0.5</v>
      </c>
      <c r="AF49" s="76">
        <v>1.1200000000000001E-6</v>
      </c>
      <c r="AG49" s="76">
        <v>1.0178269430994116</v>
      </c>
      <c r="AH49" s="76">
        <v>-0.5</v>
      </c>
      <c r="AI49" s="76">
        <v>3.2599999999999998E-7</v>
      </c>
      <c r="AJ49" s="76">
        <v>3.7641742266793452</v>
      </c>
      <c r="AK49" s="76">
        <v>-0.5</v>
      </c>
      <c r="AL49" s="76">
        <v>4.3200000000000001E-6</v>
      </c>
      <c r="AM49" s="76">
        <v>-1.65792254842744</v>
      </c>
      <c r="AN49" s="76">
        <v>-0.5</v>
      </c>
      <c r="AO49" s="76">
        <v>5.2E-7</v>
      </c>
      <c r="AP49" s="76">
        <v>2.6679231598322422</v>
      </c>
      <c r="AQ49" s="76">
        <v>-0.5</v>
      </c>
      <c r="AR49" s="76">
        <v>1.1200000000000001E-6</v>
      </c>
      <c r="AS49" s="76">
        <v>0.43675063502661271</v>
      </c>
      <c r="AT49" s="76">
        <v>-0.5</v>
      </c>
      <c r="AU49" s="76">
        <v>1.0899999999999999E-6</v>
      </c>
      <c r="AV49" s="76">
        <v>0.96143860552903271</v>
      </c>
      <c r="AW49" s="76">
        <v>-0.5</v>
      </c>
      <c r="AX49" s="76">
        <v>1.33E-6</v>
      </c>
      <c r="AY49" s="76">
        <v>-1.1966450375608952</v>
      </c>
      <c r="AZ49" s="76">
        <v>-0.5</v>
      </c>
      <c r="BA49" s="76">
        <v>9.9999999999999995E-7</v>
      </c>
      <c r="BB49" s="76">
        <v>0.95310179804323902</v>
      </c>
      <c r="BC49" s="76">
        <v>-0.5</v>
      </c>
      <c r="BD49" s="76">
        <v>2.5599999999999999E-5</v>
      </c>
      <c r="BE49" s="76">
        <v>-2.3197146543777518</v>
      </c>
      <c r="BF49" s="76">
        <v>-0.5</v>
      </c>
      <c r="BG49" s="76">
        <v>1.91E-3</v>
      </c>
      <c r="BH49" s="76">
        <v>-3.250197428894249</v>
      </c>
      <c r="BI49" s="76">
        <v>-0.5</v>
      </c>
      <c r="BJ49" s="76">
        <v>1.19E-6</v>
      </c>
      <c r="BK49" s="76">
        <v>0.49190244190771903</v>
      </c>
      <c r="BL49" s="76">
        <v>-0.5</v>
      </c>
      <c r="BM49" s="76">
        <v>1.17E-6</v>
      </c>
      <c r="BN49" s="76">
        <v>0.58107630807279886</v>
      </c>
      <c r="BO49" s="76">
        <v>-0.5</v>
      </c>
      <c r="BP49" s="76">
        <v>2.16E-7</v>
      </c>
      <c r="BQ49" s="76">
        <v>-3.7806613392004893</v>
      </c>
      <c r="BR49" s="76">
        <v>-0.5</v>
      </c>
      <c r="BS49" s="76">
        <v>9.3300000000000002E-4</v>
      </c>
      <c r="BT49" s="76">
        <v>-4.1191674338965276</v>
      </c>
      <c r="BU49" s="76">
        <v>-0.5</v>
      </c>
      <c r="BV49" s="76">
        <v>3.0800000000000001E-7</v>
      </c>
      <c r="BW49" s="76">
        <v>-35.667767573130355</v>
      </c>
    </row>
    <row r="50" spans="1:75" x14ac:dyDescent="0.15">
      <c r="A50" s="6">
        <v>-0.4</v>
      </c>
      <c r="B50" s="7">
        <v>1.2300000000000001E-6</v>
      </c>
      <c r="C50" s="76">
        <v>0.63012967828733202</v>
      </c>
      <c r="D50" s="6">
        <v>-0.4</v>
      </c>
      <c r="E50" s="7">
        <v>1.2899999999999999E-6</v>
      </c>
      <c r="F50" s="76">
        <v>0.6016852146645133</v>
      </c>
      <c r="G50" s="76">
        <v>-0.4</v>
      </c>
      <c r="H50" s="76">
        <v>1.22E-6</v>
      </c>
      <c r="I50" s="76">
        <v>0.8632808348849782</v>
      </c>
      <c r="J50" s="76">
        <v>-0.4</v>
      </c>
      <c r="K50" s="76">
        <v>8.6600000000000005E-7</v>
      </c>
      <c r="L50" s="76">
        <v>0.97826431918294399</v>
      </c>
      <c r="M50" s="76">
        <v>-0.4</v>
      </c>
      <c r="N50" s="76">
        <v>102</v>
      </c>
      <c r="O50" s="76">
        <v>-2.8116739143058647</v>
      </c>
      <c r="P50" s="76">
        <v>-0.4</v>
      </c>
      <c r="Q50" s="76">
        <v>1.2100000000000001E-6</v>
      </c>
      <c r="R50" s="76">
        <v>0.5623971832287642</v>
      </c>
      <c r="S50" s="76">
        <v>-0.4</v>
      </c>
      <c r="T50" s="76">
        <v>8.9100000000000002E-7</v>
      </c>
      <c r="U50" s="76">
        <v>0.93165242564007011</v>
      </c>
      <c r="V50" s="76">
        <v>-0.4</v>
      </c>
      <c r="W50" s="76">
        <v>7.9699999999999995E-7</v>
      </c>
      <c r="X50" s="76">
        <v>1.4569054476637961</v>
      </c>
      <c r="Y50" s="76">
        <v>-0.4</v>
      </c>
      <c r="Z50" s="76">
        <v>1.19E-6</v>
      </c>
      <c r="AA50" s="76">
        <v>0.5715841383994833</v>
      </c>
      <c r="AB50" s="76">
        <v>-0.4</v>
      </c>
      <c r="AC50" s="76">
        <v>1.1999999999999999E-6</v>
      </c>
      <c r="AD50" s="76">
        <v>0.87705580419104445</v>
      </c>
      <c r="AE50" s="76">
        <v>-0.4</v>
      </c>
      <c r="AF50" s="76">
        <v>1.24E-6</v>
      </c>
      <c r="AG50" s="76">
        <v>0.47252884850546889</v>
      </c>
      <c r="AH50" s="76">
        <v>-0.4</v>
      </c>
      <c r="AI50" s="76">
        <v>4.75E-7</v>
      </c>
      <c r="AJ50" s="76">
        <v>0.9817688028640067</v>
      </c>
      <c r="AK50" s="76">
        <v>-0.4</v>
      </c>
      <c r="AL50" s="76">
        <v>3.6600000000000001E-6</v>
      </c>
      <c r="AM50" s="76">
        <v>-6.3477517433803836</v>
      </c>
      <c r="AN50" s="76">
        <v>-0.4</v>
      </c>
      <c r="AO50" s="76">
        <v>6.7899999999999998E-7</v>
      </c>
      <c r="AP50" s="76">
        <v>1.2056104218189385</v>
      </c>
      <c r="AQ50" s="76">
        <v>-0.4</v>
      </c>
      <c r="AR50" s="76">
        <v>1.17E-6</v>
      </c>
      <c r="AS50" s="76">
        <v>0.66139802504544298</v>
      </c>
      <c r="AT50" s="76">
        <v>-0.4</v>
      </c>
      <c r="AU50" s="76">
        <v>1.1999999999999999E-6</v>
      </c>
      <c r="AV50" s="76">
        <v>0.95310179804323847</v>
      </c>
      <c r="AW50" s="76">
        <v>-0.4</v>
      </c>
      <c r="AX50" s="76">
        <v>1.1799999999999999E-6</v>
      </c>
      <c r="AY50" s="76">
        <v>2.060491179549099</v>
      </c>
      <c r="AZ50" s="76">
        <v>-0.4</v>
      </c>
      <c r="BA50" s="76">
        <v>1.1000000000000001E-6</v>
      </c>
      <c r="BB50" s="76">
        <v>1.3580154115906136</v>
      </c>
      <c r="BC50" s="76">
        <v>-0.4</v>
      </c>
      <c r="BD50" s="76">
        <v>2.0299999999999999E-5</v>
      </c>
      <c r="BE50" s="76">
        <v>-4.2285685082003415</v>
      </c>
      <c r="BF50" s="76">
        <v>-0.4</v>
      </c>
      <c r="BG50" s="76">
        <v>1.3799999999999999E-3</v>
      </c>
      <c r="BH50" s="76">
        <v>-4.8460242866688823</v>
      </c>
      <c r="BI50" s="76">
        <v>-0.4</v>
      </c>
      <c r="BJ50" s="76">
        <v>1.2500000000000001E-6</v>
      </c>
      <c r="BK50" s="76">
        <v>0.69526062648611364</v>
      </c>
      <c r="BL50" s="76">
        <v>-0.4</v>
      </c>
      <c r="BM50" s="76">
        <v>1.24E-6</v>
      </c>
      <c r="BN50" s="76">
        <v>1.2847832477313221</v>
      </c>
      <c r="BO50" s="76">
        <v>-0.4</v>
      </c>
      <c r="BP50" s="76">
        <v>1.48E-7</v>
      </c>
      <c r="BQ50" s="76">
        <v>6.0858979253188199</v>
      </c>
      <c r="BR50" s="76">
        <v>-0.4</v>
      </c>
      <c r="BS50" s="76">
        <v>6.1799999999999995E-4</v>
      </c>
      <c r="BT50" s="76">
        <v>-5.2659110387519963</v>
      </c>
      <c r="BU50" s="76">
        <v>-0.4</v>
      </c>
      <c r="BV50" s="76">
        <v>8.7000000000000001E-9</v>
      </c>
      <c r="BW50" s="76">
        <v>37.794763494661602</v>
      </c>
    </row>
    <row r="51" spans="1:75" x14ac:dyDescent="0.15">
      <c r="A51" s="6">
        <v>-0.3</v>
      </c>
      <c r="B51" s="7">
        <v>1.31E-6</v>
      </c>
      <c r="C51" s="76">
        <v>0.87647307058755808</v>
      </c>
      <c r="D51" s="6">
        <v>-0.3</v>
      </c>
      <c r="E51" s="7">
        <v>1.37E-6</v>
      </c>
      <c r="F51" s="76">
        <v>7.2727593290800044E-2</v>
      </c>
      <c r="G51" s="76">
        <v>-0.3</v>
      </c>
      <c r="H51" s="76">
        <v>1.33E-6</v>
      </c>
      <c r="I51" s="76">
        <v>0.58410762156414731</v>
      </c>
      <c r="J51" s="76">
        <v>-0.3</v>
      </c>
      <c r="K51" s="76">
        <v>9.5499999999999996E-7</v>
      </c>
      <c r="L51" s="76">
        <v>0.85264651654688017</v>
      </c>
      <c r="M51" s="76">
        <v>-0.3</v>
      </c>
      <c r="N51" s="76">
        <v>77</v>
      </c>
      <c r="O51" s="76">
        <v>-3.9834764033930057</v>
      </c>
      <c r="P51" s="76">
        <v>-0.3</v>
      </c>
      <c r="Q51" s="76">
        <v>1.28E-6</v>
      </c>
      <c r="R51" s="76">
        <v>0.7522342123758643</v>
      </c>
      <c r="S51" s="76">
        <v>-0.3</v>
      </c>
      <c r="T51" s="76">
        <v>9.78E-7</v>
      </c>
      <c r="U51" s="76">
        <v>0.80514517071296887</v>
      </c>
      <c r="V51" s="76">
        <v>-0.3</v>
      </c>
      <c r="W51" s="76">
        <v>9.2200000000000002E-7</v>
      </c>
      <c r="X51" s="76">
        <v>1.2043076857882442</v>
      </c>
      <c r="Y51" s="76">
        <v>-0.3</v>
      </c>
      <c r="Z51" s="76">
        <v>1.26E-6</v>
      </c>
      <c r="AA51" s="76">
        <v>0.68992871486951668</v>
      </c>
      <c r="AB51" s="76">
        <v>-0.3</v>
      </c>
      <c r="AC51" s="76">
        <v>1.31E-6</v>
      </c>
      <c r="AD51" s="76">
        <v>0.59276609929540325</v>
      </c>
      <c r="AE51" s="76">
        <v>-0.3</v>
      </c>
      <c r="AF51" s="76">
        <v>1.3E-6</v>
      </c>
      <c r="AG51" s="76">
        <v>1.0919929196499114</v>
      </c>
      <c r="AH51" s="76">
        <v>-0.3</v>
      </c>
      <c r="AI51" s="76">
        <v>5.2399999999999998E-7</v>
      </c>
      <c r="AJ51" s="76">
        <v>3.3292177542873533</v>
      </c>
      <c r="AK51" s="76">
        <v>-0.3</v>
      </c>
      <c r="AL51" s="76">
        <v>1.9400000000000001E-6</v>
      </c>
      <c r="AM51" s="76">
        <v>-13.243364865758117</v>
      </c>
      <c r="AN51" s="76">
        <v>-0.3</v>
      </c>
      <c r="AO51" s="76">
        <v>7.6599999999999995E-7</v>
      </c>
      <c r="AP51" s="76">
        <v>1.4327489289705222</v>
      </c>
      <c r="AQ51" s="76">
        <v>-0.3</v>
      </c>
      <c r="AR51" s="76">
        <v>1.2500000000000001E-6</v>
      </c>
      <c r="AS51" s="76">
        <v>0.62035390919453104</v>
      </c>
      <c r="AT51" s="76">
        <v>-0.3</v>
      </c>
      <c r="AU51" s="76">
        <v>1.3200000000000001E-6</v>
      </c>
      <c r="AV51" s="76">
        <v>0.87011376989629263</v>
      </c>
      <c r="AW51" s="76">
        <v>-0.3</v>
      </c>
      <c r="AX51" s="76">
        <v>1.4500000000000001E-6</v>
      </c>
      <c r="AY51" s="76">
        <v>-0.93931819834203645</v>
      </c>
      <c r="AZ51" s="76">
        <v>-0.3</v>
      </c>
      <c r="BA51" s="76">
        <v>1.26E-6</v>
      </c>
      <c r="BB51" s="76">
        <v>0.68992871486951668</v>
      </c>
      <c r="BC51" s="76">
        <v>-0.3</v>
      </c>
      <c r="BD51" s="76">
        <v>1.33E-5</v>
      </c>
      <c r="BE51" s="76">
        <v>-6.8864604767915356</v>
      </c>
      <c r="BF51" s="76">
        <v>-0.3</v>
      </c>
      <c r="BG51" s="76">
        <v>8.4999999999999995E-4</v>
      </c>
      <c r="BH51" s="76">
        <v>-5.5287386000949033</v>
      </c>
      <c r="BI51" s="76">
        <v>-0.3</v>
      </c>
      <c r="BJ51" s="76">
        <v>1.3400000000000001E-6</v>
      </c>
      <c r="BK51" s="76">
        <v>1.0610650599454632</v>
      </c>
      <c r="BL51" s="76">
        <v>-0.3</v>
      </c>
      <c r="BM51" s="76">
        <v>1.4100000000000001E-6</v>
      </c>
      <c r="BN51" s="76">
        <v>0.48452383385946274</v>
      </c>
      <c r="BO51" s="76">
        <v>-0.3</v>
      </c>
      <c r="BP51" s="76">
        <v>2.72E-7</v>
      </c>
      <c r="BQ51" s="76">
        <v>6.5377939776892564</v>
      </c>
      <c r="BR51" s="76">
        <v>-0.3</v>
      </c>
      <c r="BS51" s="76">
        <v>3.6499999999999998E-4</v>
      </c>
      <c r="BT51" s="76">
        <v>-5.3392133856064037</v>
      </c>
      <c r="BU51" s="76">
        <v>-0.3</v>
      </c>
      <c r="BV51" s="76">
        <v>3.8099999999999998E-7</v>
      </c>
      <c r="BW51" s="76">
        <v>6.2246559490865945</v>
      </c>
    </row>
    <row r="52" spans="1:75" x14ac:dyDescent="0.15">
      <c r="A52" s="6">
        <v>-0.2</v>
      </c>
      <c r="B52" s="7">
        <v>1.4300000000000001E-6</v>
      </c>
      <c r="C52" s="76">
        <v>0.6103589058636949</v>
      </c>
      <c r="D52" s="6">
        <v>-0.2</v>
      </c>
      <c r="E52" s="7">
        <v>1.3799999999999999E-6</v>
      </c>
      <c r="F52" s="76">
        <v>0.35590945102702776</v>
      </c>
      <c r="G52" s="76">
        <v>-0.2</v>
      </c>
      <c r="H52" s="76">
        <v>1.4100000000000001E-6</v>
      </c>
      <c r="I52" s="76">
        <v>0.68519946436754964</v>
      </c>
      <c r="J52" s="76">
        <v>-0.2</v>
      </c>
      <c r="K52" s="76">
        <v>1.04E-6</v>
      </c>
      <c r="L52" s="76">
        <v>0.6513930217096231</v>
      </c>
      <c r="M52" s="76">
        <v>-0.2</v>
      </c>
      <c r="N52" s="76">
        <v>51.7</v>
      </c>
      <c r="O52" s="76">
        <v>-6.8736124349290151</v>
      </c>
      <c r="P52" s="76">
        <v>-0.2</v>
      </c>
      <c r="Q52" s="76">
        <v>1.3799999999999999E-6</v>
      </c>
      <c r="R52" s="76">
        <v>0.76692620788254118</v>
      </c>
      <c r="S52" s="76">
        <v>-0.2</v>
      </c>
      <c r="T52" s="76">
        <v>1.06E-6</v>
      </c>
      <c r="U52" s="76">
        <v>0.98734840685688496</v>
      </c>
      <c r="V52" s="76">
        <v>-0.2</v>
      </c>
      <c r="W52" s="76">
        <v>1.04E-6</v>
      </c>
      <c r="X52" s="76">
        <v>1.005412292218768</v>
      </c>
      <c r="Y52" s="76">
        <v>-0.2</v>
      </c>
      <c r="Z52" s="76">
        <v>1.35E-6</v>
      </c>
      <c r="AA52" s="76">
        <v>0.78331843269907608</v>
      </c>
      <c r="AB52" s="76">
        <v>-0.2</v>
      </c>
      <c r="AC52" s="76">
        <v>1.39E-6</v>
      </c>
      <c r="AD52" s="76">
        <v>1.0247866928293803</v>
      </c>
      <c r="AE52" s="76">
        <v>-0.2</v>
      </c>
      <c r="AF52" s="76">
        <v>1.4500000000000001E-6</v>
      </c>
      <c r="AG52" s="76">
        <v>0.47146778425702252</v>
      </c>
      <c r="AH52" s="76">
        <v>-0.2</v>
      </c>
      <c r="AI52" s="76">
        <v>7.3099999999999997E-7</v>
      </c>
      <c r="AJ52" s="76">
        <v>2.0798130357453282</v>
      </c>
      <c r="AK52" s="76">
        <v>-0.2</v>
      </c>
      <c r="AL52" s="76">
        <v>5.1600000000000001E-7</v>
      </c>
      <c r="AM52" s="76">
        <v>-0.53744276006691294</v>
      </c>
      <c r="AN52" s="76">
        <v>-0.2</v>
      </c>
      <c r="AO52" s="76">
        <v>8.8400000000000003E-7</v>
      </c>
      <c r="AP52" s="76">
        <v>1.1324788049099332</v>
      </c>
      <c r="AQ52" s="76">
        <v>-0.2</v>
      </c>
      <c r="AR52" s="76">
        <v>1.33E-6</v>
      </c>
      <c r="AS52" s="76">
        <v>0.6547792937950625</v>
      </c>
      <c r="AT52" s="76">
        <v>-0.2</v>
      </c>
      <c r="AU52" s="76">
        <v>1.44E-6</v>
      </c>
      <c r="AV52" s="76">
        <v>0.92781733450966186</v>
      </c>
      <c r="AW52" s="76">
        <v>-0.2</v>
      </c>
      <c r="AX52" s="76">
        <v>1.3200000000000001E-6</v>
      </c>
      <c r="AY52" s="76">
        <v>1.0080469912196577</v>
      </c>
      <c r="AZ52" s="76">
        <v>-0.2</v>
      </c>
      <c r="BA52" s="76">
        <v>1.35E-6</v>
      </c>
      <c r="BB52" s="76">
        <v>1.1200505837649466</v>
      </c>
      <c r="BC52" s="76">
        <v>-0.2</v>
      </c>
      <c r="BD52" s="76">
        <v>6.6800000000000004E-6</v>
      </c>
      <c r="BE52" s="76">
        <v>-9.1703951513639659</v>
      </c>
      <c r="BF52" s="76">
        <v>-0.2</v>
      </c>
      <c r="BG52" s="76">
        <v>4.8899999999999996E-4</v>
      </c>
      <c r="BH52" s="76">
        <v>-7.5428318055167676</v>
      </c>
      <c r="BI52" s="76">
        <v>-0.2</v>
      </c>
      <c r="BJ52" s="76">
        <v>1.4899999999999999E-6</v>
      </c>
      <c r="BK52" s="76">
        <v>0.77458059039004823</v>
      </c>
      <c r="BL52" s="76">
        <v>-0.2</v>
      </c>
      <c r="BM52" s="76">
        <v>1.48E-6</v>
      </c>
      <c r="BN52" s="76">
        <v>0.65382759262851309</v>
      </c>
      <c r="BO52" s="76">
        <v>-0.2</v>
      </c>
      <c r="BP52" s="76">
        <v>5.2300000000000001E-7</v>
      </c>
      <c r="BQ52" s="76">
        <v>1.2729785529772286</v>
      </c>
      <c r="BR52" s="76">
        <v>-0.2</v>
      </c>
      <c r="BS52" s="76">
        <v>2.14E-4</v>
      </c>
      <c r="BT52" s="76">
        <v>-9.3159415001404078</v>
      </c>
      <c r="BU52" s="76">
        <v>-0.2</v>
      </c>
      <c r="BV52" s="76">
        <v>7.0999999999999998E-7</v>
      </c>
      <c r="BW52" s="76">
        <v>2.5475139463877028</v>
      </c>
    </row>
    <row r="53" spans="1:75" x14ac:dyDescent="0.15">
      <c r="A53" s="6">
        <v>-0.1</v>
      </c>
      <c r="B53" s="7">
        <v>1.5200000000000001E-6</v>
      </c>
      <c r="C53" s="76">
        <v>0.57523844138186675</v>
      </c>
      <c r="D53" s="6">
        <v>-0.1</v>
      </c>
      <c r="E53" s="7">
        <v>1.4300000000000001E-6</v>
      </c>
      <c r="F53" s="76">
        <v>0.47790663836348557</v>
      </c>
      <c r="G53" s="76">
        <v>-0.1</v>
      </c>
      <c r="H53" s="76">
        <v>1.5099999999999999E-6</v>
      </c>
      <c r="I53" s="76">
        <v>0.51624365405308126</v>
      </c>
      <c r="J53" s="76">
        <v>-0.1</v>
      </c>
      <c r="K53" s="76">
        <v>1.11E-6</v>
      </c>
      <c r="L53" s="76">
        <v>0.77961541469711904</v>
      </c>
      <c r="M53" s="76">
        <v>-0.1</v>
      </c>
      <c r="N53" s="76">
        <v>26</v>
      </c>
      <c r="O53" s="76">
        <v>-53.45570251398582</v>
      </c>
      <c r="P53" s="76">
        <v>-0.1</v>
      </c>
      <c r="Q53" s="76">
        <v>1.4899999999999999E-6</v>
      </c>
      <c r="R53" s="76">
        <v>0.83650029286925331</v>
      </c>
      <c r="S53" s="76">
        <v>-0.1</v>
      </c>
      <c r="T53" s="76">
        <v>1.17E-6</v>
      </c>
      <c r="U53" s="76">
        <v>0.89856329121861478</v>
      </c>
      <c r="V53" s="76">
        <v>-0.1</v>
      </c>
      <c r="W53" s="76">
        <v>1.15E-6</v>
      </c>
      <c r="X53" s="76">
        <v>0.83381608939051333</v>
      </c>
      <c r="Y53" s="76">
        <v>-0.1</v>
      </c>
      <c r="Z53" s="76">
        <v>1.46E-6</v>
      </c>
      <c r="AA53" s="76">
        <v>0.85297580511895177</v>
      </c>
      <c r="AB53" s="76">
        <v>-0.1</v>
      </c>
      <c r="AC53" s="76">
        <v>1.5400000000000001E-6</v>
      </c>
      <c r="AD53" s="76">
        <v>0.44451762570833608</v>
      </c>
      <c r="AE53" s="76">
        <v>-0.1</v>
      </c>
      <c r="AF53" s="76">
        <v>1.5200000000000001E-6</v>
      </c>
      <c r="AG53" s="76">
        <v>0.88107267510267206</v>
      </c>
      <c r="AH53" s="76">
        <v>-0.1</v>
      </c>
      <c r="AI53" s="76">
        <v>8.9999999999999996E-7</v>
      </c>
      <c r="AJ53" s="76">
        <v>1.0536051565782678</v>
      </c>
      <c r="AK53" s="76">
        <v>-0.1</v>
      </c>
      <c r="AL53" s="76">
        <v>4.89E-7</v>
      </c>
      <c r="AM53" s="76">
        <v>4.8219890233955454</v>
      </c>
      <c r="AN53" s="76">
        <v>-0.1</v>
      </c>
      <c r="AO53" s="76">
        <v>9.9000000000000005E-7</v>
      </c>
      <c r="AP53" s="76">
        <v>1.05360515657825</v>
      </c>
      <c r="AQ53" s="76">
        <v>-0.1</v>
      </c>
      <c r="AR53" s="76">
        <v>1.42E-6</v>
      </c>
      <c r="AS53" s="76">
        <v>0.81125544812369554</v>
      </c>
      <c r="AT53" s="76">
        <v>-0.1</v>
      </c>
      <c r="AU53" s="76">
        <v>1.5799999999999999E-6</v>
      </c>
      <c r="AV53" s="76">
        <v>0.4335044087361517</v>
      </c>
      <c r="AW53" s="76">
        <v>-0.1</v>
      </c>
      <c r="AX53" s="76">
        <v>1.46E-6</v>
      </c>
      <c r="AY53" s="76">
        <v>-0.27779564107076382</v>
      </c>
      <c r="AZ53" s="76">
        <v>-0.1</v>
      </c>
      <c r="BA53" s="76">
        <v>1.5099999999999999E-6</v>
      </c>
      <c r="BB53" s="76">
        <v>0.70316498417460238</v>
      </c>
      <c r="BC53" s="76">
        <v>-0.1</v>
      </c>
      <c r="BD53" s="76">
        <v>2.6699999999999998E-6</v>
      </c>
      <c r="BE53" s="76">
        <v>-17.223172605059531</v>
      </c>
      <c r="BF53" s="76">
        <v>-0.1</v>
      </c>
      <c r="BG53" s="76">
        <v>2.3000000000000001E-4</v>
      </c>
      <c r="BH53" s="76">
        <v>-52.983173665480372</v>
      </c>
      <c r="BI53" s="76">
        <v>-0.1</v>
      </c>
      <c r="BJ53" s="76">
        <v>1.61E-6</v>
      </c>
      <c r="BK53" s="76">
        <v>0.36589447432291422</v>
      </c>
      <c r="BL53" s="76">
        <v>-0.1</v>
      </c>
      <c r="BM53" s="76">
        <v>1.5799999999999999E-6</v>
      </c>
      <c r="BN53" s="76">
        <v>0.12578782206860595</v>
      </c>
      <c r="BO53" s="76">
        <v>-0.1</v>
      </c>
      <c r="BP53" s="76">
        <v>5.9400000000000005E-7</v>
      </c>
      <c r="BQ53" s="76">
        <v>1.8119859204933064</v>
      </c>
      <c r="BR53" s="76">
        <v>-0.1</v>
      </c>
      <c r="BS53" s="76">
        <v>8.4300000000000003E-5</v>
      </c>
      <c r="BT53" s="76">
        <v>-74.793043827525707</v>
      </c>
      <c r="BU53" s="76">
        <v>-0.1</v>
      </c>
      <c r="BV53" s="76">
        <v>9.16E-7</v>
      </c>
      <c r="BW53" s="76">
        <v>1.9209892963224995</v>
      </c>
    </row>
    <row r="54" spans="1:75" x14ac:dyDescent="0.15">
      <c r="A54" s="6">
        <v>0</v>
      </c>
      <c r="B54" s="7">
        <v>1.61E-6</v>
      </c>
      <c r="C54" s="76">
        <v>0.60259191518197142</v>
      </c>
      <c r="D54" s="6">
        <v>0</v>
      </c>
      <c r="E54" s="7">
        <v>1.5E-6</v>
      </c>
      <c r="F54" s="76">
        <v>0.51959738930710486</v>
      </c>
      <c r="G54" s="76">
        <v>0</v>
      </c>
      <c r="H54" s="76">
        <v>1.59E-6</v>
      </c>
      <c r="I54" s="76">
        <v>0.43083586136312135</v>
      </c>
      <c r="J54" s="76">
        <v>0</v>
      </c>
      <c r="K54" s="76">
        <v>1.1999999999999999E-6</v>
      </c>
      <c r="L54" s="76">
        <v>0.80042707673536384</v>
      </c>
      <c r="M54" s="76">
        <v>0</v>
      </c>
      <c r="N54" s="76">
        <v>0.124</v>
      </c>
      <c r="O54" s="76">
        <v>53.378482053046717</v>
      </c>
      <c r="P54" s="76">
        <v>0</v>
      </c>
      <c r="Q54" s="76">
        <v>1.6199999999999999E-6</v>
      </c>
      <c r="R54" s="76">
        <v>0.54067221270276633</v>
      </c>
      <c r="S54" s="76">
        <v>0</v>
      </c>
      <c r="T54" s="76">
        <v>1.28E-6</v>
      </c>
      <c r="U54" s="76">
        <v>0.96729626458550655</v>
      </c>
      <c r="V54" s="76">
        <v>0</v>
      </c>
      <c r="W54" s="76">
        <v>1.2500000000000001E-6</v>
      </c>
      <c r="X54" s="76">
        <v>0.46883585898850555</v>
      </c>
      <c r="Y54" s="76">
        <v>0</v>
      </c>
      <c r="Z54" s="76">
        <v>1.59E-6</v>
      </c>
      <c r="AA54" s="76">
        <v>0.60994512702841064</v>
      </c>
      <c r="AB54" s="76">
        <v>0</v>
      </c>
      <c r="AC54" s="76">
        <v>1.61E-6</v>
      </c>
      <c r="AD54" s="76">
        <v>0.36589447432291422</v>
      </c>
      <c r="AE54" s="76">
        <v>0</v>
      </c>
      <c r="AF54" s="76">
        <v>1.66E-6</v>
      </c>
      <c r="AG54" s="76">
        <v>0.35506688456909075</v>
      </c>
      <c r="AH54" s="76">
        <v>0</v>
      </c>
      <c r="AI54" s="76">
        <v>9.9999999999999995E-7</v>
      </c>
      <c r="AJ54" s="76">
        <v>9.9503308531669887E-2</v>
      </c>
      <c r="AK54" s="76">
        <v>0</v>
      </c>
      <c r="AL54" s="76">
        <v>7.92E-7</v>
      </c>
      <c r="AM54" s="76">
        <v>3.1937158340876337</v>
      </c>
      <c r="AN54" s="76">
        <v>0</v>
      </c>
      <c r="AO54" s="76">
        <v>1.1000000000000001E-6</v>
      </c>
      <c r="AP54" s="76">
        <v>1.0354067894084018</v>
      </c>
      <c r="AQ54" s="76">
        <v>0</v>
      </c>
      <c r="AR54" s="76">
        <v>1.5400000000000001E-6</v>
      </c>
      <c r="AS54" s="76">
        <v>0.8104121000312503</v>
      </c>
      <c r="AT54" s="76">
        <v>0</v>
      </c>
      <c r="AU54" s="76">
        <v>1.6500000000000001E-6</v>
      </c>
      <c r="AV54" s="76">
        <v>6.0423144559624831E-2</v>
      </c>
      <c r="AW54" s="76">
        <v>0</v>
      </c>
      <c r="AX54" s="76">
        <v>1.42E-6</v>
      </c>
      <c r="AY54" s="76">
        <v>0.87598059317986809</v>
      </c>
      <c r="AZ54" s="76">
        <v>0</v>
      </c>
      <c r="BA54" s="76">
        <v>1.6199999999999999E-6</v>
      </c>
      <c r="BB54" s="76">
        <v>6.15386557437958E-2</v>
      </c>
      <c r="BC54" s="76">
        <v>0</v>
      </c>
      <c r="BD54" s="76">
        <v>4.7700000000000005E-7</v>
      </c>
      <c r="BE54" s="76">
        <v>19.98699777703802</v>
      </c>
      <c r="BF54" s="76">
        <v>0</v>
      </c>
      <c r="BG54" s="76">
        <v>1.15E-6</v>
      </c>
      <c r="BH54" s="76">
        <v>47.72892943360894</v>
      </c>
      <c r="BI54" s="76">
        <v>0</v>
      </c>
      <c r="BJ54" s="76">
        <v>1.6700000000000001E-6</v>
      </c>
      <c r="BK54" s="76">
        <v>0.74963038473455867</v>
      </c>
      <c r="BL54" s="76">
        <v>0</v>
      </c>
      <c r="BM54" s="76">
        <v>1.5999999999999999E-6</v>
      </c>
      <c r="BN54" s="76">
        <v>0.78117779263951803</v>
      </c>
      <c r="BO54" s="76">
        <v>0</v>
      </c>
      <c r="BP54" s="76">
        <v>7.1200000000000002E-7</v>
      </c>
      <c r="BQ54" s="76">
        <v>1.1778303565638204</v>
      </c>
      <c r="BR54" s="76">
        <v>0</v>
      </c>
      <c r="BS54" s="76">
        <v>4.7600000000000003E-8</v>
      </c>
      <c r="BT54" s="76">
        <v>75.369240056272147</v>
      </c>
      <c r="BU54" s="76">
        <v>0</v>
      </c>
      <c r="BV54" s="76">
        <v>1.11E-6</v>
      </c>
      <c r="BW54" s="76">
        <v>1.4250006260728298</v>
      </c>
    </row>
    <row r="55" spans="1:75" x14ac:dyDescent="0.15">
      <c r="A55" s="6">
        <v>0.1</v>
      </c>
      <c r="B55" s="7">
        <v>1.7099999999999999E-6</v>
      </c>
      <c r="C55" s="76">
        <v>0.23122417420854191</v>
      </c>
      <c r="D55" s="6">
        <v>0.1</v>
      </c>
      <c r="E55" s="7">
        <v>1.5799999999999999E-6</v>
      </c>
      <c r="F55" s="76">
        <v>0.96460266187563093</v>
      </c>
      <c r="G55" s="76">
        <v>0.1</v>
      </c>
      <c r="H55" s="76">
        <v>1.66E-6</v>
      </c>
      <c r="I55" s="76">
        <v>0.35506688456909075</v>
      </c>
      <c r="J55" s="76">
        <v>0.1</v>
      </c>
      <c r="K55" s="76">
        <v>1.3E-6</v>
      </c>
      <c r="L55" s="76">
        <v>0.66939482675108408</v>
      </c>
      <c r="M55" s="76">
        <v>0.1</v>
      </c>
      <c r="N55" s="76">
        <v>25.8</v>
      </c>
      <c r="O55" s="76">
        <v>7.0086922665385565</v>
      </c>
      <c r="P55" s="76">
        <v>0.1</v>
      </c>
      <c r="Q55" s="76">
        <v>1.7099999999999999E-6</v>
      </c>
      <c r="R55" s="76">
        <v>0.62343130574134875</v>
      </c>
      <c r="S55" s="76">
        <v>0.1</v>
      </c>
      <c r="T55" s="76">
        <v>1.4100000000000001E-6</v>
      </c>
      <c r="U55" s="76">
        <v>0.8167803101426685</v>
      </c>
      <c r="V55" s="76">
        <v>0.1</v>
      </c>
      <c r="W55" s="76">
        <v>1.31E-6</v>
      </c>
      <c r="X55" s="76">
        <v>0.66445099408152686</v>
      </c>
      <c r="Y55" s="76">
        <v>0.1</v>
      </c>
      <c r="Z55" s="76">
        <v>1.6899999999999999E-6</v>
      </c>
      <c r="AA55" s="76">
        <v>0.63058135967137829</v>
      </c>
      <c r="AB55" s="76">
        <v>0.1</v>
      </c>
      <c r="AC55" s="76">
        <v>1.6700000000000001E-6</v>
      </c>
      <c r="AD55" s="76">
        <v>0.17804624633507515</v>
      </c>
      <c r="AE55" s="76">
        <v>0.1</v>
      </c>
      <c r="AF55" s="76">
        <v>1.72E-6</v>
      </c>
      <c r="AG55" s="76">
        <v>0.72861348264872561</v>
      </c>
      <c r="AH55" s="76">
        <v>0.1</v>
      </c>
      <c r="AI55" s="76">
        <v>1.0100000000000001E-6</v>
      </c>
      <c r="AJ55" s="76">
        <v>2.7522861138049493</v>
      </c>
      <c r="AK55" s="76">
        <v>0.1</v>
      </c>
      <c r="AL55" s="76">
        <v>1.0899999999999999E-6</v>
      </c>
      <c r="AM55" s="76">
        <v>4.7343809169437101</v>
      </c>
      <c r="AN55" s="76">
        <v>0.1</v>
      </c>
      <c r="AO55" s="76">
        <v>1.22E-6</v>
      </c>
      <c r="AP55" s="76">
        <v>1.2323264042394833</v>
      </c>
      <c r="AQ55" s="76">
        <v>0.1</v>
      </c>
      <c r="AR55" s="76">
        <v>1.6700000000000001E-6</v>
      </c>
      <c r="AS55" s="76">
        <v>0.63789737875330488</v>
      </c>
      <c r="AT55" s="76">
        <v>0.1</v>
      </c>
      <c r="AU55" s="76">
        <v>1.66E-6</v>
      </c>
      <c r="AV55" s="76">
        <v>0.58496206681608598</v>
      </c>
      <c r="AW55" s="76">
        <v>0.1</v>
      </c>
      <c r="AX55" s="76">
        <v>1.55E-6</v>
      </c>
      <c r="AY55" s="76">
        <v>0.31748698314579826</v>
      </c>
      <c r="AZ55" s="76">
        <v>0.1</v>
      </c>
      <c r="BA55" s="76">
        <v>1.6300000000000001E-6</v>
      </c>
      <c r="BB55" s="76">
        <v>0.93635605033991709</v>
      </c>
      <c r="BC55" s="76">
        <v>0.1</v>
      </c>
      <c r="BD55" s="76">
        <v>3.5200000000000002E-6</v>
      </c>
      <c r="BE55" s="76">
        <v>8.886392005436452</v>
      </c>
      <c r="BF55" s="76">
        <v>0.1</v>
      </c>
      <c r="BG55" s="76">
        <v>1.36E-4</v>
      </c>
      <c r="BH55" s="76">
        <v>8.773052851612011</v>
      </c>
      <c r="BI55" s="76">
        <v>0.1</v>
      </c>
      <c r="BJ55" s="76">
        <v>1.7999999999999999E-6</v>
      </c>
      <c r="BK55" s="76">
        <v>0.43485111939737919</v>
      </c>
      <c r="BL55" s="76">
        <v>0.1</v>
      </c>
      <c r="BM55" s="76">
        <v>1.73E-6</v>
      </c>
      <c r="BN55" s="76">
        <v>0.34094211342976521</v>
      </c>
      <c r="BO55" s="76">
        <v>0.1</v>
      </c>
      <c r="BP55" s="76">
        <v>8.0100000000000004E-7</v>
      </c>
      <c r="BQ55" s="76">
        <v>1.9040366482240678</v>
      </c>
      <c r="BR55" s="76">
        <v>0.1</v>
      </c>
      <c r="BS55" s="76">
        <v>8.9300000000000002E-5</v>
      </c>
      <c r="BT55" s="76">
        <v>9.4172051567178627</v>
      </c>
      <c r="BU55" s="76">
        <v>0.1</v>
      </c>
      <c r="BV55" s="76">
        <v>1.28E-6</v>
      </c>
      <c r="BW55" s="76">
        <v>1.5191604202584053</v>
      </c>
    </row>
    <row r="56" spans="1:75" x14ac:dyDescent="0.15">
      <c r="A56" s="6">
        <v>0.2</v>
      </c>
      <c r="B56" s="7">
        <v>1.75E-6</v>
      </c>
      <c r="C56" s="76">
        <v>0.60960699789687223</v>
      </c>
      <c r="D56" s="6">
        <v>0.2</v>
      </c>
      <c r="E56" s="7">
        <v>1.7400000000000001E-6</v>
      </c>
      <c r="F56" s="76">
        <v>0.826917158451135</v>
      </c>
      <c r="G56" s="76">
        <v>0.2</v>
      </c>
      <c r="H56" s="76">
        <v>1.72E-6</v>
      </c>
      <c r="I56" s="76">
        <v>0.39891329027302203</v>
      </c>
      <c r="J56" s="76">
        <v>0.2</v>
      </c>
      <c r="K56" s="76">
        <v>1.39E-6</v>
      </c>
      <c r="L56" s="76">
        <v>0.69472372814766825</v>
      </c>
      <c r="M56" s="76">
        <v>0.2</v>
      </c>
      <c r="N56" s="76">
        <v>52</v>
      </c>
      <c r="O56" s="76">
        <v>4.0418223429527487</v>
      </c>
      <c r="P56" s="76">
        <v>0.2</v>
      </c>
      <c r="Q56" s="76">
        <v>1.8199999999999999E-6</v>
      </c>
      <c r="R56" s="76">
        <v>0.48266740969834754</v>
      </c>
      <c r="S56" s="76">
        <v>0.2</v>
      </c>
      <c r="T56" s="76">
        <v>1.53E-6</v>
      </c>
      <c r="U56" s="76">
        <v>0.81549866964108397</v>
      </c>
      <c r="V56" s="76">
        <v>0.2</v>
      </c>
      <c r="W56" s="76">
        <v>1.3999999999999999E-6</v>
      </c>
      <c r="X56" s="76">
        <v>0.62303883336154453</v>
      </c>
      <c r="Y56" s="76">
        <v>0.2</v>
      </c>
      <c r="Z56" s="76">
        <v>1.7999999999999999E-6</v>
      </c>
      <c r="AA56" s="76">
        <v>0.48790164169432171</v>
      </c>
      <c r="AB56" s="76">
        <v>0.2</v>
      </c>
      <c r="AC56" s="76">
        <v>1.7E-6</v>
      </c>
      <c r="AD56" s="76">
        <v>0.51587368790492871</v>
      </c>
      <c r="AE56" s="76">
        <v>0.2</v>
      </c>
      <c r="AF56" s="76">
        <v>1.8500000000000001E-6</v>
      </c>
      <c r="AG56" s="76">
        <v>0.6791120561621079</v>
      </c>
      <c r="AH56" s="76">
        <v>0.2</v>
      </c>
      <c r="AI56" s="76">
        <v>1.33E-6</v>
      </c>
      <c r="AJ56" s="76">
        <v>1.4008879317068159</v>
      </c>
      <c r="AK56" s="76">
        <v>0.2</v>
      </c>
      <c r="AL56" s="76">
        <v>1.75E-6</v>
      </c>
      <c r="AM56" s="76">
        <v>2.0119004109833765</v>
      </c>
      <c r="AN56" s="76">
        <v>0.2</v>
      </c>
      <c r="AO56" s="76">
        <v>1.3799999999999999E-6</v>
      </c>
      <c r="AP56" s="76">
        <v>0.90026151657719233</v>
      </c>
      <c r="AQ56" s="76">
        <v>0.2</v>
      </c>
      <c r="AR56" s="76">
        <v>1.7799999999999999E-6</v>
      </c>
      <c r="AS56" s="76">
        <v>0.59963464767557551</v>
      </c>
      <c r="AT56" s="76">
        <v>0.2</v>
      </c>
      <c r="AU56" s="76">
        <v>1.7600000000000001E-6</v>
      </c>
      <c r="AV56" s="76">
        <v>0.44451762570833619</v>
      </c>
      <c r="AW56" s="76">
        <v>0.2</v>
      </c>
      <c r="AX56" s="76">
        <v>1.5999999999999999E-6</v>
      </c>
      <c r="AY56" s="76">
        <v>0.89612158689687882</v>
      </c>
      <c r="AZ56" s="76">
        <v>0.2</v>
      </c>
      <c r="BA56" s="76">
        <v>1.79E-6</v>
      </c>
      <c r="BB56" s="76">
        <v>0.27549951768230946</v>
      </c>
      <c r="BC56" s="76">
        <v>0.2</v>
      </c>
      <c r="BD56" s="76">
        <v>8.5599999999999994E-6</v>
      </c>
      <c r="BE56" s="76">
        <v>5.6759455366722742</v>
      </c>
      <c r="BF56" s="76">
        <v>0.2</v>
      </c>
      <c r="BG56" s="76">
        <v>3.2699999999999998E-4</v>
      </c>
      <c r="BH56" s="76">
        <v>5.6961369777512436</v>
      </c>
      <c r="BI56" s="76">
        <v>0.2</v>
      </c>
      <c r="BJ56" s="76">
        <v>1.88E-6</v>
      </c>
      <c r="BK56" s="76">
        <v>0.3655759573379847</v>
      </c>
      <c r="BL56" s="76">
        <v>0.2</v>
      </c>
      <c r="BM56" s="76">
        <v>1.79E-6</v>
      </c>
      <c r="BN56" s="76">
        <v>0.22100347000666437</v>
      </c>
      <c r="BO56" s="76">
        <v>0.2</v>
      </c>
      <c r="BP56" s="76">
        <v>9.6899999999999996E-7</v>
      </c>
      <c r="BQ56" s="76">
        <v>1.2680084689569606</v>
      </c>
      <c r="BR56" s="76">
        <v>0.2</v>
      </c>
      <c r="BS56" s="76">
        <v>2.2900000000000001E-4</v>
      </c>
      <c r="BT56" s="76">
        <v>6.8437519448710855</v>
      </c>
      <c r="BU56" s="76">
        <v>0.2</v>
      </c>
      <c r="BV56" s="76">
        <v>1.4899999999999999E-6</v>
      </c>
      <c r="BW56" s="76">
        <v>1.4934528855232012</v>
      </c>
    </row>
    <row r="57" spans="1:75" x14ac:dyDescent="0.15">
      <c r="A57" s="6">
        <v>0.3</v>
      </c>
      <c r="B57" s="7">
        <v>1.86E-6</v>
      </c>
      <c r="C57" s="76">
        <v>0.36943515191683918</v>
      </c>
      <c r="D57" s="6">
        <v>0.3</v>
      </c>
      <c r="E57" s="7">
        <v>1.8899999999999999E-6</v>
      </c>
      <c r="F57" s="76">
        <v>0.36367644170875113</v>
      </c>
      <c r="G57" s="76">
        <v>0.3</v>
      </c>
      <c r="H57" s="76">
        <v>1.79E-6</v>
      </c>
      <c r="I57" s="76">
        <v>0.54361209218887629</v>
      </c>
      <c r="J57" s="76">
        <v>0.3</v>
      </c>
      <c r="K57" s="76">
        <v>1.4899999999999999E-6</v>
      </c>
      <c r="L57" s="76">
        <v>0.64957896274773197</v>
      </c>
      <c r="M57" s="76">
        <v>0.3</v>
      </c>
      <c r="N57" s="76">
        <v>77.900000000000006</v>
      </c>
      <c r="O57" s="76">
        <v>2.7930303535293346</v>
      </c>
      <c r="P57" s="76">
        <v>0.3</v>
      </c>
      <c r="Q57" s="76">
        <v>1.9099999999999999E-6</v>
      </c>
      <c r="R57" s="76">
        <v>0.55994269354574278</v>
      </c>
      <c r="S57" s="76">
        <v>0.3</v>
      </c>
      <c r="T57" s="76">
        <v>1.66E-6</v>
      </c>
      <c r="U57" s="76">
        <v>0.64161944217286027</v>
      </c>
      <c r="V57" s="76">
        <v>0.3</v>
      </c>
      <c r="W57" s="76">
        <v>1.4899999999999999E-6</v>
      </c>
      <c r="X57" s="76">
        <v>0.64957896274773197</v>
      </c>
      <c r="Y57" s="76">
        <v>0.3</v>
      </c>
      <c r="Z57" s="76">
        <v>1.8899999999999999E-6</v>
      </c>
      <c r="AA57" s="76">
        <v>0.51557809664849663</v>
      </c>
      <c r="AB57" s="76">
        <v>0.3</v>
      </c>
      <c r="AC57" s="76">
        <v>1.79E-6</v>
      </c>
      <c r="AD57" s="76">
        <v>0.54361209218887629</v>
      </c>
      <c r="AE57" s="76">
        <v>0.3</v>
      </c>
      <c r="AF57" s="76">
        <v>1.9800000000000001E-6</v>
      </c>
      <c r="AG57" s="76">
        <v>0.15037877364539648</v>
      </c>
      <c r="AH57" s="76">
        <v>0.3</v>
      </c>
      <c r="AI57" s="76">
        <v>1.53E-6</v>
      </c>
      <c r="AJ57" s="76">
        <v>0.50966443592027821</v>
      </c>
      <c r="AK57" s="76">
        <v>0.3</v>
      </c>
      <c r="AL57" s="76">
        <v>2.1399999999999998E-6</v>
      </c>
      <c r="AM57" s="76">
        <v>2.3614280585784888</v>
      </c>
      <c r="AN57" s="76">
        <v>0.3</v>
      </c>
      <c r="AO57" s="76">
        <v>1.5099999999999999E-6</v>
      </c>
      <c r="AP57" s="76">
        <v>0.70316498417460216</v>
      </c>
      <c r="AQ57" s="76">
        <v>0.3</v>
      </c>
      <c r="AR57" s="76">
        <v>1.8899999999999999E-6</v>
      </c>
      <c r="AS57" s="76">
        <v>0.36367644170875113</v>
      </c>
      <c r="AT57" s="76">
        <v>0.3</v>
      </c>
      <c r="AU57" s="76">
        <v>1.84E-6</v>
      </c>
      <c r="AV57" s="76">
        <v>0.68267971129003491</v>
      </c>
      <c r="AW57" s="76">
        <v>0.3</v>
      </c>
      <c r="AX57" s="76">
        <v>1.75E-6</v>
      </c>
      <c r="AY57" s="76">
        <v>1.133286853070032</v>
      </c>
      <c r="AZ57" s="76">
        <v>0.3</v>
      </c>
      <c r="BA57" s="76">
        <v>1.84E-6</v>
      </c>
      <c r="BB57" s="76">
        <v>-0.50149783685471383</v>
      </c>
      <c r="BC57" s="76">
        <v>0.3</v>
      </c>
      <c r="BD57" s="76">
        <v>1.5099999999999999E-5</v>
      </c>
      <c r="BE57" s="76">
        <v>3.7634770953743755</v>
      </c>
      <c r="BF57" s="76">
        <v>0.3</v>
      </c>
      <c r="BG57" s="76">
        <v>5.7799999999999995E-4</v>
      </c>
      <c r="BH57" s="76">
        <v>4.6697135488421608</v>
      </c>
      <c r="BI57" s="76">
        <v>0.3</v>
      </c>
      <c r="BJ57" s="76">
        <v>1.95E-6</v>
      </c>
      <c r="BK57" s="76">
        <v>0.40206420478041227</v>
      </c>
      <c r="BL57" s="76">
        <v>0.3</v>
      </c>
      <c r="BM57" s="76">
        <v>1.8300000000000001E-6</v>
      </c>
      <c r="BN57" s="76">
        <v>0.83818671883070872</v>
      </c>
      <c r="BO57" s="76">
        <v>0.3</v>
      </c>
      <c r="BP57" s="76">
        <v>1.1000000000000001E-6</v>
      </c>
      <c r="BQ57" s="76">
        <v>1.9735943415849626</v>
      </c>
      <c r="BR57" s="76">
        <v>0.3</v>
      </c>
      <c r="BS57" s="76">
        <v>4.5399999999999998E-4</v>
      </c>
      <c r="BT57" s="76">
        <v>2.6032898561023901</v>
      </c>
      <c r="BU57" s="76">
        <v>0.3</v>
      </c>
      <c r="BV57" s="76">
        <v>1.73E-6</v>
      </c>
      <c r="BW57" s="76">
        <v>1.2991213424021093</v>
      </c>
    </row>
    <row r="58" spans="1:75" x14ac:dyDescent="0.15">
      <c r="A58" s="6">
        <v>0.4</v>
      </c>
      <c r="B58" s="7">
        <v>1.9300000000000002E-6</v>
      </c>
      <c r="C58" s="76">
        <v>0.30614635819606667</v>
      </c>
      <c r="D58" s="6">
        <v>0.4</v>
      </c>
      <c r="E58" s="7">
        <v>1.9599999999999999E-6</v>
      </c>
      <c r="F58" s="76">
        <v>0.40005334613699273</v>
      </c>
      <c r="G58" s="76">
        <v>0.4</v>
      </c>
      <c r="H58" s="76">
        <v>1.8899999999999999E-6</v>
      </c>
      <c r="I58" s="76">
        <v>0.41456713678346813</v>
      </c>
      <c r="J58" s="76">
        <v>0.4</v>
      </c>
      <c r="K58" s="76">
        <v>1.59E-6</v>
      </c>
      <c r="L58" s="76">
        <v>0.66894234830030552</v>
      </c>
      <c r="M58" s="76">
        <v>0.4</v>
      </c>
      <c r="N58" s="76">
        <v>103</v>
      </c>
      <c r="O58" s="76">
        <v>2.1730127568998108</v>
      </c>
      <c r="P58" s="76">
        <v>0.4</v>
      </c>
      <c r="Q58" s="76">
        <v>2.0200000000000001E-6</v>
      </c>
      <c r="R58" s="76">
        <v>0.43590436074861583</v>
      </c>
      <c r="S58" s="76">
        <v>0.4</v>
      </c>
      <c r="T58" s="76">
        <v>1.77E-6</v>
      </c>
      <c r="U58" s="76">
        <v>0.54958884280756248</v>
      </c>
      <c r="V58" s="76">
        <v>0.4</v>
      </c>
      <c r="W58" s="76">
        <v>1.59E-6</v>
      </c>
      <c r="X58" s="76">
        <v>0.66894234830030552</v>
      </c>
      <c r="Y58" s="76">
        <v>0.4</v>
      </c>
      <c r="Z58" s="76">
        <v>1.99E-6</v>
      </c>
      <c r="AA58" s="76">
        <v>0.34571344065088999</v>
      </c>
      <c r="AB58" s="76">
        <v>0.4</v>
      </c>
      <c r="AC58" s="76">
        <v>1.8899999999999999E-6</v>
      </c>
      <c r="AD58" s="76">
        <v>0.56570351488394632</v>
      </c>
      <c r="AE58" s="76">
        <v>0.4</v>
      </c>
      <c r="AF58" s="76">
        <v>2.0099999999999998E-6</v>
      </c>
      <c r="AG58" s="76">
        <v>0.57987257650349744</v>
      </c>
      <c r="AH58" s="76">
        <v>0.4</v>
      </c>
      <c r="AI58" s="76">
        <v>1.61E-6</v>
      </c>
      <c r="AJ58" s="76">
        <v>1.1709266628136208</v>
      </c>
      <c r="AK58" s="76">
        <v>0.4</v>
      </c>
      <c r="AL58" s="76">
        <v>2.7099999999999999E-6</v>
      </c>
      <c r="AM58" s="76">
        <v>5.7374844922605925</v>
      </c>
      <c r="AN58" s="76">
        <v>0.4</v>
      </c>
      <c r="AO58" s="76">
        <v>1.6199999999999999E-6</v>
      </c>
      <c r="AP58" s="76">
        <v>0.71458963982145474</v>
      </c>
      <c r="AQ58" s="76">
        <v>0.4</v>
      </c>
      <c r="AR58" s="76">
        <v>1.9599999999999999E-6</v>
      </c>
      <c r="AS58" s="76">
        <v>0.30153038170686491</v>
      </c>
      <c r="AT58" s="76">
        <v>0.4</v>
      </c>
      <c r="AU58" s="76">
        <v>1.9700000000000002E-6</v>
      </c>
      <c r="AV58" s="76">
        <v>0.63903801979479991</v>
      </c>
      <c r="AW58" s="76">
        <v>0.4</v>
      </c>
      <c r="AX58" s="76">
        <v>1.9599999999999999E-6</v>
      </c>
      <c r="AY58" s="76">
        <v>1.2456272264176251</v>
      </c>
      <c r="AZ58" s="76">
        <v>0.4</v>
      </c>
      <c r="BA58" s="76">
        <v>1.75E-6</v>
      </c>
      <c r="BB58" s="76">
        <v>1.0821358464023236</v>
      </c>
      <c r="BC58" s="76">
        <v>0.4</v>
      </c>
      <c r="BD58" s="76">
        <v>2.1999999999999999E-5</v>
      </c>
      <c r="BE58" s="76">
        <v>3.8402477687029455</v>
      </c>
      <c r="BF58" s="76">
        <v>0.4</v>
      </c>
      <c r="BG58" s="76">
        <v>9.2199999999999997E-4</v>
      </c>
      <c r="BH58" s="76">
        <v>3.9602079526557707</v>
      </c>
      <c r="BI58" s="76">
        <v>0.4</v>
      </c>
      <c r="BJ58" s="76">
        <v>2.03E-6</v>
      </c>
      <c r="BK58" s="76">
        <v>0.33901551675681324</v>
      </c>
      <c r="BL58" s="76">
        <v>0.4</v>
      </c>
      <c r="BM58" s="76">
        <v>1.99E-6</v>
      </c>
      <c r="BN58" s="76">
        <v>0.34571344065088999</v>
      </c>
      <c r="BO58" s="76">
        <v>0.4</v>
      </c>
      <c r="BP58" s="76">
        <v>1.3400000000000001E-6</v>
      </c>
      <c r="BQ58" s="76">
        <v>0.57987257650347968</v>
      </c>
      <c r="BR58" s="76">
        <v>0.4</v>
      </c>
      <c r="BS58" s="76">
        <v>5.8900000000000001E-4</v>
      </c>
      <c r="BT58" s="76">
        <v>4.7487290953449177</v>
      </c>
      <c r="BU58" s="76">
        <v>0.4</v>
      </c>
      <c r="BV58" s="76">
        <v>1.9700000000000002E-6</v>
      </c>
      <c r="BW58" s="76">
        <v>2.1396449655521192</v>
      </c>
    </row>
    <row r="59" spans="1:75" x14ac:dyDescent="0.15">
      <c r="A59" s="6">
        <v>0.5</v>
      </c>
      <c r="B59" s="7">
        <v>1.99E-6</v>
      </c>
      <c r="C59" s="76">
        <v>0.53802705992977107</v>
      </c>
      <c r="D59" s="6">
        <v>0.5</v>
      </c>
      <c r="E59" s="7">
        <v>2.04E-6</v>
      </c>
      <c r="F59" s="76">
        <v>0.28987536873252401</v>
      </c>
      <c r="G59" s="76">
        <v>0.5</v>
      </c>
      <c r="H59" s="76">
        <v>1.9700000000000002E-6</v>
      </c>
      <c r="I59" s="76">
        <v>0.44672440051591888</v>
      </c>
      <c r="J59" s="76">
        <v>0.5</v>
      </c>
      <c r="K59" s="76">
        <v>1.7E-6</v>
      </c>
      <c r="L59" s="76">
        <v>0.6820825002653309</v>
      </c>
      <c r="M59" s="76">
        <v>0.5</v>
      </c>
      <c r="N59" s="76">
        <v>128</v>
      </c>
      <c r="O59" s="76">
        <v>1.7840765747281844</v>
      </c>
      <c r="P59" s="76">
        <v>0.5</v>
      </c>
      <c r="Q59" s="76">
        <v>2.1100000000000001E-6</v>
      </c>
      <c r="R59" s="76">
        <v>0.41769412876295331</v>
      </c>
      <c r="S59" s="76">
        <v>0.5</v>
      </c>
      <c r="T59" s="76">
        <v>1.8700000000000001E-6</v>
      </c>
      <c r="U59" s="76">
        <v>0.41890941709160867</v>
      </c>
      <c r="V59" s="76">
        <v>0.5</v>
      </c>
      <c r="W59" s="76">
        <v>1.7E-6</v>
      </c>
      <c r="X59" s="76">
        <v>0.6269859421556313</v>
      </c>
      <c r="Y59" s="76">
        <v>0.5</v>
      </c>
      <c r="Z59" s="76">
        <v>2.0600000000000002E-6</v>
      </c>
      <c r="AA59" s="76">
        <v>0.3341599691984421</v>
      </c>
      <c r="AB59" s="76">
        <v>0.5</v>
      </c>
      <c r="AC59" s="76">
        <v>1.9999999999999999E-6</v>
      </c>
      <c r="AD59" s="76">
        <v>0.67658648473814875</v>
      </c>
      <c r="AE59" s="76">
        <v>0.5</v>
      </c>
      <c r="AF59" s="76">
        <v>2.1299999999999999E-6</v>
      </c>
      <c r="AG59" s="76">
        <v>9.3458624182378727E-2</v>
      </c>
      <c r="AH59" s="76">
        <v>0.5</v>
      </c>
      <c r="AI59" s="76">
        <v>1.81E-6</v>
      </c>
      <c r="AJ59" s="76">
        <v>0.64193157639060427</v>
      </c>
      <c r="AK59" s="76">
        <v>0.5</v>
      </c>
      <c r="AL59" s="76">
        <v>4.8099999999999997E-6</v>
      </c>
      <c r="AM59" s="76">
        <v>2.9183145599859377</v>
      </c>
      <c r="AN59" s="76">
        <v>0.5</v>
      </c>
      <c r="AO59" s="76">
        <v>1.7400000000000001E-6</v>
      </c>
      <c r="AP59" s="76">
        <v>0.33901551675681324</v>
      </c>
      <c r="AQ59" s="76">
        <v>0.5</v>
      </c>
      <c r="AR59" s="76">
        <v>2.0200000000000001E-6</v>
      </c>
      <c r="AS59" s="76">
        <v>0.43590436074861583</v>
      </c>
      <c r="AT59" s="76">
        <v>0.5</v>
      </c>
      <c r="AU59" s="76">
        <v>2.0999999999999998E-6</v>
      </c>
      <c r="AV59" s="76">
        <v>0.51055170800284</v>
      </c>
      <c r="AW59" s="76">
        <v>0.5</v>
      </c>
      <c r="AX59" s="76">
        <v>2.2199999999999999E-6</v>
      </c>
      <c r="AY59" s="76">
        <v>-4.5146803545268462E-2</v>
      </c>
      <c r="AZ59" s="76">
        <v>0.5</v>
      </c>
      <c r="BA59" s="76">
        <v>1.95E-6</v>
      </c>
      <c r="BB59" s="76">
        <v>0.97638469563916552</v>
      </c>
      <c r="BC59" s="76">
        <v>0.5</v>
      </c>
      <c r="BD59" s="76">
        <v>3.2299999999999999E-5</v>
      </c>
      <c r="BE59" s="76">
        <v>2.7443684570176079</v>
      </c>
      <c r="BF59" s="76">
        <v>0.5</v>
      </c>
      <c r="BG59" s="76">
        <v>1.3699999999999999E-3</v>
      </c>
      <c r="BH59" s="76">
        <v>3.4270926307676062</v>
      </c>
      <c r="BI59" s="76">
        <v>0.5</v>
      </c>
      <c r="BJ59" s="76">
        <v>2.0999999999999998E-6</v>
      </c>
      <c r="BK59" s="76">
        <v>0.41964199099030719</v>
      </c>
      <c r="BL59" s="76">
        <v>0.5</v>
      </c>
      <c r="BM59" s="76">
        <v>2.0600000000000002E-6</v>
      </c>
      <c r="BN59" s="76">
        <v>0.74801213082698947</v>
      </c>
      <c r="BO59" s="76">
        <v>0.5</v>
      </c>
      <c r="BP59" s="76">
        <v>1.42E-6</v>
      </c>
      <c r="BQ59" s="76">
        <v>1.5616073075528374</v>
      </c>
      <c r="BR59" s="76">
        <v>0.5</v>
      </c>
      <c r="BS59" s="76">
        <v>9.4700000000000003E-4</v>
      </c>
      <c r="BT59" s="76">
        <v>0.42383604561789145</v>
      </c>
      <c r="BU59" s="76">
        <v>0.5</v>
      </c>
      <c r="BV59" s="76">
        <v>2.4399999999999999E-6</v>
      </c>
      <c r="BW59" s="76">
        <v>0.51907859602017947</v>
      </c>
    </row>
    <row r="60" spans="1:75" x14ac:dyDescent="0.15">
      <c r="A60" s="6">
        <v>0.6</v>
      </c>
      <c r="B60" s="7">
        <v>2.0999999999999998E-6</v>
      </c>
      <c r="C60" s="76">
        <v>0.46520015634891732</v>
      </c>
      <c r="D60" s="6">
        <v>0.6</v>
      </c>
      <c r="E60" s="7">
        <v>2.0999999999999998E-6</v>
      </c>
      <c r="F60" s="76">
        <v>1.0393092284823171</v>
      </c>
      <c r="G60" s="76">
        <v>0.6</v>
      </c>
      <c r="H60" s="76">
        <v>2.0600000000000002E-6</v>
      </c>
      <c r="I60" s="76">
        <v>0.56618893999507602</v>
      </c>
      <c r="J60" s="76">
        <v>0.6</v>
      </c>
      <c r="K60" s="76">
        <v>1.8199999999999999E-6</v>
      </c>
      <c r="L60" s="76">
        <v>0.94310679471242076</v>
      </c>
      <c r="M60" s="76">
        <v>0.6</v>
      </c>
      <c r="N60" s="76">
        <v>153</v>
      </c>
      <c r="O60" s="76">
        <v>1.4571181118139356</v>
      </c>
      <c r="P60" s="76">
        <v>0.6</v>
      </c>
      <c r="Q60" s="76">
        <v>2.2000000000000001E-6</v>
      </c>
      <c r="R60" s="76">
        <v>0.22472855852058166</v>
      </c>
      <c r="S60" s="76">
        <v>0.6</v>
      </c>
      <c r="T60" s="76">
        <v>1.95E-6</v>
      </c>
      <c r="U60" s="76">
        <v>0.25317807984290402</v>
      </c>
      <c r="V60" s="76">
        <v>0.6</v>
      </c>
      <c r="W60" s="76">
        <v>1.81E-6</v>
      </c>
      <c r="X60" s="76">
        <v>0.64193157639060427</v>
      </c>
      <c r="Y60" s="76">
        <v>0.6</v>
      </c>
      <c r="Z60" s="76">
        <v>2.1299999999999999E-6</v>
      </c>
      <c r="AA60" s="76">
        <v>0.41385216162854743</v>
      </c>
      <c r="AB60" s="76">
        <v>0.6</v>
      </c>
      <c r="AC60" s="76">
        <v>2.1399999999999998E-6</v>
      </c>
      <c r="AD60" s="76">
        <v>0.41195756438266795</v>
      </c>
      <c r="AE60" s="76">
        <v>0.6</v>
      </c>
      <c r="AF60" s="76">
        <v>2.1500000000000002E-6</v>
      </c>
      <c r="AG60" s="76">
        <v>0.41008023727377119</v>
      </c>
      <c r="AH60" s="76">
        <v>0.6</v>
      </c>
      <c r="AI60" s="76">
        <v>1.9300000000000002E-6</v>
      </c>
      <c r="AJ60" s="76">
        <v>1.309373574474755</v>
      </c>
      <c r="AK60" s="76">
        <v>0.6</v>
      </c>
      <c r="AL60" s="76">
        <v>6.4400000000000002E-6</v>
      </c>
      <c r="AM60" s="76">
        <v>2.2562494216559519</v>
      </c>
      <c r="AN60" s="76">
        <v>0.6</v>
      </c>
      <c r="AO60" s="76">
        <v>1.7999999999999999E-6</v>
      </c>
      <c r="AP60" s="76">
        <v>0.64538521137571092</v>
      </c>
      <c r="AQ60" s="76">
        <v>0.6</v>
      </c>
      <c r="AR60" s="76">
        <v>2.1100000000000001E-6</v>
      </c>
      <c r="AS60" s="76">
        <v>0.41769412876295331</v>
      </c>
      <c r="AT60" s="76">
        <v>0.6</v>
      </c>
      <c r="AU60" s="76">
        <v>2.21E-6</v>
      </c>
      <c r="AV60" s="76">
        <v>0.52875752047947711</v>
      </c>
      <c r="AW60" s="76">
        <v>0.6</v>
      </c>
      <c r="AX60" s="76">
        <v>2.21E-6</v>
      </c>
      <c r="AY60" s="76">
        <v>0.86634231972901454</v>
      </c>
      <c r="AZ60" s="76">
        <v>0.6</v>
      </c>
      <c r="BA60" s="76">
        <v>2.1500000000000002E-6</v>
      </c>
      <c r="BB60" s="76">
        <v>0.71779682394129918</v>
      </c>
      <c r="BC60" s="76">
        <v>0.6</v>
      </c>
      <c r="BD60" s="76">
        <v>4.2500000000000003E-5</v>
      </c>
      <c r="BE60" s="76">
        <v>2.8650490927876509</v>
      </c>
      <c r="BF60" s="76">
        <v>0.6</v>
      </c>
      <c r="BG60" s="76">
        <v>1.9300000000000001E-3</v>
      </c>
      <c r="BH60" s="76">
        <v>3.2829679160597101</v>
      </c>
      <c r="BI60" s="76">
        <v>0.6</v>
      </c>
      <c r="BJ60" s="76">
        <v>2.1900000000000002E-6</v>
      </c>
      <c r="BK60" s="76">
        <v>0.31463269455786153</v>
      </c>
      <c r="BL60" s="76">
        <v>0.6</v>
      </c>
      <c r="BM60" s="76">
        <v>2.2199999999999999E-6</v>
      </c>
      <c r="BN60" s="76">
        <v>0.4405998979402882</v>
      </c>
      <c r="BO60" s="76">
        <v>0.6</v>
      </c>
      <c r="BP60" s="76">
        <v>1.66E-6</v>
      </c>
      <c r="BQ60" s="76">
        <v>3.8107365498400556</v>
      </c>
      <c r="BR60" s="76">
        <v>0.6</v>
      </c>
      <c r="BS60" s="76">
        <v>9.8799999999999995E-4</v>
      </c>
      <c r="BT60" s="76">
        <v>4.307829160924542</v>
      </c>
      <c r="BU60" s="76">
        <v>0.6</v>
      </c>
      <c r="BV60" s="76">
        <v>2.57E-6</v>
      </c>
      <c r="BW60" s="76">
        <v>3.0312639487925539</v>
      </c>
    </row>
    <row r="61" spans="1:75" x14ac:dyDescent="0.15">
      <c r="A61" s="6">
        <v>0.7</v>
      </c>
      <c r="B61" s="7">
        <v>2.2000000000000001E-6</v>
      </c>
      <c r="C61" s="76">
        <v>0.4445176257083357</v>
      </c>
      <c r="D61" s="6">
        <v>0.7</v>
      </c>
      <c r="E61" s="7">
        <v>2.3300000000000001E-6</v>
      </c>
      <c r="F61" s="76">
        <v>-0.12959144642506348</v>
      </c>
      <c r="G61" s="76">
        <v>0.7</v>
      </c>
      <c r="H61" s="76">
        <v>2.1799999999999999E-6</v>
      </c>
      <c r="I61" s="76">
        <v>0.44850566165351285</v>
      </c>
      <c r="J61" s="76">
        <v>0.7</v>
      </c>
      <c r="K61" s="76">
        <v>1.9999999999999999E-6</v>
      </c>
      <c r="L61" s="76">
        <v>0.48790164169432115</v>
      </c>
      <c r="M61" s="76">
        <v>0.7</v>
      </c>
      <c r="N61" s="76">
        <v>177</v>
      </c>
      <c r="O61" s="76">
        <v>1.2216763397420738</v>
      </c>
      <c r="P61" s="76">
        <v>0.7</v>
      </c>
      <c r="Q61" s="76">
        <v>2.2500000000000001E-6</v>
      </c>
      <c r="R61" s="76">
        <v>0.47731402821190327</v>
      </c>
      <c r="S61" s="76">
        <v>0.7</v>
      </c>
      <c r="T61" s="76">
        <v>1.9999999999999999E-6</v>
      </c>
      <c r="U61" s="76">
        <v>0.72320661579626067</v>
      </c>
      <c r="V61" s="76">
        <v>0.7</v>
      </c>
      <c r="W61" s="76">
        <v>1.9300000000000002E-6</v>
      </c>
      <c r="X61" s="76">
        <v>0.70028604360484015</v>
      </c>
      <c r="Y61" s="76">
        <v>0.7</v>
      </c>
      <c r="Z61" s="76">
        <v>2.2199999999999999E-6</v>
      </c>
      <c r="AA61" s="76">
        <v>0.39740328649513013</v>
      </c>
      <c r="AB61" s="76">
        <v>0.7</v>
      </c>
      <c r="AC61" s="76">
        <v>2.2299999999999998E-6</v>
      </c>
      <c r="AD61" s="76">
        <v>0.48149343897582808</v>
      </c>
      <c r="AE61" s="76">
        <v>0.7</v>
      </c>
      <c r="AF61" s="76">
        <v>2.2400000000000002E-6</v>
      </c>
      <c r="AG61" s="76">
        <v>0.6899287148695159</v>
      </c>
      <c r="AH61" s="76">
        <v>0.7</v>
      </c>
      <c r="AI61" s="76">
        <v>2.2000000000000001E-6</v>
      </c>
      <c r="AJ61" s="76">
        <v>0.99433896988187964</v>
      </c>
      <c r="AK61" s="76">
        <v>0.7</v>
      </c>
      <c r="AL61" s="76">
        <v>8.0700000000000007E-6</v>
      </c>
      <c r="AM61" s="76">
        <v>2.4399041295373158</v>
      </c>
      <c r="AN61" s="76">
        <v>0.7</v>
      </c>
      <c r="AO61" s="76">
        <v>1.9199999999999998E-6</v>
      </c>
      <c r="AP61" s="76">
        <v>0.60624621816435409</v>
      </c>
      <c r="AQ61" s="76">
        <v>0.7</v>
      </c>
      <c r="AR61" s="76">
        <v>2.2000000000000001E-6</v>
      </c>
      <c r="AS61" s="76">
        <v>0.70204258673248465</v>
      </c>
      <c r="AT61" s="76">
        <v>0.7</v>
      </c>
      <c r="AU61" s="76">
        <v>2.3300000000000001E-6</v>
      </c>
      <c r="AV61" s="76">
        <v>0.29600469776291022</v>
      </c>
      <c r="AW61" s="76">
        <v>0.7</v>
      </c>
      <c r="AX61" s="76">
        <v>2.4099999999999998E-6</v>
      </c>
      <c r="AY61" s="76">
        <v>-0.20965128465045149</v>
      </c>
      <c r="AZ61" s="76">
        <v>0.7</v>
      </c>
      <c r="BA61" s="76">
        <v>2.3099999999999999E-6</v>
      </c>
      <c r="BB61" s="76">
        <v>-0.1746769304039118</v>
      </c>
      <c r="BC61" s="76">
        <v>0.7</v>
      </c>
      <c r="BD61" s="76">
        <v>5.66E-5</v>
      </c>
      <c r="BE61" s="76">
        <v>2.1818427795485977</v>
      </c>
      <c r="BF61" s="76">
        <v>0.7</v>
      </c>
      <c r="BG61" s="76">
        <v>2.6800000000000001E-3</v>
      </c>
      <c r="BH61" s="76">
        <v>2.6694617397260312</v>
      </c>
      <c r="BI61" s="76">
        <v>0.7</v>
      </c>
      <c r="BJ61" s="76">
        <v>2.26E-6</v>
      </c>
      <c r="BK61" s="76">
        <v>0.60103924069705827</v>
      </c>
      <c r="BL61" s="76">
        <v>0.7</v>
      </c>
      <c r="BM61" s="76">
        <v>2.3199999999999998E-6</v>
      </c>
      <c r="BN61" s="76">
        <v>0.25533302005165104</v>
      </c>
      <c r="BO61" s="76">
        <v>0.7</v>
      </c>
      <c r="BP61" s="76">
        <v>2.43E-6</v>
      </c>
      <c r="BQ61" s="76">
        <v>-0.42022989774848046</v>
      </c>
      <c r="BR61" s="76">
        <v>0.7</v>
      </c>
      <c r="BS61" s="76">
        <v>1.5200000000000001E-3</v>
      </c>
      <c r="BT61" s="76">
        <v>2.2839290720035321</v>
      </c>
      <c r="BU61" s="76">
        <v>0.7</v>
      </c>
      <c r="BV61" s="76">
        <v>3.4800000000000001E-6</v>
      </c>
      <c r="BW61" s="76">
        <v>1.9043035390790646</v>
      </c>
    </row>
    <row r="62" spans="1:75" x14ac:dyDescent="0.15">
      <c r="A62" s="6">
        <v>0.8</v>
      </c>
      <c r="B62" s="7">
        <v>2.3E-6</v>
      </c>
      <c r="C62" s="76">
        <v>0.54982134417354456</v>
      </c>
      <c r="D62" s="6">
        <v>0.8</v>
      </c>
      <c r="E62" s="7">
        <v>2.3E-6</v>
      </c>
      <c r="F62" s="76">
        <v>0.21506205220964253</v>
      </c>
      <c r="G62" s="76">
        <v>0.8</v>
      </c>
      <c r="H62" s="76">
        <v>2.2800000000000002E-6</v>
      </c>
      <c r="I62" s="76">
        <v>0.55451304536214618</v>
      </c>
      <c r="J62" s="76">
        <v>0.8</v>
      </c>
      <c r="K62" s="76">
        <v>2.0999999999999998E-6</v>
      </c>
      <c r="L62" s="76">
        <v>0.73427468554816866</v>
      </c>
      <c r="M62" s="76">
        <v>0.8</v>
      </c>
      <c r="N62" s="76">
        <v>200</v>
      </c>
      <c r="O62" s="76">
        <v>1.7814618538347475</v>
      </c>
      <c r="P62" s="76">
        <v>0.8</v>
      </c>
      <c r="Q62" s="76">
        <v>2.3599999999999999E-6</v>
      </c>
      <c r="R62" s="76">
        <v>0.33336420267591654</v>
      </c>
      <c r="S62" s="76">
        <v>0.8</v>
      </c>
      <c r="T62" s="76">
        <v>2.1500000000000002E-6</v>
      </c>
      <c r="U62" s="76">
        <v>0.36533743332455521</v>
      </c>
      <c r="V62" s="76">
        <v>0.8</v>
      </c>
      <c r="W62" s="76">
        <v>2.0700000000000001E-6</v>
      </c>
      <c r="X62" s="76">
        <v>0.60908753086991407</v>
      </c>
      <c r="Y62" s="76">
        <v>0.8</v>
      </c>
      <c r="Z62" s="76">
        <v>2.3099999999999999E-6</v>
      </c>
      <c r="AA62" s="76">
        <v>0.42379222968861552</v>
      </c>
      <c r="AB62" s="76">
        <v>0.8</v>
      </c>
      <c r="AC62" s="76">
        <v>2.34E-6</v>
      </c>
      <c r="AD62" s="76">
        <v>0.41847109935499571</v>
      </c>
      <c r="AE62" s="76">
        <v>0.8</v>
      </c>
      <c r="AF62" s="76">
        <v>2.3999999999999999E-6</v>
      </c>
      <c r="AG62" s="76">
        <v>-1.5762894420358369</v>
      </c>
      <c r="AH62" s="76">
        <v>0.8</v>
      </c>
      <c r="AI62" s="76">
        <v>2.43E-6</v>
      </c>
      <c r="AJ62" s="76">
        <v>-0.90384061468268961</v>
      </c>
      <c r="AK62" s="76">
        <v>0.8</v>
      </c>
      <c r="AL62" s="76">
        <v>1.03E-5</v>
      </c>
      <c r="AM62" s="76">
        <v>1.7745536714278214</v>
      </c>
      <c r="AN62" s="76">
        <v>0.8</v>
      </c>
      <c r="AO62" s="76">
        <v>2.04E-6</v>
      </c>
      <c r="AP62" s="76">
        <v>0.70951735972283114</v>
      </c>
      <c r="AQ62" s="76">
        <v>0.8</v>
      </c>
      <c r="AR62" s="76">
        <v>2.3599999999999999E-6</v>
      </c>
      <c r="AS62" s="76">
        <v>-0.25752496102414929</v>
      </c>
      <c r="AT62" s="76">
        <v>0.8</v>
      </c>
      <c r="AU62" s="76">
        <v>2.3999999999999999E-6</v>
      </c>
      <c r="AV62" s="76">
        <v>-1.9237189264745607</v>
      </c>
      <c r="AW62" s="76">
        <v>0.8</v>
      </c>
      <c r="AX62" s="76">
        <v>2.3599999999999999E-6</v>
      </c>
      <c r="AY62" s="76">
        <v>0.37426405519116918</v>
      </c>
      <c r="AZ62" s="76">
        <v>0.8</v>
      </c>
      <c r="BA62" s="76">
        <v>2.2699999999999999E-6</v>
      </c>
      <c r="BB62" s="76">
        <v>0.68111425859147101</v>
      </c>
      <c r="BC62" s="76">
        <v>0.8</v>
      </c>
      <c r="BD62" s="76">
        <v>7.0400000000000004E-5</v>
      </c>
      <c r="BE62" s="76">
        <v>1.9432311277871865</v>
      </c>
      <c r="BF62" s="76">
        <v>0.8</v>
      </c>
      <c r="BG62" s="76">
        <v>3.5000000000000001E-3</v>
      </c>
      <c r="BH62" s="76">
        <v>2.3337672759423893</v>
      </c>
      <c r="BI62" s="76">
        <v>0.8</v>
      </c>
      <c r="BJ62" s="76">
        <v>2.3999999999999999E-6</v>
      </c>
      <c r="BK62" s="76">
        <v>-0.25317807984290402</v>
      </c>
      <c r="BL62" s="76">
        <v>0.8</v>
      </c>
      <c r="BM62" s="76">
        <v>2.3800000000000001E-6</v>
      </c>
      <c r="BN62" s="76">
        <v>-2.0441251460814596</v>
      </c>
      <c r="BO62" s="76">
        <v>0.8</v>
      </c>
      <c r="BP62" s="76">
        <v>2.3300000000000001E-6</v>
      </c>
      <c r="BQ62" s="76">
        <v>3.3892171733155161</v>
      </c>
      <c r="BR62" s="76">
        <v>0.8</v>
      </c>
      <c r="BS62" s="76">
        <v>1.91E-3</v>
      </c>
      <c r="BT62" s="76">
        <v>2.0304768731107186</v>
      </c>
      <c r="BU62" s="76">
        <v>0.8</v>
      </c>
      <c r="BV62" s="76">
        <v>4.2100000000000003E-6</v>
      </c>
      <c r="BW62" s="76">
        <v>1.7397326740248436</v>
      </c>
    </row>
    <row r="63" spans="1:75" x14ac:dyDescent="0.15">
      <c r="A63" s="6">
        <v>0.9</v>
      </c>
      <c r="B63" s="7">
        <v>2.43E-6</v>
      </c>
      <c r="C63" s="76">
        <v>-1.7005146420214072</v>
      </c>
      <c r="D63" s="6">
        <v>0.9</v>
      </c>
      <c r="E63" s="7">
        <v>2.3499999999999999E-6</v>
      </c>
      <c r="F63" s="76">
        <v>-1.5628060608508325</v>
      </c>
      <c r="G63" s="76">
        <v>0.9</v>
      </c>
      <c r="H63" s="76">
        <v>2.4099999999999998E-6</v>
      </c>
      <c r="I63" s="76">
        <v>-0.33758479924953738</v>
      </c>
      <c r="J63" s="76">
        <v>0.9</v>
      </c>
      <c r="K63" s="76">
        <v>2.26E-6</v>
      </c>
      <c r="L63" s="76">
        <v>-0.17857617400006023</v>
      </c>
      <c r="M63" s="76">
        <v>0.9</v>
      </c>
      <c r="N63" s="76">
        <v>239</v>
      </c>
      <c r="O63" s="76">
        <v>0.44997365930735012</v>
      </c>
      <c r="P63" s="76">
        <v>0.9</v>
      </c>
      <c r="Q63" s="76">
        <v>2.4399999999999999E-6</v>
      </c>
      <c r="R63" s="76">
        <v>-1.5006069457573195</v>
      </c>
      <c r="S63" s="76">
        <v>0.9</v>
      </c>
      <c r="T63" s="76">
        <v>2.2299999999999998E-6</v>
      </c>
      <c r="U63" s="76">
        <v>0.60888369675012666</v>
      </c>
      <c r="V63" s="76">
        <v>0.9</v>
      </c>
      <c r="W63" s="76">
        <v>2.2000000000000001E-6</v>
      </c>
      <c r="X63" s="76">
        <v>0.48790164169432171</v>
      </c>
      <c r="Y63" s="76">
        <v>0.9</v>
      </c>
      <c r="Z63" s="76">
        <v>2.4099999999999998E-6</v>
      </c>
      <c r="AA63" s="76">
        <v>-0.68696531286235551</v>
      </c>
      <c r="AB63" s="76">
        <v>0.9</v>
      </c>
      <c r="AC63" s="76">
        <v>2.4399999999999999E-6</v>
      </c>
      <c r="AD63" s="76">
        <v>-1.8890052789199712</v>
      </c>
      <c r="AE63" s="76">
        <v>0.9</v>
      </c>
      <c r="AF63" s="76">
        <v>2.0499999999999999E-6</v>
      </c>
      <c r="AG63" s="76">
        <v>0.84161792321710416</v>
      </c>
      <c r="AH63" s="76">
        <v>0.9</v>
      </c>
      <c r="AI63" s="76">
        <v>2.2199999999999999E-6</v>
      </c>
      <c r="AJ63" s="76">
        <v>0.31044621681958878</v>
      </c>
      <c r="AK63" s="76">
        <v>0.9</v>
      </c>
      <c r="AL63" s="76">
        <v>1.2300000000000001E-5</v>
      </c>
      <c r="AM63" s="76">
        <v>1.7142226633591844</v>
      </c>
      <c r="AN63" s="76">
        <v>0.9</v>
      </c>
      <c r="AO63" s="76">
        <v>2.1900000000000002E-6</v>
      </c>
      <c r="AP63" s="76">
        <v>0.83198943854974083</v>
      </c>
      <c r="AQ63" s="76">
        <v>0.9</v>
      </c>
      <c r="AR63" s="76">
        <v>2.3E-6</v>
      </c>
      <c r="AS63" s="76">
        <v>0</v>
      </c>
      <c r="AT63" s="76">
        <v>0.9</v>
      </c>
      <c r="AU63" s="76">
        <v>1.9800000000000001E-6</v>
      </c>
      <c r="AV63" s="76">
        <v>1.3668298678686599</v>
      </c>
      <c r="AW63" s="76">
        <v>0.9</v>
      </c>
      <c r="AX63" s="76">
        <v>2.4499999999999998E-6</v>
      </c>
      <c r="AY63" s="76">
        <v>-1.030955090269732</v>
      </c>
      <c r="AZ63" s="76">
        <v>0.9</v>
      </c>
      <c r="BA63" s="76">
        <v>2.43E-6</v>
      </c>
      <c r="BB63" s="76">
        <v>-2.3556607131276768</v>
      </c>
      <c r="BC63" s="76">
        <v>0.9</v>
      </c>
      <c r="BD63" s="76">
        <v>8.5500000000000005E-5</v>
      </c>
      <c r="BE63" s="76">
        <v>1.4862163834811251</v>
      </c>
      <c r="BF63" s="76">
        <v>0.9</v>
      </c>
      <c r="BG63" s="76">
        <v>4.4200000000000003E-3</v>
      </c>
      <c r="BH63" s="76">
        <v>1.6827158198722452</v>
      </c>
      <c r="BI63" s="76">
        <v>0.9</v>
      </c>
      <c r="BJ63" s="76">
        <v>2.34E-6</v>
      </c>
      <c r="BK63" s="76">
        <v>0.12739025777429805</v>
      </c>
      <c r="BL63" s="76">
        <v>0.9</v>
      </c>
      <c r="BM63" s="76">
        <v>1.9400000000000001E-6</v>
      </c>
      <c r="BN63" s="76">
        <v>1.2576938728903289</v>
      </c>
      <c r="BO63" s="76">
        <v>0.9</v>
      </c>
      <c r="BP63" s="76">
        <v>3.27E-6</v>
      </c>
      <c r="BQ63" s="76">
        <v>1.8892559400386948</v>
      </c>
      <c r="BR63" s="76">
        <v>0.9</v>
      </c>
      <c r="BS63" s="76">
        <v>2.3400000000000001E-3</v>
      </c>
      <c r="BT63" s="76">
        <v>1.2817519342399744</v>
      </c>
      <c r="BU63" s="76">
        <v>0.9</v>
      </c>
      <c r="BV63" s="76">
        <v>5.0100000000000003E-6</v>
      </c>
      <c r="BW63" s="76">
        <v>1.8198883345034216</v>
      </c>
    </row>
    <row r="64" spans="1:75" x14ac:dyDescent="0.15">
      <c r="A64" s="6">
        <v>1</v>
      </c>
      <c r="B64" s="7">
        <v>2.0499999999999999E-6</v>
      </c>
      <c r="C64" s="76">
        <v>1.1071202441583052</v>
      </c>
      <c r="D64" s="6">
        <v>1</v>
      </c>
      <c r="E64" s="7">
        <v>2.0099999999999998E-6</v>
      </c>
      <c r="F64" s="76">
        <v>0.81190154730013053</v>
      </c>
      <c r="G64" s="76">
        <v>1</v>
      </c>
      <c r="H64" s="76">
        <v>2.3300000000000001E-6</v>
      </c>
      <c r="I64" s="76">
        <v>0.12793351459908553</v>
      </c>
      <c r="J64" s="76">
        <v>1</v>
      </c>
      <c r="K64" s="76">
        <v>2.2199999999999999E-6</v>
      </c>
      <c r="L64" s="76">
        <v>0.13423020332139035</v>
      </c>
      <c r="M64" s="76">
        <v>1</v>
      </c>
      <c r="N64" s="76">
        <v>250</v>
      </c>
      <c r="O64" s="76">
        <v>0</v>
      </c>
      <c r="P64" s="76">
        <v>1</v>
      </c>
      <c r="Q64" s="76">
        <v>2.0999999999999998E-6</v>
      </c>
      <c r="R64" s="76">
        <v>1.2935602121404155</v>
      </c>
      <c r="S64" s="76">
        <v>1</v>
      </c>
      <c r="T64" s="76">
        <v>2.3700000000000002E-6</v>
      </c>
      <c r="U64" s="76">
        <v>0.20877585021555214</v>
      </c>
      <c r="V64" s="76">
        <v>1</v>
      </c>
      <c r="W64" s="76">
        <v>2.3099999999999999E-6</v>
      </c>
      <c r="X64" s="76">
        <v>0.50643732818755849</v>
      </c>
      <c r="Y64" s="76">
        <v>1</v>
      </c>
      <c r="Z64" s="76">
        <v>2.2500000000000001E-6</v>
      </c>
      <c r="AA64" s="76">
        <v>0.68696531286235485</v>
      </c>
      <c r="AB64" s="76">
        <v>1</v>
      </c>
      <c r="AC64" s="76">
        <v>2.0200000000000001E-6</v>
      </c>
      <c r="AD64" s="76">
        <v>1.0783270480321496</v>
      </c>
      <c r="AE64" s="76">
        <v>1</v>
      </c>
      <c r="AF64" s="76">
        <v>2.2299999999999998E-6</v>
      </c>
      <c r="AG64" s="76">
        <v>0.98159764472244415</v>
      </c>
      <c r="AH64" s="76">
        <v>1</v>
      </c>
      <c r="AI64" s="76">
        <v>2.2900000000000001E-6</v>
      </c>
      <c r="AJ64" s="76">
        <v>-0.1762160134981981</v>
      </c>
      <c r="AK64" s="76">
        <v>1</v>
      </c>
      <c r="AL64" s="76">
        <v>1.4600000000000001E-5</v>
      </c>
      <c r="AM64" s="76">
        <v>1.8687737332981575</v>
      </c>
      <c r="AN64" s="76">
        <v>1</v>
      </c>
      <c r="AO64" s="76">
        <v>2.3800000000000001E-6</v>
      </c>
      <c r="AP64" s="76">
        <v>-0.69593291799193868</v>
      </c>
      <c r="AQ64" s="76">
        <v>1</v>
      </c>
      <c r="AR64" s="76">
        <v>2.3E-6</v>
      </c>
      <c r="AS64" s="76">
        <v>-0.90971778205725251</v>
      </c>
      <c r="AT64" s="76">
        <v>1</v>
      </c>
      <c r="AU64" s="76">
        <v>2.2699999999999999E-6</v>
      </c>
      <c r="AV64" s="76">
        <v>0</v>
      </c>
      <c r="AW64" s="76">
        <v>1</v>
      </c>
      <c r="AX64" s="76">
        <v>2.21E-6</v>
      </c>
      <c r="AY64" s="76">
        <v>0.9077502463893331</v>
      </c>
      <c r="AZ64" s="76">
        <v>1</v>
      </c>
      <c r="BA64" s="76">
        <v>1.9199999999999998E-6</v>
      </c>
      <c r="BB64" s="76">
        <v>0.99090902644231615</v>
      </c>
      <c r="BC64" s="76">
        <v>1</v>
      </c>
      <c r="BD64" s="76">
        <v>9.9199999999999999E-5</v>
      </c>
      <c r="BE64" s="76">
        <v>1.6503592050692879</v>
      </c>
      <c r="BF64" s="76">
        <v>1</v>
      </c>
      <c r="BG64" s="76">
        <v>5.2300000000000003E-3</v>
      </c>
      <c r="BH64" s="76">
        <v>2.0966885273084905</v>
      </c>
      <c r="BI64" s="76">
        <v>1</v>
      </c>
      <c r="BJ64" s="76">
        <v>2.3700000000000002E-6</v>
      </c>
      <c r="BK64" s="76">
        <v>-1.4994014729091441</v>
      </c>
      <c r="BL64" s="76">
        <v>1</v>
      </c>
      <c r="BM64" s="76">
        <v>2.2000000000000001E-6</v>
      </c>
      <c r="BN64" s="76">
        <v>0.4445176257083357</v>
      </c>
      <c r="BO64" s="76">
        <v>1</v>
      </c>
      <c r="BP64" s="76">
        <v>3.9500000000000003E-6</v>
      </c>
      <c r="BQ64" s="76">
        <v>5.46143892942339</v>
      </c>
      <c r="BR64" s="76">
        <v>1</v>
      </c>
      <c r="BS64" s="76">
        <v>2.66E-3</v>
      </c>
      <c r="BT64" s="76">
        <v>1.8794481434831649</v>
      </c>
      <c r="BU64" s="76">
        <v>1</v>
      </c>
      <c r="BV64" s="76">
        <v>6.0100000000000001E-6</v>
      </c>
      <c r="BW64" s="76">
        <v>1.4387702597159611</v>
      </c>
    </row>
    <row r="65" spans="1:75" x14ac:dyDescent="0.15">
      <c r="A65" s="6">
        <v>1.1000000000000001</v>
      </c>
      <c r="B65" s="7">
        <v>2.2900000000000001E-6</v>
      </c>
      <c r="C65" s="76">
        <v>-0.91387751589428257</v>
      </c>
      <c r="D65" s="6">
        <v>1.1000000000000001</v>
      </c>
      <c r="E65" s="7">
        <v>2.1799999999999999E-6</v>
      </c>
      <c r="F65" s="76">
        <v>-0.23202897079663418</v>
      </c>
      <c r="G65" s="76">
        <v>1.1000000000000001</v>
      </c>
      <c r="H65" s="76">
        <v>2.3599999999999999E-6</v>
      </c>
      <c r="I65" s="76">
        <v>-1.3595563623602853</v>
      </c>
      <c r="J65" s="76">
        <v>1.1000000000000001</v>
      </c>
      <c r="K65" s="76">
        <v>2.2500000000000001E-6</v>
      </c>
      <c r="L65" s="76">
        <v>-1.5341021329953384</v>
      </c>
      <c r="M65" s="76">
        <v>1.1000000000000001</v>
      </c>
      <c r="N65" s="76">
        <v>250</v>
      </c>
      <c r="O65" s="76">
        <v>0</v>
      </c>
      <c r="P65" s="76">
        <v>1.1000000000000001</v>
      </c>
      <c r="Q65" s="76">
        <v>2.39E-6</v>
      </c>
      <c r="R65" s="76">
        <v>-1.2460541845544542</v>
      </c>
      <c r="S65" s="76">
        <v>1.1000000000000001</v>
      </c>
      <c r="T65" s="76">
        <v>2.4200000000000001E-6</v>
      </c>
      <c r="U65" s="76">
        <v>1.1318109472301445</v>
      </c>
      <c r="V65" s="76">
        <v>1.1000000000000001</v>
      </c>
      <c r="W65" s="76">
        <v>2.43E-6</v>
      </c>
      <c r="X65" s="76">
        <v>-1.8479374593934519</v>
      </c>
      <c r="Y65" s="76">
        <v>1.1000000000000001</v>
      </c>
      <c r="Z65" s="76">
        <v>2.4099999999999998E-6</v>
      </c>
      <c r="AA65" s="76">
        <v>-1.329388000145892</v>
      </c>
      <c r="AB65" s="76">
        <v>1.1000000000000001</v>
      </c>
      <c r="AC65" s="76">
        <v>2.2500000000000001E-6</v>
      </c>
      <c r="AD65" s="76">
        <v>0.30636969461889801</v>
      </c>
      <c r="AE65" s="76">
        <v>1.1000000000000001</v>
      </c>
      <c r="AF65" s="76">
        <v>2.4600000000000002E-6</v>
      </c>
      <c r="AG65" s="76">
        <v>-1.0265415406008329</v>
      </c>
      <c r="AH65" s="76">
        <v>1.1000000000000001</v>
      </c>
      <c r="AI65" s="76">
        <v>2.2500000000000001E-6</v>
      </c>
      <c r="AJ65" s="76">
        <v>0.26317308317374033</v>
      </c>
      <c r="AK65" s="76">
        <v>1.1000000000000001</v>
      </c>
      <c r="AL65" s="76">
        <v>1.7600000000000001E-5</v>
      </c>
      <c r="AM65" s="76">
        <v>2.8055445852754914</v>
      </c>
      <c r="AN65" s="76">
        <v>1.1000000000000001</v>
      </c>
      <c r="AO65" s="76">
        <v>2.2199999999999999E-6</v>
      </c>
      <c r="AP65" s="76">
        <v>0.94490843420921189</v>
      </c>
      <c r="AQ65" s="76">
        <v>1.1000000000000001</v>
      </c>
      <c r="AR65" s="76">
        <v>2.0999999999999998E-6</v>
      </c>
      <c r="AS65" s="76">
        <v>1.5415067982725736</v>
      </c>
      <c r="AT65" s="76">
        <v>1.1000000000000001</v>
      </c>
      <c r="AU65" s="76">
        <v>2.2699999999999999E-6</v>
      </c>
      <c r="AV65" s="76">
        <v>0.30371097876299696</v>
      </c>
      <c r="AW65" s="76">
        <v>1.1000000000000001</v>
      </c>
      <c r="AX65" s="76">
        <v>2.4200000000000001E-6</v>
      </c>
      <c r="AY65" s="76">
        <v>-0.77291674301646396</v>
      </c>
      <c r="AZ65" s="76">
        <v>1.1000000000000001</v>
      </c>
      <c r="BA65" s="76">
        <v>2.12E-6</v>
      </c>
      <c r="BB65" s="76">
        <v>0.94452178893687966</v>
      </c>
      <c r="BC65" s="76">
        <v>1.1000000000000001</v>
      </c>
      <c r="BD65" s="76">
        <v>1.17E-4</v>
      </c>
      <c r="BE65" s="76">
        <v>1.4310084364067264</v>
      </c>
      <c r="BF65" s="76">
        <v>1.1000000000000001</v>
      </c>
      <c r="BG65" s="76">
        <v>6.45E-3</v>
      </c>
      <c r="BH65" s="76">
        <v>1.6275146059985812</v>
      </c>
      <c r="BI65" s="76">
        <v>1.1000000000000001</v>
      </c>
      <c r="BJ65" s="76">
        <v>2.04E-6</v>
      </c>
      <c r="BK65" s="76">
        <v>1.3720112151348491</v>
      </c>
      <c r="BL65" s="76">
        <v>1.1000000000000001</v>
      </c>
      <c r="BM65" s="76">
        <v>2.3E-6</v>
      </c>
      <c r="BN65" s="76">
        <v>0.29980832211936853</v>
      </c>
      <c r="BO65" s="76">
        <v>1.1000000000000001</v>
      </c>
      <c r="BP65" s="76">
        <v>6.8199999999999999E-6</v>
      </c>
      <c r="BQ65" s="76">
        <v>6.0586917245288676</v>
      </c>
      <c r="BR65" s="76">
        <v>1.1000000000000001</v>
      </c>
      <c r="BS65" s="76">
        <v>3.2100000000000002E-3</v>
      </c>
      <c r="BT65" s="76">
        <v>2.0236848873924567</v>
      </c>
      <c r="BU65" s="76">
        <v>1.1000000000000001</v>
      </c>
      <c r="BV65" s="76">
        <v>6.9399999999999996E-6</v>
      </c>
      <c r="BW65" s="76">
        <v>1.6561212334626618</v>
      </c>
    </row>
    <row r="66" spans="1:75" x14ac:dyDescent="0.15">
      <c r="A66" s="6">
        <v>1.2</v>
      </c>
      <c r="B66" s="7">
        <v>2.0899999999999999E-6</v>
      </c>
      <c r="C66" s="76">
        <v>1.548339733283902</v>
      </c>
      <c r="D66" s="6">
        <v>1.2</v>
      </c>
      <c r="E66" s="7">
        <v>2.1299999999999999E-6</v>
      </c>
      <c r="F66" s="76">
        <v>1.1097850796204858</v>
      </c>
      <c r="G66" s="76">
        <v>1.2</v>
      </c>
      <c r="H66" s="76">
        <v>2.0600000000000002E-6</v>
      </c>
      <c r="I66" s="76">
        <v>1.2316228477611968</v>
      </c>
      <c r="J66" s="76">
        <v>1.2</v>
      </c>
      <c r="K66" s="76">
        <v>1.9300000000000002E-6</v>
      </c>
      <c r="L66" s="76">
        <v>2.0114161612072383</v>
      </c>
      <c r="M66" s="76">
        <v>1.2</v>
      </c>
      <c r="N66" s="76">
        <v>250</v>
      </c>
      <c r="O66" s="76">
        <v>0</v>
      </c>
      <c r="P66" s="76">
        <v>1.2</v>
      </c>
      <c r="Q66" s="76">
        <v>2.1100000000000001E-6</v>
      </c>
      <c r="R66" s="76">
        <v>1.2878078986592623</v>
      </c>
      <c r="S66" s="76">
        <v>1.2</v>
      </c>
      <c r="T66" s="76">
        <v>2.7099999999999999E-6</v>
      </c>
      <c r="U66" s="76">
        <v>0.98324752510984847</v>
      </c>
      <c r="V66" s="76">
        <v>1.2</v>
      </c>
      <c r="W66" s="76">
        <v>2.0200000000000001E-6</v>
      </c>
      <c r="X66" s="76">
        <v>1.2981161152199039</v>
      </c>
      <c r="Y66" s="76">
        <v>1.2</v>
      </c>
      <c r="Z66" s="76">
        <v>2.1100000000000001E-6</v>
      </c>
      <c r="AA66" s="76">
        <v>1.3293880001458891</v>
      </c>
      <c r="AB66" s="76">
        <v>1.2</v>
      </c>
      <c r="AC66" s="76">
        <v>2.3199999999999998E-6</v>
      </c>
      <c r="AD66" s="76">
        <v>-0.5766564184980888</v>
      </c>
      <c r="AE66" s="76">
        <v>1.2</v>
      </c>
      <c r="AF66" s="76">
        <v>2.2199999999999999E-6</v>
      </c>
      <c r="AG66" s="76">
        <v>0.13423020332139035</v>
      </c>
      <c r="AH66" s="76">
        <v>1.2</v>
      </c>
      <c r="AI66" s="76">
        <v>2.3099999999999999E-6</v>
      </c>
      <c r="AJ66" s="76">
        <v>0.42379222968861502</v>
      </c>
      <c r="AK66" s="76">
        <v>1.2</v>
      </c>
      <c r="AL66" s="76">
        <v>2.3300000000000001E-5</v>
      </c>
      <c r="AM66" s="76">
        <v>3.9540032149202418</v>
      </c>
      <c r="AN66" s="76">
        <v>1.2</v>
      </c>
      <c r="AO66" s="76">
        <v>2.4399999999999999E-6</v>
      </c>
      <c r="AP66" s="76">
        <v>2.1325879208166736</v>
      </c>
      <c r="AQ66" s="76">
        <v>1.2</v>
      </c>
      <c r="AR66" s="76">
        <v>2.4499999999999998E-6</v>
      </c>
      <c r="AS66" s="76">
        <v>-1.1218648072822637</v>
      </c>
      <c r="AT66" s="76">
        <v>1.2</v>
      </c>
      <c r="AU66" s="76">
        <v>2.34E-6</v>
      </c>
      <c r="AV66" s="76">
        <v>-0.70826052568612785</v>
      </c>
      <c r="AW66" s="76">
        <v>1.2</v>
      </c>
      <c r="AX66" s="76">
        <v>2.2400000000000002E-6</v>
      </c>
      <c r="AY66" s="76">
        <v>0.13303965626361591</v>
      </c>
      <c r="AZ66" s="76">
        <v>1.2</v>
      </c>
      <c r="BA66" s="76">
        <v>2.3300000000000001E-6</v>
      </c>
      <c r="BB66" s="76">
        <v>-0.71141100025242143</v>
      </c>
      <c r="BC66" s="76">
        <v>1.2</v>
      </c>
      <c r="BD66" s="76">
        <v>1.35E-4</v>
      </c>
      <c r="BE66" s="76">
        <v>1.381503384808179</v>
      </c>
      <c r="BF66" s="76">
        <v>1.2</v>
      </c>
      <c r="BG66" s="76">
        <v>7.5900000000000004E-3</v>
      </c>
      <c r="BH66" s="76">
        <v>1.6258480348086908</v>
      </c>
      <c r="BI66" s="76">
        <v>1.2</v>
      </c>
      <c r="BJ66" s="76">
        <v>2.34E-6</v>
      </c>
      <c r="BK66" s="76">
        <v>-0.52643733485421462</v>
      </c>
      <c r="BL66" s="76">
        <v>1.2</v>
      </c>
      <c r="BM66" s="76">
        <v>2.3700000000000002E-6</v>
      </c>
      <c r="BN66" s="76">
        <v>-0.92781733450966108</v>
      </c>
      <c r="BO66" s="76">
        <v>1.2</v>
      </c>
      <c r="BP66" s="76">
        <v>1.2500000000000001E-5</v>
      </c>
      <c r="BQ66" s="76">
        <v>0.91667188525823484</v>
      </c>
      <c r="BR66" s="76">
        <v>1.2</v>
      </c>
      <c r="BS66" s="76">
        <v>3.9300000000000003E-3</v>
      </c>
      <c r="BT66" s="76">
        <v>1.8528577662267216</v>
      </c>
      <c r="BU66" s="76">
        <v>1.2</v>
      </c>
      <c r="BV66" s="76">
        <v>8.1899999999999995E-6</v>
      </c>
      <c r="BW66" s="76">
        <v>2.48461359298499</v>
      </c>
    </row>
    <row r="67" spans="1:75" x14ac:dyDescent="0.15">
      <c r="A67" s="6">
        <v>1.3</v>
      </c>
      <c r="B67" s="7">
        <v>2.4399999999999999E-6</v>
      </c>
      <c r="C67" s="76">
        <v>-1.0354067894084031</v>
      </c>
      <c r="D67" s="6">
        <v>1.3</v>
      </c>
      <c r="E67" s="7">
        <v>2.3800000000000001E-6</v>
      </c>
      <c r="F67" s="76">
        <v>-0.87775610882385402</v>
      </c>
      <c r="G67" s="76">
        <v>1.3</v>
      </c>
      <c r="H67" s="76">
        <v>2.3300000000000001E-6</v>
      </c>
      <c r="I67" s="76">
        <v>-0.85062438543849095</v>
      </c>
      <c r="J67" s="76">
        <v>1.3</v>
      </c>
      <c r="K67" s="76">
        <v>2.3599999999999999E-6</v>
      </c>
      <c r="L67" s="76">
        <v>-0.30109801471370584</v>
      </c>
      <c r="M67" s="76">
        <v>1.3</v>
      </c>
      <c r="N67" s="76">
        <v>250</v>
      </c>
      <c r="O67" s="76">
        <v>0</v>
      </c>
      <c r="P67" s="76">
        <v>1.3</v>
      </c>
      <c r="Q67" s="76">
        <v>2.3999999999999999E-6</v>
      </c>
      <c r="R67" s="76">
        <v>-0.64538521137572946</v>
      </c>
      <c r="S67" s="76">
        <v>1.3</v>
      </c>
      <c r="T67" s="76">
        <v>2.9900000000000002E-6</v>
      </c>
      <c r="U67" s="76">
        <v>0.39349338788548899</v>
      </c>
      <c r="V67" s="76">
        <v>1.3</v>
      </c>
      <c r="W67" s="76">
        <v>2.3E-6</v>
      </c>
      <c r="X67" s="76">
        <v>-1.0536051565782514</v>
      </c>
      <c r="Y67" s="76">
        <v>1.3</v>
      </c>
      <c r="Z67" s="76">
        <v>2.4099999999999998E-6</v>
      </c>
      <c r="AA67" s="76">
        <v>-0.68696531286235629</v>
      </c>
      <c r="AB67" s="76">
        <v>1.3</v>
      </c>
      <c r="AC67" s="76">
        <v>2.1900000000000002E-6</v>
      </c>
      <c r="AD67" s="76">
        <v>0.95725203674154835</v>
      </c>
      <c r="AE67" s="76">
        <v>1.3</v>
      </c>
      <c r="AF67" s="76">
        <v>2.2500000000000001E-6</v>
      </c>
      <c r="AG67" s="76">
        <v>-0.50124387182567243</v>
      </c>
      <c r="AH67" s="76">
        <v>1.3</v>
      </c>
      <c r="AI67" s="76">
        <v>2.4099999999999998E-6</v>
      </c>
      <c r="AJ67" s="76">
        <v>0</v>
      </c>
      <c r="AK67" s="76">
        <v>1.3</v>
      </c>
      <c r="AL67" s="76">
        <v>3.4600000000000001E-5</v>
      </c>
      <c r="AM67" s="76">
        <v>1.5001331356129575</v>
      </c>
      <c r="AN67" s="76">
        <v>1.3</v>
      </c>
      <c r="AO67" s="76">
        <v>3.0199999999999999E-6</v>
      </c>
      <c r="AP67" s="76">
        <v>4.0104032212780947</v>
      </c>
      <c r="AQ67" s="76">
        <v>1.3</v>
      </c>
      <c r="AR67" s="76">
        <v>2.1900000000000002E-6</v>
      </c>
      <c r="AS67" s="76">
        <v>0.22574322038540404</v>
      </c>
      <c r="AT67" s="76">
        <v>1.3</v>
      </c>
      <c r="AU67" s="76">
        <v>2.1799999999999999E-6</v>
      </c>
      <c r="AV67" s="76">
        <v>-0.23202897079663418</v>
      </c>
      <c r="AW67" s="76">
        <v>1.3</v>
      </c>
      <c r="AX67" s="76">
        <v>2.2699999999999999E-6</v>
      </c>
      <c r="AY67" s="76">
        <v>-1.1174403843961416</v>
      </c>
      <c r="AZ67" s="76">
        <v>1.3</v>
      </c>
      <c r="BA67" s="76">
        <v>2.17E-6</v>
      </c>
      <c r="BB67" s="76">
        <v>-1.3287328137997374</v>
      </c>
      <c r="BC67" s="76">
        <v>1.3</v>
      </c>
      <c r="BD67" s="76">
        <v>1.55E-4</v>
      </c>
      <c r="BE67" s="76">
        <v>1.7693070815907699</v>
      </c>
      <c r="BF67" s="76">
        <v>1.3</v>
      </c>
      <c r="BG67" s="76">
        <v>8.9300000000000004E-3</v>
      </c>
      <c r="BH67" s="76">
        <v>1.4272750034718238</v>
      </c>
      <c r="BI67" s="76">
        <v>1.3</v>
      </c>
      <c r="BJ67" s="76">
        <v>2.2199999999999999E-6</v>
      </c>
      <c r="BK67" s="76">
        <v>0.17857617400006046</v>
      </c>
      <c r="BL67" s="76">
        <v>1.3</v>
      </c>
      <c r="BM67" s="76">
        <v>2.1600000000000001E-6</v>
      </c>
      <c r="BN67" s="76">
        <v>0.80042707673536495</v>
      </c>
      <c r="BO67" s="76">
        <v>1.3</v>
      </c>
      <c r="BP67" s="76">
        <v>1.3699999999999999E-5</v>
      </c>
      <c r="BQ67" s="76">
        <v>2.895052270132958</v>
      </c>
      <c r="BR67" s="76">
        <v>1.3</v>
      </c>
      <c r="BS67" s="76">
        <v>4.7299999999999998E-3</v>
      </c>
      <c r="BT67" s="76">
        <v>1.5806929825535063</v>
      </c>
      <c r="BU67" s="76">
        <v>1.3</v>
      </c>
      <c r="BV67" s="76">
        <v>1.0499999999999999E-5</v>
      </c>
      <c r="BW67" s="76">
        <v>1.2516314295400672</v>
      </c>
    </row>
    <row r="68" spans="1:75" x14ac:dyDescent="0.15">
      <c r="A68" s="6">
        <v>1.4</v>
      </c>
      <c r="B68" s="7">
        <v>2.2000000000000001E-6</v>
      </c>
      <c r="C68" s="76">
        <v>-0.27651531330508994</v>
      </c>
      <c r="D68" s="6">
        <v>1.4</v>
      </c>
      <c r="E68" s="7">
        <v>2.1799999999999999E-6</v>
      </c>
      <c r="F68" s="76">
        <v>-0.37387532071619456</v>
      </c>
      <c r="G68" s="76">
        <v>1.4</v>
      </c>
      <c r="H68" s="76">
        <v>2.1399999999999998E-6</v>
      </c>
      <c r="I68" s="76">
        <v>1.2708542831869696</v>
      </c>
      <c r="J68" s="76">
        <v>1.4</v>
      </c>
      <c r="K68" s="76">
        <v>2.2900000000000001E-6</v>
      </c>
      <c r="L68" s="76">
        <v>1.346225002068574</v>
      </c>
      <c r="M68" s="76">
        <v>1.4</v>
      </c>
      <c r="N68" s="76">
        <v>250</v>
      </c>
      <c r="O68" s="76">
        <v>0</v>
      </c>
      <c r="P68" s="76">
        <v>1.4</v>
      </c>
      <c r="Q68" s="76">
        <v>2.2500000000000001E-6</v>
      </c>
      <c r="R68" s="76">
        <v>-0.2702867238791915</v>
      </c>
      <c r="S68" s="76">
        <v>1.4</v>
      </c>
      <c r="T68" s="76">
        <v>3.1099999999999999E-6</v>
      </c>
      <c r="U68" s="76">
        <v>0.65342056737254184</v>
      </c>
      <c r="V68" s="76">
        <v>1.4</v>
      </c>
      <c r="W68" s="76">
        <v>2.0700000000000001E-6</v>
      </c>
      <c r="X68" s="76">
        <v>1.3534134786976171</v>
      </c>
      <c r="Y68" s="76">
        <v>1.4</v>
      </c>
      <c r="Z68" s="76">
        <v>2.2500000000000001E-6</v>
      </c>
      <c r="AA68" s="76">
        <v>-0.31605339415330364</v>
      </c>
      <c r="AB68" s="76">
        <v>1.4</v>
      </c>
      <c r="AC68" s="76">
        <v>2.4099999999999998E-6</v>
      </c>
      <c r="AD68" s="76">
        <v>-0.6426193421836851</v>
      </c>
      <c r="AE68" s="76">
        <v>1.4</v>
      </c>
      <c r="AF68" s="76">
        <v>2.1399999999999998E-6</v>
      </c>
      <c r="AG68" s="76">
        <v>9.3023926623132441E-2</v>
      </c>
      <c r="AH68" s="76">
        <v>1.4</v>
      </c>
      <c r="AI68" s="76">
        <v>2.4099999999999998E-6</v>
      </c>
      <c r="AJ68" s="76">
        <v>1.7119487732919743</v>
      </c>
      <c r="AK68" s="76">
        <v>1.4</v>
      </c>
      <c r="AL68" s="76">
        <v>4.0200000000000001E-5</v>
      </c>
      <c r="AM68" s="76">
        <v>1.2164510942232798</v>
      </c>
      <c r="AN68" s="76">
        <v>1.4</v>
      </c>
      <c r="AO68" s="76">
        <v>4.51E-6</v>
      </c>
      <c r="AP68" s="76">
        <v>0.8701137698963094</v>
      </c>
      <c r="AQ68" s="76">
        <v>1.4</v>
      </c>
      <c r="AR68" s="76">
        <v>2.2400000000000002E-6</v>
      </c>
      <c r="AS68" s="76">
        <v>-4.4742803949215884E-2</v>
      </c>
      <c r="AT68" s="76">
        <v>1.4</v>
      </c>
      <c r="AU68" s="76">
        <v>2.1299999999999999E-6</v>
      </c>
      <c r="AV68" s="76">
        <v>0.13986241974739844</v>
      </c>
      <c r="AW68" s="76">
        <v>1.4</v>
      </c>
      <c r="AX68" s="76">
        <v>2.03E-6</v>
      </c>
      <c r="AY68" s="76">
        <v>1.5485416209334333</v>
      </c>
      <c r="AZ68" s="76">
        <v>1.4</v>
      </c>
      <c r="BA68" s="76">
        <v>1.9E-6</v>
      </c>
      <c r="BB68" s="76">
        <v>2.2103606897464605</v>
      </c>
      <c r="BC68" s="76">
        <v>1.4</v>
      </c>
      <c r="BD68" s="76">
        <v>1.85E-4</v>
      </c>
      <c r="BE68" s="76">
        <v>0.31917602968306341</v>
      </c>
      <c r="BF68" s="76">
        <v>1.4</v>
      </c>
      <c r="BG68" s="76">
        <v>1.03E-2</v>
      </c>
      <c r="BH68" s="76">
        <v>1.2744494656812033</v>
      </c>
      <c r="BI68" s="76">
        <v>1.4</v>
      </c>
      <c r="BJ68" s="76">
        <v>2.26E-6</v>
      </c>
      <c r="BK68" s="76">
        <v>-0.59242833562860697</v>
      </c>
      <c r="BL68" s="76">
        <v>1.4</v>
      </c>
      <c r="BM68" s="76">
        <v>2.34E-6</v>
      </c>
      <c r="BN68" s="76">
        <v>-1.1778303565638371</v>
      </c>
      <c r="BO68" s="76">
        <v>1.4</v>
      </c>
      <c r="BP68" s="76">
        <v>1.8300000000000001E-5</v>
      </c>
      <c r="BQ68" s="76">
        <v>1.5648986218043057</v>
      </c>
      <c r="BR68" s="76">
        <v>1.4</v>
      </c>
      <c r="BS68" s="76">
        <v>5.5399999999999998E-3</v>
      </c>
      <c r="BT68" s="76">
        <v>3.6994392111923049</v>
      </c>
      <c r="BU68" s="76">
        <v>1.4</v>
      </c>
      <c r="BV68" s="76">
        <v>1.19E-5</v>
      </c>
      <c r="BW68" s="76">
        <v>1.1871630683938139</v>
      </c>
    </row>
    <row r="69" spans="1:75" x14ac:dyDescent="0.15">
      <c r="A69" s="6">
        <v>1.5</v>
      </c>
      <c r="B69" s="7">
        <v>2.1399999999999998E-6</v>
      </c>
      <c r="C69" s="76">
        <v>1.0208412611327935</v>
      </c>
      <c r="D69" s="6">
        <v>1.5</v>
      </c>
      <c r="E69" s="7">
        <v>2.0999999999999998E-6</v>
      </c>
      <c r="F69" s="76">
        <v>1.4183019543921724</v>
      </c>
      <c r="G69" s="76">
        <v>1.5</v>
      </c>
      <c r="H69" s="76">
        <v>2.43E-6</v>
      </c>
      <c r="I69" s="76">
        <v>1.3815033848081613</v>
      </c>
      <c r="J69" s="76">
        <v>1.5</v>
      </c>
      <c r="K69" s="76">
        <v>2.6199999999999999E-6</v>
      </c>
      <c r="L69" s="76">
        <v>2.277132470042742</v>
      </c>
      <c r="M69" s="76">
        <v>1.5</v>
      </c>
      <c r="N69" s="76">
        <v>250</v>
      </c>
      <c r="O69" s="76">
        <v>0</v>
      </c>
      <c r="P69" s="76">
        <v>1.5</v>
      </c>
      <c r="Q69" s="76">
        <v>2.1900000000000002E-6</v>
      </c>
      <c r="R69" s="76">
        <v>9.0909717012532726E-2</v>
      </c>
      <c r="S69" s="76">
        <v>1.5</v>
      </c>
      <c r="T69" s="76">
        <v>3.32E-6</v>
      </c>
      <c r="U69" s="76">
        <v>0.32595478249451276</v>
      </c>
      <c r="V69" s="76">
        <v>1.5</v>
      </c>
      <c r="W69" s="76">
        <v>2.3700000000000002E-6</v>
      </c>
      <c r="X69" s="76">
        <v>1.4141165404982723</v>
      </c>
      <c r="Y69" s="76">
        <v>1.5</v>
      </c>
      <c r="Z69" s="76">
        <v>2.1799999999999999E-6</v>
      </c>
      <c r="AA69" s="76">
        <v>9.1324835632722229E-2</v>
      </c>
      <c r="AB69" s="76">
        <v>1.5</v>
      </c>
      <c r="AC69" s="76">
        <v>2.26E-6</v>
      </c>
      <c r="AD69" s="76">
        <v>-0.31463269455786119</v>
      </c>
      <c r="AE69" s="76">
        <v>1.5</v>
      </c>
      <c r="AF69" s="76">
        <v>2.1600000000000001E-6</v>
      </c>
      <c r="AG69" s="76">
        <v>0</v>
      </c>
      <c r="AH69" s="76">
        <v>1.5</v>
      </c>
      <c r="AI69" s="76">
        <v>2.8600000000000001E-6</v>
      </c>
      <c r="AJ69" s="76">
        <v>2.5751119481841811</v>
      </c>
      <c r="AK69" s="76">
        <v>1.5</v>
      </c>
      <c r="AL69" s="76">
        <v>4.5399999999999999E-5</v>
      </c>
      <c r="AM69" s="76">
        <v>1.6229864091884658</v>
      </c>
      <c r="AN69" s="76">
        <v>1.5</v>
      </c>
      <c r="AO69" s="76">
        <v>4.9200000000000003E-6</v>
      </c>
      <c r="AP69" s="76">
        <v>1.3302313340138194</v>
      </c>
      <c r="AQ69" s="76">
        <v>1.5</v>
      </c>
      <c r="AR69" s="76">
        <v>2.2299999999999998E-6</v>
      </c>
      <c r="AS69" s="76">
        <v>0.43866682105582161</v>
      </c>
      <c r="AT69" s="76">
        <v>1.5</v>
      </c>
      <c r="AU69" s="76">
        <v>2.1600000000000001E-6</v>
      </c>
      <c r="AV69" s="76">
        <v>0.92781733450966108</v>
      </c>
      <c r="AW69" s="76">
        <v>1.5</v>
      </c>
      <c r="AX69" s="76">
        <v>2.3700000000000002E-6</v>
      </c>
      <c r="AY69" s="76">
        <v>0.88767920564405778</v>
      </c>
      <c r="AZ69" s="76">
        <v>1.5</v>
      </c>
      <c r="BA69" s="76">
        <v>2.3700000000000002E-6</v>
      </c>
      <c r="BB69" s="76">
        <v>1.0409389104263225</v>
      </c>
      <c r="BC69" s="76">
        <v>1.5</v>
      </c>
      <c r="BD69" s="76">
        <v>1.9100000000000001E-4</v>
      </c>
      <c r="BE69" s="76">
        <v>0.6093255099515632</v>
      </c>
      <c r="BF69" s="76">
        <v>1.5</v>
      </c>
      <c r="BG69" s="76">
        <v>1.17E-2</v>
      </c>
      <c r="BH69" s="76">
        <v>1.1302338840339476</v>
      </c>
      <c r="BI69" s="76">
        <v>1.5</v>
      </c>
      <c r="BJ69" s="76">
        <v>2.1299999999999999E-6</v>
      </c>
      <c r="BK69" s="76">
        <v>0.81125544812367711</v>
      </c>
      <c r="BL69" s="76">
        <v>1.5</v>
      </c>
      <c r="BM69" s="76">
        <v>2.08E-6</v>
      </c>
      <c r="BN69" s="76">
        <v>1.5552336363923112</v>
      </c>
      <c r="BO69" s="76">
        <v>1.5</v>
      </c>
      <c r="BP69" s="76">
        <v>2.1399999999999998E-5</v>
      </c>
      <c r="BQ69" s="76">
        <v>-1.0848064299407048</v>
      </c>
      <c r="BR69" s="76">
        <v>1.5</v>
      </c>
      <c r="BS69" s="76">
        <v>8.0199999999999994E-3</v>
      </c>
      <c r="BT69" s="76">
        <v>0.90537985768602092</v>
      </c>
      <c r="BU69" s="76">
        <v>1.5</v>
      </c>
      <c r="BV69" s="76">
        <v>1.34E-5</v>
      </c>
      <c r="BW69" s="76">
        <v>1.127954941453434</v>
      </c>
    </row>
    <row r="70" spans="1:75" x14ac:dyDescent="0.15">
      <c r="A70" s="6">
        <v>1.6</v>
      </c>
      <c r="B70" s="7">
        <v>2.3700000000000002E-6</v>
      </c>
      <c r="C70" s="76">
        <v>-0.74432594782770523</v>
      </c>
      <c r="D70" s="6">
        <v>1.6</v>
      </c>
      <c r="E70" s="7">
        <v>2.4200000000000001E-6</v>
      </c>
      <c r="F70" s="76">
        <v>1.4585187701256273</v>
      </c>
      <c r="G70" s="76">
        <v>1.6</v>
      </c>
      <c r="H70" s="76">
        <v>2.79E-6</v>
      </c>
      <c r="I70" s="76">
        <v>0.95635965765831565</v>
      </c>
      <c r="J70" s="76">
        <v>1.6</v>
      </c>
      <c r="K70" s="76">
        <v>3.2899999999999998E-6</v>
      </c>
      <c r="L70" s="76">
        <v>1.5977961869946022</v>
      </c>
      <c r="M70" s="76">
        <v>1.6</v>
      </c>
      <c r="N70" s="76">
        <v>250</v>
      </c>
      <c r="O70" s="76">
        <v>0</v>
      </c>
      <c r="P70" s="76">
        <v>1.6</v>
      </c>
      <c r="Q70" s="76">
        <v>2.21E-6</v>
      </c>
      <c r="R70" s="76">
        <v>9.0090699423655121E-2</v>
      </c>
      <c r="S70" s="76">
        <v>1.6</v>
      </c>
      <c r="T70" s="76">
        <v>3.4300000000000002E-6</v>
      </c>
      <c r="U70" s="76">
        <v>0.40005334613699317</v>
      </c>
      <c r="V70" s="76">
        <v>1.6</v>
      </c>
      <c r="W70" s="76">
        <v>2.7300000000000001E-6</v>
      </c>
      <c r="X70" s="76">
        <v>1.2710050229423349</v>
      </c>
      <c r="Y70" s="76">
        <v>1.6</v>
      </c>
      <c r="Z70" s="76">
        <v>2.2000000000000001E-6</v>
      </c>
      <c r="AA70" s="76">
        <v>0.18018505502679386</v>
      </c>
      <c r="AB70" s="76">
        <v>1.6</v>
      </c>
      <c r="AC70" s="76">
        <v>2.1900000000000002E-6</v>
      </c>
      <c r="AD70" s="76">
        <v>0.22574322038540404</v>
      </c>
      <c r="AE70" s="76">
        <v>1.6</v>
      </c>
      <c r="AF70" s="76">
        <v>2.1600000000000001E-6</v>
      </c>
      <c r="AG70" s="76">
        <v>0.36367644170875174</v>
      </c>
      <c r="AH70" s="76">
        <v>1.6</v>
      </c>
      <c r="AI70" s="76">
        <v>3.7000000000000002E-6</v>
      </c>
      <c r="AJ70" s="76">
        <v>1.7099640743690103</v>
      </c>
      <c r="AK70" s="76">
        <v>1.6</v>
      </c>
      <c r="AL70" s="76">
        <v>5.3399999999999997E-5</v>
      </c>
      <c r="AM70" s="76">
        <v>1.5735581077620628</v>
      </c>
      <c r="AN70" s="76">
        <v>1.6</v>
      </c>
      <c r="AO70" s="76">
        <v>5.6200000000000004E-6</v>
      </c>
      <c r="AP70" s="76">
        <v>1.3929765388891031</v>
      </c>
      <c r="AQ70" s="76">
        <v>1.6</v>
      </c>
      <c r="AR70" s="76">
        <v>2.3300000000000001E-6</v>
      </c>
      <c r="AS70" s="76">
        <v>0.58349883062275587</v>
      </c>
      <c r="AT70" s="76">
        <v>1.6</v>
      </c>
      <c r="AU70" s="76">
        <v>2.3700000000000002E-6</v>
      </c>
      <c r="AV70" s="76">
        <v>-0.92781733450966308</v>
      </c>
      <c r="AW70" s="76">
        <v>1.6</v>
      </c>
      <c r="AX70" s="76">
        <v>2.5900000000000002E-6</v>
      </c>
      <c r="AY70" s="76">
        <v>1.7651321519820786</v>
      </c>
      <c r="AZ70" s="76">
        <v>1.6</v>
      </c>
      <c r="BA70" s="76">
        <v>2.6299999999999998E-6</v>
      </c>
      <c r="BB70" s="76">
        <v>0.90806447958181502</v>
      </c>
      <c r="BC70" s="76">
        <v>1.6</v>
      </c>
      <c r="BD70" s="76">
        <v>2.03E-4</v>
      </c>
      <c r="BE70" s="76">
        <v>1.2487332988140858</v>
      </c>
      <c r="BF70" s="76">
        <v>1.6</v>
      </c>
      <c r="BG70" s="76">
        <v>1.3100000000000001E-2</v>
      </c>
      <c r="BH70" s="76">
        <v>1.6175527921247856</v>
      </c>
      <c r="BI70" s="76">
        <v>1.6</v>
      </c>
      <c r="BJ70" s="76">
        <v>2.3099999999999999E-6</v>
      </c>
      <c r="BK70" s="76">
        <v>-0.39740328649513101</v>
      </c>
      <c r="BL70" s="76">
        <v>1.6</v>
      </c>
      <c r="BM70" s="76">
        <v>2.43E-6</v>
      </c>
      <c r="BN70" s="76">
        <v>-0.42022989774848141</v>
      </c>
      <c r="BO70" s="76">
        <v>1.6</v>
      </c>
      <c r="BP70" s="76">
        <v>1.9199999999999999E-5</v>
      </c>
      <c r="BQ70" s="76">
        <v>0.60624621816435542</v>
      </c>
      <c r="BR70" s="76">
        <v>1.6</v>
      </c>
      <c r="BS70" s="76">
        <v>8.7799999999999996E-3</v>
      </c>
      <c r="BT70" s="76">
        <v>0.96551901818177432</v>
      </c>
      <c r="BU70" s="76">
        <v>1.6</v>
      </c>
      <c r="BV70" s="76">
        <v>1.5E-5</v>
      </c>
      <c r="BW70" s="76">
        <v>1.6551443847757441</v>
      </c>
    </row>
    <row r="71" spans="1:75" x14ac:dyDescent="0.15">
      <c r="A71" s="6">
        <v>1.7</v>
      </c>
      <c r="B71" s="7">
        <v>2.2000000000000001E-6</v>
      </c>
      <c r="C71" s="76">
        <v>0.13544225107757757</v>
      </c>
      <c r="D71" s="6">
        <v>1.7</v>
      </c>
      <c r="E71" s="7">
        <v>2.7999999999999999E-6</v>
      </c>
      <c r="F71" s="76">
        <v>0.98551673728495626</v>
      </c>
      <c r="G71" s="76">
        <v>1.7</v>
      </c>
      <c r="H71" s="76">
        <v>3.0699999999999998E-6</v>
      </c>
      <c r="I71" s="76">
        <v>0.84293245389503035</v>
      </c>
      <c r="J71" s="76">
        <v>1.7</v>
      </c>
      <c r="K71" s="76">
        <v>3.8600000000000003E-6</v>
      </c>
      <c r="L71" s="76">
        <v>1.6884602142937395</v>
      </c>
      <c r="M71" s="76">
        <v>1.7</v>
      </c>
      <c r="N71" s="76">
        <v>250</v>
      </c>
      <c r="O71" s="76">
        <v>0</v>
      </c>
      <c r="P71" s="76">
        <v>1.7</v>
      </c>
      <c r="Q71" s="76">
        <v>2.2299999999999998E-6</v>
      </c>
      <c r="R71" s="76">
        <v>0.17778246021283178</v>
      </c>
      <c r="S71" s="76">
        <v>1.7</v>
      </c>
      <c r="T71" s="76">
        <v>3.5700000000000001E-6</v>
      </c>
      <c r="U71" s="76">
        <v>0.57158413839948297</v>
      </c>
      <c r="V71" s="76">
        <v>1.7</v>
      </c>
      <c r="W71" s="76">
        <v>3.1E-6</v>
      </c>
      <c r="X71" s="76">
        <v>0.86473598003825736</v>
      </c>
      <c r="Y71" s="76">
        <v>1.7</v>
      </c>
      <c r="Z71" s="76">
        <v>2.2400000000000002E-6</v>
      </c>
      <c r="AA71" s="76">
        <v>8.8889474172457655E-2</v>
      </c>
      <c r="AB71" s="76">
        <v>1.7</v>
      </c>
      <c r="AC71" s="76">
        <v>2.2400000000000002E-6</v>
      </c>
      <c r="AD71" s="76">
        <v>0.13303965626361591</v>
      </c>
      <c r="AE71" s="76">
        <v>1.7</v>
      </c>
      <c r="AF71" s="76">
        <v>2.2400000000000002E-6</v>
      </c>
      <c r="AG71" s="76">
        <v>-0.18018505502679344</v>
      </c>
      <c r="AH71" s="76">
        <v>1.7</v>
      </c>
      <c r="AI71" s="76">
        <v>4.3900000000000003E-6</v>
      </c>
      <c r="AJ71" s="76">
        <v>2.1628638158807316</v>
      </c>
      <c r="AK71" s="76">
        <v>1.7</v>
      </c>
      <c r="AL71" s="76">
        <v>6.2500000000000001E-5</v>
      </c>
      <c r="AM71" s="76">
        <v>-1.6012813669732381E-2</v>
      </c>
      <c r="AN71" s="76">
        <v>1.7</v>
      </c>
      <c r="AO71" s="76">
        <v>6.46E-6</v>
      </c>
      <c r="AP71" s="76">
        <v>1.4793947973461905</v>
      </c>
      <c r="AQ71" s="76">
        <v>1.7</v>
      </c>
      <c r="AR71" s="76">
        <v>2.4700000000000001E-6</v>
      </c>
      <c r="AS71" s="76">
        <v>0</v>
      </c>
      <c r="AT71" s="76">
        <v>1.7</v>
      </c>
      <c r="AU71" s="76">
        <v>2.1600000000000001E-6</v>
      </c>
      <c r="AV71" s="76">
        <v>0.7145896398214362</v>
      </c>
      <c r="AW71" s="76">
        <v>1.7</v>
      </c>
      <c r="AX71" s="76">
        <v>3.0900000000000001E-6</v>
      </c>
      <c r="AY71" s="76">
        <v>0.68777098479317833</v>
      </c>
      <c r="AZ71" s="76">
        <v>1.7</v>
      </c>
      <c r="BA71" s="76">
        <v>2.88E-6</v>
      </c>
      <c r="BB71" s="76">
        <v>1.0223062264889995</v>
      </c>
      <c r="BC71" s="76">
        <v>1.7</v>
      </c>
      <c r="BD71" s="76">
        <v>2.3000000000000001E-4</v>
      </c>
      <c r="BE71" s="76">
        <v>0.91349778588227715</v>
      </c>
      <c r="BF71" s="76">
        <v>1.7</v>
      </c>
      <c r="BG71" s="76">
        <v>1.54E-2</v>
      </c>
      <c r="BH71" s="76">
        <v>1.1633899208414966</v>
      </c>
      <c r="BI71" s="76">
        <v>1.7</v>
      </c>
      <c r="BJ71" s="76">
        <v>2.2199999999999999E-6</v>
      </c>
      <c r="BK71" s="76">
        <v>0.65382759262851253</v>
      </c>
      <c r="BL71" s="76">
        <v>1.7</v>
      </c>
      <c r="BM71" s="76">
        <v>2.3300000000000001E-6</v>
      </c>
      <c r="BN71" s="76">
        <v>-0.12959144642506348</v>
      </c>
      <c r="BO71" s="76">
        <v>1.7</v>
      </c>
      <c r="BP71" s="76">
        <v>2.0400000000000001E-5</v>
      </c>
      <c r="BQ71" s="76">
        <v>-1.4197026127038712</v>
      </c>
      <c r="BR71" s="76">
        <v>1.7</v>
      </c>
      <c r="BS71" s="76">
        <v>9.6699999999999998E-3</v>
      </c>
      <c r="BT71" s="76">
        <v>1.5577441625309238</v>
      </c>
      <c r="BU71" s="76">
        <v>1.7</v>
      </c>
      <c r="BV71" s="76">
        <v>1.77E-5</v>
      </c>
      <c r="BW71" s="76">
        <v>0.76123695472800113</v>
      </c>
    </row>
    <row r="72" spans="1:75" x14ac:dyDescent="0.15">
      <c r="A72" s="6">
        <v>1.8</v>
      </c>
      <c r="B72" s="7">
        <v>2.2299999999999998E-6</v>
      </c>
      <c r="C72" s="76">
        <v>0.35245939061674436</v>
      </c>
      <c r="D72" s="6">
        <v>1.8</v>
      </c>
      <c r="E72" s="7">
        <v>3.0900000000000001E-6</v>
      </c>
      <c r="F72" s="76">
        <v>0.77799716078955072</v>
      </c>
      <c r="G72" s="76">
        <v>1.8</v>
      </c>
      <c r="H72" s="76">
        <v>3.3400000000000002E-6</v>
      </c>
      <c r="I72" s="76">
        <v>0.58155920157075236</v>
      </c>
      <c r="J72" s="76">
        <v>1.8</v>
      </c>
      <c r="K72" s="76">
        <v>4.5700000000000003E-6</v>
      </c>
      <c r="L72" s="76">
        <v>0.42833099994135593</v>
      </c>
      <c r="M72" s="76">
        <v>1.8</v>
      </c>
      <c r="N72" s="76">
        <v>250</v>
      </c>
      <c r="O72" s="76">
        <v>0</v>
      </c>
      <c r="P72" s="76">
        <v>1.8</v>
      </c>
      <c r="Q72" s="76">
        <v>2.2699999999999999E-6</v>
      </c>
      <c r="R72" s="76">
        <v>0.51513534450109044</v>
      </c>
      <c r="S72" s="76">
        <v>1.8</v>
      </c>
      <c r="T72" s="76">
        <v>3.7799999999999998E-6</v>
      </c>
      <c r="U72" s="76">
        <v>0.51557809664849752</v>
      </c>
      <c r="V72" s="76">
        <v>1.8</v>
      </c>
      <c r="W72" s="76">
        <v>3.3799999999999998E-6</v>
      </c>
      <c r="X72" s="76">
        <v>1.0919929196499305</v>
      </c>
      <c r="Y72" s="76">
        <v>1.8</v>
      </c>
      <c r="Z72" s="76">
        <v>2.26E-6</v>
      </c>
      <c r="AA72" s="76">
        <v>0.47525141862845349</v>
      </c>
      <c r="AB72" s="76">
        <v>1.8</v>
      </c>
      <c r="AC72" s="76">
        <v>2.2699999999999999E-6</v>
      </c>
      <c r="AD72" s="76">
        <v>0.30371097876299696</v>
      </c>
      <c r="AE72" s="76">
        <v>1.8</v>
      </c>
      <c r="AF72" s="76">
        <v>2.2000000000000001E-6</v>
      </c>
      <c r="AG72" s="76">
        <v>0.70204258673248621</v>
      </c>
      <c r="AH72" s="76">
        <v>1.8</v>
      </c>
      <c r="AI72" s="76">
        <v>5.4500000000000003E-6</v>
      </c>
      <c r="AJ72" s="76">
        <v>2.0050387587714473</v>
      </c>
      <c r="AK72" s="76">
        <v>1.8</v>
      </c>
      <c r="AL72" s="76">
        <v>6.2399999999999999E-5</v>
      </c>
      <c r="AM72" s="76">
        <v>1.9056738087959626</v>
      </c>
      <c r="AN72" s="76">
        <v>1.8</v>
      </c>
      <c r="AO72" s="76">
        <v>7.4900000000000003E-6</v>
      </c>
      <c r="AP72" s="76">
        <v>2.1966621733012412</v>
      </c>
      <c r="AQ72" s="76">
        <v>1.8</v>
      </c>
      <c r="AR72" s="76">
        <v>2.4700000000000001E-6</v>
      </c>
      <c r="AS72" s="76">
        <v>0.96413729668020443</v>
      </c>
      <c r="AT72" s="76">
        <v>1.8</v>
      </c>
      <c r="AU72" s="76">
        <v>2.3199999999999998E-6</v>
      </c>
      <c r="AV72" s="76">
        <v>-0.17391742711868852</v>
      </c>
      <c r="AW72" s="76">
        <v>1.8</v>
      </c>
      <c r="AX72" s="76">
        <v>3.3100000000000001E-6</v>
      </c>
      <c r="AY72" s="76">
        <v>0.50084104397411688</v>
      </c>
      <c r="AZ72" s="76">
        <v>1.8</v>
      </c>
      <c r="BA72" s="76">
        <v>3.19E-6</v>
      </c>
      <c r="BB72" s="76">
        <v>1.0410581034892998</v>
      </c>
      <c r="BC72" s="76">
        <v>1.8</v>
      </c>
      <c r="BD72" s="76">
        <v>2.52E-4</v>
      </c>
      <c r="BE72" s="76">
        <v>1.1954515064978304</v>
      </c>
      <c r="BF72" s="76">
        <v>1.8</v>
      </c>
      <c r="BG72" s="76">
        <v>1.7299999999999999E-2</v>
      </c>
      <c r="BH72" s="76">
        <v>1.0939859440710646</v>
      </c>
      <c r="BI72" s="76">
        <v>1.8</v>
      </c>
      <c r="BJ72" s="76">
        <v>2.3700000000000002E-6</v>
      </c>
      <c r="BK72" s="76">
        <v>-0.21322769468822528</v>
      </c>
      <c r="BL72" s="76">
        <v>1.8</v>
      </c>
      <c r="BM72" s="76">
        <v>2.3E-6</v>
      </c>
      <c r="BN72" s="76">
        <v>0.21506205220964275</v>
      </c>
      <c r="BO72" s="76">
        <v>1.8</v>
      </c>
      <c r="BP72" s="76">
        <v>1.77E-5</v>
      </c>
      <c r="BQ72" s="76">
        <v>9.0834968050134304</v>
      </c>
      <c r="BR72" s="76">
        <v>1.8</v>
      </c>
      <c r="BS72" s="76">
        <v>1.1299999999999999E-2</v>
      </c>
      <c r="BT72" s="76">
        <v>1.2464244520727623</v>
      </c>
      <c r="BU72" s="76">
        <v>1.8</v>
      </c>
      <c r="BV72" s="76">
        <v>1.91E-5</v>
      </c>
      <c r="BW72" s="76">
        <v>1.2300497963753558</v>
      </c>
    </row>
    <row r="73" spans="1:75" x14ac:dyDescent="0.15">
      <c r="A73" s="6">
        <v>1.9</v>
      </c>
      <c r="B73" s="7">
        <v>2.3099999999999999E-6</v>
      </c>
      <c r="C73" s="81">
        <v>0.34045841409717753</v>
      </c>
      <c r="D73" s="6">
        <v>1.9</v>
      </c>
      <c r="E73" s="7">
        <v>3.3400000000000002E-6</v>
      </c>
      <c r="F73" s="81">
        <v>0.58155920157075103</v>
      </c>
      <c r="G73" s="81">
        <v>1.9</v>
      </c>
      <c r="H73" s="81">
        <v>3.54E-6</v>
      </c>
      <c r="I73" s="81">
        <v>0.52281506510039888</v>
      </c>
      <c r="J73" s="81">
        <v>1.9</v>
      </c>
      <c r="K73" s="81">
        <v>4.7700000000000001E-6</v>
      </c>
      <c r="L73" s="81">
        <v>1.3143275596760151</v>
      </c>
      <c r="M73" s="81">
        <v>1.9</v>
      </c>
      <c r="N73" s="81">
        <v>250</v>
      </c>
      <c r="O73" s="81">
        <v>0</v>
      </c>
      <c r="P73" s="81">
        <v>1.9</v>
      </c>
      <c r="Q73" s="81">
        <v>2.39E-6</v>
      </c>
      <c r="R73" s="81">
        <v>-0.12631746905901398</v>
      </c>
      <c r="S73" s="81">
        <v>1.9</v>
      </c>
      <c r="T73" s="81">
        <v>3.98E-6</v>
      </c>
      <c r="U73" s="81">
        <v>0.63281449947520885</v>
      </c>
      <c r="V73" s="81">
        <v>1.9</v>
      </c>
      <c r="W73" s="81">
        <v>3.7699999999999999E-6</v>
      </c>
      <c r="X73" s="81">
        <v>0.83911972250342892</v>
      </c>
      <c r="Y73" s="76">
        <v>1.9</v>
      </c>
      <c r="Z73" s="76">
        <v>2.3700000000000002E-6</v>
      </c>
      <c r="AA73" s="76">
        <v>0.45368605029850034</v>
      </c>
      <c r="AB73" s="76">
        <v>1.9</v>
      </c>
      <c r="AC73" s="76">
        <v>2.34E-6</v>
      </c>
      <c r="AD73" s="76">
        <v>0.54067221270274812</v>
      </c>
      <c r="AE73" s="76">
        <v>1.9</v>
      </c>
      <c r="AF73" s="76">
        <v>2.3599999999999999E-6</v>
      </c>
      <c r="AG73" s="76">
        <v>-0.12793351459908553</v>
      </c>
      <c r="AH73" s="76">
        <v>1.9</v>
      </c>
      <c r="AI73" s="76">
        <v>6.6599999999999998E-6</v>
      </c>
      <c r="AJ73" s="76">
        <v>1.2542807870863537</v>
      </c>
      <c r="AK73" s="76">
        <v>1.9</v>
      </c>
      <c r="AL73" s="76">
        <v>7.5500000000000006E-5</v>
      </c>
      <c r="AM73" s="76">
        <v>0.75242616753516889</v>
      </c>
      <c r="AN73" s="76">
        <v>1.9</v>
      </c>
      <c r="AO73" s="76">
        <v>9.3300000000000005E-6</v>
      </c>
      <c r="AP73" s="76">
        <v>2.8446145775173877</v>
      </c>
      <c r="AQ73" s="76">
        <v>1.9</v>
      </c>
      <c r="AR73" s="76">
        <v>2.7199999999999998E-6</v>
      </c>
      <c r="AS73" s="76">
        <v>2.2608041098751896</v>
      </c>
      <c r="AT73" s="76">
        <v>1.9</v>
      </c>
      <c r="AU73" s="76">
        <v>2.2800000000000002E-6</v>
      </c>
      <c r="AV73" s="76">
        <v>0.38714512180691296</v>
      </c>
      <c r="AW73" s="76">
        <v>1.9</v>
      </c>
      <c r="AX73" s="76">
        <v>3.4800000000000001E-6</v>
      </c>
      <c r="AY73" s="76">
        <v>0.33901551675681291</v>
      </c>
      <c r="AZ73" s="76">
        <v>1.9</v>
      </c>
      <c r="BA73" s="76">
        <v>3.54E-6</v>
      </c>
      <c r="BB73" s="76">
        <v>0.60292230256118573</v>
      </c>
      <c r="BC73" s="76">
        <v>1.9</v>
      </c>
      <c r="BD73" s="76">
        <v>2.8400000000000002E-4</v>
      </c>
      <c r="BE73" s="76">
        <v>1.1934675763256652</v>
      </c>
      <c r="BF73" s="76">
        <v>1.9</v>
      </c>
      <c r="BG73" s="76">
        <v>1.9300000000000001E-2</v>
      </c>
      <c r="BH73" s="76">
        <v>1.0328582611696593</v>
      </c>
      <c r="BI73" s="76">
        <v>1.9</v>
      </c>
      <c r="BJ73" s="76">
        <v>2.3199999999999998E-6</v>
      </c>
      <c r="BK73" s="76">
        <v>0.2972618026520199</v>
      </c>
      <c r="BL73" s="76">
        <v>1.9</v>
      </c>
      <c r="BM73" s="76">
        <v>2.3499999999999999E-6</v>
      </c>
      <c r="BN73" s="76">
        <v>0.37582711149042292</v>
      </c>
      <c r="BO73" s="76">
        <v>1.9</v>
      </c>
      <c r="BP73" s="76">
        <v>4.3900000000000003E-5</v>
      </c>
      <c r="BQ73" s="76">
        <v>0.91367857030590394</v>
      </c>
      <c r="BR73" s="76">
        <v>1.9</v>
      </c>
      <c r="BS73" s="76">
        <v>1.2800000000000001E-2</v>
      </c>
      <c r="BT73" s="76">
        <v>1.1778303565638371</v>
      </c>
      <c r="BU73" s="76">
        <v>1.9</v>
      </c>
      <c r="BV73" s="76">
        <v>2.16E-5</v>
      </c>
      <c r="BW73" s="76">
        <v>1.2188981760903761</v>
      </c>
    </row>
    <row r="74" spans="1:75" x14ac:dyDescent="0.15">
      <c r="A74" s="6">
        <v>2</v>
      </c>
      <c r="B74" s="7">
        <v>2.39E-6</v>
      </c>
      <c r="C74" s="76">
        <v>4.1753714104810734E-2</v>
      </c>
      <c r="D74" s="6">
        <v>2</v>
      </c>
      <c r="E74" s="7">
        <v>3.54E-6</v>
      </c>
      <c r="F74" s="76">
        <v>0.76123695472800113</v>
      </c>
      <c r="G74" s="76">
        <v>2</v>
      </c>
      <c r="H74" s="76">
        <v>3.7299999999999999E-6</v>
      </c>
      <c r="I74" s="76">
        <v>0.47129140341549869</v>
      </c>
      <c r="J74" s="76">
        <v>2</v>
      </c>
      <c r="K74" s="76">
        <v>5.4399999999999996E-6</v>
      </c>
      <c r="L74" s="76">
        <v>1.8415810460125555</v>
      </c>
      <c r="M74" s="76">
        <v>2</v>
      </c>
      <c r="N74" s="76">
        <v>250</v>
      </c>
      <c r="O74" s="76">
        <v>0</v>
      </c>
      <c r="P74" s="76">
        <v>2</v>
      </c>
      <c r="Q74" s="76">
        <v>2.3599999999999999E-6</v>
      </c>
      <c r="R74" s="76">
        <v>0.85244279869609507</v>
      </c>
      <c r="S74" s="76">
        <v>2</v>
      </c>
      <c r="T74" s="76">
        <v>4.2400000000000001E-6</v>
      </c>
      <c r="U74" s="76">
        <v>0.79316754828585734</v>
      </c>
      <c r="V74" s="76">
        <v>2</v>
      </c>
      <c r="W74" s="76">
        <v>4.0999999999999997E-6</v>
      </c>
      <c r="X74" s="76">
        <v>0.84161792321710316</v>
      </c>
      <c r="Y74" s="76">
        <v>2</v>
      </c>
      <c r="Z74" s="76">
        <v>2.48E-6</v>
      </c>
      <c r="AA74" s="76">
        <v>0.35647338730237588</v>
      </c>
      <c r="AB74" s="76">
        <v>2</v>
      </c>
      <c r="AC74" s="76">
        <v>2.4700000000000001E-6</v>
      </c>
      <c r="AD74" s="76">
        <v>0.31875208530449201</v>
      </c>
      <c r="AE74" s="76">
        <v>2</v>
      </c>
      <c r="AF74" s="76">
        <v>2.3300000000000001E-6</v>
      </c>
      <c r="AG74" s="76">
        <v>0.74414485566082367</v>
      </c>
      <c r="AH74" s="76">
        <v>2</v>
      </c>
      <c r="AI74" s="76">
        <v>7.5499999999999997E-6</v>
      </c>
      <c r="AJ74" s="76">
        <v>1.8562734492845385</v>
      </c>
      <c r="AK74" s="76">
        <v>2</v>
      </c>
      <c r="AL74" s="76">
        <v>8.14E-5</v>
      </c>
      <c r="AM74" s="76">
        <v>-0.83221382485321549</v>
      </c>
      <c r="AN74" s="76">
        <v>2</v>
      </c>
      <c r="AO74" s="76">
        <v>1.24E-5</v>
      </c>
      <c r="AP74" s="76">
        <v>1.3554549199622368</v>
      </c>
      <c r="AQ74" s="76">
        <v>2</v>
      </c>
      <c r="AR74" s="76">
        <v>3.41E-6</v>
      </c>
      <c r="AS74" s="76">
        <v>1.7200458982302342</v>
      </c>
      <c r="AT74" s="76">
        <v>2</v>
      </c>
      <c r="AU74" s="76">
        <v>2.3700000000000002E-6</v>
      </c>
      <c r="AV74" s="76">
        <v>1.154361676465675</v>
      </c>
      <c r="AW74" s="76">
        <v>2</v>
      </c>
      <c r="AX74" s="76">
        <v>3.5999999999999998E-6</v>
      </c>
      <c r="AY74" s="76">
        <v>0.56695343676544441</v>
      </c>
      <c r="AZ74" s="76">
        <v>2</v>
      </c>
      <c r="BA74" s="76">
        <v>3.76E-6</v>
      </c>
      <c r="BB74" s="76">
        <v>0.33990200228553008</v>
      </c>
      <c r="BC74" s="76">
        <v>2</v>
      </c>
      <c r="BD74" s="76">
        <v>3.2000000000000003E-4</v>
      </c>
      <c r="BE74" s="76">
        <v>0.75223421237587229</v>
      </c>
      <c r="BF74" s="76">
        <v>2</v>
      </c>
      <c r="BG74" s="76">
        <v>2.1399999999999999E-2</v>
      </c>
      <c r="BH74" s="76">
        <v>1.0208412611327935</v>
      </c>
      <c r="BI74" s="76">
        <v>2</v>
      </c>
      <c r="BJ74" s="76">
        <v>2.39E-6</v>
      </c>
      <c r="BK74" s="76">
        <v>0.80364509768026271</v>
      </c>
      <c r="BL74" s="76">
        <v>2</v>
      </c>
      <c r="BM74" s="76">
        <v>2.4399999999999999E-6</v>
      </c>
      <c r="BN74" s="76">
        <v>0.12220111334775285</v>
      </c>
      <c r="BO74" s="76">
        <v>2</v>
      </c>
      <c r="BP74" s="76">
        <v>4.8099999999999997E-5</v>
      </c>
      <c r="BQ74" s="76">
        <v>-3.8285366172161659</v>
      </c>
      <c r="BR74" s="76">
        <v>2</v>
      </c>
      <c r="BS74" s="76">
        <v>1.44E-2</v>
      </c>
      <c r="BT74" s="76">
        <v>0.99090902644230727</v>
      </c>
      <c r="BU74" s="76">
        <v>2</v>
      </c>
      <c r="BV74" s="76">
        <v>2.44E-5</v>
      </c>
      <c r="BW74" s="76">
        <v>2.066142493629977</v>
      </c>
    </row>
    <row r="75" spans="1:75" x14ac:dyDescent="0.15">
      <c r="A75" s="6">
        <v>2.1</v>
      </c>
      <c r="B75" s="7">
        <v>2.3999999999999999E-6</v>
      </c>
      <c r="C75" s="76">
        <v>0.76189138357545194</v>
      </c>
      <c r="D75" s="6">
        <v>2.1</v>
      </c>
      <c r="E75" s="7">
        <v>3.8199999999999998E-6</v>
      </c>
      <c r="F75" s="76">
        <v>0.55994269354574255</v>
      </c>
      <c r="G75" s="76">
        <v>2.1</v>
      </c>
      <c r="H75" s="76">
        <v>3.9099999999999998E-6</v>
      </c>
      <c r="I75" s="76">
        <v>0.47449599712988855</v>
      </c>
      <c r="J75" s="76">
        <v>2.1</v>
      </c>
      <c r="K75" s="76">
        <v>6.5400000000000001E-6</v>
      </c>
      <c r="L75" s="76">
        <v>2.1885301454534183</v>
      </c>
      <c r="M75" s="76">
        <v>2.1</v>
      </c>
      <c r="N75" s="76">
        <v>250</v>
      </c>
      <c r="O75" s="76">
        <v>0</v>
      </c>
      <c r="P75" s="76">
        <v>2.1</v>
      </c>
      <c r="Q75" s="76">
        <v>2.57E-6</v>
      </c>
      <c r="R75" s="76">
        <v>2.0666612869169203</v>
      </c>
      <c r="S75" s="76">
        <v>2.1</v>
      </c>
      <c r="T75" s="76">
        <v>4.5900000000000001E-6</v>
      </c>
      <c r="U75" s="76">
        <v>0.75507552508145825</v>
      </c>
      <c r="V75" s="76">
        <v>2.1</v>
      </c>
      <c r="W75" s="76">
        <v>4.4599999999999996E-6</v>
      </c>
      <c r="X75" s="76">
        <v>1.438479486436711</v>
      </c>
      <c r="Y75" s="76">
        <v>2.1</v>
      </c>
      <c r="Z75" s="76">
        <v>2.57E-6</v>
      </c>
      <c r="AA75" s="76">
        <v>2.2547546064918911</v>
      </c>
      <c r="AB75" s="76">
        <v>2.1</v>
      </c>
      <c r="AC75" s="76">
        <v>2.5500000000000001E-6</v>
      </c>
      <c r="AD75" s="76">
        <v>2.0493964538172786</v>
      </c>
      <c r="AE75" s="76">
        <v>2.1</v>
      </c>
      <c r="AF75" s="76">
        <v>2.5100000000000001E-6</v>
      </c>
      <c r="AG75" s="76">
        <v>2.1433997304745116</v>
      </c>
      <c r="AH75" s="76">
        <v>2.1</v>
      </c>
      <c r="AI75" s="76">
        <v>9.0899999999999994E-6</v>
      </c>
      <c r="AJ75" s="76">
        <v>2.6092462328223198</v>
      </c>
      <c r="AK75" s="76">
        <v>2.1</v>
      </c>
      <c r="AL75" s="76">
        <v>7.4900000000000005E-5</v>
      </c>
      <c r="AM75" s="76">
        <v>1.8031687854157659</v>
      </c>
      <c r="AN75" s="76">
        <v>2.1</v>
      </c>
      <c r="AO75" s="76">
        <v>1.42E-5</v>
      </c>
      <c r="AP75" s="76">
        <v>2.1465693743689034</v>
      </c>
      <c r="AQ75" s="76">
        <v>2.1</v>
      </c>
      <c r="AR75" s="76">
        <v>4.0500000000000002E-6</v>
      </c>
      <c r="AS75" s="76">
        <v>1.7198020299922041</v>
      </c>
      <c r="AT75" s="76">
        <v>2.1</v>
      </c>
      <c r="AU75" s="76">
        <v>2.6599999999999999E-6</v>
      </c>
      <c r="AV75" s="76">
        <v>1.6907633004393381</v>
      </c>
      <c r="AW75" s="76">
        <v>2.1</v>
      </c>
      <c r="AX75" s="76">
        <v>3.8099999999999999E-6</v>
      </c>
      <c r="AY75" s="76">
        <v>0.73357784571653473</v>
      </c>
      <c r="AZ75" s="76">
        <v>2.1</v>
      </c>
      <c r="BA75" s="76">
        <v>3.89E-6</v>
      </c>
      <c r="BB75" s="76">
        <v>0.45233841824147764</v>
      </c>
      <c r="BC75" s="76">
        <v>2.1</v>
      </c>
      <c r="BD75" s="76">
        <v>3.4499999999999998E-4</v>
      </c>
      <c r="BE75" s="76">
        <v>1.5787046092979016</v>
      </c>
      <c r="BF75" s="76">
        <v>2.1</v>
      </c>
      <c r="BG75" s="76">
        <v>2.3699999999999999E-2</v>
      </c>
      <c r="BH75" s="76">
        <v>1.1166968485109088</v>
      </c>
      <c r="BI75" s="76">
        <v>2.1</v>
      </c>
      <c r="BJ75" s="76">
        <v>2.5900000000000002E-6</v>
      </c>
      <c r="BK75" s="76">
        <v>1.8296485047969731</v>
      </c>
      <c r="BL75" s="76">
        <v>2.1</v>
      </c>
      <c r="BM75" s="76">
        <v>2.4700000000000001E-6</v>
      </c>
      <c r="BN75" s="76">
        <v>0.58956167133119963</v>
      </c>
      <c r="BO75" s="76">
        <v>2.1</v>
      </c>
      <c r="BP75" s="76">
        <v>3.2799999999999998E-5</v>
      </c>
      <c r="BQ75" s="76">
        <v>16.155169585104797</v>
      </c>
      <c r="BR75" s="76">
        <v>2.1</v>
      </c>
      <c r="BS75" s="76">
        <v>1.5900000000000001E-2</v>
      </c>
      <c r="BT75" s="76">
        <v>0.30962225603967192</v>
      </c>
      <c r="BU75" s="76">
        <v>2.1</v>
      </c>
      <c r="BV75" s="76">
        <v>3.0000000000000001E-5</v>
      </c>
      <c r="BW75" s="76">
        <v>0.76961041136129826</v>
      </c>
    </row>
    <row r="76" spans="1:75" x14ac:dyDescent="0.15">
      <c r="A76" s="6">
        <v>2.2000000000000002</v>
      </c>
      <c r="B76" s="7">
        <v>2.5900000000000002E-6</v>
      </c>
      <c r="C76" s="76">
        <v>2.114929340942354</v>
      </c>
      <c r="D76" s="6">
        <v>2.2000000000000002</v>
      </c>
      <c r="E76" s="7">
        <v>4.0400000000000003E-6</v>
      </c>
      <c r="F76" s="76">
        <v>0.78518317134440629</v>
      </c>
      <c r="G76" s="76">
        <v>2.2000000000000002</v>
      </c>
      <c r="H76" s="76">
        <v>4.0999999999999997E-6</v>
      </c>
      <c r="I76" s="76">
        <v>0.49950930405394622</v>
      </c>
      <c r="J76" s="76">
        <v>2.2000000000000002</v>
      </c>
      <c r="K76" s="76">
        <v>8.14E-6</v>
      </c>
      <c r="L76" s="76">
        <v>44.782856605851876</v>
      </c>
      <c r="M76" s="76">
        <v>2.2000000000000002</v>
      </c>
      <c r="N76" s="76">
        <v>250</v>
      </c>
      <c r="O76" s="76">
        <v>0</v>
      </c>
      <c r="P76" s="76">
        <v>2.2000000000000002</v>
      </c>
      <c r="Q76" s="76">
        <v>3.1599999999999998E-6</v>
      </c>
      <c r="R76" s="76">
        <v>1.1918851726511945</v>
      </c>
      <c r="S76" s="76">
        <v>2.2000000000000002</v>
      </c>
      <c r="T76" s="76">
        <v>4.95E-6</v>
      </c>
      <c r="U76" s="76">
        <v>-2.0222453807683467E-2</v>
      </c>
      <c r="V76" s="76">
        <v>2.2000000000000002</v>
      </c>
      <c r="W76" s="76">
        <v>5.1499999999999998E-6</v>
      </c>
      <c r="X76" s="76">
        <v>4.5039515785736111</v>
      </c>
      <c r="Y76" s="76">
        <v>2.2000000000000002</v>
      </c>
      <c r="Z76" s="76">
        <v>3.2200000000000001E-6</v>
      </c>
      <c r="AA76" s="76">
        <v>1.335313926245232</v>
      </c>
      <c r="AB76" s="76">
        <v>2.2000000000000002</v>
      </c>
      <c r="AC76" s="76">
        <v>3.1300000000000001E-6</v>
      </c>
      <c r="AD76" s="76">
        <v>1.5095067709658725</v>
      </c>
      <c r="AE76" s="76">
        <v>2.2000000000000002</v>
      </c>
      <c r="AF76" s="76">
        <v>3.1099999999999999E-6</v>
      </c>
      <c r="AG76" s="76">
        <v>1.2667514475406216</v>
      </c>
      <c r="AH76" s="76">
        <v>2.2000000000000002</v>
      </c>
      <c r="AI76" s="76">
        <v>1.1800000000000001E-5</v>
      </c>
      <c r="AJ76" s="76">
        <v>0.25105921131075437</v>
      </c>
      <c r="AK76" s="76">
        <v>2.2000000000000002</v>
      </c>
      <c r="AL76" s="76">
        <v>8.9699999999999998E-5</v>
      </c>
      <c r="AM76" s="76">
        <v>1.3825821916488628</v>
      </c>
      <c r="AN76" s="76">
        <v>2.2000000000000002</v>
      </c>
      <c r="AO76" s="76">
        <v>1.7600000000000001E-5</v>
      </c>
      <c r="AP76" s="76">
        <v>2.8483712031955046</v>
      </c>
      <c r="AQ76" s="76">
        <v>2.2000000000000002</v>
      </c>
      <c r="AR76" s="76">
        <v>4.8099999999999997E-6</v>
      </c>
      <c r="AS76" s="76">
        <v>1.9915754972233728</v>
      </c>
      <c r="AT76" s="76">
        <v>2.2000000000000002</v>
      </c>
      <c r="AU76" s="76">
        <v>3.1499999999999999E-6</v>
      </c>
      <c r="AV76" s="76">
        <v>1.1105853677246498</v>
      </c>
      <c r="AW76" s="76">
        <v>2.2000000000000002</v>
      </c>
      <c r="AX76" s="76">
        <v>4.0999999999999997E-6</v>
      </c>
      <c r="AY76" s="76">
        <v>0.88636072716632297</v>
      </c>
      <c r="AZ76" s="76">
        <v>2.2000000000000002</v>
      </c>
      <c r="BA76" s="76">
        <v>4.07E-6</v>
      </c>
      <c r="BB76" s="76">
        <v>0.77961541469712181</v>
      </c>
      <c r="BC76" s="76">
        <v>2.2000000000000002</v>
      </c>
      <c r="BD76" s="76">
        <v>4.0400000000000001E-4</v>
      </c>
      <c r="BE76" s="76">
        <v>1.1888254098980109</v>
      </c>
      <c r="BF76" s="76">
        <v>2.2000000000000002</v>
      </c>
      <c r="BG76" s="76">
        <v>2.6499999999999999E-2</v>
      </c>
      <c r="BH76" s="76">
        <v>0.65717071657015913</v>
      </c>
      <c r="BI76" s="76">
        <v>2.2000000000000002</v>
      </c>
      <c r="BJ76" s="76">
        <v>3.1099999999999999E-6</v>
      </c>
      <c r="BK76" s="76">
        <v>1.1814024230422546</v>
      </c>
      <c r="BL76" s="76">
        <v>2.2000000000000002</v>
      </c>
      <c r="BM76" s="76">
        <v>2.6199999999999999E-6</v>
      </c>
      <c r="BN76" s="76">
        <v>2.0620704178331266</v>
      </c>
      <c r="BO76" s="76">
        <v>2.2000000000000002</v>
      </c>
      <c r="BP76" s="76">
        <v>1.65E-4</v>
      </c>
      <c r="BQ76" s="76">
        <v>-1.0199916795512145</v>
      </c>
      <c r="BR76" s="76">
        <v>2.2000000000000002</v>
      </c>
      <c r="BS76" s="76">
        <v>1.6400000000000001E-2</v>
      </c>
      <c r="BT76" s="76">
        <v>1.2588024588900293</v>
      </c>
      <c r="BU76" s="76">
        <v>2.2000000000000002</v>
      </c>
      <c r="BV76" s="76">
        <v>3.2400000000000001E-5</v>
      </c>
      <c r="BW76" s="76">
        <v>0.99789470608369868</v>
      </c>
    </row>
    <row r="77" spans="1:75" x14ac:dyDescent="0.15">
      <c r="A77" s="6">
        <v>2.2999999999999998</v>
      </c>
      <c r="B77" s="7">
        <v>3.1999999999999999E-6</v>
      </c>
      <c r="C77" s="76">
        <v>1.2883287184296843</v>
      </c>
      <c r="D77" s="6">
        <v>2.2999999999999998</v>
      </c>
      <c r="E77" s="7">
        <v>4.3699999999999997E-6</v>
      </c>
      <c r="F77" s="76">
        <v>0.66396062573307491</v>
      </c>
      <c r="G77" s="76">
        <v>2.2999999999999998</v>
      </c>
      <c r="H77" s="76">
        <v>4.3100000000000002E-6</v>
      </c>
      <c r="I77" s="76">
        <v>0.541893288472028</v>
      </c>
      <c r="J77" s="76">
        <v>2.2999999999999998</v>
      </c>
      <c r="K77" s="76">
        <v>7.1699999999999997E-4</v>
      </c>
      <c r="L77" s="76">
        <v>-3.135841562785779</v>
      </c>
      <c r="M77" s="76">
        <v>2.2999999999999998</v>
      </c>
      <c r="N77" s="76">
        <v>250</v>
      </c>
      <c r="O77" s="76">
        <v>0</v>
      </c>
      <c r="P77" s="76">
        <v>2.2999999999999998</v>
      </c>
      <c r="Q77" s="76">
        <v>3.5599999999999998E-6</v>
      </c>
      <c r="R77" s="76">
        <v>0.91216008271661686</v>
      </c>
      <c r="S77" s="76">
        <v>2.2999999999999998</v>
      </c>
      <c r="T77" s="76">
        <v>4.9400000000000001E-6</v>
      </c>
      <c r="U77" s="76">
        <v>1.0373976976009294</v>
      </c>
      <c r="V77" s="76">
        <v>2.2999999999999998</v>
      </c>
      <c r="W77" s="76">
        <v>8.0800000000000006E-6</v>
      </c>
      <c r="X77" s="76">
        <v>4.6005329839256737</v>
      </c>
      <c r="Y77" s="76">
        <v>2.2999999999999998</v>
      </c>
      <c r="Z77" s="76">
        <v>3.6799999999999999E-6</v>
      </c>
      <c r="AA77" s="76">
        <v>1.1294041118059528</v>
      </c>
      <c r="AB77" s="76">
        <v>2.2999999999999998</v>
      </c>
      <c r="AC77" s="76">
        <v>3.6399999999999999E-6</v>
      </c>
      <c r="AD77" s="76">
        <v>1.3832756488801565</v>
      </c>
      <c r="AE77" s="76">
        <v>2.2999999999999998</v>
      </c>
      <c r="AF77" s="76">
        <v>3.5300000000000001E-6</v>
      </c>
      <c r="AG77" s="76">
        <v>1.0734155493596367</v>
      </c>
      <c r="AH77" s="76">
        <v>2.2999999999999998</v>
      </c>
      <c r="AI77" s="76">
        <v>1.2099999999999999E-5</v>
      </c>
      <c r="AJ77" s="76">
        <v>1.386833875339518</v>
      </c>
      <c r="AK77" s="76">
        <v>2.2999999999999998</v>
      </c>
      <c r="AL77" s="76">
        <v>1.03E-4</v>
      </c>
      <c r="AM77" s="76">
        <v>1.6929205650361985</v>
      </c>
      <c r="AN77" s="76">
        <v>2.2999999999999998</v>
      </c>
      <c r="AO77" s="76">
        <v>2.34E-5</v>
      </c>
      <c r="AP77" s="76">
        <v>2.2143268691057987</v>
      </c>
      <c r="AQ77" s="76">
        <v>2.2999999999999998</v>
      </c>
      <c r="AR77" s="76">
        <v>5.8699999999999997E-6</v>
      </c>
      <c r="AS77" s="76">
        <v>2.2484567938474047</v>
      </c>
      <c r="AT77" s="76">
        <v>2.2999999999999998</v>
      </c>
      <c r="AU77" s="76">
        <v>3.5200000000000002E-6</v>
      </c>
      <c r="AV77" s="76">
        <v>0.89612158689686006</v>
      </c>
      <c r="AW77" s="76">
        <v>2.2999999999999998</v>
      </c>
      <c r="AX77" s="76">
        <v>4.4800000000000003E-6</v>
      </c>
      <c r="AY77" s="76">
        <v>0.99764530153704367</v>
      </c>
      <c r="AZ77" s="76">
        <v>2.2999999999999998</v>
      </c>
      <c r="BA77" s="76">
        <v>4.4000000000000002E-6</v>
      </c>
      <c r="BB77" s="76">
        <v>1.1373444713038328</v>
      </c>
      <c r="BC77" s="76">
        <v>2.2999999999999998</v>
      </c>
      <c r="BD77" s="76">
        <v>4.55E-4</v>
      </c>
      <c r="BE77" s="76">
        <v>1.2774545555747785</v>
      </c>
      <c r="BF77" s="76">
        <v>2.2999999999999998</v>
      </c>
      <c r="BG77" s="76">
        <v>2.8299999999999999E-2</v>
      </c>
      <c r="BH77" s="76">
        <v>0.7158080376298408</v>
      </c>
      <c r="BI77" s="76">
        <v>2.2999999999999998</v>
      </c>
      <c r="BJ77" s="76">
        <v>3.4999999999999999E-6</v>
      </c>
      <c r="BK77" s="76">
        <v>0.84866220643240375</v>
      </c>
      <c r="BL77" s="76">
        <v>2.2999999999999998</v>
      </c>
      <c r="BM77" s="76">
        <v>3.2200000000000001E-6</v>
      </c>
      <c r="BN77" s="76">
        <v>1.1432641278847189</v>
      </c>
      <c r="BO77" s="76">
        <v>2.2999999999999998</v>
      </c>
      <c r="BP77" s="76">
        <v>1.4899999999999999E-4</v>
      </c>
      <c r="BQ77" s="76">
        <v>4.5137480941224295</v>
      </c>
      <c r="BR77" s="76">
        <v>2.2999999999999998</v>
      </c>
      <c r="BS77" s="76">
        <v>1.8599999999999998E-2</v>
      </c>
      <c r="BT77" s="76">
        <v>1.0697211955216792</v>
      </c>
      <c r="BU77" s="76">
        <v>2.2999999999999998</v>
      </c>
      <c r="BV77" s="76">
        <v>3.5800000000000003E-5</v>
      </c>
      <c r="BW77" s="76">
        <v>1.597217248767143</v>
      </c>
    </row>
    <row r="78" spans="1:75" x14ac:dyDescent="0.15">
      <c r="A78" s="6">
        <v>2.4</v>
      </c>
      <c r="B78" s="7">
        <v>3.6399999999999999E-6</v>
      </c>
      <c r="C78" s="76">
        <v>0.8929813764769704</v>
      </c>
      <c r="D78" s="6">
        <v>2.4</v>
      </c>
      <c r="E78" s="7">
        <v>4.6700000000000002E-6</v>
      </c>
      <c r="F78" s="76">
        <v>1.0171361683953064</v>
      </c>
      <c r="G78" s="76">
        <v>2.4</v>
      </c>
      <c r="H78" s="76">
        <v>4.5499999999999996E-6</v>
      </c>
      <c r="I78" s="76">
        <v>0.63851471986531239</v>
      </c>
      <c r="J78" s="76">
        <v>2.4</v>
      </c>
      <c r="K78" s="76">
        <v>5.2400000000000005E-4</v>
      </c>
      <c r="L78" s="76">
        <v>4.0800640553683607</v>
      </c>
      <c r="M78" s="76">
        <v>2.4</v>
      </c>
      <c r="N78" s="76">
        <v>250</v>
      </c>
      <c r="O78" s="76">
        <v>0</v>
      </c>
      <c r="P78" s="76">
        <v>2.4</v>
      </c>
      <c r="Q78" s="76">
        <v>3.8999999999999999E-6</v>
      </c>
      <c r="R78" s="76">
        <v>0.78858574912318891</v>
      </c>
      <c r="S78" s="76">
        <v>2.4</v>
      </c>
      <c r="T78" s="76">
        <v>5.48E-6</v>
      </c>
      <c r="U78" s="76">
        <v>1.5519288940570228</v>
      </c>
      <c r="V78" s="76">
        <v>2.4</v>
      </c>
      <c r="W78" s="76">
        <v>1.2799999999999999E-5</v>
      </c>
      <c r="X78" s="76">
        <v>4.8550781578169966</v>
      </c>
      <c r="Y78" s="76">
        <v>2.4</v>
      </c>
      <c r="Z78" s="76">
        <v>4.1200000000000004E-6</v>
      </c>
      <c r="AA78" s="76">
        <v>1.1237469364712096</v>
      </c>
      <c r="AB78" s="76">
        <v>2.4</v>
      </c>
      <c r="AC78" s="76">
        <v>4.1799999999999998E-6</v>
      </c>
      <c r="AD78" s="76">
        <v>1.4453522112781578</v>
      </c>
      <c r="AE78" s="76">
        <v>2.4</v>
      </c>
      <c r="AF78" s="76">
        <v>3.9299999999999996E-6</v>
      </c>
      <c r="AG78" s="76">
        <v>1.0612358322632955</v>
      </c>
      <c r="AH78" s="76">
        <v>2.4</v>
      </c>
      <c r="AI78" s="76">
        <v>1.3900000000000001E-5</v>
      </c>
      <c r="AJ78" s="76">
        <v>1.217718722176161</v>
      </c>
      <c r="AK78" s="76">
        <v>2.4</v>
      </c>
      <c r="AL78" s="76">
        <v>1.22E-4</v>
      </c>
      <c r="AM78" s="76">
        <v>1.4473884564491244</v>
      </c>
      <c r="AN78" s="76">
        <v>2.4</v>
      </c>
      <c r="AO78" s="76">
        <v>2.9200000000000002E-5</v>
      </c>
      <c r="AP78" s="76">
        <v>2.9450803752218109</v>
      </c>
      <c r="AQ78" s="76">
        <v>2.4</v>
      </c>
      <c r="AR78" s="76">
        <v>7.3499999999999999E-6</v>
      </c>
      <c r="AS78" s="76">
        <v>2.4387944979338783</v>
      </c>
      <c r="AT78" s="76">
        <v>2.4</v>
      </c>
      <c r="AU78" s="76">
        <v>3.8500000000000004E-6</v>
      </c>
      <c r="AV78" s="76">
        <v>0.79842887511016802</v>
      </c>
      <c r="AW78" s="76">
        <v>2.4</v>
      </c>
      <c r="AX78" s="76">
        <v>4.95E-6</v>
      </c>
      <c r="AY78" s="76">
        <v>0.39609138095045149</v>
      </c>
      <c r="AZ78" s="76">
        <v>2.4</v>
      </c>
      <c r="BA78" s="76">
        <v>4.9300000000000002E-6</v>
      </c>
      <c r="BB78" s="76">
        <v>0.9291010480379206</v>
      </c>
      <c r="BC78" s="76">
        <v>2.4</v>
      </c>
      <c r="BD78" s="76">
        <v>5.1699999999999999E-4</v>
      </c>
      <c r="BE78" s="76">
        <v>1.6213200745773801</v>
      </c>
      <c r="BF78" s="76">
        <v>2.4</v>
      </c>
      <c r="BG78" s="76">
        <v>3.04E-2</v>
      </c>
      <c r="BH78" s="76">
        <v>1.0601819407679693</v>
      </c>
      <c r="BI78" s="76">
        <v>2.4</v>
      </c>
      <c r="BJ78" s="76">
        <v>3.8099999999999999E-6</v>
      </c>
      <c r="BK78" s="76">
        <v>0.85479145103997489</v>
      </c>
      <c r="BL78" s="76">
        <v>2.4</v>
      </c>
      <c r="BM78" s="76">
        <v>3.6100000000000002E-6</v>
      </c>
      <c r="BN78" s="76">
        <v>1.0008345855698222</v>
      </c>
      <c r="BO78" s="76">
        <v>2.4</v>
      </c>
      <c r="BP78" s="76">
        <v>2.34E-4</v>
      </c>
      <c r="BQ78" s="76">
        <v>-0.52643733485423239</v>
      </c>
      <c r="BR78" s="76">
        <v>2.4</v>
      </c>
      <c r="BS78" s="76">
        <v>2.07E-2</v>
      </c>
      <c r="BT78" s="76">
        <v>0.69958588606909999</v>
      </c>
      <c r="BU78" s="76">
        <v>2.4</v>
      </c>
      <c r="BV78" s="76">
        <v>4.1999999999999998E-5</v>
      </c>
      <c r="BW78" s="76">
        <v>1.9415601444095802</v>
      </c>
    </row>
    <row r="79" spans="1:75" x14ac:dyDescent="0.15">
      <c r="A79" s="6">
        <v>2.5</v>
      </c>
      <c r="B79" s="7">
        <v>3.98E-6</v>
      </c>
      <c r="C79" s="76">
        <v>1.2057088245781589</v>
      </c>
      <c r="D79" s="6">
        <v>2.5</v>
      </c>
      <c r="E79" s="7">
        <v>5.1699999999999996E-6</v>
      </c>
      <c r="F79" s="76">
        <v>1.5221457080039245</v>
      </c>
      <c r="G79" s="76">
        <v>2.5</v>
      </c>
      <c r="H79" s="76">
        <v>4.8500000000000002E-6</v>
      </c>
      <c r="I79" s="76">
        <v>1.0556667997151505</v>
      </c>
      <c r="J79" s="76">
        <v>2.5</v>
      </c>
      <c r="K79" s="76">
        <v>7.8799999999999996E-4</v>
      </c>
      <c r="L79" s="76">
        <v>2.0573399741869807</v>
      </c>
      <c r="M79" s="76">
        <v>2.5</v>
      </c>
      <c r="N79" s="76">
        <v>250</v>
      </c>
      <c r="O79" s="76">
        <v>0</v>
      </c>
      <c r="P79" s="76">
        <v>2.5</v>
      </c>
      <c r="Q79" s="76">
        <v>4.2200000000000003E-6</v>
      </c>
      <c r="R79" s="76">
        <v>1.0132394363288624</v>
      </c>
      <c r="S79" s="76">
        <v>2.5</v>
      </c>
      <c r="T79" s="76">
        <v>6.3999999999999997E-6</v>
      </c>
      <c r="U79" s="76">
        <v>1.888108722337039</v>
      </c>
      <c r="V79" s="76">
        <v>2.5</v>
      </c>
      <c r="W79" s="76">
        <v>2.0800000000000001E-5</v>
      </c>
      <c r="X79" s="76">
        <v>4.1820413388559494</v>
      </c>
      <c r="Y79" s="76">
        <v>2.5</v>
      </c>
      <c r="Z79" s="76">
        <v>4.6099999999999999E-6</v>
      </c>
      <c r="AA79" s="76">
        <v>1.4324544634499667</v>
      </c>
      <c r="AB79" s="76">
        <v>2.5</v>
      </c>
      <c r="AC79" s="76">
        <v>4.8300000000000003E-6</v>
      </c>
      <c r="AD79" s="76">
        <v>1.830114498878926</v>
      </c>
      <c r="AE79" s="76">
        <v>2.5</v>
      </c>
      <c r="AF79" s="76">
        <v>4.3699999999999997E-6</v>
      </c>
      <c r="AG79" s="76">
        <v>1.2057597894709982</v>
      </c>
      <c r="AH79" s="76">
        <v>2.5</v>
      </c>
      <c r="AI79" s="76">
        <v>1.5699999999999999E-5</v>
      </c>
      <c r="AJ79" s="76">
        <v>5.6415506036884135</v>
      </c>
      <c r="AK79" s="76">
        <v>2.5</v>
      </c>
      <c r="AL79" s="76">
        <v>1.4100000000000001E-4</v>
      </c>
      <c r="AM79" s="76">
        <v>1.3264447460629458</v>
      </c>
      <c r="AN79" s="76">
        <v>2.5</v>
      </c>
      <c r="AO79" s="76">
        <v>3.9199999999999997E-5</v>
      </c>
      <c r="AP79" s="76">
        <v>2.3329592277822697</v>
      </c>
      <c r="AQ79" s="76">
        <v>2.5</v>
      </c>
      <c r="AR79" s="76">
        <v>9.38E-6</v>
      </c>
      <c r="AS79" s="76">
        <v>3.0302223044641048</v>
      </c>
      <c r="AT79" s="76">
        <v>2.5</v>
      </c>
      <c r="AU79" s="76">
        <v>4.1699999999999999E-6</v>
      </c>
      <c r="AV79" s="76">
        <v>1.0464083228743339</v>
      </c>
      <c r="AW79" s="76">
        <v>2.5</v>
      </c>
      <c r="AX79" s="76">
        <v>5.1499999999999998E-6</v>
      </c>
      <c r="AY79" s="76">
        <v>0.78398339263548711</v>
      </c>
      <c r="AZ79" s="76">
        <v>2.5</v>
      </c>
      <c r="BA79" s="76">
        <v>5.4099999999999999E-6</v>
      </c>
      <c r="BB79" s="76">
        <v>1.3952081389269808</v>
      </c>
      <c r="BC79" s="76">
        <v>2.5</v>
      </c>
      <c r="BD79" s="76">
        <v>6.0800000000000003E-4</v>
      </c>
      <c r="BE79" s="76">
        <v>1.0453780890636279</v>
      </c>
      <c r="BF79" s="76">
        <v>2.5</v>
      </c>
      <c r="BG79" s="76">
        <v>3.3799999999999997E-2</v>
      </c>
      <c r="BH79" s="76">
        <v>-2.2092707460331766</v>
      </c>
      <c r="BI79" s="76">
        <v>2.5</v>
      </c>
      <c r="BJ79" s="76">
        <v>4.1500000000000001E-6</v>
      </c>
      <c r="BK79" s="76">
        <v>1.3292880146437891</v>
      </c>
      <c r="BL79" s="76">
        <v>2.5</v>
      </c>
      <c r="BM79" s="76">
        <v>3.9899999999999999E-6</v>
      </c>
      <c r="BN79" s="76">
        <v>1.1806147085239072</v>
      </c>
      <c r="BO79" s="76">
        <v>2.5</v>
      </c>
      <c r="BP79" s="76">
        <v>2.22E-4</v>
      </c>
      <c r="BQ79" s="76">
        <v>-9.0498355199173292E-2</v>
      </c>
      <c r="BR79" s="76">
        <v>2.5</v>
      </c>
      <c r="BS79" s="76">
        <v>2.2200000000000001E-2</v>
      </c>
      <c r="BT79" s="76">
        <v>1.0671095475569761</v>
      </c>
      <c r="BU79" s="76">
        <v>2.5</v>
      </c>
      <c r="BV79" s="76">
        <v>5.1E-5</v>
      </c>
      <c r="BW79" s="76">
        <v>2.1763822871885257</v>
      </c>
    </row>
    <row r="80" spans="1:75" x14ac:dyDescent="0.15">
      <c r="A80" s="6">
        <v>2.6</v>
      </c>
      <c r="B80" s="7">
        <v>4.4900000000000002E-6</v>
      </c>
      <c r="C80" s="76">
        <v>2.6458895948960204</v>
      </c>
      <c r="D80" s="6">
        <v>2.6</v>
      </c>
      <c r="E80" s="7">
        <v>6.02E-6</v>
      </c>
      <c r="F80" s="76">
        <v>3.1875570907643942</v>
      </c>
      <c r="G80" s="76">
        <v>2.6</v>
      </c>
      <c r="H80" s="76">
        <v>5.3900000000000001E-6</v>
      </c>
      <c r="I80" s="76">
        <v>2.5706983985152632</v>
      </c>
      <c r="J80" s="76">
        <v>2.6</v>
      </c>
      <c r="K80" s="76">
        <v>9.68E-4</v>
      </c>
      <c r="L80" s="76">
        <v>-8.5663887278034174</v>
      </c>
      <c r="M80" s="76">
        <v>2.6</v>
      </c>
      <c r="N80" s="76">
        <v>250</v>
      </c>
      <c r="O80" s="76">
        <v>0</v>
      </c>
      <c r="P80" s="76">
        <v>2.6</v>
      </c>
      <c r="Q80" s="76">
        <v>4.6700000000000002E-6</v>
      </c>
      <c r="R80" s="76">
        <v>2.337932792308679</v>
      </c>
      <c r="S80" s="76">
        <v>2.6</v>
      </c>
      <c r="T80" s="76">
        <v>7.7300000000000005E-6</v>
      </c>
      <c r="U80" s="76">
        <v>7.149010774335907</v>
      </c>
      <c r="V80" s="76">
        <v>2.6</v>
      </c>
      <c r="W80" s="76">
        <v>3.1600000000000002E-5</v>
      </c>
      <c r="X80" s="76">
        <v>15.641227162220556</v>
      </c>
      <c r="Y80" s="76">
        <v>2.6</v>
      </c>
      <c r="Z80" s="76">
        <v>5.3199999999999999E-6</v>
      </c>
      <c r="AA80" s="76">
        <v>2.9563905335236358</v>
      </c>
      <c r="AB80" s="76">
        <v>2.6</v>
      </c>
      <c r="AC80" s="76">
        <v>5.8000000000000004E-6</v>
      </c>
      <c r="AD80" s="76">
        <v>3.5114242636900674</v>
      </c>
      <c r="AE80" s="76">
        <v>2.6</v>
      </c>
      <c r="AF80" s="76">
        <v>4.9300000000000002E-6</v>
      </c>
      <c r="AG80" s="76">
        <v>2.749235426613994</v>
      </c>
      <c r="AH80" s="76">
        <v>2.6</v>
      </c>
      <c r="AI80" s="76">
        <v>2.76E-5</v>
      </c>
      <c r="AJ80" s="76">
        <v>3.0117755392666519</v>
      </c>
      <c r="AK80" s="76">
        <v>2.6</v>
      </c>
      <c r="AL80" s="76">
        <v>1.6100000000000001E-4</v>
      </c>
      <c r="AM80" s="76">
        <v>1.8645379407886493</v>
      </c>
      <c r="AN80" s="76">
        <v>2.6</v>
      </c>
      <c r="AO80" s="76">
        <v>4.9499999999999997E-5</v>
      </c>
      <c r="AP80" s="76">
        <v>3.2631986515719515</v>
      </c>
      <c r="AQ80" s="76">
        <v>2.6</v>
      </c>
      <c r="AR80" s="76">
        <v>1.27E-5</v>
      </c>
      <c r="AS80" s="76">
        <v>4.028369857018955</v>
      </c>
      <c r="AT80" s="76">
        <v>2.6</v>
      </c>
      <c r="AU80" s="76">
        <v>4.6299999999999997E-6</v>
      </c>
      <c r="AV80" s="76">
        <v>2.3217392874199283</v>
      </c>
      <c r="AW80" s="76">
        <v>2.6</v>
      </c>
      <c r="AX80" s="76">
        <v>5.57E-6</v>
      </c>
      <c r="AY80" s="76">
        <v>2.5251060067233566</v>
      </c>
      <c r="AZ80" s="76">
        <v>2.6</v>
      </c>
      <c r="BA80" s="76">
        <v>6.2199999999999997E-6</v>
      </c>
      <c r="BB80" s="76">
        <v>2.7758301671324732</v>
      </c>
      <c r="BC80" s="76">
        <v>2.6</v>
      </c>
      <c r="BD80" s="76">
        <v>6.7500000000000004E-4</v>
      </c>
      <c r="BE80" s="76">
        <v>3.031178805816201</v>
      </c>
      <c r="BF80" s="76">
        <v>2.6</v>
      </c>
      <c r="BG80" s="76">
        <v>2.7099999999999999E-2</v>
      </c>
      <c r="BH80" s="76">
        <v>2.922840133851496</v>
      </c>
      <c r="BI80" s="76">
        <v>2.6</v>
      </c>
      <c r="BJ80" s="76">
        <v>4.7400000000000004E-6</v>
      </c>
      <c r="BK80" s="76">
        <v>2.6366170221031004</v>
      </c>
      <c r="BL80" s="76">
        <v>2.6</v>
      </c>
      <c r="BM80" s="76">
        <v>4.4900000000000002E-6</v>
      </c>
      <c r="BN80" s="76">
        <v>2.5944755998918345</v>
      </c>
      <c r="BO80" s="76">
        <v>2.6</v>
      </c>
      <c r="BP80" s="76">
        <v>2.2000000000000001E-4</v>
      </c>
      <c r="BQ80" s="76">
        <v>-0.37041271680349619</v>
      </c>
      <c r="BR80" s="76">
        <v>2.6</v>
      </c>
      <c r="BS80" s="76">
        <v>2.47E-2</v>
      </c>
      <c r="BT80" s="76">
        <v>1.1823277706265978</v>
      </c>
      <c r="BU80" s="76">
        <v>2.6</v>
      </c>
      <c r="BV80" s="76">
        <v>6.3399999999999996E-5</v>
      </c>
      <c r="BW80" s="76">
        <v>1.8913321530336606</v>
      </c>
    </row>
    <row r="81" spans="1:75" x14ac:dyDescent="0.15">
      <c r="A81" s="6">
        <v>2.7</v>
      </c>
      <c r="B81" s="7">
        <v>5.8499999999999999E-6</v>
      </c>
      <c r="C81" s="76">
        <v>10.957592196857075</v>
      </c>
      <c r="D81" s="6">
        <v>2.7</v>
      </c>
      <c r="E81" s="7">
        <v>8.2800000000000003E-6</v>
      </c>
      <c r="F81" s="76">
        <v>10.172939421630289</v>
      </c>
      <c r="G81" s="76">
        <v>2.7</v>
      </c>
      <c r="H81" s="76">
        <v>6.9700000000000002E-6</v>
      </c>
      <c r="I81" s="76">
        <v>10.491045069580169</v>
      </c>
      <c r="J81" s="76">
        <v>2.7</v>
      </c>
      <c r="K81" s="76">
        <v>4.1100000000000002E-4</v>
      </c>
      <c r="L81" s="76">
        <v>0.49832373747875813</v>
      </c>
      <c r="M81" s="76">
        <v>2.7</v>
      </c>
      <c r="N81" s="76">
        <v>250</v>
      </c>
      <c r="O81" s="76">
        <v>0</v>
      </c>
      <c r="P81" s="76">
        <v>2.7</v>
      </c>
      <c r="Q81" s="76">
        <v>5.9000000000000003E-6</v>
      </c>
      <c r="R81" s="76">
        <v>10.699570329077376</v>
      </c>
      <c r="S81" s="76">
        <v>2.7</v>
      </c>
      <c r="T81" s="76">
        <v>1.5800000000000001E-5</v>
      </c>
      <c r="U81" s="76">
        <v>4.1386851890454475</v>
      </c>
      <c r="V81" s="76">
        <v>2.7</v>
      </c>
      <c r="W81" s="76">
        <v>1.5100000000000001E-4</v>
      </c>
      <c r="X81" s="76">
        <v>-7.3093845227545353</v>
      </c>
      <c r="Y81" s="76">
        <v>2.7</v>
      </c>
      <c r="Z81" s="76">
        <v>7.1500000000000002E-6</v>
      </c>
      <c r="AA81" s="76">
        <v>10.484225441442574</v>
      </c>
      <c r="AB81" s="76">
        <v>2.7</v>
      </c>
      <c r="AC81" s="76">
        <v>8.2400000000000007E-6</v>
      </c>
      <c r="AD81" s="76">
        <v>10.308322736063717</v>
      </c>
      <c r="AE81" s="76">
        <v>2.7</v>
      </c>
      <c r="AF81" s="76">
        <v>6.4899999999999997E-6</v>
      </c>
      <c r="AG81" s="76">
        <v>10.58260993144547</v>
      </c>
      <c r="AH81" s="76">
        <v>2.7</v>
      </c>
      <c r="AI81" s="76">
        <v>3.7299999999999999E-5</v>
      </c>
      <c r="AJ81" s="76">
        <v>3.9558626710346942</v>
      </c>
      <c r="AK81" s="76">
        <v>2.7</v>
      </c>
      <c r="AL81" s="76">
        <v>1.94E-4</v>
      </c>
      <c r="AM81" s="76">
        <v>2.3340005148139915</v>
      </c>
      <c r="AN81" s="76">
        <v>2.7</v>
      </c>
      <c r="AO81" s="76">
        <v>6.86E-5</v>
      </c>
      <c r="AP81" s="76">
        <v>3.9668027855243224</v>
      </c>
      <c r="AQ81" s="76">
        <v>2.7</v>
      </c>
      <c r="AR81" s="76">
        <v>1.9000000000000001E-5</v>
      </c>
      <c r="AS81" s="76">
        <v>8.0034810688579512</v>
      </c>
      <c r="AT81" s="76">
        <v>2.7</v>
      </c>
      <c r="AU81" s="76">
        <v>5.84E-6</v>
      </c>
      <c r="AV81" s="76">
        <v>10.85975704663602</v>
      </c>
      <c r="AW81" s="76">
        <v>2.7</v>
      </c>
      <c r="AX81" s="76">
        <v>7.17E-6</v>
      </c>
      <c r="AY81" s="76">
        <v>9.8500462442220993</v>
      </c>
      <c r="AZ81" s="76">
        <v>2.7</v>
      </c>
      <c r="BA81" s="76">
        <v>8.2099999999999993E-6</v>
      </c>
      <c r="BB81" s="76">
        <v>9.8113371335812261</v>
      </c>
      <c r="BC81" s="76">
        <v>2.7</v>
      </c>
      <c r="BD81" s="76">
        <v>9.1399999999999999E-4</v>
      </c>
      <c r="BE81" s="76">
        <v>0.83906635202424107</v>
      </c>
      <c r="BF81" s="76">
        <v>2.7</v>
      </c>
      <c r="BG81" s="76">
        <v>3.6299999999999999E-2</v>
      </c>
      <c r="BH81" s="76">
        <v>0.40491361354736777</v>
      </c>
      <c r="BI81" s="76">
        <v>2.7</v>
      </c>
      <c r="BJ81" s="76">
        <v>6.1700000000000002E-6</v>
      </c>
      <c r="BK81" s="76">
        <v>10.762131003544887</v>
      </c>
      <c r="BL81" s="76">
        <v>2.7</v>
      </c>
      <c r="BM81" s="76">
        <v>5.8200000000000002E-6</v>
      </c>
      <c r="BN81" s="76">
        <v>11.235004511033665</v>
      </c>
      <c r="BO81" s="76">
        <v>2.7</v>
      </c>
      <c r="BP81" s="76">
        <v>2.12E-4</v>
      </c>
      <c r="BQ81" s="76">
        <v>-4.1494385206270907</v>
      </c>
      <c r="BR81" s="76">
        <v>2.7</v>
      </c>
      <c r="BS81" s="76">
        <v>2.7799999999999998E-2</v>
      </c>
      <c r="BT81" s="76">
        <v>2.831755303498912</v>
      </c>
      <c r="BU81" s="76">
        <v>2.7</v>
      </c>
      <c r="BV81" s="76">
        <v>7.6600000000000005E-5</v>
      </c>
      <c r="BW81" s="76">
        <v>4.2357685805121266</v>
      </c>
    </row>
    <row r="82" spans="1:75" x14ac:dyDescent="0.15">
      <c r="A82" s="6">
        <v>2.8</v>
      </c>
      <c r="B82" s="7">
        <v>1.7499999999999998E-5</v>
      </c>
      <c r="C82" s="76">
        <v>25.802168295923234</v>
      </c>
      <c r="D82" s="6">
        <v>2.8</v>
      </c>
      <c r="E82" s="7">
        <v>2.2900000000000001E-5</v>
      </c>
      <c r="F82" s="76">
        <v>23.863159859045112</v>
      </c>
      <c r="G82" s="76">
        <v>2.8</v>
      </c>
      <c r="H82" s="76">
        <v>1.9899999999999999E-5</v>
      </c>
      <c r="I82" s="76">
        <v>24.940772017602072</v>
      </c>
      <c r="J82" s="76">
        <v>2.8</v>
      </c>
      <c r="K82" s="76">
        <v>4.3199999999999998E-4</v>
      </c>
      <c r="L82" s="76">
        <v>6.7563359806723637</v>
      </c>
      <c r="M82" s="76">
        <v>2.8</v>
      </c>
      <c r="N82" s="76">
        <v>250</v>
      </c>
      <c r="O82" s="76">
        <v>0</v>
      </c>
      <c r="P82" s="76">
        <v>2.8</v>
      </c>
      <c r="Q82" s="76">
        <v>1.7200000000000001E-5</v>
      </c>
      <c r="R82" s="76">
        <v>25.975083267023834</v>
      </c>
      <c r="S82" s="76">
        <v>2.8</v>
      </c>
      <c r="T82" s="76">
        <v>2.3900000000000002E-5</v>
      </c>
      <c r="U82" s="76">
        <v>23.232897663557349</v>
      </c>
      <c r="V82" s="76">
        <v>2.8</v>
      </c>
      <c r="W82" s="76">
        <v>7.2700000000000005E-5</v>
      </c>
      <c r="X82" s="76">
        <v>13.766190955964715</v>
      </c>
      <c r="Y82" s="76">
        <v>2.8</v>
      </c>
      <c r="Z82" s="76">
        <v>2.0400000000000001E-5</v>
      </c>
      <c r="AA82" s="76">
        <v>24.857233096945542</v>
      </c>
      <c r="AB82" s="76">
        <v>2.8</v>
      </c>
      <c r="AC82" s="76">
        <v>2.3099999999999999E-5</v>
      </c>
      <c r="AD82" s="76">
        <v>23.975016494907862</v>
      </c>
      <c r="AE82" s="76">
        <v>2.8</v>
      </c>
      <c r="AF82" s="76">
        <v>1.8700000000000001E-5</v>
      </c>
      <c r="AG82" s="76">
        <v>25.353082811650665</v>
      </c>
      <c r="AH82" s="76">
        <v>2.8</v>
      </c>
      <c r="AI82" s="76">
        <v>5.5399999999999998E-5</v>
      </c>
      <c r="AJ82" s="76">
        <v>16.553013292272801</v>
      </c>
      <c r="AK82" s="76">
        <v>2.8</v>
      </c>
      <c r="AL82" s="76">
        <v>2.4499999999999999E-4</v>
      </c>
      <c r="AM82" s="76">
        <v>8.7546873735389958</v>
      </c>
      <c r="AN82" s="76">
        <v>2.8</v>
      </c>
      <c r="AO82" s="76">
        <v>1.02E-4</v>
      </c>
      <c r="AP82" s="76">
        <v>13.046163301056227</v>
      </c>
      <c r="AQ82" s="76">
        <v>2.8</v>
      </c>
      <c r="AR82" s="76">
        <v>4.2299999999999998E-5</v>
      </c>
      <c r="AS82" s="76">
        <v>19.755246905551775</v>
      </c>
      <c r="AT82" s="76">
        <v>2.8</v>
      </c>
      <c r="AU82" s="76">
        <v>1.73E-5</v>
      </c>
      <c r="AV82" s="76">
        <v>26.088790126404231</v>
      </c>
      <c r="AW82" s="76">
        <v>2.8</v>
      </c>
      <c r="AX82" s="76">
        <v>1.9199999999999999E-5</v>
      </c>
      <c r="AY82" s="76">
        <v>25.215532728977742</v>
      </c>
      <c r="AZ82" s="76">
        <v>2.8</v>
      </c>
      <c r="BA82" s="76">
        <v>2.19E-5</v>
      </c>
      <c r="BB82" s="76">
        <v>24.309662596422502</v>
      </c>
      <c r="BC82" s="76">
        <v>2.8</v>
      </c>
      <c r="BD82" s="76">
        <v>9.9400000000000009E-4</v>
      </c>
      <c r="BE82" s="76">
        <v>4.1148318043372765</v>
      </c>
      <c r="BF82" s="76">
        <v>2.8</v>
      </c>
      <c r="BG82" s="76">
        <v>3.78E-2</v>
      </c>
      <c r="BH82" s="76">
        <v>0.90971778205726583</v>
      </c>
      <c r="BI82" s="76">
        <v>2.8</v>
      </c>
      <c r="BJ82" s="76">
        <v>1.8099999999999999E-5</v>
      </c>
      <c r="BK82" s="76">
        <v>25.763587353996918</v>
      </c>
      <c r="BL82" s="76">
        <v>2.8</v>
      </c>
      <c r="BM82" s="76">
        <v>1.7900000000000001E-5</v>
      </c>
      <c r="BN82" s="76">
        <v>25.999962206439442</v>
      </c>
      <c r="BO82" s="76">
        <v>2.8</v>
      </c>
      <c r="BP82" s="76">
        <v>1.3999999999999999E-4</v>
      </c>
      <c r="BQ82" s="76">
        <v>12.089603458369742</v>
      </c>
      <c r="BR82" s="76">
        <v>2.8</v>
      </c>
      <c r="BS82" s="76">
        <v>3.6900000000000002E-2</v>
      </c>
      <c r="BT82" s="76">
        <v>0.83164783266041742</v>
      </c>
      <c r="BU82" s="76">
        <v>2.8</v>
      </c>
      <c r="BV82" s="76">
        <v>1.17E-4</v>
      </c>
      <c r="BW82" s="76">
        <v>12.804588988846238</v>
      </c>
    </row>
    <row r="83" spans="1:75" x14ac:dyDescent="0.15">
      <c r="A83" s="6">
        <v>2.9</v>
      </c>
      <c r="B83" s="7">
        <v>2.31E-4</v>
      </c>
      <c r="C83" s="76">
        <v>30.443162734097324</v>
      </c>
      <c r="D83" s="6">
        <v>2.9</v>
      </c>
      <c r="E83" s="7">
        <v>2.4899999999999998E-4</v>
      </c>
      <c r="F83" s="76">
        <v>29.997402949515273</v>
      </c>
      <c r="G83" s="76">
        <v>2.9</v>
      </c>
      <c r="H83" s="76">
        <v>2.41E-4</v>
      </c>
      <c r="I83" s="76">
        <v>30.303942552549064</v>
      </c>
      <c r="J83" s="76">
        <v>2.9</v>
      </c>
      <c r="K83" s="76">
        <v>8.4900000000000004E-4</v>
      </c>
      <c r="L83" s="76">
        <v>19.946762750521245</v>
      </c>
      <c r="M83" s="76">
        <v>2.9</v>
      </c>
      <c r="N83" s="76">
        <v>250</v>
      </c>
      <c r="O83" s="76">
        <v>0</v>
      </c>
      <c r="P83" s="76">
        <v>2.9</v>
      </c>
      <c r="Q83" s="76">
        <v>2.31E-4</v>
      </c>
      <c r="R83" s="76">
        <v>30.463760063727428</v>
      </c>
      <c r="S83" s="76">
        <v>2.9</v>
      </c>
      <c r="T83" s="76">
        <v>2.4399999999999999E-4</v>
      </c>
      <c r="U83" s="76">
        <v>30.119927944257689</v>
      </c>
      <c r="V83" s="76">
        <v>2.9</v>
      </c>
      <c r="W83" s="76">
        <v>2.8800000000000001E-4</v>
      </c>
      <c r="X83" s="76">
        <v>28.779492378976048</v>
      </c>
      <c r="Y83" s="76">
        <v>2.9</v>
      </c>
      <c r="Z83" s="76">
        <v>2.4499999999999999E-4</v>
      </c>
      <c r="AA83" s="76">
        <v>30.318083300277976</v>
      </c>
      <c r="AB83" s="76">
        <v>2.9</v>
      </c>
      <c r="AC83" s="76">
        <v>2.5399999999999999E-4</v>
      </c>
      <c r="AD83" s="76">
        <v>30.24832290040429</v>
      </c>
      <c r="AE83" s="76">
        <v>2.9</v>
      </c>
      <c r="AF83" s="76">
        <v>2.3599999999999999E-4</v>
      </c>
      <c r="AG83" s="76">
        <v>30.392624620111235</v>
      </c>
      <c r="AH83" s="76">
        <v>2.9</v>
      </c>
      <c r="AI83" s="76">
        <v>2.9E-4</v>
      </c>
      <c r="AJ83" s="76">
        <v>28.710287950530304</v>
      </c>
      <c r="AK83" s="76">
        <v>2.9</v>
      </c>
      <c r="AL83" s="76">
        <v>5.8799999999999998E-4</v>
      </c>
      <c r="AM83" s="76">
        <v>22.97469992327273</v>
      </c>
      <c r="AN83" s="76">
        <v>2.9</v>
      </c>
      <c r="AO83" s="76">
        <v>3.7599999999999998E-4</v>
      </c>
      <c r="AP83" s="76">
        <v>26.756149253490541</v>
      </c>
      <c r="AQ83" s="76">
        <v>2.9</v>
      </c>
      <c r="AR83" s="76">
        <v>3.0499999999999999E-4</v>
      </c>
      <c r="AS83" s="76">
        <v>28.738424559449509</v>
      </c>
      <c r="AT83" s="76">
        <v>2.9</v>
      </c>
      <c r="AU83" s="76">
        <v>2.3499999999999999E-4</v>
      </c>
      <c r="AV83" s="76">
        <v>30.475573414185735</v>
      </c>
      <c r="AW83" s="76">
        <v>2.9</v>
      </c>
      <c r="AX83" s="76">
        <v>2.3900000000000001E-4</v>
      </c>
      <c r="AY83" s="76">
        <v>30.447216607542611</v>
      </c>
      <c r="AZ83" s="76">
        <v>2.9</v>
      </c>
      <c r="BA83" s="76">
        <v>2.4899999999999998E-4</v>
      </c>
      <c r="BB83" s="76">
        <v>30.234568215688427</v>
      </c>
      <c r="BC83" s="76">
        <v>2.9</v>
      </c>
      <c r="BD83" s="76">
        <v>1.5E-3</v>
      </c>
      <c r="BE83" s="76">
        <v>15.432981099295539</v>
      </c>
      <c r="BF83" s="76">
        <v>2.9</v>
      </c>
      <c r="BG83" s="76">
        <v>4.1399999999999999E-2</v>
      </c>
      <c r="BH83" s="76">
        <v>2.3562571049572756</v>
      </c>
      <c r="BI83" s="76">
        <v>2.9</v>
      </c>
      <c r="BJ83" s="76">
        <v>2.3800000000000001E-4</v>
      </c>
      <c r="BK83" s="76">
        <v>30.469205204074328</v>
      </c>
      <c r="BL83" s="76">
        <v>2.9</v>
      </c>
      <c r="BM83" s="76">
        <v>2.41E-4</v>
      </c>
      <c r="BN83" s="76">
        <v>30.502361760539099</v>
      </c>
      <c r="BO83" s="76">
        <v>2.9</v>
      </c>
      <c r="BP83" s="76">
        <v>4.6900000000000002E-4</v>
      </c>
      <c r="BQ83" s="76">
        <v>24.490916444816989</v>
      </c>
      <c r="BR83" s="76">
        <v>2.9</v>
      </c>
      <c r="BS83" s="76">
        <v>4.0099999999999997E-2</v>
      </c>
      <c r="BT83" s="76">
        <v>1.0859716730699978</v>
      </c>
      <c r="BU83" s="76">
        <v>2.9</v>
      </c>
      <c r="BV83" s="76">
        <v>4.2099999999999999E-4</v>
      </c>
      <c r="BW83" s="76">
        <v>26.212547368846572</v>
      </c>
    </row>
    <row r="84" spans="1:75" x14ac:dyDescent="0.15">
      <c r="A84" s="6">
        <v>3</v>
      </c>
      <c r="B84" s="7">
        <v>4.8500000000000001E-3</v>
      </c>
      <c r="C84" s="76">
        <v>21.198510800177107</v>
      </c>
      <c r="D84" s="6">
        <v>3</v>
      </c>
      <c r="E84" s="7">
        <v>5.0000000000000001E-3</v>
      </c>
      <c r="F84" s="76">
        <v>21.016921506146534</v>
      </c>
      <c r="G84" s="76">
        <v>3</v>
      </c>
      <c r="H84" s="76">
        <v>4.9899999999999996E-3</v>
      </c>
      <c r="I84" s="76">
        <v>21.01246171646687</v>
      </c>
      <c r="J84" s="76">
        <v>3</v>
      </c>
      <c r="K84" s="76">
        <v>6.2399999999999999E-3</v>
      </c>
      <c r="L84" s="76">
        <v>19.208740708939867</v>
      </c>
      <c r="M84" s="76">
        <v>3</v>
      </c>
      <c r="N84" s="76">
        <v>250</v>
      </c>
      <c r="O84" s="76">
        <v>0</v>
      </c>
      <c r="P84" s="76">
        <v>3</v>
      </c>
      <c r="Q84" s="76">
        <v>4.8599999999999997E-3</v>
      </c>
      <c r="R84" s="76">
        <v>21.128285577125716</v>
      </c>
      <c r="S84" s="76">
        <v>3</v>
      </c>
      <c r="T84" s="76">
        <v>4.96E-3</v>
      </c>
      <c r="U84" s="76">
        <v>20.974240442302662</v>
      </c>
      <c r="V84" s="76">
        <v>3</v>
      </c>
      <c r="W84" s="76">
        <v>5.1200000000000004E-3</v>
      </c>
      <c r="X84" s="76">
        <v>20.706136275562688</v>
      </c>
      <c r="Y84" s="76">
        <v>3</v>
      </c>
      <c r="Z84" s="76">
        <v>5.0800000000000003E-3</v>
      </c>
      <c r="AA84" s="76">
        <v>20.906968599117967</v>
      </c>
      <c r="AB84" s="76">
        <v>3</v>
      </c>
      <c r="AC84" s="76">
        <v>5.2300000000000003E-3</v>
      </c>
      <c r="AD84" s="76">
        <v>20.760898507279222</v>
      </c>
      <c r="AE84" s="76">
        <v>3</v>
      </c>
      <c r="AF84" s="76">
        <v>4.9300000000000004E-3</v>
      </c>
      <c r="AG84" s="76">
        <v>21.010124808980361</v>
      </c>
      <c r="AH84" s="76">
        <v>3</v>
      </c>
      <c r="AI84" s="76">
        <v>5.1200000000000004E-3</v>
      </c>
      <c r="AJ84" s="76">
        <v>20.681475350610757</v>
      </c>
      <c r="AK84" s="76">
        <v>3</v>
      </c>
      <c r="AL84" s="76">
        <v>5.8500000000000002E-3</v>
      </c>
      <c r="AM84" s="76">
        <v>19.736060794445688</v>
      </c>
      <c r="AN84" s="76">
        <v>3</v>
      </c>
      <c r="AO84" s="76">
        <v>5.4599999999999996E-3</v>
      </c>
      <c r="AP84" s="76">
        <v>20.306513775104023</v>
      </c>
      <c r="AQ84" s="76">
        <v>3</v>
      </c>
      <c r="AR84" s="76">
        <v>5.4000000000000003E-3</v>
      </c>
      <c r="AS84" s="76">
        <v>20.4649738596048</v>
      </c>
      <c r="AT84" s="76">
        <v>3</v>
      </c>
      <c r="AU84" s="76">
        <v>4.9500000000000004E-3</v>
      </c>
      <c r="AV84" s="76">
        <v>20.944794190443748</v>
      </c>
      <c r="AW84" s="76">
        <v>3</v>
      </c>
      <c r="AX84" s="76">
        <v>5.0200000000000002E-3</v>
      </c>
      <c r="AY84" s="76">
        <v>20.804370619213355</v>
      </c>
      <c r="AZ84" s="76">
        <v>3</v>
      </c>
      <c r="BA84" s="76">
        <v>5.1200000000000004E-3</v>
      </c>
      <c r="BB84" s="76">
        <v>20.730736533971314</v>
      </c>
      <c r="BC84" s="76">
        <v>3</v>
      </c>
      <c r="BD84" s="76">
        <v>7.0200000000000002E-3</v>
      </c>
      <c r="BE84" s="76">
        <v>18.285848840638231</v>
      </c>
      <c r="BF84" s="76">
        <v>3</v>
      </c>
      <c r="BG84" s="76">
        <v>5.2400000000000002E-2</v>
      </c>
      <c r="BH84" s="76">
        <v>6.0856172747708284</v>
      </c>
      <c r="BI84" s="76">
        <v>3</v>
      </c>
      <c r="BJ84" s="76">
        <v>5.0099999999999997E-3</v>
      </c>
      <c r="BK84" s="76">
        <v>20.824310805282007</v>
      </c>
      <c r="BL84" s="76">
        <v>3</v>
      </c>
      <c r="BM84" s="76">
        <v>5.0899999999999999E-3</v>
      </c>
      <c r="BN84" s="76">
        <v>20.715519544046717</v>
      </c>
      <c r="BO84" s="76">
        <v>3</v>
      </c>
      <c r="BP84" s="76">
        <v>5.4299999999999999E-3</v>
      </c>
      <c r="BQ84" s="76">
        <v>20.264991224096352</v>
      </c>
      <c r="BR84" s="76">
        <v>3</v>
      </c>
      <c r="BS84" s="76">
        <v>4.4699999999999997E-2</v>
      </c>
      <c r="BT84" s="76">
        <v>6.7963346139322205</v>
      </c>
      <c r="BU84" s="76">
        <v>3</v>
      </c>
      <c r="BV84" s="76">
        <v>5.79E-3</v>
      </c>
      <c r="BW84" s="76">
        <v>19.886547944673264</v>
      </c>
    </row>
    <row r="85" spans="1:75" x14ac:dyDescent="0.15">
      <c r="A85" s="6">
        <v>3.1</v>
      </c>
      <c r="B85" s="7">
        <v>4.0399999999999998E-2</v>
      </c>
      <c r="C85" s="76">
        <v>11.294839523351959</v>
      </c>
      <c r="D85" s="6">
        <v>3.1</v>
      </c>
      <c r="E85" s="7">
        <v>4.0899999999999999E-2</v>
      </c>
      <c r="F85" s="76">
        <v>11.330570234098344</v>
      </c>
      <c r="G85" s="76">
        <v>3.1</v>
      </c>
      <c r="H85" s="76">
        <v>4.0800000000000003E-2</v>
      </c>
      <c r="I85" s="76">
        <v>11.355050050484742</v>
      </c>
      <c r="J85" s="76">
        <v>3.1</v>
      </c>
      <c r="K85" s="76">
        <v>4.2599999999999999E-2</v>
      </c>
      <c r="L85" s="76">
        <v>11.233430699258257</v>
      </c>
      <c r="M85" s="76">
        <v>3.1</v>
      </c>
      <c r="N85" s="76">
        <v>250</v>
      </c>
      <c r="O85" s="76">
        <v>0</v>
      </c>
      <c r="P85" s="76">
        <v>3.1</v>
      </c>
      <c r="Q85" s="76">
        <v>4.02E-2</v>
      </c>
      <c r="R85" s="76">
        <v>11.344467416773249</v>
      </c>
      <c r="S85" s="76">
        <v>3.1</v>
      </c>
      <c r="T85" s="76">
        <v>4.0399999999999998E-2</v>
      </c>
      <c r="U85" s="76">
        <v>11.294839523351959</v>
      </c>
      <c r="V85" s="76">
        <v>3.1</v>
      </c>
      <c r="W85" s="76">
        <v>4.0599999999999997E-2</v>
      </c>
      <c r="X85" s="76">
        <v>11.325138403437903</v>
      </c>
      <c r="Y85" s="76">
        <v>3.1</v>
      </c>
      <c r="Z85" s="76">
        <v>4.1099999999999998E-2</v>
      </c>
      <c r="AA85" s="76">
        <v>11.281789649564015</v>
      </c>
      <c r="AB85" s="76">
        <v>3.1</v>
      </c>
      <c r="AC85" s="76">
        <v>4.1700000000000001E-2</v>
      </c>
      <c r="AD85" s="76">
        <v>11.215291351148602</v>
      </c>
      <c r="AE85" s="76">
        <v>3.1</v>
      </c>
      <c r="AF85" s="76">
        <v>4.0300000000000002E-2</v>
      </c>
      <c r="AG85" s="76">
        <v>11.319622683496629</v>
      </c>
      <c r="AH85" s="76">
        <v>3.1</v>
      </c>
      <c r="AI85" s="76">
        <v>4.0500000000000001E-2</v>
      </c>
      <c r="AJ85" s="76">
        <v>11.270117631898067</v>
      </c>
      <c r="AK85" s="76">
        <v>3.1</v>
      </c>
      <c r="AL85" s="76">
        <v>4.2099999999999999E-2</v>
      </c>
      <c r="AM85" s="76">
        <v>11.119825232312802</v>
      </c>
      <c r="AN85" s="76">
        <v>3.1</v>
      </c>
      <c r="AO85" s="76">
        <v>4.1599999999999998E-2</v>
      </c>
      <c r="AP85" s="76">
        <v>11.160869191913728</v>
      </c>
      <c r="AQ85" s="76">
        <v>3.1</v>
      </c>
      <c r="AR85" s="76">
        <v>4.1799999999999997E-2</v>
      </c>
      <c r="AS85" s="76">
        <v>11.191339243889054</v>
      </c>
      <c r="AT85" s="76">
        <v>3.1</v>
      </c>
      <c r="AU85" s="76">
        <v>4.02E-2</v>
      </c>
      <c r="AV85" s="76">
        <v>11.264145699800604</v>
      </c>
      <c r="AW85" s="76">
        <v>3.1</v>
      </c>
      <c r="AX85" s="76">
        <v>4.02E-2</v>
      </c>
      <c r="AY85" s="76">
        <v>11.264145699800604</v>
      </c>
      <c r="AZ85" s="76">
        <v>3.1</v>
      </c>
      <c r="BA85" s="76">
        <v>4.07E-2</v>
      </c>
      <c r="BB85" s="76">
        <v>11.220856448537509</v>
      </c>
      <c r="BC85" s="76">
        <v>3.1</v>
      </c>
      <c r="BD85" s="76">
        <v>4.3700000000000003E-2</v>
      </c>
      <c r="BE85" s="76">
        <v>10.901863483540367</v>
      </c>
      <c r="BF85" s="76">
        <v>3.1</v>
      </c>
      <c r="BG85" s="76">
        <v>9.6299999999999997E-2</v>
      </c>
      <c r="BH85" s="76">
        <v>7.0038984025924789</v>
      </c>
      <c r="BI85" s="76">
        <v>3.1</v>
      </c>
      <c r="BJ85" s="76">
        <v>4.02E-2</v>
      </c>
      <c r="BK85" s="76">
        <v>11.264145699800604</v>
      </c>
      <c r="BL85" s="76">
        <v>3.1</v>
      </c>
      <c r="BM85" s="76">
        <v>4.0399999999999998E-2</v>
      </c>
      <c r="BN85" s="76">
        <v>11.294839523351959</v>
      </c>
      <c r="BO85" s="76">
        <v>3.1</v>
      </c>
      <c r="BP85" s="76">
        <v>4.1200000000000001E-2</v>
      </c>
      <c r="BQ85" s="76">
        <v>11.178436505959967</v>
      </c>
      <c r="BR85" s="76">
        <v>3.1</v>
      </c>
      <c r="BS85" s="76">
        <v>8.8200000000000001E-2</v>
      </c>
      <c r="BT85" s="76">
        <v>6.620565934899135</v>
      </c>
      <c r="BU85" s="76">
        <v>3.1</v>
      </c>
      <c r="BV85" s="76">
        <v>4.2299999999999997E-2</v>
      </c>
      <c r="BW85" s="76">
        <v>11.072431778673838</v>
      </c>
    </row>
    <row r="86" spans="1:75" x14ac:dyDescent="0.15">
      <c r="A86" s="6">
        <v>3.2</v>
      </c>
      <c r="B86" s="7">
        <v>0.125</v>
      </c>
      <c r="C86" s="76">
        <v>8.8541906820707084</v>
      </c>
      <c r="D86" s="6">
        <v>3.2</v>
      </c>
      <c r="E86" s="7">
        <v>0.127</v>
      </c>
      <c r="F86" s="76">
        <v>8.7612469014882333</v>
      </c>
      <c r="G86" s="76">
        <v>3.2</v>
      </c>
      <c r="H86" s="76">
        <v>0.127</v>
      </c>
      <c r="I86" s="76">
        <v>8.7612469014882333</v>
      </c>
      <c r="J86" s="76">
        <v>3.2</v>
      </c>
      <c r="K86" s="76">
        <v>0.13100000000000001</v>
      </c>
      <c r="L86" s="76">
        <v>8.6780586460833398</v>
      </c>
      <c r="M86" s="76">
        <v>3.2</v>
      </c>
      <c r="N86" s="76">
        <v>250</v>
      </c>
      <c r="O86" s="76">
        <v>0</v>
      </c>
      <c r="P86" s="76">
        <v>3.2</v>
      </c>
      <c r="Q86" s="76">
        <v>0.125</v>
      </c>
      <c r="R86" s="76">
        <v>8.7879652744657744</v>
      </c>
      <c r="S86" s="76">
        <v>3.2</v>
      </c>
      <c r="T86" s="76">
        <v>0.125</v>
      </c>
      <c r="U86" s="76">
        <v>8.8211328007257155</v>
      </c>
      <c r="V86" s="76">
        <v>3.2</v>
      </c>
      <c r="W86" s="76">
        <v>0.126</v>
      </c>
      <c r="X86" s="76">
        <v>8.7414511042339456</v>
      </c>
      <c r="Y86" s="76">
        <v>3.2</v>
      </c>
      <c r="Z86" s="76">
        <v>0.127</v>
      </c>
      <c r="AA86" s="76">
        <v>8.7612469014882333</v>
      </c>
      <c r="AB86" s="76">
        <v>3.2</v>
      </c>
      <c r="AC86" s="76">
        <v>0.128</v>
      </c>
      <c r="AD86" s="76">
        <v>8.8131101297813146</v>
      </c>
      <c r="AE86" s="76">
        <v>3.2</v>
      </c>
      <c r="AF86" s="76">
        <v>0.125</v>
      </c>
      <c r="AG86" s="76">
        <v>8.7879652744657744</v>
      </c>
      <c r="AH86" s="76">
        <v>3.2</v>
      </c>
      <c r="AI86" s="76">
        <v>0.125</v>
      </c>
      <c r="AJ86" s="76">
        <v>8.7879652744657744</v>
      </c>
      <c r="AK86" s="76">
        <v>3.2</v>
      </c>
      <c r="AL86" s="76">
        <v>0.128</v>
      </c>
      <c r="AM86" s="76">
        <v>8.7155483803276663</v>
      </c>
      <c r="AN86" s="76">
        <v>3.2</v>
      </c>
      <c r="AO86" s="76">
        <v>0.127</v>
      </c>
      <c r="AP86" s="76">
        <v>8.7939801549379233</v>
      </c>
      <c r="AQ86" s="76">
        <v>3.2</v>
      </c>
      <c r="AR86" s="76">
        <v>0.128</v>
      </c>
      <c r="AS86" s="76">
        <v>8.7806951905396051</v>
      </c>
      <c r="AT86" s="76">
        <v>3.2</v>
      </c>
      <c r="AU86" s="76">
        <v>0.124</v>
      </c>
      <c r="AV86" s="76">
        <v>8.8350090905116723</v>
      </c>
      <c r="AW86" s="76">
        <v>3.2</v>
      </c>
      <c r="AX86" s="76">
        <v>0.124</v>
      </c>
      <c r="AY86" s="76">
        <v>8.8016200778565263</v>
      </c>
      <c r="AZ86" s="76">
        <v>3.2</v>
      </c>
      <c r="BA86" s="76">
        <v>0.125</v>
      </c>
      <c r="BB86" s="76">
        <v>8.8211328007257155</v>
      </c>
      <c r="BC86" s="76">
        <v>3.2</v>
      </c>
      <c r="BD86" s="76">
        <v>0.13</v>
      </c>
      <c r="BE86" s="76">
        <v>8.6580682644216616</v>
      </c>
      <c r="BF86" s="76">
        <v>3.2</v>
      </c>
      <c r="BG86" s="76">
        <v>0.19400000000000001</v>
      </c>
      <c r="BH86" s="76">
        <v>6.7494121606337512</v>
      </c>
      <c r="BI86" s="76">
        <v>3.2</v>
      </c>
      <c r="BJ86" s="76">
        <v>0.124</v>
      </c>
      <c r="BK86" s="76">
        <v>8.8350090905116723</v>
      </c>
      <c r="BL86" s="76">
        <v>3.2</v>
      </c>
      <c r="BM86" s="76">
        <v>0.125</v>
      </c>
      <c r="BN86" s="76">
        <v>8.7546873735390278</v>
      </c>
      <c r="BO86" s="76">
        <v>3.2</v>
      </c>
      <c r="BP86" s="76">
        <v>0.126</v>
      </c>
      <c r="BQ86" s="76">
        <v>8.7414511042339456</v>
      </c>
      <c r="BR86" s="76">
        <v>3.2</v>
      </c>
      <c r="BS86" s="76">
        <v>0.17100000000000001</v>
      </c>
      <c r="BT86" s="76">
        <v>7.2196761909543969</v>
      </c>
      <c r="BU86" s="76">
        <v>3.2</v>
      </c>
      <c r="BV86" s="76">
        <v>0.128</v>
      </c>
      <c r="BW86" s="76">
        <v>8.7806951905396051</v>
      </c>
    </row>
    <row r="87" spans="1:75" x14ac:dyDescent="0.15">
      <c r="A87" s="6">
        <v>3.3</v>
      </c>
      <c r="B87" s="7">
        <v>0.30299999999999999</v>
      </c>
      <c r="C87" s="76">
        <v>7.5706669827323214</v>
      </c>
      <c r="D87" s="6">
        <v>3.3</v>
      </c>
      <c r="E87" s="7">
        <v>0.30499999999999999</v>
      </c>
      <c r="F87" s="76">
        <v>7.5819786560115698</v>
      </c>
      <c r="G87" s="76">
        <v>3.3</v>
      </c>
      <c r="H87" s="76">
        <v>0.30499999999999999</v>
      </c>
      <c r="I87" s="76">
        <v>7.5512094009667763</v>
      </c>
      <c r="J87" s="76">
        <v>3.3</v>
      </c>
      <c r="K87" s="76">
        <v>0.312</v>
      </c>
      <c r="L87" s="76">
        <v>7.4620174351583435</v>
      </c>
      <c r="M87" s="76">
        <v>3.3</v>
      </c>
      <c r="N87" s="76">
        <v>250</v>
      </c>
      <c r="O87" s="76">
        <v>0</v>
      </c>
      <c r="P87" s="76">
        <v>3.3</v>
      </c>
      <c r="Q87" s="76">
        <v>0.30099999999999999</v>
      </c>
      <c r="R87" s="76">
        <v>7.574780389410849</v>
      </c>
      <c r="S87" s="76">
        <v>3.3</v>
      </c>
      <c r="T87" s="76">
        <v>0.30199999999999999</v>
      </c>
      <c r="U87" s="76">
        <v>7.5571770686274897</v>
      </c>
      <c r="V87" s="76">
        <v>3.3</v>
      </c>
      <c r="W87" s="76">
        <v>0.30199999999999999</v>
      </c>
      <c r="X87" s="76">
        <v>7.5727170872948335</v>
      </c>
      <c r="Y87" s="76">
        <v>3.3</v>
      </c>
      <c r="Z87" s="76">
        <v>0.30499999999999999</v>
      </c>
      <c r="AA87" s="76">
        <v>7.5666058628227049</v>
      </c>
      <c r="AB87" s="76">
        <v>3.3</v>
      </c>
      <c r="AC87" s="76">
        <v>0.309</v>
      </c>
      <c r="AD87" s="76">
        <v>7.5586365442757115</v>
      </c>
      <c r="AE87" s="76">
        <v>3.3</v>
      </c>
      <c r="AF87" s="76">
        <v>0.30099999999999999</v>
      </c>
      <c r="AG87" s="76">
        <v>7.5591919217179377</v>
      </c>
      <c r="AH87" s="76">
        <v>3.3</v>
      </c>
      <c r="AI87" s="76">
        <v>0.30099999999999999</v>
      </c>
      <c r="AJ87" s="76">
        <v>7.574780389410849</v>
      </c>
      <c r="AK87" s="76">
        <v>3.3</v>
      </c>
      <c r="AL87" s="76">
        <v>0.30599999999999999</v>
      </c>
      <c r="AM87" s="76">
        <v>7.5492454025618789</v>
      </c>
      <c r="AN87" s="76">
        <v>3.3</v>
      </c>
      <c r="AO87" s="76">
        <v>0.30599999999999999</v>
      </c>
      <c r="AP87" s="76">
        <v>7.5492454025618789</v>
      </c>
      <c r="AQ87" s="76">
        <v>3.3</v>
      </c>
      <c r="AR87" s="76">
        <v>0.308</v>
      </c>
      <c r="AS87" s="76">
        <v>7.5606100597051391</v>
      </c>
      <c r="AT87" s="76">
        <v>3.3</v>
      </c>
      <c r="AU87" s="76">
        <v>0.3</v>
      </c>
      <c r="AV87" s="76">
        <v>7.5612197972133321</v>
      </c>
      <c r="AW87" s="76">
        <v>3.3</v>
      </c>
      <c r="AX87" s="76">
        <v>0.29899999999999999</v>
      </c>
      <c r="AY87" s="76">
        <v>7.5789470995410282</v>
      </c>
      <c r="AZ87" s="76">
        <v>3.3</v>
      </c>
      <c r="BA87" s="76">
        <v>0.30199999999999999</v>
      </c>
      <c r="BB87" s="76">
        <v>7.5571770686274897</v>
      </c>
      <c r="BC87" s="76">
        <v>3.3</v>
      </c>
      <c r="BD87" s="76">
        <v>0.309</v>
      </c>
      <c r="BE87" s="76">
        <v>7.5281951204634296</v>
      </c>
      <c r="BF87" s="76">
        <v>3.3</v>
      </c>
      <c r="BG87" s="76">
        <v>0.38100000000000001</v>
      </c>
      <c r="BH87" s="76">
        <v>6.692416597063902</v>
      </c>
      <c r="BI87" s="76">
        <v>3.3</v>
      </c>
      <c r="BJ87" s="76">
        <v>0.3</v>
      </c>
      <c r="BK87" s="76">
        <v>7.5768570169751603</v>
      </c>
      <c r="BL87" s="76">
        <v>3.3</v>
      </c>
      <c r="BM87" s="76">
        <v>0.3</v>
      </c>
      <c r="BN87" s="76">
        <v>7.5768570169751603</v>
      </c>
      <c r="BO87" s="76">
        <v>3.3</v>
      </c>
      <c r="BP87" s="76">
        <v>0.30199999999999999</v>
      </c>
      <c r="BQ87" s="76">
        <v>7.5727170872948335</v>
      </c>
      <c r="BR87" s="76">
        <v>3.3</v>
      </c>
      <c r="BS87" s="76">
        <v>0.35199999999999998</v>
      </c>
      <c r="BT87" s="76">
        <v>6.9314718055994478</v>
      </c>
      <c r="BU87" s="76">
        <v>3.3</v>
      </c>
      <c r="BV87" s="76">
        <v>0.308</v>
      </c>
      <c r="BW87" s="76">
        <v>7.5453545266167676</v>
      </c>
    </row>
    <row r="88" spans="1:75" x14ac:dyDescent="0.15">
      <c r="A88" s="6">
        <v>3.4</v>
      </c>
      <c r="B88" s="7">
        <v>0.64600000000000002</v>
      </c>
      <c r="C88" s="76">
        <v>6.6806749616292125</v>
      </c>
      <c r="D88" s="6">
        <v>3.4</v>
      </c>
      <c r="E88" s="7">
        <v>0.65100000000000002</v>
      </c>
      <c r="F88" s="76">
        <v>6.7610571470509289</v>
      </c>
      <c r="G88" s="76">
        <v>3.4</v>
      </c>
      <c r="H88" s="76">
        <v>0.64900000000000002</v>
      </c>
      <c r="I88" s="76">
        <v>6.7918264020957224</v>
      </c>
      <c r="J88" s="76">
        <v>3.4</v>
      </c>
      <c r="K88" s="76">
        <v>0.65800000000000003</v>
      </c>
      <c r="L88" s="76">
        <v>6.7319256603039994</v>
      </c>
      <c r="M88" s="76">
        <v>3.4</v>
      </c>
      <c r="N88" s="76">
        <v>250</v>
      </c>
      <c r="O88" s="76">
        <v>0</v>
      </c>
      <c r="P88" s="76">
        <v>3.4</v>
      </c>
      <c r="Q88" s="76">
        <v>0.64200000000000002</v>
      </c>
      <c r="R88" s="76">
        <v>6.7427869625556189</v>
      </c>
      <c r="S88" s="76">
        <v>3.4</v>
      </c>
      <c r="T88" s="76">
        <v>0.64300000000000002</v>
      </c>
      <c r="U88" s="76">
        <v>6.7272227570790371</v>
      </c>
      <c r="V88" s="76">
        <v>3.4</v>
      </c>
      <c r="W88" s="76">
        <v>0.64400000000000002</v>
      </c>
      <c r="X88" s="76">
        <v>6.7907345334828264</v>
      </c>
      <c r="Y88" s="76">
        <v>3.4</v>
      </c>
      <c r="Z88" s="76">
        <v>0.65</v>
      </c>
      <c r="AA88" s="76">
        <v>6.7764299402397947</v>
      </c>
      <c r="AB88" s="76">
        <v>3.4</v>
      </c>
      <c r="AC88" s="76">
        <v>0.65800000000000003</v>
      </c>
      <c r="AD88" s="76">
        <v>6.7319256603039994</v>
      </c>
      <c r="AE88" s="76">
        <v>3.4</v>
      </c>
      <c r="AF88" s="76">
        <v>0.64100000000000001</v>
      </c>
      <c r="AG88" s="76">
        <v>6.7583754302485302</v>
      </c>
      <c r="AH88" s="76">
        <v>3.4</v>
      </c>
      <c r="AI88" s="76">
        <v>0.64200000000000002</v>
      </c>
      <c r="AJ88" s="76">
        <v>6.7427869625556189</v>
      </c>
      <c r="AK88" s="76">
        <v>3.4</v>
      </c>
      <c r="AL88" s="76">
        <v>0.65100000000000002</v>
      </c>
      <c r="AM88" s="76">
        <v>6.7610571470509289</v>
      </c>
      <c r="AN88" s="76">
        <v>3.4</v>
      </c>
      <c r="AO88" s="76">
        <v>0.65100000000000002</v>
      </c>
      <c r="AP88" s="76">
        <v>6.7610571470509289</v>
      </c>
      <c r="AQ88" s="76">
        <v>3.4</v>
      </c>
      <c r="AR88" s="76">
        <v>0.65600000000000003</v>
      </c>
      <c r="AS88" s="76">
        <v>6.7623670841162813</v>
      </c>
      <c r="AT88" s="76">
        <v>3.4</v>
      </c>
      <c r="AU88" s="76">
        <v>0.63900000000000001</v>
      </c>
      <c r="AV88" s="76">
        <v>6.7099437591881133</v>
      </c>
      <c r="AW88" s="76">
        <v>3.4</v>
      </c>
      <c r="AX88" s="76">
        <v>0.63800000000000001</v>
      </c>
      <c r="AY88" s="76">
        <v>6.725605469515564</v>
      </c>
      <c r="AZ88" s="76">
        <v>3.4</v>
      </c>
      <c r="BA88" s="76">
        <v>0.64300000000000002</v>
      </c>
      <c r="BB88" s="76">
        <v>6.7272227570790371</v>
      </c>
      <c r="BC88" s="76">
        <v>3.4</v>
      </c>
      <c r="BD88" s="76">
        <v>0.65600000000000003</v>
      </c>
      <c r="BE88" s="76">
        <v>6.7623670841162813</v>
      </c>
      <c r="BF88" s="76">
        <v>3.4</v>
      </c>
      <c r="BG88" s="76">
        <v>0.74399999999999999</v>
      </c>
      <c r="BH88" s="76">
        <v>6.2501799129164493</v>
      </c>
      <c r="BI88" s="76">
        <v>3.4</v>
      </c>
      <c r="BJ88" s="76">
        <v>0.64</v>
      </c>
      <c r="BK88" s="76">
        <v>6.6943065394262868</v>
      </c>
      <c r="BL88" s="76">
        <v>3.4</v>
      </c>
      <c r="BM88" s="76">
        <v>0.64</v>
      </c>
      <c r="BN88" s="76">
        <v>6.773988235918055</v>
      </c>
      <c r="BO88" s="76">
        <v>3.4</v>
      </c>
      <c r="BP88" s="76">
        <v>0.64400000000000002</v>
      </c>
      <c r="BQ88" s="76">
        <v>6.7907345334828264</v>
      </c>
      <c r="BR88" s="76">
        <v>3.4</v>
      </c>
      <c r="BS88" s="76">
        <v>0.70399999999999996</v>
      </c>
      <c r="BT88" s="76">
        <v>6.4364653678691415</v>
      </c>
      <c r="BU88" s="76">
        <v>3.4</v>
      </c>
      <c r="BV88" s="76">
        <v>0.65500000000000003</v>
      </c>
      <c r="BW88" s="76">
        <v>6.7776226172046519</v>
      </c>
    </row>
    <row r="89" spans="1:75" x14ac:dyDescent="0.15">
      <c r="A89" s="6">
        <v>3.5</v>
      </c>
      <c r="B89" s="7">
        <v>1.26</v>
      </c>
      <c r="C89" s="76">
        <v>5.930637220029622</v>
      </c>
      <c r="D89" s="6">
        <v>3.5</v>
      </c>
      <c r="E89" s="7">
        <v>1.28</v>
      </c>
      <c r="F89" s="76">
        <v>5.9038744660217581</v>
      </c>
      <c r="G89" s="76">
        <v>3.5</v>
      </c>
      <c r="H89" s="76">
        <v>1.28</v>
      </c>
      <c r="I89" s="76">
        <v>5.8604904500357753</v>
      </c>
      <c r="J89" s="76">
        <v>3.5</v>
      </c>
      <c r="K89" s="76">
        <v>1.29</v>
      </c>
      <c r="L89" s="76">
        <v>5.8692496730463724</v>
      </c>
      <c r="M89" s="76">
        <v>3.5</v>
      </c>
      <c r="N89" s="76">
        <v>250</v>
      </c>
      <c r="O89" s="76">
        <v>0</v>
      </c>
      <c r="P89" s="76">
        <v>3.5</v>
      </c>
      <c r="Q89" s="76">
        <v>1.26</v>
      </c>
      <c r="R89" s="76">
        <v>5.8866811052992425</v>
      </c>
      <c r="S89" s="76">
        <v>3.5</v>
      </c>
      <c r="T89" s="76">
        <v>1.26</v>
      </c>
      <c r="U89" s="76">
        <v>5.930637220029622</v>
      </c>
      <c r="V89" s="76">
        <v>3.5</v>
      </c>
      <c r="W89" s="76">
        <v>1.27</v>
      </c>
      <c r="X89" s="76">
        <v>5.8515854249584889</v>
      </c>
      <c r="Y89" s="76">
        <v>3.5</v>
      </c>
      <c r="Z89" s="76">
        <v>1.28</v>
      </c>
      <c r="AA89" s="76">
        <v>5.9038744660217581</v>
      </c>
      <c r="AB89" s="76">
        <v>3.5</v>
      </c>
      <c r="AC89" s="76">
        <v>1.29</v>
      </c>
      <c r="AD89" s="76">
        <v>5.9550871099602878</v>
      </c>
      <c r="AE89" s="76">
        <v>3.5</v>
      </c>
      <c r="AF89" s="76">
        <v>1.26</v>
      </c>
      <c r="AG89" s="76">
        <v>5.8866811052992425</v>
      </c>
      <c r="AH89" s="76">
        <v>3.5</v>
      </c>
      <c r="AI89" s="76">
        <v>1.26</v>
      </c>
      <c r="AJ89" s="76">
        <v>5.930637220029622</v>
      </c>
      <c r="AK89" s="76">
        <v>3.5</v>
      </c>
      <c r="AL89" s="76">
        <v>1.28</v>
      </c>
      <c r="AM89" s="76">
        <v>5.99008189646083</v>
      </c>
      <c r="AN89" s="76">
        <v>3.5</v>
      </c>
      <c r="AO89" s="76">
        <v>1.28</v>
      </c>
      <c r="AP89" s="76">
        <v>5.99008189646083</v>
      </c>
      <c r="AQ89" s="76">
        <v>3.5</v>
      </c>
      <c r="AR89" s="76">
        <v>1.29</v>
      </c>
      <c r="AS89" s="76">
        <v>5.9550871099602878</v>
      </c>
      <c r="AT89" s="76">
        <v>3.5</v>
      </c>
      <c r="AU89" s="76">
        <v>1.25</v>
      </c>
      <c r="AV89" s="76">
        <v>5.9222126196998417</v>
      </c>
      <c r="AW89" s="76">
        <v>3.5</v>
      </c>
      <c r="AX89" s="76">
        <v>1.25</v>
      </c>
      <c r="AY89" s="76">
        <v>5.9222126196998417</v>
      </c>
      <c r="AZ89" s="76">
        <v>3.5</v>
      </c>
      <c r="BA89" s="76">
        <v>1.26</v>
      </c>
      <c r="BB89" s="76">
        <v>5.9744009660276109</v>
      </c>
      <c r="BC89" s="76">
        <v>3.5</v>
      </c>
      <c r="BD89" s="76">
        <v>1.29</v>
      </c>
      <c r="BE89" s="76">
        <v>5.9977310978248628</v>
      </c>
      <c r="BF89" s="76">
        <v>3.5</v>
      </c>
      <c r="BG89" s="76">
        <v>1.39</v>
      </c>
      <c r="BH89" s="76">
        <v>5.708576028016707</v>
      </c>
      <c r="BI89" s="76">
        <v>3.5</v>
      </c>
      <c r="BJ89" s="76">
        <v>1.25</v>
      </c>
      <c r="BK89" s="76">
        <v>5.9222126196998417</v>
      </c>
      <c r="BL89" s="76">
        <v>3.5</v>
      </c>
      <c r="BM89" s="76">
        <v>1.26</v>
      </c>
      <c r="BN89" s="76">
        <v>5.8866811052992425</v>
      </c>
      <c r="BO89" s="76">
        <v>3.5</v>
      </c>
      <c r="BP89" s="76">
        <v>1.27</v>
      </c>
      <c r="BQ89" s="76">
        <v>5.8953491709564778</v>
      </c>
      <c r="BR89" s="76">
        <v>3.5</v>
      </c>
      <c r="BS89" s="76">
        <v>1.34</v>
      </c>
      <c r="BT89" s="76">
        <v>5.7862375198059874</v>
      </c>
      <c r="BU89" s="76">
        <v>3.5</v>
      </c>
      <c r="BV89" s="76">
        <v>1.29</v>
      </c>
      <c r="BW89" s="76">
        <v>5.9550871099602878</v>
      </c>
    </row>
    <row r="90" spans="1:75" x14ac:dyDescent="0.15">
      <c r="A90" s="6">
        <v>3.6</v>
      </c>
      <c r="B90" s="7">
        <v>2.2799999999999998</v>
      </c>
      <c r="C90" s="76">
        <v>4.9223279068937433</v>
      </c>
      <c r="D90" s="6">
        <v>3.6</v>
      </c>
      <c r="E90" s="7">
        <v>2.31</v>
      </c>
      <c r="F90" s="76">
        <v>5.0300289808478107</v>
      </c>
      <c r="G90" s="76">
        <v>3.6</v>
      </c>
      <c r="H90" s="76">
        <v>2.2999999999999998</v>
      </c>
      <c r="I90" s="76">
        <v>5.0209194379723563</v>
      </c>
      <c r="J90" s="76">
        <v>3.6</v>
      </c>
      <c r="K90" s="76">
        <v>2.3199999999999998</v>
      </c>
      <c r="L90" s="76">
        <v>5.0390518092141656</v>
      </c>
      <c r="M90" s="76">
        <v>3.6</v>
      </c>
      <c r="N90" s="76">
        <v>250</v>
      </c>
      <c r="O90" s="76">
        <v>0</v>
      </c>
      <c r="P90" s="76">
        <v>3.6</v>
      </c>
      <c r="Q90" s="76">
        <v>2.27</v>
      </c>
      <c r="R90" s="76">
        <v>4.9394383679174352</v>
      </c>
      <c r="S90" s="76">
        <v>3.6</v>
      </c>
      <c r="T90" s="76">
        <v>2.2799999999999998</v>
      </c>
      <c r="U90" s="76">
        <v>5.0024351443545321</v>
      </c>
      <c r="V90" s="76">
        <v>3.6</v>
      </c>
      <c r="W90" s="76">
        <v>2.2799999999999998</v>
      </c>
      <c r="X90" s="76">
        <v>5.0024351443545321</v>
      </c>
      <c r="Y90" s="76">
        <v>3.6</v>
      </c>
      <c r="Z90" s="76">
        <v>2.31</v>
      </c>
      <c r="AA90" s="76">
        <v>5.0300289808478107</v>
      </c>
      <c r="AB90" s="76">
        <v>3.6</v>
      </c>
      <c r="AC90" s="76">
        <v>2.34</v>
      </c>
      <c r="AD90" s="76">
        <v>5.0310357767207989</v>
      </c>
      <c r="AE90" s="76">
        <v>3.6</v>
      </c>
      <c r="AF90" s="76">
        <v>2.27</v>
      </c>
      <c r="AG90" s="76">
        <v>4.9662840216241237</v>
      </c>
      <c r="AH90" s="76">
        <v>3.6</v>
      </c>
      <c r="AI90" s="76">
        <v>2.2799999999999998</v>
      </c>
      <c r="AJ90" s="76">
        <v>5.0024351443545321</v>
      </c>
      <c r="AK90" s="76">
        <v>3.6</v>
      </c>
      <c r="AL90" s="76">
        <v>2.33</v>
      </c>
      <c r="AM90" s="76">
        <v>5.0479891589912969</v>
      </c>
      <c r="AN90" s="76">
        <v>3.6</v>
      </c>
      <c r="AO90" s="76">
        <v>2.33</v>
      </c>
      <c r="AP90" s="76">
        <v>5.0220488072208314</v>
      </c>
      <c r="AQ90" s="76">
        <v>3.6</v>
      </c>
      <c r="AR90" s="76">
        <v>2.34</v>
      </c>
      <c r="AS90" s="76">
        <v>5.0568422426557156</v>
      </c>
      <c r="AT90" s="76">
        <v>3.6</v>
      </c>
      <c r="AU90" s="76">
        <v>2.2599999999999998</v>
      </c>
      <c r="AV90" s="76">
        <v>4.9566706333514903</v>
      </c>
      <c r="AW90" s="76">
        <v>3.6</v>
      </c>
      <c r="AX90" s="76">
        <v>2.2599999999999998</v>
      </c>
      <c r="AY90" s="76">
        <v>4.9835885500086041</v>
      </c>
      <c r="AZ90" s="76">
        <v>3.6</v>
      </c>
      <c r="BA90" s="76">
        <v>2.29</v>
      </c>
      <c r="BB90" s="76">
        <v>5.0117219206534749</v>
      </c>
      <c r="BC90" s="76">
        <v>3.6</v>
      </c>
      <c r="BD90" s="76">
        <v>2.35</v>
      </c>
      <c r="BE90" s="76">
        <v>5.0399382947428695</v>
      </c>
      <c r="BF90" s="76">
        <v>3.6</v>
      </c>
      <c r="BG90" s="76">
        <v>2.46</v>
      </c>
      <c r="BH90" s="76">
        <v>4.9112055268665769</v>
      </c>
      <c r="BI90" s="76">
        <v>3.6</v>
      </c>
      <c r="BJ90" s="76">
        <v>2.2599999999999998</v>
      </c>
      <c r="BK90" s="76">
        <v>4.9296800636598403</v>
      </c>
      <c r="BL90" s="76">
        <v>3.6</v>
      </c>
      <c r="BM90" s="76">
        <v>2.27</v>
      </c>
      <c r="BN90" s="76">
        <v>4.9662840216241237</v>
      </c>
      <c r="BO90" s="76">
        <v>3.6</v>
      </c>
      <c r="BP90" s="76">
        <v>2.29</v>
      </c>
      <c r="BQ90" s="76">
        <v>4.9852318389377057</v>
      </c>
      <c r="BR90" s="76">
        <v>3.6</v>
      </c>
      <c r="BS90" s="76">
        <v>2.39</v>
      </c>
      <c r="BT90" s="76">
        <v>4.9224400805385473</v>
      </c>
      <c r="BU90" s="76">
        <v>3.6</v>
      </c>
      <c r="BV90" s="76">
        <v>2.34</v>
      </c>
      <c r="BW90" s="76">
        <v>5.0051625410712894</v>
      </c>
    </row>
    <row r="91" spans="1:75" x14ac:dyDescent="0.15">
      <c r="A91" s="6">
        <v>3.7</v>
      </c>
      <c r="B91" s="7">
        <v>3.73</v>
      </c>
      <c r="C91" s="76">
        <v>4.1524731150262708</v>
      </c>
      <c r="D91" s="6">
        <v>3.7</v>
      </c>
      <c r="E91" s="7">
        <v>3.82</v>
      </c>
      <c r="F91" s="76">
        <v>4.2104983912486418</v>
      </c>
      <c r="G91" s="76">
        <v>3.7</v>
      </c>
      <c r="H91" s="76">
        <v>3.8</v>
      </c>
      <c r="I91" s="76">
        <v>4.1767101378766975</v>
      </c>
      <c r="J91" s="76">
        <v>3.7</v>
      </c>
      <c r="K91" s="76">
        <v>3.84</v>
      </c>
      <c r="L91" s="76">
        <v>4.1925843024050149</v>
      </c>
      <c r="M91" s="76">
        <v>3.7</v>
      </c>
      <c r="N91" s="76">
        <v>250</v>
      </c>
      <c r="O91" s="76">
        <v>0</v>
      </c>
      <c r="P91" s="76">
        <v>3.7</v>
      </c>
      <c r="Q91" s="76">
        <v>3.72</v>
      </c>
      <c r="R91" s="76">
        <v>4.1616039722491367</v>
      </c>
      <c r="S91" s="76">
        <v>3.7</v>
      </c>
      <c r="T91" s="76">
        <v>3.76</v>
      </c>
      <c r="U91" s="76">
        <v>4.1780006626611739</v>
      </c>
      <c r="V91" s="76">
        <v>3.7</v>
      </c>
      <c r="W91" s="76">
        <v>3.76</v>
      </c>
      <c r="X91" s="76">
        <v>4.1954984798990482</v>
      </c>
      <c r="Y91" s="76">
        <v>3.7</v>
      </c>
      <c r="Z91" s="76">
        <v>3.82</v>
      </c>
      <c r="AA91" s="76">
        <v>4.193301482453375</v>
      </c>
      <c r="AB91" s="76">
        <v>3.7</v>
      </c>
      <c r="AC91" s="76">
        <v>3.87</v>
      </c>
      <c r="AD91" s="76">
        <v>4.216978438699849</v>
      </c>
      <c r="AE91" s="76">
        <v>3.7</v>
      </c>
      <c r="AF91" s="76">
        <v>3.73</v>
      </c>
      <c r="AG91" s="76">
        <v>4.1701565855936886</v>
      </c>
      <c r="AH91" s="76">
        <v>3.7</v>
      </c>
      <c r="AI91" s="76">
        <v>3.76</v>
      </c>
      <c r="AJ91" s="76">
        <v>4.1780006626611739</v>
      </c>
      <c r="AK91" s="76">
        <v>3.7</v>
      </c>
      <c r="AL91" s="76">
        <v>3.86</v>
      </c>
      <c r="AM91" s="76">
        <v>4.2766926541917645</v>
      </c>
      <c r="AN91" s="76">
        <v>3.7</v>
      </c>
      <c r="AO91" s="76">
        <v>3.85</v>
      </c>
      <c r="AP91" s="76">
        <v>4.2518284936380386</v>
      </c>
      <c r="AQ91" s="76">
        <v>3.7</v>
      </c>
      <c r="AR91" s="76">
        <v>3.88</v>
      </c>
      <c r="AS91" s="76">
        <v>4.2250129526073383</v>
      </c>
      <c r="AT91" s="76">
        <v>3.7</v>
      </c>
      <c r="AU91" s="76">
        <v>3.71</v>
      </c>
      <c r="AV91" s="76">
        <v>4.1707756553225668</v>
      </c>
      <c r="AW91" s="76">
        <v>3.7</v>
      </c>
      <c r="AX91" s="76">
        <v>3.72</v>
      </c>
      <c r="AY91" s="76">
        <v>4.1793187687329594</v>
      </c>
      <c r="AZ91" s="76">
        <v>3.7</v>
      </c>
      <c r="BA91" s="76">
        <v>3.78</v>
      </c>
      <c r="BB91" s="76">
        <v>4.1947584517776439</v>
      </c>
      <c r="BC91" s="76">
        <v>3.7</v>
      </c>
      <c r="BD91" s="76">
        <v>3.89</v>
      </c>
      <c r="BE91" s="76">
        <v>4.2833776977415727</v>
      </c>
      <c r="BF91" s="76">
        <v>3.7</v>
      </c>
      <c r="BG91" s="76">
        <v>4.0199999999999996</v>
      </c>
      <c r="BH91" s="76">
        <v>4.2191284731719199</v>
      </c>
      <c r="BI91" s="76">
        <v>3.7</v>
      </c>
      <c r="BJ91" s="76">
        <v>3.7</v>
      </c>
      <c r="BK91" s="76">
        <v>4.1621789988442766</v>
      </c>
      <c r="BL91" s="76">
        <v>3.7</v>
      </c>
      <c r="BM91" s="76">
        <v>3.73</v>
      </c>
      <c r="BN91" s="76">
        <v>4.1701565855936886</v>
      </c>
      <c r="BO91" s="76">
        <v>3.7</v>
      </c>
      <c r="BP91" s="76">
        <v>3.77</v>
      </c>
      <c r="BQ91" s="76">
        <v>4.2212485334934131</v>
      </c>
      <c r="BR91" s="76">
        <v>3.7</v>
      </c>
      <c r="BS91" s="76">
        <v>3.91</v>
      </c>
      <c r="BT91" s="76">
        <v>4.2320955340723767</v>
      </c>
      <c r="BU91" s="76">
        <v>3.7</v>
      </c>
      <c r="BV91" s="76">
        <v>3.86</v>
      </c>
      <c r="BW91" s="76">
        <v>4.2258881418675722</v>
      </c>
    </row>
    <row r="92" spans="1:75" x14ac:dyDescent="0.15">
      <c r="A92" s="6">
        <v>3.8</v>
      </c>
      <c r="B92" s="7">
        <v>5.65</v>
      </c>
      <c r="C92" s="76">
        <v>3.477859965214857</v>
      </c>
      <c r="D92" s="6">
        <v>3.8</v>
      </c>
      <c r="E92" s="7">
        <v>5.82</v>
      </c>
      <c r="F92" s="76">
        <v>3.5495525305920563</v>
      </c>
      <c r="G92" s="76">
        <v>3.8</v>
      </c>
      <c r="H92" s="76">
        <v>5.77</v>
      </c>
      <c r="I92" s="76">
        <v>3.5389812854808014</v>
      </c>
      <c r="J92" s="76">
        <v>3.8</v>
      </c>
      <c r="K92" s="76">
        <v>5.84</v>
      </c>
      <c r="L92" s="76">
        <v>3.551326593386154</v>
      </c>
      <c r="M92" s="76">
        <v>3.8</v>
      </c>
      <c r="N92" s="76">
        <v>250</v>
      </c>
      <c r="O92" s="76">
        <v>0</v>
      </c>
      <c r="P92" s="76">
        <v>3.8</v>
      </c>
      <c r="Q92" s="76">
        <v>5.64</v>
      </c>
      <c r="R92" s="76">
        <v>3.4955747616986801</v>
      </c>
      <c r="S92" s="76">
        <v>3.8</v>
      </c>
      <c r="T92" s="76">
        <v>5.71</v>
      </c>
      <c r="U92" s="76">
        <v>3.533418998918</v>
      </c>
      <c r="V92" s="76">
        <v>3.8</v>
      </c>
      <c r="W92" s="76">
        <v>5.72</v>
      </c>
      <c r="X92" s="76">
        <v>3.5282137462274235</v>
      </c>
      <c r="Y92" s="76">
        <v>3.8</v>
      </c>
      <c r="Z92" s="76">
        <v>5.81</v>
      </c>
      <c r="AA92" s="76">
        <v>3.5667494393873236</v>
      </c>
      <c r="AB92" s="76">
        <v>3.8</v>
      </c>
      <c r="AC92" s="76">
        <v>5.9</v>
      </c>
      <c r="AD92" s="76">
        <v>3.5802995769619153</v>
      </c>
      <c r="AE92" s="76">
        <v>3.8</v>
      </c>
      <c r="AF92" s="76">
        <v>5.66</v>
      </c>
      <c r="AG92" s="76">
        <v>3.5100519097578289</v>
      </c>
      <c r="AH92" s="76">
        <v>3.8</v>
      </c>
      <c r="AI92" s="76">
        <v>5.71</v>
      </c>
      <c r="AJ92" s="76">
        <v>3.5457115634652983</v>
      </c>
      <c r="AK92" s="76">
        <v>3.8</v>
      </c>
      <c r="AL92" s="76">
        <v>5.92</v>
      </c>
      <c r="AM92" s="76">
        <v>3.6055255142734124</v>
      </c>
      <c r="AN92" s="76">
        <v>3.8</v>
      </c>
      <c r="AO92" s="76">
        <v>5.89</v>
      </c>
      <c r="AP92" s="76">
        <v>3.5854077435026857</v>
      </c>
      <c r="AQ92" s="76">
        <v>3.8</v>
      </c>
      <c r="AR92" s="76">
        <v>5.92</v>
      </c>
      <c r="AS92" s="76">
        <v>3.5937400090789708</v>
      </c>
      <c r="AT92" s="76">
        <v>3.8</v>
      </c>
      <c r="AU92" s="76">
        <v>5.63</v>
      </c>
      <c r="AV92" s="76">
        <v>3.5008131762658392</v>
      </c>
      <c r="AW92" s="76">
        <v>3.8</v>
      </c>
      <c r="AX92" s="76">
        <v>5.65</v>
      </c>
      <c r="AY92" s="76">
        <v>3.5277353803252467</v>
      </c>
      <c r="AZ92" s="76">
        <v>3.8</v>
      </c>
      <c r="BA92" s="76">
        <v>5.75</v>
      </c>
      <c r="BB92" s="76">
        <v>3.5615306865507748</v>
      </c>
      <c r="BC92" s="76">
        <v>3.8</v>
      </c>
      <c r="BD92" s="76">
        <v>5.97</v>
      </c>
      <c r="BE92" s="76">
        <v>3.6268698609536001</v>
      </c>
      <c r="BF92" s="76">
        <v>3.8</v>
      </c>
      <c r="BG92" s="76">
        <v>6.13</v>
      </c>
      <c r="BH92" s="76">
        <v>3.5357061990339069</v>
      </c>
      <c r="BI92" s="76">
        <v>3.8</v>
      </c>
      <c r="BJ92" s="76">
        <v>5.61</v>
      </c>
      <c r="BK92" s="76">
        <v>3.4862120913163532</v>
      </c>
      <c r="BL92" s="76">
        <v>3.8</v>
      </c>
      <c r="BM92" s="76">
        <v>5.66</v>
      </c>
      <c r="BN92" s="76">
        <v>3.5348966430344522</v>
      </c>
      <c r="BO92" s="76">
        <v>3.8</v>
      </c>
      <c r="BP92" s="76">
        <v>5.75</v>
      </c>
      <c r="BQ92" s="76">
        <v>3.5493429946094803</v>
      </c>
      <c r="BR92" s="76">
        <v>3.8</v>
      </c>
      <c r="BS92" s="76">
        <v>5.97</v>
      </c>
      <c r="BT92" s="76">
        <v>3.5684243409907648</v>
      </c>
      <c r="BU92" s="76">
        <v>3.8</v>
      </c>
      <c r="BV92" s="76">
        <v>5.89</v>
      </c>
      <c r="BW92" s="76">
        <v>3.5854077435026857</v>
      </c>
    </row>
    <row r="93" spans="1:75" x14ac:dyDescent="0.15">
      <c r="A93" s="6">
        <v>3.9</v>
      </c>
      <c r="B93" s="7">
        <v>8</v>
      </c>
      <c r="C93" s="76">
        <v>3.00104592450338</v>
      </c>
      <c r="D93" s="6">
        <v>3.9</v>
      </c>
      <c r="E93" s="7">
        <v>8.3000000000000007</v>
      </c>
      <c r="F93" s="76">
        <v>3.0854721091574229</v>
      </c>
      <c r="G93" s="76">
        <v>3.9</v>
      </c>
      <c r="H93" s="76">
        <v>8.2200000000000006</v>
      </c>
      <c r="I93" s="76">
        <v>3.0037489925019951</v>
      </c>
      <c r="J93" s="76">
        <v>3.9</v>
      </c>
      <c r="K93" s="76">
        <v>8.33</v>
      </c>
      <c r="L93" s="76">
        <v>3.0493926953954338</v>
      </c>
      <c r="M93" s="76">
        <v>3.9</v>
      </c>
      <c r="N93" s="76">
        <v>250</v>
      </c>
      <c r="O93" s="76">
        <v>0</v>
      </c>
      <c r="P93" s="76">
        <v>3.9</v>
      </c>
      <c r="Q93" s="76">
        <v>8</v>
      </c>
      <c r="R93" s="76">
        <v>3.00104592450338</v>
      </c>
      <c r="S93" s="76">
        <v>3.9</v>
      </c>
      <c r="T93" s="76">
        <v>8.1300000000000008</v>
      </c>
      <c r="U93" s="76">
        <v>3.0233434923865117</v>
      </c>
      <c r="V93" s="76">
        <v>3.9</v>
      </c>
      <c r="W93" s="76">
        <v>8.14</v>
      </c>
      <c r="X93" s="76">
        <v>3.0110509278392135</v>
      </c>
      <c r="Y93" s="76">
        <v>3.9</v>
      </c>
      <c r="Z93" s="76">
        <v>8.3000000000000007</v>
      </c>
      <c r="AA93" s="76">
        <v>3.0854721091574229</v>
      </c>
      <c r="AB93" s="76">
        <v>3.9</v>
      </c>
      <c r="AC93" s="76">
        <v>8.44</v>
      </c>
      <c r="AD93" s="76">
        <v>3.0936472676133837</v>
      </c>
      <c r="AE93" s="76">
        <v>3.9</v>
      </c>
      <c r="AF93" s="76">
        <v>8.0399999999999991</v>
      </c>
      <c r="AG93" s="76">
        <v>3.0433370604422301</v>
      </c>
      <c r="AH93" s="76">
        <v>3.9</v>
      </c>
      <c r="AI93" s="76">
        <v>8.14</v>
      </c>
      <c r="AJ93" s="76">
        <v>3.0110509278392135</v>
      </c>
      <c r="AK93" s="76">
        <v>3.9</v>
      </c>
      <c r="AL93" s="76">
        <v>8.49</v>
      </c>
      <c r="AM93" s="76">
        <v>3.1211609778906286</v>
      </c>
      <c r="AN93" s="76">
        <v>3.9</v>
      </c>
      <c r="AO93" s="76">
        <v>8.43</v>
      </c>
      <c r="AP93" s="76">
        <v>3.1055026335543996</v>
      </c>
      <c r="AQ93" s="76">
        <v>3.9</v>
      </c>
      <c r="AR93" s="76">
        <v>8.48</v>
      </c>
      <c r="AS93" s="76">
        <v>3.0463658556539226</v>
      </c>
      <c r="AT93" s="76">
        <v>3.9</v>
      </c>
      <c r="AU93" s="76">
        <v>7.99</v>
      </c>
      <c r="AV93" s="76">
        <v>3.0135537435199051</v>
      </c>
      <c r="AW93" s="76">
        <v>3.9</v>
      </c>
      <c r="AX93" s="76">
        <v>8.0399999999999991</v>
      </c>
      <c r="AY93" s="76">
        <v>3.0433370604422301</v>
      </c>
      <c r="AZ93" s="76">
        <v>3.9</v>
      </c>
      <c r="BA93" s="76">
        <v>8.2100000000000009</v>
      </c>
      <c r="BB93" s="76">
        <v>3.1056085483671154</v>
      </c>
      <c r="BC93" s="76">
        <v>3.9</v>
      </c>
      <c r="BD93" s="76">
        <v>8.58</v>
      </c>
      <c r="BE93" s="76">
        <v>3.1015492830383913</v>
      </c>
      <c r="BF93" s="76">
        <v>3.9</v>
      </c>
      <c r="BG93" s="76">
        <v>8.73</v>
      </c>
      <c r="BH93" s="76">
        <v>3.0977303026597243</v>
      </c>
      <c r="BI93" s="76">
        <v>3.9</v>
      </c>
      <c r="BJ93" s="76">
        <v>7.95</v>
      </c>
      <c r="BK93" s="76">
        <v>2.9707181280161938</v>
      </c>
      <c r="BL93" s="76">
        <v>3.9</v>
      </c>
      <c r="BM93" s="76">
        <v>8.06</v>
      </c>
      <c r="BN93" s="76">
        <v>3.0184923271656068</v>
      </c>
      <c r="BO93" s="76">
        <v>3.9</v>
      </c>
      <c r="BP93" s="76">
        <v>8.1999999999999993</v>
      </c>
      <c r="BQ93" s="76">
        <v>3.0281095404808074</v>
      </c>
      <c r="BR93" s="76">
        <v>3.9</v>
      </c>
      <c r="BS93" s="76">
        <v>8.5299999999999994</v>
      </c>
      <c r="BT93" s="76">
        <v>3.0741573660873129</v>
      </c>
      <c r="BU93" s="76">
        <v>3.9</v>
      </c>
      <c r="BV93" s="76">
        <v>8.43</v>
      </c>
      <c r="BW93" s="76">
        <v>3.1055026335543996</v>
      </c>
    </row>
    <row r="94" spans="1:75" x14ac:dyDescent="0.15">
      <c r="A94" s="6">
        <v>4</v>
      </c>
      <c r="B94" s="7">
        <v>10.8</v>
      </c>
      <c r="C94" s="76">
        <v>2.5951119548508532</v>
      </c>
      <c r="D94" s="6">
        <v>4</v>
      </c>
      <c r="E94" s="7">
        <v>11.3</v>
      </c>
      <c r="F94" s="76">
        <v>2.6304476806639658</v>
      </c>
      <c r="G94" s="76">
        <v>4</v>
      </c>
      <c r="H94" s="76">
        <v>11.1</v>
      </c>
      <c r="I94" s="76">
        <v>2.6720354110824123</v>
      </c>
      <c r="J94" s="76">
        <v>4</v>
      </c>
      <c r="K94" s="76">
        <v>11.3</v>
      </c>
      <c r="L94" s="76">
        <v>2.6304476806639658</v>
      </c>
      <c r="M94" s="76">
        <v>4</v>
      </c>
      <c r="N94" s="76">
        <v>250</v>
      </c>
      <c r="O94" s="76">
        <v>0</v>
      </c>
      <c r="P94" s="76">
        <v>4</v>
      </c>
      <c r="Q94" s="76">
        <v>10.8</v>
      </c>
      <c r="R94" s="76">
        <v>2.5951119548508532</v>
      </c>
      <c r="S94" s="76">
        <v>4</v>
      </c>
      <c r="T94" s="76">
        <v>11</v>
      </c>
      <c r="U94" s="76">
        <v>2.6236426446749177</v>
      </c>
      <c r="V94" s="76">
        <v>4</v>
      </c>
      <c r="W94" s="76">
        <v>11</v>
      </c>
      <c r="X94" s="76">
        <v>2.7625337662815905</v>
      </c>
      <c r="Y94" s="76">
        <v>4</v>
      </c>
      <c r="Z94" s="76">
        <v>11.3</v>
      </c>
      <c r="AA94" s="76">
        <v>2.6304476806639658</v>
      </c>
      <c r="AB94" s="76">
        <v>4</v>
      </c>
      <c r="AC94" s="76">
        <v>11.5</v>
      </c>
      <c r="AD94" s="76">
        <v>2.6570316573300672</v>
      </c>
      <c r="AE94" s="76">
        <v>4</v>
      </c>
      <c r="AF94" s="76">
        <v>10.9</v>
      </c>
      <c r="AG94" s="76">
        <v>2.5741200814902547</v>
      </c>
      <c r="AH94" s="76">
        <v>4</v>
      </c>
      <c r="AI94" s="76">
        <v>11</v>
      </c>
      <c r="AJ94" s="76">
        <v>2.6933293378358512</v>
      </c>
      <c r="AK94" s="76">
        <v>4</v>
      </c>
      <c r="AL94" s="76">
        <v>11.6</v>
      </c>
      <c r="AM94" s="76">
        <v>2.7029032973991249</v>
      </c>
      <c r="AN94" s="76">
        <v>4</v>
      </c>
      <c r="AO94" s="76">
        <v>11.5</v>
      </c>
      <c r="AP94" s="76">
        <v>2.6570316573300672</v>
      </c>
      <c r="AQ94" s="76">
        <v>4</v>
      </c>
      <c r="AR94" s="76">
        <v>11.5</v>
      </c>
      <c r="AS94" s="76">
        <v>2.7234770845167553</v>
      </c>
      <c r="AT94" s="76">
        <v>4</v>
      </c>
      <c r="AU94" s="76">
        <v>10.8</v>
      </c>
      <c r="AV94" s="76">
        <v>2.5951119548508532</v>
      </c>
      <c r="AW94" s="76">
        <v>4</v>
      </c>
      <c r="AX94" s="76">
        <v>10.9</v>
      </c>
      <c r="AY94" s="76">
        <v>2.6447917537211789</v>
      </c>
      <c r="AZ94" s="76">
        <v>4</v>
      </c>
      <c r="BA94" s="76">
        <v>11.2</v>
      </c>
      <c r="BB94" s="76">
        <v>2.6510775041324313</v>
      </c>
      <c r="BC94" s="76">
        <v>4</v>
      </c>
      <c r="BD94" s="76">
        <v>11.7</v>
      </c>
      <c r="BE94" s="76">
        <v>2.7477866761587419</v>
      </c>
      <c r="BF94" s="76">
        <v>4</v>
      </c>
      <c r="BG94" s="76">
        <v>11.9</v>
      </c>
      <c r="BH94" s="76">
        <v>2.7073251413800845</v>
      </c>
      <c r="BI94" s="76">
        <v>4</v>
      </c>
      <c r="BJ94" s="76">
        <v>10.7</v>
      </c>
      <c r="BK94" s="76">
        <v>2.6164509866878665</v>
      </c>
      <c r="BL94" s="76">
        <v>4</v>
      </c>
      <c r="BM94" s="76">
        <v>10.9</v>
      </c>
      <c r="BN94" s="76">
        <v>2.6447917537211789</v>
      </c>
      <c r="BO94" s="76">
        <v>4</v>
      </c>
      <c r="BP94" s="76">
        <v>11.1</v>
      </c>
      <c r="BQ94" s="76">
        <v>2.6720354110824123</v>
      </c>
      <c r="BR94" s="76">
        <v>4</v>
      </c>
      <c r="BS94" s="76">
        <v>11.6</v>
      </c>
      <c r="BT94" s="76">
        <v>2.7029032973991249</v>
      </c>
      <c r="BU94" s="76">
        <v>4</v>
      </c>
      <c r="BV94" s="76">
        <v>11.5</v>
      </c>
      <c r="BW94" s="76">
        <v>2.6570316573300672</v>
      </c>
    </row>
    <row r="95" spans="1:75" x14ac:dyDescent="0.15">
      <c r="A95" s="6">
        <v>4.0999999999999996</v>
      </c>
      <c r="B95" s="7">
        <v>14</v>
      </c>
      <c r="C95" s="76">
        <v>2.2884157242884675</v>
      </c>
      <c r="D95" s="6">
        <v>4.0999999999999996</v>
      </c>
      <c r="E95" s="7">
        <v>14.7</v>
      </c>
      <c r="F95" s="76">
        <v>2.3531408693446396</v>
      </c>
      <c r="G95" s="76">
        <v>4.0999999999999996</v>
      </c>
      <c r="H95" s="76">
        <v>14.5</v>
      </c>
      <c r="I95" s="76">
        <v>2.3820201518840993</v>
      </c>
      <c r="J95" s="76">
        <v>4.0999999999999996</v>
      </c>
      <c r="K95" s="76">
        <v>14.7</v>
      </c>
      <c r="L95" s="76">
        <v>2.3531408693446396</v>
      </c>
      <c r="M95" s="76">
        <v>4.0999999999999996</v>
      </c>
      <c r="N95" s="76">
        <v>250</v>
      </c>
      <c r="O95" s="76">
        <v>0</v>
      </c>
      <c r="P95" s="76">
        <v>4.0999999999999996</v>
      </c>
      <c r="Q95" s="76">
        <v>14</v>
      </c>
      <c r="R95" s="76">
        <v>2.3450730996452371</v>
      </c>
      <c r="S95" s="76">
        <v>4.0999999999999996</v>
      </c>
      <c r="T95" s="76">
        <v>14.3</v>
      </c>
      <c r="U95" s="76">
        <v>2.3565240100591742</v>
      </c>
      <c r="V95" s="76">
        <v>4.0999999999999996</v>
      </c>
      <c r="W95" s="76">
        <v>14.5</v>
      </c>
      <c r="X95" s="76">
        <v>2.4362208265774892</v>
      </c>
      <c r="Y95" s="76">
        <v>4.0999999999999996</v>
      </c>
      <c r="Z95" s="76">
        <v>14.7</v>
      </c>
      <c r="AA95" s="76">
        <v>2.3531408693446396</v>
      </c>
      <c r="AB95" s="76">
        <v>4.0999999999999996</v>
      </c>
      <c r="AC95" s="76">
        <v>15</v>
      </c>
      <c r="AD95" s="76">
        <v>2.3638877806422895</v>
      </c>
      <c r="AE95" s="76">
        <v>4.0999999999999996</v>
      </c>
      <c r="AF95" s="76">
        <v>14.1</v>
      </c>
      <c r="AG95" s="76">
        <v>2.330236599139158</v>
      </c>
      <c r="AH95" s="76">
        <v>4.0999999999999996</v>
      </c>
      <c r="AI95" s="76">
        <v>14.4</v>
      </c>
      <c r="AJ95" s="76">
        <v>2.3419338750079364</v>
      </c>
      <c r="AK95" s="76">
        <v>4.0999999999999996</v>
      </c>
      <c r="AL95" s="76">
        <v>15.2</v>
      </c>
      <c r="AM95" s="76">
        <v>2.4397763821705047</v>
      </c>
      <c r="AN95" s="76">
        <v>4.0999999999999996</v>
      </c>
      <c r="AO95" s="76">
        <v>15</v>
      </c>
      <c r="AP95" s="76">
        <v>2.4163813395037308</v>
      </c>
      <c r="AQ95" s="76">
        <v>4.0999999999999996</v>
      </c>
      <c r="AR95" s="76">
        <v>15.1</v>
      </c>
      <c r="AS95" s="76">
        <v>2.4021553521285592</v>
      </c>
      <c r="AT95" s="76">
        <v>4.0999999999999996</v>
      </c>
      <c r="AU95" s="76">
        <v>14</v>
      </c>
      <c r="AV95" s="76">
        <v>2.3450730996452371</v>
      </c>
      <c r="AW95" s="76">
        <v>4.0999999999999996</v>
      </c>
      <c r="AX95" s="76">
        <v>14.2</v>
      </c>
      <c r="AY95" s="76">
        <v>2.3155874823949283</v>
      </c>
      <c r="AZ95" s="76">
        <v>4.0999999999999996</v>
      </c>
      <c r="BA95" s="76">
        <v>14.6</v>
      </c>
      <c r="BB95" s="76">
        <v>2.3132913590064783</v>
      </c>
      <c r="BC95" s="76">
        <v>4.0999999999999996</v>
      </c>
      <c r="BD95" s="76">
        <v>15.4</v>
      </c>
      <c r="BE95" s="76">
        <v>2.4116205681688689</v>
      </c>
      <c r="BF95" s="76">
        <v>4.0999999999999996</v>
      </c>
      <c r="BG95" s="76">
        <v>15.6</v>
      </c>
      <c r="BH95" s="76">
        <v>2.3841102344499725</v>
      </c>
      <c r="BI95" s="76">
        <v>4.0999999999999996</v>
      </c>
      <c r="BJ95" s="76">
        <v>13.9</v>
      </c>
      <c r="BK95" s="76">
        <v>2.3601006190745908</v>
      </c>
      <c r="BL95" s="76">
        <v>4.0999999999999996</v>
      </c>
      <c r="BM95" s="76">
        <v>14.2</v>
      </c>
      <c r="BN95" s="76">
        <v>2.3155874823949283</v>
      </c>
      <c r="BO95" s="76">
        <v>4.0999999999999996</v>
      </c>
      <c r="BP95" s="76">
        <v>14.5</v>
      </c>
      <c r="BQ95" s="76">
        <v>2.3820201518840993</v>
      </c>
      <c r="BR95" s="76">
        <v>4.0999999999999996</v>
      </c>
      <c r="BS95" s="76">
        <v>15.2</v>
      </c>
      <c r="BT95" s="76">
        <v>2.3880966805860786</v>
      </c>
      <c r="BU95" s="76">
        <v>4.0999999999999996</v>
      </c>
      <c r="BV95" s="76">
        <v>15</v>
      </c>
      <c r="BW95" s="76">
        <v>2.4163813395037308</v>
      </c>
    </row>
    <row r="96" spans="1:75" x14ac:dyDescent="0.15">
      <c r="A96" s="6">
        <v>4.2</v>
      </c>
      <c r="B96" s="7">
        <v>17.600000000000001</v>
      </c>
      <c r="C96" s="76">
        <v>2.0941335850230822</v>
      </c>
      <c r="D96" s="6">
        <v>4.2</v>
      </c>
      <c r="E96" s="7">
        <v>18.600000000000001</v>
      </c>
      <c r="F96" s="76">
        <v>2.1233263520999466</v>
      </c>
      <c r="G96" s="76">
        <v>4.2</v>
      </c>
      <c r="H96" s="76">
        <v>18.399999999999999</v>
      </c>
      <c r="I96" s="76">
        <v>2.1001425987241782</v>
      </c>
      <c r="J96" s="76">
        <v>4.2</v>
      </c>
      <c r="K96" s="76">
        <v>18.600000000000001</v>
      </c>
      <c r="L96" s="76">
        <v>2.1233263520999466</v>
      </c>
      <c r="M96" s="76">
        <v>4.2</v>
      </c>
      <c r="N96" s="76">
        <v>250</v>
      </c>
      <c r="O96" s="76">
        <v>0</v>
      </c>
      <c r="P96" s="76">
        <v>4.2</v>
      </c>
      <c r="Q96" s="76">
        <v>17.7</v>
      </c>
      <c r="R96" s="76">
        <v>2.0834533021526078</v>
      </c>
      <c r="S96" s="76">
        <v>4.2</v>
      </c>
      <c r="T96" s="76">
        <v>18.100000000000001</v>
      </c>
      <c r="U96" s="76">
        <v>2.1314902058921468</v>
      </c>
      <c r="V96" s="76">
        <v>4.2</v>
      </c>
      <c r="W96" s="76">
        <v>18.5</v>
      </c>
      <c r="X96" s="76">
        <v>2.0898980387611696</v>
      </c>
      <c r="Y96" s="76">
        <v>4.2</v>
      </c>
      <c r="Z96" s="76">
        <v>18.600000000000001</v>
      </c>
      <c r="AA96" s="76">
        <v>2.1233263520999466</v>
      </c>
      <c r="AB96" s="76">
        <v>4.2</v>
      </c>
      <c r="AC96" s="76">
        <v>19</v>
      </c>
      <c r="AD96" s="76">
        <v>2.1256144198367397</v>
      </c>
      <c r="AE96" s="76">
        <v>4.2</v>
      </c>
      <c r="AF96" s="76">
        <v>17.8</v>
      </c>
      <c r="AG96" s="76">
        <v>2.1184399606027724</v>
      </c>
      <c r="AH96" s="76">
        <v>4.2</v>
      </c>
      <c r="AI96" s="76">
        <v>18.2</v>
      </c>
      <c r="AJ96" s="76">
        <v>2.1209371512762529</v>
      </c>
      <c r="AK96" s="76">
        <v>4.2</v>
      </c>
      <c r="AL96" s="76">
        <v>19.399999999999999</v>
      </c>
      <c r="AM96" s="76">
        <v>2.1278076427866419</v>
      </c>
      <c r="AN96" s="76">
        <v>4.2</v>
      </c>
      <c r="AO96" s="76">
        <v>19.100000000000001</v>
      </c>
      <c r="AP96" s="76">
        <v>2.1578671308850192</v>
      </c>
      <c r="AQ96" s="76">
        <v>4.2</v>
      </c>
      <c r="AR96" s="76">
        <v>19.2</v>
      </c>
      <c r="AS96" s="76">
        <v>2.1477530164369383</v>
      </c>
      <c r="AT96" s="76">
        <v>4.2</v>
      </c>
      <c r="AU96" s="76">
        <v>17.7</v>
      </c>
      <c r="AV96" s="76">
        <v>2.0834533021526078</v>
      </c>
      <c r="AW96" s="76">
        <v>4.2</v>
      </c>
      <c r="AX96" s="76">
        <v>17.899999999999999</v>
      </c>
      <c r="AY96" s="76">
        <v>2.1077689567699873</v>
      </c>
      <c r="AZ96" s="76">
        <v>4.2</v>
      </c>
      <c r="BA96" s="76">
        <v>18.399999999999999</v>
      </c>
      <c r="BB96" s="76">
        <v>2.1440987134545595</v>
      </c>
      <c r="BC96" s="76">
        <v>4.2</v>
      </c>
      <c r="BD96" s="76">
        <v>19.600000000000001</v>
      </c>
      <c r="BE96" s="76">
        <v>2.1905356606268525</v>
      </c>
      <c r="BF96" s="76">
        <v>4.2</v>
      </c>
      <c r="BG96" s="76">
        <v>19.8</v>
      </c>
      <c r="BH96" s="76">
        <v>2.1706450523782803</v>
      </c>
      <c r="BI96" s="76">
        <v>4.2</v>
      </c>
      <c r="BJ96" s="76">
        <v>17.600000000000001</v>
      </c>
      <c r="BK96" s="76">
        <v>2.0479441264601377</v>
      </c>
      <c r="BL96" s="76">
        <v>4.2</v>
      </c>
      <c r="BM96" s="76">
        <v>17.899999999999999</v>
      </c>
      <c r="BN96" s="76">
        <v>2.1077689567699873</v>
      </c>
      <c r="BO96" s="76">
        <v>4.2</v>
      </c>
      <c r="BP96" s="76">
        <v>18.399999999999999</v>
      </c>
      <c r="BQ96" s="76">
        <v>2.1001425987241782</v>
      </c>
      <c r="BR96" s="76">
        <v>4.2</v>
      </c>
      <c r="BS96" s="76">
        <v>19.3</v>
      </c>
      <c r="BT96" s="76">
        <v>2.1794873443710681</v>
      </c>
      <c r="BU96" s="76">
        <v>4.2</v>
      </c>
      <c r="BV96" s="76">
        <v>19.100000000000001</v>
      </c>
      <c r="BW96" s="76">
        <v>2.1155837697898092</v>
      </c>
    </row>
    <row r="97" spans="1:75" x14ac:dyDescent="0.15">
      <c r="A97" s="6">
        <v>4.3</v>
      </c>
      <c r="B97" s="7">
        <v>21.7</v>
      </c>
      <c r="C97" s="76">
        <v>1.8844715022063629</v>
      </c>
      <c r="D97" s="6">
        <v>4.3</v>
      </c>
      <c r="E97" s="7">
        <v>23</v>
      </c>
      <c r="F97" s="76">
        <v>1.9313247289816924</v>
      </c>
      <c r="G97" s="76">
        <v>4.3</v>
      </c>
      <c r="H97" s="76">
        <v>22.7</v>
      </c>
      <c r="I97" s="76">
        <v>1.9182108018516772</v>
      </c>
      <c r="J97" s="76">
        <v>4.3</v>
      </c>
      <c r="K97" s="76">
        <v>23</v>
      </c>
      <c r="L97" s="76">
        <v>1.9313247289816924</v>
      </c>
      <c r="M97" s="76">
        <v>4.3</v>
      </c>
      <c r="N97" s="76">
        <v>250</v>
      </c>
      <c r="O97" s="76">
        <v>0</v>
      </c>
      <c r="P97" s="76">
        <v>4.3</v>
      </c>
      <c r="Q97" s="76">
        <v>21.8</v>
      </c>
      <c r="R97" s="76">
        <v>1.8765896938867443</v>
      </c>
      <c r="S97" s="76">
        <v>4.3</v>
      </c>
      <c r="T97" s="76">
        <v>22.4</v>
      </c>
      <c r="U97" s="76">
        <v>1.9047276902466002</v>
      </c>
      <c r="V97" s="76">
        <v>4.3</v>
      </c>
      <c r="W97" s="76">
        <v>22.8</v>
      </c>
      <c r="X97" s="76">
        <v>1.7645643734155532</v>
      </c>
      <c r="Y97" s="76">
        <v>4.3</v>
      </c>
      <c r="Z97" s="76">
        <v>23</v>
      </c>
      <c r="AA97" s="76">
        <v>1.9313247289816924</v>
      </c>
      <c r="AB97" s="76">
        <v>4.3</v>
      </c>
      <c r="AC97" s="76">
        <v>23.5</v>
      </c>
      <c r="AD97" s="76">
        <v>1.9640629667569238</v>
      </c>
      <c r="AE97" s="76">
        <v>4.3</v>
      </c>
      <c r="AF97" s="76">
        <v>22</v>
      </c>
      <c r="AG97" s="76">
        <v>1.8986876242933657</v>
      </c>
      <c r="AH97" s="76">
        <v>4.3</v>
      </c>
      <c r="AI97" s="76">
        <v>22.5</v>
      </c>
      <c r="AJ97" s="76">
        <v>1.8970166409157616</v>
      </c>
      <c r="AK97" s="76">
        <v>4.3</v>
      </c>
      <c r="AL97" s="76">
        <v>24</v>
      </c>
      <c r="AM97" s="76">
        <v>1.9953368567507495</v>
      </c>
      <c r="AN97" s="76">
        <v>4.3</v>
      </c>
      <c r="AO97" s="76">
        <v>23.7</v>
      </c>
      <c r="AP97" s="76">
        <v>1.9490033900081356</v>
      </c>
      <c r="AQ97" s="76">
        <v>4.3</v>
      </c>
      <c r="AR97" s="76">
        <v>23.8</v>
      </c>
      <c r="AS97" s="76">
        <v>1.9415601444095627</v>
      </c>
      <c r="AT97" s="76">
        <v>4.3</v>
      </c>
      <c r="AU97" s="76">
        <v>21.8</v>
      </c>
      <c r="AV97" s="76">
        <v>1.8765896938867443</v>
      </c>
      <c r="AW97" s="76">
        <v>4.3</v>
      </c>
      <c r="AX97" s="76">
        <v>22.1</v>
      </c>
      <c r="AY97" s="76">
        <v>1.8908595688249574</v>
      </c>
      <c r="AZ97" s="76">
        <v>4.3</v>
      </c>
      <c r="BA97" s="76">
        <v>22.8</v>
      </c>
      <c r="BB97" s="76">
        <v>1.9467187723289643</v>
      </c>
      <c r="BC97" s="76">
        <v>4.3</v>
      </c>
      <c r="BD97" s="76">
        <v>24.4</v>
      </c>
      <c r="BE97" s="76">
        <v>1.965639135094966</v>
      </c>
      <c r="BF97" s="76">
        <v>4.3</v>
      </c>
      <c r="BG97" s="76">
        <v>24.6</v>
      </c>
      <c r="BH97" s="76">
        <v>1.9176195057304066</v>
      </c>
      <c r="BI97" s="76">
        <v>4.3</v>
      </c>
      <c r="BJ97" s="76">
        <v>21.6</v>
      </c>
      <c r="BK97" s="76">
        <v>1.8924199963852739</v>
      </c>
      <c r="BL97" s="76">
        <v>4.3</v>
      </c>
      <c r="BM97" s="76">
        <v>22.1</v>
      </c>
      <c r="BN97" s="76">
        <v>1.9282427899310304</v>
      </c>
      <c r="BO97" s="76">
        <v>4.3</v>
      </c>
      <c r="BP97" s="76">
        <v>22.7</v>
      </c>
      <c r="BQ97" s="76">
        <v>1.9182108018516772</v>
      </c>
      <c r="BR97" s="76">
        <v>4.3</v>
      </c>
      <c r="BS97" s="76">
        <v>24</v>
      </c>
      <c r="BT97" s="76">
        <v>1.9268434382950015</v>
      </c>
      <c r="BU97" s="76">
        <v>4.3</v>
      </c>
      <c r="BV97" s="76">
        <v>23.6</v>
      </c>
      <c r="BW97" s="76">
        <v>1.9565041073400986</v>
      </c>
    </row>
    <row r="98" spans="1:75" x14ac:dyDescent="0.15">
      <c r="A98" s="6">
        <v>4.4000000000000004</v>
      </c>
      <c r="B98" s="7">
        <v>26.2</v>
      </c>
      <c r="C98" s="76">
        <v>1.7465868404838609</v>
      </c>
      <c r="D98" s="6">
        <v>4.4000000000000004</v>
      </c>
      <c r="E98" s="7">
        <v>27.9</v>
      </c>
      <c r="F98" s="76">
        <v>1.769307081590787</v>
      </c>
      <c r="G98" s="76">
        <v>4.4000000000000004</v>
      </c>
      <c r="H98" s="76">
        <v>27.5</v>
      </c>
      <c r="I98" s="76">
        <v>1.7318907323068284</v>
      </c>
      <c r="J98" s="76">
        <v>4.4000000000000004</v>
      </c>
      <c r="K98" s="76">
        <v>27.9</v>
      </c>
      <c r="L98" s="76">
        <v>1.769307081590787</v>
      </c>
      <c r="M98" s="76">
        <v>4.4000000000000004</v>
      </c>
      <c r="N98" s="76">
        <v>250</v>
      </c>
      <c r="O98" s="76">
        <v>0</v>
      </c>
      <c r="P98" s="76">
        <v>4.4000000000000004</v>
      </c>
      <c r="Q98" s="76">
        <v>26.3</v>
      </c>
      <c r="R98" s="76">
        <v>1.7404915836238928</v>
      </c>
      <c r="S98" s="76">
        <v>4.4000000000000004</v>
      </c>
      <c r="T98" s="76">
        <v>27.1</v>
      </c>
      <c r="U98" s="76">
        <v>1.7553350234295646</v>
      </c>
      <c r="V98" s="76">
        <v>4.4000000000000004</v>
      </c>
      <c r="W98" s="76">
        <v>27.2</v>
      </c>
      <c r="X98" s="76">
        <v>1.7494144949633279</v>
      </c>
      <c r="Y98" s="76">
        <v>4.4000000000000004</v>
      </c>
      <c r="Z98" s="76">
        <v>27.9</v>
      </c>
      <c r="AA98" s="76">
        <v>1.769307081590787</v>
      </c>
      <c r="AB98" s="76">
        <v>4.4000000000000004</v>
      </c>
      <c r="AC98" s="76">
        <v>28.6</v>
      </c>
      <c r="AD98" s="76">
        <v>1.7589066646366476</v>
      </c>
      <c r="AE98" s="76">
        <v>4.4000000000000004</v>
      </c>
      <c r="AF98" s="76">
        <v>26.6</v>
      </c>
      <c r="AG98" s="76">
        <v>1.7540546509558181</v>
      </c>
      <c r="AH98" s="76">
        <v>4.4000000000000004</v>
      </c>
      <c r="AI98" s="76">
        <v>27.2</v>
      </c>
      <c r="AJ98" s="76">
        <v>1.7802311603374106</v>
      </c>
      <c r="AK98" s="76">
        <v>4.4000000000000004</v>
      </c>
      <c r="AL98" s="76">
        <v>29.3</v>
      </c>
      <c r="AM98" s="76">
        <v>1.7776054546639237</v>
      </c>
      <c r="AN98" s="76">
        <v>4.4000000000000004</v>
      </c>
      <c r="AO98" s="76">
        <v>28.8</v>
      </c>
      <c r="AP98" s="76">
        <v>1.7768117723745309</v>
      </c>
      <c r="AQ98" s="76">
        <v>4.4000000000000004</v>
      </c>
      <c r="AR98" s="76">
        <v>28.9</v>
      </c>
      <c r="AS98" s="76">
        <v>1.80012086945293</v>
      </c>
      <c r="AT98" s="76">
        <v>4.4000000000000004</v>
      </c>
      <c r="AU98" s="76">
        <v>26.3</v>
      </c>
      <c r="AV98" s="76">
        <v>1.7723895373048943</v>
      </c>
      <c r="AW98" s="76">
        <v>4.4000000000000004</v>
      </c>
      <c r="AX98" s="76">
        <v>26.7</v>
      </c>
      <c r="AY98" s="76">
        <v>1.7794244438459579</v>
      </c>
      <c r="AZ98" s="76">
        <v>4.4000000000000004</v>
      </c>
      <c r="BA98" s="76">
        <v>27.7</v>
      </c>
      <c r="BB98" s="76">
        <v>1.7507514827318822</v>
      </c>
      <c r="BC98" s="76">
        <v>4.4000000000000004</v>
      </c>
      <c r="BD98" s="76">
        <v>29.7</v>
      </c>
      <c r="BE98" s="76">
        <v>1.8119859204933173</v>
      </c>
      <c r="BF98" s="76">
        <v>4.4000000000000004</v>
      </c>
      <c r="BG98" s="76">
        <v>29.8</v>
      </c>
      <c r="BH98" s="76">
        <v>1.8343949989529638</v>
      </c>
      <c r="BI98" s="76">
        <v>4.4000000000000004</v>
      </c>
      <c r="BJ98" s="76">
        <v>26.1</v>
      </c>
      <c r="BK98" s="76">
        <v>1.7527250485654129</v>
      </c>
      <c r="BL98" s="76">
        <v>4.4000000000000004</v>
      </c>
      <c r="BM98" s="76">
        <v>26.8</v>
      </c>
      <c r="BN98" s="76">
        <v>1.7420412227398847</v>
      </c>
      <c r="BO98" s="76">
        <v>4.4000000000000004</v>
      </c>
      <c r="BP98" s="76">
        <v>27.5</v>
      </c>
      <c r="BQ98" s="76">
        <v>1.7928665309880085</v>
      </c>
      <c r="BR98" s="76">
        <v>4.4000000000000004</v>
      </c>
      <c r="BS98" s="76">
        <v>29.1</v>
      </c>
      <c r="BT98" s="76">
        <v>1.8174865503093527</v>
      </c>
      <c r="BU98" s="76">
        <v>4.4000000000000004</v>
      </c>
      <c r="BV98" s="76">
        <v>28.7</v>
      </c>
      <c r="BW98" s="76">
        <v>1.8115944161377782</v>
      </c>
    </row>
    <row r="99" spans="1:75" x14ac:dyDescent="0.15">
      <c r="A99" s="6">
        <v>4.5</v>
      </c>
      <c r="B99" s="7">
        <v>31.2</v>
      </c>
      <c r="C99" s="76">
        <v>1.596301455918844</v>
      </c>
      <c r="D99" s="6">
        <v>4.5</v>
      </c>
      <c r="E99" s="7">
        <v>33.299999999999997</v>
      </c>
      <c r="F99" s="76">
        <v>1.6566712188881787</v>
      </c>
      <c r="G99" s="76">
        <v>4.5</v>
      </c>
      <c r="H99" s="76">
        <v>32.700000000000003</v>
      </c>
      <c r="I99" s="76">
        <v>1.6328316339053131</v>
      </c>
      <c r="J99" s="76">
        <v>4.5</v>
      </c>
      <c r="K99" s="76">
        <v>33.299999999999997</v>
      </c>
      <c r="L99" s="76">
        <v>1.6311934981001932</v>
      </c>
      <c r="M99" s="76">
        <v>4.5</v>
      </c>
      <c r="N99" s="76">
        <v>250</v>
      </c>
      <c r="O99" s="76">
        <v>0</v>
      </c>
      <c r="P99" s="76">
        <v>4.5</v>
      </c>
      <c r="Q99" s="76">
        <v>31.3</v>
      </c>
      <c r="R99" s="76">
        <v>1.6187974762877846</v>
      </c>
      <c r="S99" s="76">
        <v>4.5</v>
      </c>
      <c r="T99" s="76">
        <v>32.299999999999997</v>
      </c>
      <c r="U99" s="76">
        <v>1.6251892949777527</v>
      </c>
      <c r="V99" s="76">
        <v>4.5</v>
      </c>
      <c r="W99" s="76">
        <v>32.4</v>
      </c>
      <c r="X99" s="76">
        <v>1.620558593343723</v>
      </c>
      <c r="Y99" s="76">
        <v>4.5</v>
      </c>
      <c r="Z99" s="76">
        <v>33.299999999999997</v>
      </c>
      <c r="AA99" s="76">
        <v>1.6311934981001932</v>
      </c>
      <c r="AB99" s="76">
        <v>4.5</v>
      </c>
      <c r="AC99" s="76">
        <v>34.1</v>
      </c>
      <c r="AD99" s="76">
        <v>1.6456961133550521</v>
      </c>
      <c r="AE99" s="76">
        <v>4.5</v>
      </c>
      <c r="AF99" s="76">
        <v>31.7</v>
      </c>
      <c r="AG99" s="76">
        <v>1.599920803958669</v>
      </c>
      <c r="AH99" s="76">
        <v>4.5</v>
      </c>
      <c r="AI99" s="76">
        <v>32.5</v>
      </c>
      <c r="AJ99" s="76">
        <v>1.6420980685090893</v>
      </c>
      <c r="AK99" s="76">
        <v>4.5</v>
      </c>
      <c r="AL99" s="76">
        <v>35</v>
      </c>
      <c r="AM99" s="76">
        <v>1.6793281934185582</v>
      </c>
      <c r="AN99" s="76">
        <v>4.5</v>
      </c>
      <c r="AO99" s="76">
        <v>34.4</v>
      </c>
      <c r="AP99" s="76">
        <v>1.6571150222833502</v>
      </c>
      <c r="AQ99" s="76">
        <v>4.5</v>
      </c>
      <c r="AR99" s="76">
        <v>34.6</v>
      </c>
      <c r="AS99" s="76">
        <v>1.648283993464378</v>
      </c>
      <c r="AT99" s="76">
        <v>4.5</v>
      </c>
      <c r="AU99" s="76">
        <v>31.4</v>
      </c>
      <c r="AV99" s="76">
        <v>1.5868995226067828</v>
      </c>
      <c r="AW99" s="76">
        <v>4.5</v>
      </c>
      <c r="AX99" s="76">
        <v>31.9</v>
      </c>
      <c r="AY99" s="76">
        <v>1.6173492318556684</v>
      </c>
      <c r="AZ99" s="76">
        <v>4.5</v>
      </c>
      <c r="BA99" s="76">
        <v>33</v>
      </c>
      <c r="BB99" s="76">
        <v>1.6448668915792077</v>
      </c>
      <c r="BC99" s="76">
        <v>4.5</v>
      </c>
      <c r="BD99" s="76">
        <v>35.6</v>
      </c>
      <c r="BE99" s="76">
        <v>1.677021028303513</v>
      </c>
      <c r="BF99" s="76">
        <v>4.5</v>
      </c>
      <c r="BG99" s="76">
        <v>35.799999999999997</v>
      </c>
      <c r="BH99" s="76">
        <v>1.644723276353123</v>
      </c>
      <c r="BI99" s="76">
        <v>4.5</v>
      </c>
      <c r="BJ99" s="76">
        <v>31.1</v>
      </c>
      <c r="BK99" s="76">
        <v>1.601044414032581</v>
      </c>
      <c r="BL99" s="76">
        <v>4.5</v>
      </c>
      <c r="BM99" s="76">
        <v>31.9</v>
      </c>
      <c r="BN99" s="76">
        <v>1.6173492318556684</v>
      </c>
      <c r="BO99" s="76">
        <v>4.5</v>
      </c>
      <c r="BP99" s="76">
        <v>32.9</v>
      </c>
      <c r="BQ99" s="76">
        <v>1.6236694226441064</v>
      </c>
      <c r="BR99" s="76">
        <v>4.5</v>
      </c>
      <c r="BS99" s="76">
        <v>34.9</v>
      </c>
      <c r="BT99" s="76">
        <v>1.6595142714709981</v>
      </c>
      <c r="BU99" s="76">
        <v>4.5</v>
      </c>
      <c r="BV99" s="76">
        <v>34.4</v>
      </c>
      <c r="BW99" s="76">
        <v>1.6324540973314119</v>
      </c>
    </row>
    <row r="100" spans="1:75" x14ac:dyDescent="0.15">
      <c r="A100" s="6">
        <v>4.5999999999999996</v>
      </c>
      <c r="B100" s="7">
        <v>36.6</v>
      </c>
      <c r="C100" s="76">
        <v>1.4945583552305006</v>
      </c>
      <c r="D100" s="6">
        <v>4.5999999999999996</v>
      </c>
      <c r="E100" s="7">
        <v>39.299999999999997</v>
      </c>
      <c r="F100" s="76">
        <v>1.5087377902494312</v>
      </c>
      <c r="G100" s="76">
        <v>4.5999999999999996</v>
      </c>
      <c r="H100" s="76">
        <v>38.5</v>
      </c>
      <c r="I100" s="76">
        <v>1.5154989812719997</v>
      </c>
      <c r="J100" s="76">
        <v>4.5999999999999996</v>
      </c>
      <c r="K100" s="76">
        <v>39.200000000000003</v>
      </c>
      <c r="L100" s="76">
        <v>1.5342155110374163</v>
      </c>
      <c r="M100" s="76">
        <v>4.5999999999999996</v>
      </c>
      <c r="N100" s="76">
        <v>250</v>
      </c>
      <c r="O100" s="76">
        <v>0</v>
      </c>
      <c r="P100" s="76">
        <v>4.5999999999999996</v>
      </c>
      <c r="Q100" s="76">
        <v>36.799999999999997</v>
      </c>
      <c r="R100" s="76">
        <v>1.4870107505969274</v>
      </c>
      <c r="S100" s="76">
        <v>4.5999999999999996</v>
      </c>
      <c r="T100" s="76">
        <v>38</v>
      </c>
      <c r="U100" s="76">
        <v>1.5113862935726594</v>
      </c>
      <c r="V100" s="76">
        <v>4.5999999999999996</v>
      </c>
      <c r="W100" s="76">
        <v>38.1</v>
      </c>
      <c r="X100" s="76">
        <v>1.5077039491843367</v>
      </c>
      <c r="Y100" s="76">
        <v>4.5999999999999996</v>
      </c>
      <c r="Z100" s="76">
        <v>39.200000000000003</v>
      </c>
      <c r="AA100" s="76">
        <v>1.5342155110374163</v>
      </c>
      <c r="AB100" s="76">
        <v>4.5999999999999996</v>
      </c>
      <c r="AC100" s="76">
        <v>40.200000000000003</v>
      </c>
      <c r="AD100" s="76">
        <v>1.5415067982725723</v>
      </c>
      <c r="AE100" s="76">
        <v>4.5999999999999996</v>
      </c>
      <c r="AF100" s="76">
        <v>37.200000000000003</v>
      </c>
      <c r="AG100" s="76">
        <v>1.5184387372934225</v>
      </c>
      <c r="AH100" s="76">
        <v>4.5999999999999996</v>
      </c>
      <c r="AI100" s="76">
        <v>38.299999999999997</v>
      </c>
      <c r="AJ100" s="76">
        <v>1.5003929298559369</v>
      </c>
      <c r="AK100" s="76">
        <v>4.5999999999999996</v>
      </c>
      <c r="AL100" s="76">
        <v>41.4</v>
      </c>
      <c r="AM100" s="76">
        <v>1.5415067982725723</v>
      </c>
      <c r="AN100" s="76">
        <v>4.5999999999999996</v>
      </c>
      <c r="AO100" s="76">
        <v>40.6</v>
      </c>
      <c r="AP100" s="76">
        <v>1.5485416209334308</v>
      </c>
      <c r="AQ100" s="76">
        <v>4.5999999999999996</v>
      </c>
      <c r="AR100" s="76">
        <v>40.799999999999997</v>
      </c>
      <c r="AS100" s="76">
        <v>1.5415067982725768</v>
      </c>
      <c r="AT100" s="76">
        <v>4.5999999999999996</v>
      </c>
      <c r="AU100" s="76">
        <v>36.799999999999997</v>
      </c>
      <c r="AV100" s="76">
        <v>1.5104025741286495</v>
      </c>
      <c r="AW100" s="76">
        <v>4.5999999999999996</v>
      </c>
      <c r="AX100" s="76">
        <v>37.5</v>
      </c>
      <c r="AY100" s="76">
        <v>1.5071621737862282</v>
      </c>
      <c r="AZ100" s="76">
        <v>4.5999999999999996</v>
      </c>
      <c r="BA100" s="76">
        <v>38.9</v>
      </c>
      <c r="BB100" s="76">
        <v>1.5231278186458714</v>
      </c>
      <c r="BC100" s="76">
        <v>4.5999999999999996</v>
      </c>
      <c r="BD100" s="76">
        <v>42.1</v>
      </c>
      <c r="BE100" s="76">
        <v>1.5584588280992591</v>
      </c>
      <c r="BF100" s="76">
        <v>4.5999999999999996</v>
      </c>
      <c r="BG100" s="76">
        <v>42.2</v>
      </c>
      <c r="BH100" s="76">
        <v>1.5347340245629544</v>
      </c>
      <c r="BI100" s="76">
        <v>4.5999999999999996</v>
      </c>
      <c r="BJ100" s="76">
        <v>36.5</v>
      </c>
      <c r="BK100" s="76">
        <v>1.4983610164946546</v>
      </c>
      <c r="BL100" s="76">
        <v>4.5999999999999996</v>
      </c>
      <c r="BM100" s="76">
        <v>37.5</v>
      </c>
      <c r="BN100" s="76">
        <v>1.5071621737862282</v>
      </c>
      <c r="BO100" s="76">
        <v>4.5999999999999996</v>
      </c>
      <c r="BP100" s="76">
        <v>38.700000000000003</v>
      </c>
      <c r="BQ100" s="76">
        <v>1.5304264647289585</v>
      </c>
      <c r="BR100" s="76">
        <v>4.5999999999999996</v>
      </c>
      <c r="BS100" s="76">
        <v>41.2</v>
      </c>
      <c r="BT100" s="76">
        <v>1.6929205650361998</v>
      </c>
      <c r="BU100" s="76">
        <v>4.5999999999999996</v>
      </c>
      <c r="BV100" s="76">
        <v>40.5</v>
      </c>
      <c r="BW100" s="76">
        <v>1.5520832138539304</v>
      </c>
    </row>
    <row r="101" spans="1:75" x14ac:dyDescent="0.15">
      <c r="A101" s="6">
        <v>4.7</v>
      </c>
      <c r="B101" s="7">
        <v>42.5</v>
      </c>
      <c r="C101" s="76">
        <v>1.4027332055045565</v>
      </c>
      <c r="D101" s="6">
        <v>4.7</v>
      </c>
      <c r="E101" s="7">
        <v>45.7</v>
      </c>
      <c r="F101" s="76">
        <v>1.4251715764715784</v>
      </c>
      <c r="G101" s="76">
        <v>4.7</v>
      </c>
      <c r="H101" s="76">
        <v>44.8</v>
      </c>
      <c r="I101" s="76">
        <v>1.413135330665783</v>
      </c>
      <c r="J101" s="76">
        <v>4.7</v>
      </c>
      <c r="K101" s="76">
        <v>45.7</v>
      </c>
      <c r="L101" s="76">
        <v>1.4251715764715784</v>
      </c>
      <c r="M101" s="76">
        <v>4.7</v>
      </c>
      <c r="N101" s="76">
        <v>250</v>
      </c>
      <c r="O101" s="76">
        <v>0</v>
      </c>
      <c r="P101" s="76">
        <v>4.7</v>
      </c>
      <c r="Q101" s="76">
        <v>42.7</v>
      </c>
      <c r="R101" s="76">
        <v>1.4169470326368401</v>
      </c>
      <c r="S101" s="76">
        <v>4.7</v>
      </c>
      <c r="T101" s="76">
        <v>44.2</v>
      </c>
      <c r="U101" s="76">
        <v>1.4310084364067384</v>
      </c>
      <c r="V101" s="76">
        <v>4.7</v>
      </c>
      <c r="W101" s="76">
        <v>44.3</v>
      </c>
      <c r="X101" s="76">
        <v>1.4279982015856969</v>
      </c>
      <c r="Y101" s="76">
        <v>4.7</v>
      </c>
      <c r="Z101" s="76">
        <v>45.7</v>
      </c>
      <c r="AA101" s="76">
        <v>1.4251715764715784</v>
      </c>
      <c r="AB101" s="76">
        <v>4.7</v>
      </c>
      <c r="AC101" s="76">
        <v>46.9</v>
      </c>
      <c r="AD101" s="76">
        <v>1.4281651040020245</v>
      </c>
      <c r="AE101" s="76">
        <v>4.7</v>
      </c>
      <c r="AF101" s="76">
        <v>43.3</v>
      </c>
      <c r="AG101" s="76">
        <v>1.3986234902216359</v>
      </c>
      <c r="AH101" s="76">
        <v>4.7</v>
      </c>
      <c r="AI101" s="76">
        <v>44.5</v>
      </c>
      <c r="AJ101" s="76">
        <v>1.4220156300452975</v>
      </c>
      <c r="AK101" s="76">
        <v>4.7</v>
      </c>
      <c r="AL101" s="76">
        <v>48.3</v>
      </c>
      <c r="AM101" s="76">
        <v>1.4613281950252694</v>
      </c>
      <c r="AN101" s="76">
        <v>4.7</v>
      </c>
      <c r="AO101" s="76">
        <v>47.4</v>
      </c>
      <c r="AP101" s="76">
        <v>1.4324148072690475</v>
      </c>
      <c r="AQ101" s="76">
        <v>4.7</v>
      </c>
      <c r="AR101" s="76">
        <v>47.6</v>
      </c>
      <c r="AS101" s="76">
        <v>1.4450042399509717</v>
      </c>
      <c r="AT101" s="76">
        <v>4.7</v>
      </c>
      <c r="AU101" s="76">
        <v>42.8</v>
      </c>
      <c r="AV101" s="76">
        <v>1.413859784608938</v>
      </c>
      <c r="AW101" s="76">
        <v>4.7</v>
      </c>
      <c r="AX101" s="76">
        <v>43.6</v>
      </c>
      <c r="AY101" s="76">
        <v>1.4095787634269514</v>
      </c>
      <c r="AZ101" s="76">
        <v>4.7</v>
      </c>
      <c r="BA101" s="76">
        <v>45.3</v>
      </c>
      <c r="BB101" s="76">
        <v>1.4368933858188944</v>
      </c>
      <c r="BC101" s="76">
        <v>4.7</v>
      </c>
      <c r="BD101" s="76">
        <v>49.2</v>
      </c>
      <c r="BE101" s="76">
        <v>1.4540171763402305</v>
      </c>
      <c r="BF101" s="76">
        <v>4.7</v>
      </c>
      <c r="BG101" s="76">
        <v>49.2</v>
      </c>
      <c r="BH101" s="76">
        <v>1.4540171763402305</v>
      </c>
      <c r="BI101" s="76">
        <v>4.7</v>
      </c>
      <c r="BJ101" s="76">
        <v>42.4</v>
      </c>
      <c r="BK101" s="76">
        <v>1.4058195062118988</v>
      </c>
      <c r="BL101" s="76">
        <v>4.7</v>
      </c>
      <c r="BM101" s="76">
        <v>43.6</v>
      </c>
      <c r="BN101" s="76">
        <v>1.4294792675070507</v>
      </c>
      <c r="BO101" s="76">
        <v>4.7</v>
      </c>
      <c r="BP101" s="76">
        <v>45.1</v>
      </c>
      <c r="BQ101" s="76">
        <v>1.4236147207279533</v>
      </c>
      <c r="BR101" s="76">
        <v>4.7</v>
      </c>
      <c r="BS101" s="76">
        <v>48.8</v>
      </c>
      <c r="BT101" s="76">
        <v>1.5004389787460557</v>
      </c>
      <c r="BU101" s="76">
        <v>4.7</v>
      </c>
      <c r="BV101" s="76">
        <v>47.3</v>
      </c>
      <c r="BW101" s="76">
        <v>1.4352358725297261</v>
      </c>
    </row>
    <row r="102" spans="1:75" x14ac:dyDescent="0.15">
      <c r="A102" s="6">
        <v>4.8</v>
      </c>
      <c r="B102" s="7">
        <v>48.9</v>
      </c>
      <c r="C102" s="76">
        <v>1.3378698368022608</v>
      </c>
      <c r="D102" s="6">
        <v>4.8</v>
      </c>
      <c r="E102" s="7">
        <v>52.7</v>
      </c>
      <c r="F102" s="76">
        <v>1.3471664818582259</v>
      </c>
      <c r="G102" s="76">
        <v>4.8</v>
      </c>
      <c r="H102" s="76">
        <v>51.6</v>
      </c>
      <c r="I102" s="76">
        <v>1.3570925192453458</v>
      </c>
      <c r="J102" s="76">
        <v>4.8</v>
      </c>
      <c r="K102" s="76">
        <v>52.7</v>
      </c>
      <c r="L102" s="76">
        <v>1.3471664818582259</v>
      </c>
      <c r="M102" s="76">
        <v>4.8</v>
      </c>
      <c r="N102" s="76">
        <v>250</v>
      </c>
      <c r="O102" s="76">
        <v>0</v>
      </c>
      <c r="P102" s="76">
        <v>4.8</v>
      </c>
      <c r="Q102" s="76">
        <v>49.2</v>
      </c>
      <c r="R102" s="76">
        <v>1.3302313340138268</v>
      </c>
      <c r="S102" s="76">
        <v>4.8</v>
      </c>
      <c r="T102" s="76">
        <v>51</v>
      </c>
      <c r="U102" s="76">
        <v>1.3377646063211985</v>
      </c>
      <c r="V102" s="76">
        <v>4.8</v>
      </c>
      <c r="W102" s="76">
        <v>51.1</v>
      </c>
      <c r="X102" s="76">
        <v>1.3353139262452158</v>
      </c>
      <c r="Y102" s="76">
        <v>4.8</v>
      </c>
      <c r="Z102" s="76">
        <v>52.7</v>
      </c>
      <c r="AA102" s="76">
        <v>1.3471664818582259</v>
      </c>
      <c r="AB102" s="76">
        <v>4.8</v>
      </c>
      <c r="AC102" s="76">
        <v>54.1</v>
      </c>
      <c r="AD102" s="76">
        <v>1.3468599383811393</v>
      </c>
      <c r="AE102" s="76">
        <v>4.8</v>
      </c>
      <c r="AF102" s="76">
        <v>49.8</v>
      </c>
      <c r="AG102" s="76">
        <v>1.3328035710167692</v>
      </c>
      <c r="AH102" s="76">
        <v>4.8</v>
      </c>
      <c r="AI102" s="76">
        <v>51.3</v>
      </c>
      <c r="AJ102" s="76">
        <v>1.3474897465732623</v>
      </c>
      <c r="AK102" s="76">
        <v>4.8</v>
      </c>
      <c r="AL102" s="76">
        <v>55.9</v>
      </c>
      <c r="AM102" s="76">
        <v>1.3531870319861756</v>
      </c>
      <c r="AN102" s="76">
        <v>4.8</v>
      </c>
      <c r="AO102" s="76">
        <v>54.7</v>
      </c>
      <c r="AP102" s="76">
        <v>1.3649773821093907</v>
      </c>
      <c r="AQ102" s="76">
        <v>4.8</v>
      </c>
      <c r="AR102" s="76">
        <v>55</v>
      </c>
      <c r="AS102" s="76">
        <v>1.3580154115906067</v>
      </c>
      <c r="AT102" s="76">
        <v>4.8</v>
      </c>
      <c r="AU102" s="76">
        <v>49.3</v>
      </c>
      <c r="AV102" s="76">
        <v>1.3277045409699957</v>
      </c>
      <c r="AW102" s="76">
        <v>4.8</v>
      </c>
      <c r="AX102" s="76">
        <v>50.2</v>
      </c>
      <c r="AY102" s="76">
        <v>1.3402927662783677</v>
      </c>
      <c r="AZ102" s="76">
        <v>4.8</v>
      </c>
      <c r="BA102" s="76">
        <v>52.3</v>
      </c>
      <c r="BB102" s="76">
        <v>1.3400928988570833</v>
      </c>
      <c r="BC102" s="76">
        <v>4.8</v>
      </c>
      <c r="BD102" s="76">
        <v>56.9</v>
      </c>
      <c r="BE102" s="76">
        <v>1.3769669515009946</v>
      </c>
      <c r="BF102" s="76">
        <v>4.8</v>
      </c>
      <c r="BG102" s="76">
        <v>56.9</v>
      </c>
      <c r="BH102" s="76">
        <v>1.3616412780032154</v>
      </c>
      <c r="BI102" s="76">
        <v>4.8</v>
      </c>
      <c r="BJ102" s="76">
        <v>48.8</v>
      </c>
      <c r="BK102" s="76">
        <v>1.3404355652816253</v>
      </c>
      <c r="BL102" s="76">
        <v>4.8</v>
      </c>
      <c r="BM102" s="76">
        <v>50.3</v>
      </c>
      <c r="BN102" s="76">
        <v>1.3203922621982684</v>
      </c>
      <c r="BO102" s="76">
        <v>4.8</v>
      </c>
      <c r="BP102" s="76">
        <v>52</v>
      </c>
      <c r="BQ102" s="76">
        <v>1.3473259397015598</v>
      </c>
      <c r="BR102" s="76">
        <v>4.8</v>
      </c>
      <c r="BS102" s="76">
        <v>56.7</v>
      </c>
      <c r="BT102" s="76">
        <v>1.1326569516493852</v>
      </c>
      <c r="BU102" s="76">
        <v>4.8</v>
      </c>
      <c r="BV102" s="76">
        <v>54.6</v>
      </c>
      <c r="BW102" s="76">
        <v>1.3513267399149615</v>
      </c>
    </row>
    <row r="103" spans="1:75" x14ac:dyDescent="0.15">
      <c r="A103" s="6">
        <v>4.9000000000000004</v>
      </c>
      <c r="B103" s="7">
        <v>55.9</v>
      </c>
      <c r="C103" s="76">
        <v>1.2432094898907797</v>
      </c>
      <c r="D103" s="6">
        <v>4.9000000000000004</v>
      </c>
      <c r="E103" s="7">
        <v>60.3</v>
      </c>
      <c r="F103" s="76">
        <v>1.2896043099870049</v>
      </c>
      <c r="G103" s="76">
        <v>4.9000000000000004</v>
      </c>
      <c r="H103" s="76">
        <v>59.1</v>
      </c>
      <c r="I103" s="76">
        <v>1.2546169497891357</v>
      </c>
      <c r="J103" s="76">
        <v>4.9000000000000004</v>
      </c>
      <c r="K103" s="76">
        <v>60.3</v>
      </c>
      <c r="L103" s="76">
        <v>1.2604072089536578</v>
      </c>
      <c r="M103" s="76">
        <v>4.9000000000000004</v>
      </c>
      <c r="N103" s="76">
        <v>250</v>
      </c>
      <c r="O103" s="76">
        <v>0</v>
      </c>
      <c r="P103" s="76">
        <v>4.9000000000000004</v>
      </c>
      <c r="Q103" s="76">
        <v>56.2</v>
      </c>
      <c r="R103" s="76">
        <v>1.2526780567847196</v>
      </c>
      <c r="S103" s="76">
        <v>4.9000000000000004</v>
      </c>
      <c r="T103" s="76">
        <v>58.3</v>
      </c>
      <c r="U103" s="76">
        <v>1.25566653501195</v>
      </c>
      <c r="V103" s="76">
        <v>4.9000000000000004</v>
      </c>
      <c r="W103" s="76">
        <v>58.4</v>
      </c>
      <c r="X103" s="76">
        <v>1.2687400735763577</v>
      </c>
      <c r="Y103" s="76">
        <v>4.9000000000000004</v>
      </c>
      <c r="Z103" s="76">
        <v>60.3</v>
      </c>
      <c r="AA103" s="76">
        <v>1.2750164153504029</v>
      </c>
      <c r="AB103" s="76">
        <v>4.9000000000000004</v>
      </c>
      <c r="AC103" s="76">
        <v>61.9</v>
      </c>
      <c r="AD103" s="76">
        <v>1.272516191260693</v>
      </c>
      <c r="AE103" s="76">
        <v>4.9000000000000004</v>
      </c>
      <c r="AF103" s="76">
        <v>56.9</v>
      </c>
      <c r="AG103" s="76">
        <v>1.2691906965627142</v>
      </c>
      <c r="AH103" s="76">
        <v>4.9000000000000004</v>
      </c>
      <c r="AI103" s="76">
        <v>58.7</v>
      </c>
      <c r="AJ103" s="76">
        <v>1.2776522608752794</v>
      </c>
      <c r="AK103" s="76">
        <v>4.9000000000000004</v>
      </c>
      <c r="AL103" s="76">
        <v>64</v>
      </c>
      <c r="AM103" s="76">
        <v>1.3020555565494132</v>
      </c>
      <c r="AN103" s="76">
        <v>4.9000000000000004</v>
      </c>
      <c r="AO103" s="76">
        <v>62.7</v>
      </c>
      <c r="AP103" s="76">
        <v>1.2853487978137548</v>
      </c>
      <c r="AQ103" s="76">
        <v>4.9000000000000004</v>
      </c>
      <c r="AR103" s="76">
        <v>63</v>
      </c>
      <c r="AS103" s="76">
        <v>1.2796034757506769</v>
      </c>
      <c r="AT103" s="76">
        <v>4.9000000000000004</v>
      </c>
      <c r="AU103" s="76">
        <v>56.3</v>
      </c>
      <c r="AV103" s="76">
        <v>1.2662482623784443</v>
      </c>
      <c r="AW103" s="76">
        <v>4.9000000000000004</v>
      </c>
      <c r="AX103" s="76">
        <v>57.4</v>
      </c>
      <c r="AY103" s="76">
        <v>1.2741516560708677</v>
      </c>
      <c r="AZ103" s="76">
        <v>4.9000000000000004</v>
      </c>
      <c r="BA103" s="76">
        <v>59.8</v>
      </c>
      <c r="BB103" s="76">
        <v>1.2703037360806446</v>
      </c>
      <c r="BC103" s="76">
        <v>4.9000000000000004</v>
      </c>
      <c r="BD103" s="76">
        <v>65.3</v>
      </c>
      <c r="BE103" s="76">
        <v>1.304639055566619</v>
      </c>
      <c r="BF103" s="76">
        <v>4.9000000000000004</v>
      </c>
      <c r="BG103" s="76">
        <v>65.2</v>
      </c>
      <c r="BH103" s="76">
        <v>1.2795606336943477</v>
      </c>
      <c r="BI103" s="76">
        <v>4.9000000000000004</v>
      </c>
      <c r="BJ103" s="76">
        <v>55.8</v>
      </c>
      <c r="BK103" s="76">
        <v>1.2611145976286631</v>
      </c>
      <c r="BL103" s="76">
        <v>4.9000000000000004</v>
      </c>
      <c r="BM103" s="76">
        <v>57.4</v>
      </c>
      <c r="BN103" s="76">
        <v>1.2741516560708677</v>
      </c>
      <c r="BO103" s="76">
        <v>4.9000000000000004</v>
      </c>
      <c r="BP103" s="76">
        <v>59.5</v>
      </c>
      <c r="BQ103" s="76">
        <v>1.2615128532690045</v>
      </c>
      <c r="BR103" s="76">
        <v>4.9000000000000004</v>
      </c>
      <c r="BS103" s="76">
        <v>63.5</v>
      </c>
      <c r="BT103" s="76">
        <v>1.2840014000013558</v>
      </c>
      <c r="BU103" s="76">
        <v>4.9000000000000004</v>
      </c>
      <c r="BV103" s="76">
        <v>62.5</v>
      </c>
      <c r="BW103" s="76">
        <v>1.2892078006683907</v>
      </c>
    </row>
    <row r="104" spans="1:75" x14ac:dyDescent="0.15">
      <c r="A104" s="6">
        <v>5</v>
      </c>
      <c r="B104" s="7">
        <v>63.3</v>
      </c>
      <c r="C104" s="76">
        <v>1.2041254019540879</v>
      </c>
      <c r="D104" s="6">
        <v>5</v>
      </c>
      <c r="E104" s="7">
        <v>68.599999999999994</v>
      </c>
      <c r="F104" s="76">
        <v>1.2069424586384201</v>
      </c>
      <c r="G104" s="76">
        <v>5</v>
      </c>
      <c r="H104" s="76">
        <v>67</v>
      </c>
      <c r="I104" s="76">
        <v>1.2076366379452217</v>
      </c>
      <c r="J104" s="76">
        <v>5</v>
      </c>
      <c r="K104" s="76">
        <v>68.400000000000006</v>
      </c>
      <c r="L104" s="76">
        <v>1.2102663240222575</v>
      </c>
      <c r="M104" s="76">
        <v>5</v>
      </c>
      <c r="N104" s="76">
        <v>250</v>
      </c>
      <c r="O104" s="76">
        <v>0</v>
      </c>
      <c r="P104" s="76">
        <v>5</v>
      </c>
      <c r="Q104" s="76">
        <v>63.7</v>
      </c>
      <c r="R104" s="76">
        <v>1.1969991347606121</v>
      </c>
      <c r="S104" s="76">
        <v>5</v>
      </c>
      <c r="T104" s="76">
        <v>66.099999999999994</v>
      </c>
      <c r="U104" s="76">
        <v>1.20971760352075</v>
      </c>
      <c r="V104" s="76">
        <v>5</v>
      </c>
      <c r="W104" s="76">
        <v>66.3</v>
      </c>
      <c r="X104" s="76">
        <v>1.2062798778861559</v>
      </c>
      <c r="Y104" s="76">
        <v>5</v>
      </c>
      <c r="Z104" s="76">
        <v>68.5</v>
      </c>
      <c r="AA104" s="76">
        <v>1.208602103251972</v>
      </c>
      <c r="AB104" s="76">
        <v>5</v>
      </c>
      <c r="AC104" s="76">
        <v>70.3</v>
      </c>
      <c r="AD104" s="76">
        <v>1.2172656943647151</v>
      </c>
      <c r="AE104" s="76">
        <v>5</v>
      </c>
      <c r="AF104" s="76">
        <v>64.599999999999994</v>
      </c>
      <c r="AG104" s="76">
        <v>1.1950154441408454</v>
      </c>
      <c r="AH104" s="76">
        <v>5</v>
      </c>
      <c r="AI104" s="76">
        <v>66.7</v>
      </c>
      <c r="AJ104" s="76">
        <v>1.1994627803421618</v>
      </c>
      <c r="AK104" s="76">
        <v>5</v>
      </c>
      <c r="AL104" s="76">
        <v>72.900000000000006</v>
      </c>
      <c r="AM104" s="76">
        <v>1.2249679790081425</v>
      </c>
      <c r="AN104" s="76">
        <v>5</v>
      </c>
      <c r="AO104" s="76">
        <v>71.3</v>
      </c>
      <c r="AP104" s="76">
        <v>1.2136085700426811</v>
      </c>
      <c r="AQ104" s="76">
        <v>5</v>
      </c>
      <c r="AR104" s="76">
        <v>71.599999999999994</v>
      </c>
      <c r="AS104" s="76">
        <v>1.221187500978469</v>
      </c>
      <c r="AT104" s="76">
        <v>5</v>
      </c>
      <c r="AU104" s="76">
        <v>63.9</v>
      </c>
      <c r="AV104" s="76">
        <v>1.2073468290741516</v>
      </c>
      <c r="AW104" s="76">
        <v>5</v>
      </c>
      <c r="AX104" s="76">
        <v>65.2</v>
      </c>
      <c r="AY104" s="76">
        <v>1.1982593728618383</v>
      </c>
      <c r="AZ104" s="76">
        <v>5</v>
      </c>
      <c r="BA104" s="76">
        <v>67.900000000000006</v>
      </c>
      <c r="BB104" s="76">
        <v>1.2186567380856015</v>
      </c>
      <c r="BC104" s="76">
        <v>5</v>
      </c>
      <c r="BD104" s="76">
        <v>74.400000000000006</v>
      </c>
      <c r="BE104" s="76">
        <v>1.2255062513985626</v>
      </c>
      <c r="BF104" s="76">
        <v>5</v>
      </c>
      <c r="BG104" s="76">
        <v>74.099999999999994</v>
      </c>
      <c r="BH104" s="76">
        <v>1.2301747518599582</v>
      </c>
      <c r="BI104" s="76">
        <v>5</v>
      </c>
      <c r="BJ104" s="76">
        <v>63.3</v>
      </c>
      <c r="BK104" s="76">
        <v>1.1901099827011972</v>
      </c>
      <c r="BL104" s="76">
        <v>5</v>
      </c>
      <c r="BM104" s="76">
        <v>65.2</v>
      </c>
      <c r="BN104" s="76">
        <v>1.1982593728618383</v>
      </c>
      <c r="BO104" s="76">
        <v>5</v>
      </c>
      <c r="BP104" s="76">
        <v>67.5</v>
      </c>
      <c r="BQ104" s="76">
        <v>1.2123386481411689</v>
      </c>
      <c r="BR104" s="76">
        <v>5</v>
      </c>
      <c r="BS104" s="76">
        <v>72.2</v>
      </c>
      <c r="BT104" s="76">
        <v>1.223892160712805</v>
      </c>
      <c r="BU104" s="76">
        <v>5</v>
      </c>
      <c r="BV104" s="76">
        <v>71.099999999999994</v>
      </c>
      <c r="BW104" s="76">
        <v>1.2168228414352142</v>
      </c>
    </row>
    <row r="105" spans="1:75" x14ac:dyDescent="0.15">
      <c r="A105" s="6">
        <v>5.0999999999999996</v>
      </c>
      <c r="B105" s="7">
        <v>71.400000000000006</v>
      </c>
      <c r="C105" s="76">
        <v>1.1372876532834149</v>
      </c>
      <c r="D105" s="6">
        <v>5.0999999999999996</v>
      </c>
      <c r="E105" s="7">
        <v>77.400000000000006</v>
      </c>
      <c r="F105" s="76">
        <v>1.1461984107062255</v>
      </c>
      <c r="G105" s="76">
        <v>5.0999999999999996</v>
      </c>
      <c r="H105" s="76">
        <v>75.599999999999994</v>
      </c>
      <c r="I105" s="76">
        <v>1.1483925961236912</v>
      </c>
      <c r="J105" s="76">
        <v>5.0999999999999996</v>
      </c>
      <c r="K105" s="76">
        <v>77.2</v>
      </c>
      <c r="L105" s="76">
        <v>1.1605442675576532</v>
      </c>
      <c r="M105" s="76">
        <v>5.0999999999999996</v>
      </c>
      <c r="N105" s="76">
        <v>250</v>
      </c>
      <c r="O105" s="76">
        <v>0</v>
      </c>
      <c r="P105" s="76">
        <v>5.0999999999999996</v>
      </c>
      <c r="Q105" s="76">
        <v>71.8</v>
      </c>
      <c r="R105" s="76">
        <v>1.1437270837033904</v>
      </c>
      <c r="S105" s="76">
        <v>5.0999999999999996</v>
      </c>
      <c r="T105" s="76">
        <v>74.599999999999994</v>
      </c>
      <c r="U105" s="76">
        <v>1.1509847028571345</v>
      </c>
      <c r="V105" s="76">
        <v>5.0999999999999996</v>
      </c>
      <c r="W105" s="76">
        <v>74.8</v>
      </c>
      <c r="X105" s="76">
        <v>1.1480772849272851</v>
      </c>
      <c r="Y105" s="76">
        <v>5.0999999999999996</v>
      </c>
      <c r="Z105" s="76">
        <v>77.3</v>
      </c>
      <c r="AA105" s="76">
        <v>1.1475992819311935</v>
      </c>
      <c r="AB105" s="76">
        <v>5.0999999999999996</v>
      </c>
      <c r="AC105" s="76">
        <v>79.400000000000006</v>
      </c>
      <c r="AD105" s="76">
        <v>1.1526096622367303</v>
      </c>
      <c r="AE105" s="76">
        <v>5.0999999999999996</v>
      </c>
      <c r="AF105" s="76">
        <v>72.8</v>
      </c>
      <c r="AG105" s="76">
        <v>1.1533804666331653</v>
      </c>
      <c r="AH105" s="76">
        <v>5.0999999999999996</v>
      </c>
      <c r="AI105" s="76">
        <v>75.2</v>
      </c>
      <c r="AJ105" s="76">
        <v>1.154161706461168</v>
      </c>
      <c r="AK105" s="76">
        <v>5.0999999999999996</v>
      </c>
      <c r="AL105" s="76">
        <v>82.4</v>
      </c>
      <c r="AM105" s="76">
        <v>1.1562320760295313</v>
      </c>
      <c r="AN105" s="76">
        <v>5.0999999999999996</v>
      </c>
      <c r="AO105" s="76">
        <v>80.5</v>
      </c>
      <c r="AP105" s="76">
        <v>1.1598708297361275</v>
      </c>
      <c r="AQ105" s="76">
        <v>5.0999999999999996</v>
      </c>
      <c r="AR105" s="76">
        <v>80.900000000000006</v>
      </c>
      <c r="AS105" s="76">
        <v>1.1544546154280093</v>
      </c>
      <c r="AT105" s="76">
        <v>5.0999999999999996</v>
      </c>
      <c r="AU105" s="76">
        <v>72.099999999999994</v>
      </c>
      <c r="AV105" s="76">
        <v>1.1392292123614596</v>
      </c>
      <c r="AW105" s="76">
        <v>5.0999999999999996</v>
      </c>
      <c r="AX105" s="76">
        <v>73.5</v>
      </c>
      <c r="AY105" s="76">
        <v>1.1551288712184364</v>
      </c>
      <c r="AZ105" s="76">
        <v>5.0999999999999996</v>
      </c>
      <c r="BA105" s="76">
        <v>76.7</v>
      </c>
      <c r="BB105" s="76">
        <v>1.1444558788029664</v>
      </c>
      <c r="BC105" s="76">
        <v>5.0999999999999996</v>
      </c>
      <c r="BD105" s="76">
        <v>84.1</v>
      </c>
      <c r="BE105" s="76">
        <v>1.1659326752079417</v>
      </c>
      <c r="BF105" s="76">
        <v>5.0999999999999996</v>
      </c>
      <c r="BG105" s="76">
        <v>83.8</v>
      </c>
      <c r="BH105" s="76">
        <v>1.1698717409427966</v>
      </c>
      <c r="BI105" s="76">
        <v>5.0999999999999996</v>
      </c>
      <c r="BJ105" s="76">
        <v>71.3</v>
      </c>
      <c r="BK105" s="76">
        <v>1.1387952535197805</v>
      </c>
      <c r="BL105" s="76">
        <v>5.0999999999999996</v>
      </c>
      <c r="BM105" s="76">
        <v>73.5</v>
      </c>
      <c r="BN105" s="76">
        <v>1.1551288712184364</v>
      </c>
      <c r="BO105" s="76">
        <v>5.0999999999999996</v>
      </c>
      <c r="BP105" s="76">
        <v>76.2</v>
      </c>
      <c r="BQ105" s="76">
        <v>1.1515491325011356</v>
      </c>
      <c r="BR105" s="76">
        <v>5.0999999999999996</v>
      </c>
      <c r="BS105" s="76">
        <v>81.599999999999994</v>
      </c>
      <c r="BT105" s="76">
        <v>1.1669311729235803</v>
      </c>
      <c r="BU105" s="76">
        <v>5.0999999999999996</v>
      </c>
      <c r="BV105" s="76">
        <v>80.3</v>
      </c>
      <c r="BW105" s="76">
        <v>1.1625980611586177</v>
      </c>
    </row>
    <row r="106" spans="1:75" x14ac:dyDescent="0.15">
      <c r="A106" s="6">
        <v>5.2</v>
      </c>
      <c r="B106" s="7">
        <v>80</v>
      </c>
      <c r="C106" s="76">
        <v>1.0997485320857288</v>
      </c>
      <c r="D106" s="6">
        <v>5.2</v>
      </c>
      <c r="E106" s="7">
        <v>86.8</v>
      </c>
      <c r="F106" s="76">
        <v>1.111043568370786</v>
      </c>
      <c r="G106" s="76">
        <v>5.2</v>
      </c>
      <c r="H106" s="76">
        <v>84.8</v>
      </c>
      <c r="I106" s="76">
        <v>1.1041845739417551</v>
      </c>
      <c r="J106" s="76">
        <v>5.2</v>
      </c>
      <c r="K106" s="76">
        <v>86.7</v>
      </c>
      <c r="L106" s="76">
        <v>1.101931104960356</v>
      </c>
      <c r="M106" s="76">
        <v>5.2</v>
      </c>
      <c r="N106" s="76">
        <v>250</v>
      </c>
      <c r="O106" s="76">
        <v>0</v>
      </c>
      <c r="P106" s="76">
        <v>5.2</v>
      </c>
      <c r="Q106" s="76">
        <v>80.5</v>
      </c>
      <c r="R106" s="76">
        <v>1.0932779088363669</v>
      </c>
      <c r="S106" s="76">
        <v>5.2</v>
      </c>
      <c r="T106" s="76">
        <v>83.7</v>
      </c>
      <c r="U106" s="76">
        <v>1.0965236773936788</v>
      </c>
      <c r="V106" s="76">
        <v>5.2</v>
      </c>
      <c r="W106" s="76">
        <v>83.9</v>
      </c>
      <c r="X106" s="76">
        <v>1.0940477001038613</v>
      </c>
      <c r="Y106" s="76">
        <v>5.2</v>
      </c>
      <c r="Z106" s="76">
        <v>86.7</v>
      </c>
      <c r="AA106" s="76">
        <v>1.101931104960356</v>
      </c>
      <c r="AB106" s="76">
        <v>5.2</v>
      </c>
      <c r="AC106" s="76">
        <v>89.1</v>
      </c>
      <c r="AD106" s="76">
        <v>1.1039830968778337</v>
      </c>
      <c r="AE106" s="76">
        <v>5.2</v>
      </c>
      <c r="AF106" s="76">
        <v>81.7</v>
      </c>
      <c r="AG106" s="76">
        <v>1.1000089521432916</v>
      </c>
      <c r="AH106" s="76">
        <v>5.2</v>
      </c>
      <c r="AI106" s="76">
        <v>84.4</v>
      </c>
      <c r="AJ106" s="76">
        <v>1.0985277998040606</v>
      </c>
      <c r="AK106" s="76">
        <v>5.2</v>
      </c>
      <c r="AL106" s="76">
        <v>92.5</v>
      </c>
      <c r="AM106" s="76">
        <v>1.0752034371125634</v>
      </c>
      <c r="AN106" s="76">
        <v>5.2</v>
      </c>
      <c r="AO106" s="76">
        <v>90.4</v>
      </c>
      <c r="AP106" s="76">
        <v>1.1087624944312897</v>
      </c>
      <c r="AQ106" s="76">
        <v>5.2</v>
      </c>
      <c r="AR106" s="76">
        <v>90.8</v>
      </c>
      <c r="AS106" s="76">
        <v>1.1631352767702328</v>
      </c>
      <c r="AT106" s="76">
        <v>5.2</v>
      </c>
      <c r="AU106" s="76">
        <v>80.8</v>
      </c>
      <c r="AV106" s="76">
        <v>1.1005246154152855</v>
      </c>
      <c r="AW106" s="76">
        <v>5.2</v>
      </c>
      <c r="AX106" s="76">
        <v>82.5</v>
      </c>
      <c r="AY106" s="76">
        <v>1.1007664992062645</v>
      </c>
      <c r="AZ106" s="76">
        <v>5.2</v>
      </c>
      <c r="BA106" s="76">
        <v>86</v>
      </c>
      <c r="BB106" s="76">
        <v>1.110420197227397</v>
      </c>
      <c r="BC106" s="76">
        <v>5.2</v>
      </c>
      <c r="BD106" s="76">
        <v>94.5</v>
      </c>
      <c r="BE106" s="76">
        <v>1.1483925961237014</v>
      </c>
      <c r="BF106" s="76">
        <v>5.2</v>
      </c>
      <c r="BG106" s="76">
        <v>94.2</v>
      </c>
      <c r="BH106" s="76">
        <v>1.0854016857520625</v>
      </c>
      <c r="BI106" s="76">
        <v>5.2</v>
      </c>
      <c r="BJ106" s="76">
        <v>79.900000000000006</v>
      </c>
      <c r="BK106" s="76">
        <v>1.1010518681373545</v>
      </c>
      <c r="BL106" s="76">
        <v>5.2</v>
      </c>
      <c r="BM106" s="76">
        <v>82.5</v>
      </c>
      <c r="BN106" s="76">
        <v>1.1007664992062645</v>
      </c>
      <c r="BO106" s="76">
        <v>5.2</v>
      </c>
      <c r="BP106" s="76">
        <v>85.5</v>
      </c>
      <c r="BQ106" s="76">
        <v>1.1060987154397002</v>
      </c>
      <c r="BR106" s="76">
        <v>5.2</v>
      </c>
      <c r="BS106" s="76">
        <v>91.7</v>
      </c>
      <c r="BT106" s="76">
        <v>1.1620660896721666</v>
      </c>
      <c r="BU106" s="76">
        <v>5.2</v>
      </c>
      <c r="BV106" s="76">
        <v>90.2</v>
      </c>
      <c r="BW106" s="76">
        <v>1.1309108977268196</v>
      </c>
    </row>
    <row r="107" spans="1:75" x14ac:dyDescent="0.15">
      <c r="A107" s="6">
        <v>5.3</v>
      </c>
      <c r="B107" s="7">
        <v>89.3</v>
      </c>
      <c r="C107" s="76">
        <v>1.0412795345348813</v>
      </c>
      <c r="D107" s="6">
        <v>5.3</v>
      </c>
      <c r="E107" s="7">
        <v>97</v>
      </c>
      <c r="F107" s="76">
        <v>1.0742024862083652</v>
      </c>
      <c r="G107" s="76">
        <v>5.3</v>
      </c>
      <c r="H107" s="76">
        <v>94.7</v>
      </c>
      <c r="I107" s="76">
        <v>1.032463499654902</v>
      </c>
      <c r="J107" s="76">
        <v>5.3</v>
      </c>
      <c r="K107" s="76">
        <v>96.8</v>
      </c>
      <c r="L107" s="76">
        <v>1.0948423284168771</v>
      </c>
      <c r="M107" s="76">
        <v>5.3</v>
      </c>
      <c r="N107" s="76">
        <v>250</v>
      </c>
      <c r="O107" s="76">
        <v>0</v>
      </c>
      <c r="P107" s="76">
        <v>5.3</v>
      </c>
      <c r="Q107" s="76">
        <v>89.8</v>
      </c>
      <c r="R107" s="76">
        <v>1.0458070165963773</v>
      </c>
      <c r="S107" s="76">
        <v>5.3</v>
      </c>
      <c r="T107" s="76">
        <v>93.4</v>
      </c>
      <c r="U107" s="76">
        <v>1.0749955390657493</v>
      </c>
      <c r="V107" s="76">
        <v>5.3</v>
      </c>
      <c r="W107" s="76">
        <v>93.6</v>
      </c>
      <c r="X107" s="76">
        <v>1.0536051565782534</v>
      </c>
      <c r="Y107" s="76">
        <v>5.3</v>
      </c>
      <c r="Z107" s="76">
        <v>96.8</v>
      </c>
      <c r="AA107" s="76">
        <v>1.0948423284168771</v>
      </c>
      <c r="AB107" s="76">
        <v>5.3</v>
      </c>
      <c r="AC107" s="76">
        <v>99.5</v>
      </c>
      <c r="AD107" s="76">
        <v>1.0937255714778646</v>
      </c>
      <c r="AE107" s="76">
        <v>5.3</v>
      </c>
      <c r="AF107" s="76">
        <v>91.2</v>
      </c>
      <c r="AG107" s="76">
        <v>1.0206561976097319</v>
      </c>
      <c r="AH107" s="76">
        <v>5.3</v>
      </c>
      <c r="AI107" s="76">
        <v>94.2</v>
      </c>
      <c r="AJ107" s="76">
        <v>1.085401685752053</v>
      </c>
      <c r="AK107" s="76">
        <v>5.3</v>
      </c>
      <c r="AL107" s="76">
        <v>103</v>
      </c>
      <c r="AM107" s="76">
        <v>1.1020314013361374</v>
      </c>
      <c r="AN107" s="76">
        <v>5.3</v>
      </c>
      <c r="AO107" s="76">
        <v>101</v>
      </c>
      <c r="AP107" s="76">
        <v>1.0337835445383392</v>
      </c>
      <c r="AQ107" s="76">
        <v>5.3</v>
      </c>
      <c r="AR107" s="76">
        <v>102</v>
      </c>
      <c r="AS107" s="76">
        <v>1.0241500542806958</v>
      </c>
      <c r="AT107" s="76">
        <v>5.3</v>
      </c>
      <c r="AU107" s="76">
        <v>90.2</v>
      </c>
      <c r="AV107" s="76">
        <v>1.0314075891951313</v>
      </c>
      <c r="AW107" s="76">
        <v>5.3</v>
      </c>
      <c r="AX107" s="76">
        <v>92.1</v>
      </c>
      <c r="AY107" s="76">
        <v>1.0209787002300919</v>
      </c>
      <c r="AZ107" s="76">
        <v>5.3</v>
      </c>
      <c r="BA107" s="76">
        <v>96.1</v>
      </c>
      <c r="BB107" s="76">
        <v>1.0743951848565856</v>
      </c>
      <c r="BC107" s="76">
        <v>5.3</v>
      </c>
      <c r="BD107" s="76">
        <v>106</v>
      </c>
      <c r="BE107" s="76">
        <v>1.0724553035359761</v>
      </c>
      <c r="BF107" s="76">
        <v>5.3</v>
      </c>
      <c r="BG107" s="76">
        <v>105</v>
      </c>
      <c r="BH107" s="76">
        <v>1.0821358464023265</v>
      </c>
      <c r="BI107" s="76">
        <v>5.3</v>
      </c>
      <c r="BJ107" s="76">
        <v>89.2</v>
      </c>
      <c r="BK107" s="76">
        <v>1.0423881054862549</v>
      </c>
      <c r="BL107" s="76">
        <v>5.3</v>
      </c>
      <c r="BM107" s="76">
        <v>92.1</v>
      </c>
      <c r="BN107" s="76">
        <v>1.0209787002300919</v>
      </c>
      <c r="BO107" s="76">
        <v>5.3</v>
      </c>
      <c r="BP107" s="76">
        <v>95.5</v>
      </c>
      <c r="BQ107" s="76">
        <v>1.0431284662538187</v>
      </c>
      <c r="BR107" s="76">
        <v>5.3</v>
      </c>
      <c r="BS107" s="76">
        <v>103</v>
      </c>
      <c r="BT107" s="76">
        <v>1.0146946016485927</v>
      </c>
      <c r="BU107" s="76">
        <v>5.3</v>
      </c>
      <c r="BV107" s="76">
        <v>101</v>
      </c>
      <c r="BW107" s="76">
        <v>1.0337835445383392</v>
      </c>
    </row>
    <row r="108" spans="1:75" x14ac:dyDescent="0.15">
      <c r="A108" s="6">
        <v>5.4</v>
      </c>
      <c r="B108" s="7">
        <v>99.1</v>
      </c>
      <c r="C108" s="76">
        <v>1.0435092445647458</v>
      </c>
      <c r="D108" s="6">
        <v>5.4</v>
      </c>
      <c r="E108" s="7">
        <v>108</v>
      </c>
      <c r="F108" s="76">
        <v>0.96992265987310045</v>
      </c>
      <c r="G108" s="76">
        <v>5.4</v>
      </c>
      <c r="H108" s="76">
        <v>105</v>
      </c>
      <c r="I108" s="76">
        <v>0.99629840948841775</v>
      </c>
      <c r="J108" s="76">
        <v>5.4</v>
      </c>
      <c r="K108" s="76">
        <v>108</v>
      </c>
      <c r="L108" s="76">
        <v>0.96992265987310045</v>
      </c>
      <c r="M108" s="76">
        <v>5.4</v>
      </c>
      <c r="N108" s="76">
        <v>250</v>
      </c>
      <c r="O108" s="76">
        <v>0</v>
      </c>
      <c r="P108" s="76">
        <v>5.4</v>
      </c>
      <c r="Q108" s="76">
        <v>99.7</v>
      </c>
      <c r="R108" s="76">
        <v>0.98314688824624585</v>
      </c>
      <c r="S108" s="76">
        <v>5.4</v>
      </c>
      <c r="T108" s="76">
        <v>104</v>
      </c>
      <c r="U108" s="76">
        <v>1.0054122922187805</v>
      </c>
      <c r="V108" s="76">
        <v>5.4</v>
      </c>
      <c r="W108" s="76">
        <v>104</v>
      </c>
      <c r="X108" s="76">
        <v>1.0054122922187805</v>
      </c>
      <c r="Y108" s="76">
        <v>5.4</v>
      </c>
      <c r="Z108" s="76">
        <v>108</v>
      </c>
      <c r="AA108" s="76">
        <v>0.96992265987310045</v>
      </c>
      <c r="AB108" s="76">
        <v>5.4</v>
      </c>
      <c r="AC108" s="76">
        <v>111</v>
      </c>
      <c r="AD108" s="76">
        <v>1.0265415406008351</v>
      </c>
      <c r="AE108" s="76">
        <v>5.4</v>
      </c>
      <c r="AF108" s="76">
        <v>101</v>
      </c>
      <c r="AG108" s="76">
        <v>1.0337835445383485</v>
      </c>
      <c r="AH108" s="76">
        <v>5.4</v>
      </c>
      <c r="AI108" s="76">
        <v>105</v>
      </c>
      <c r="AJ108" s="76">
        <v>0.99629840948841775</v>
      </c>
      <c r="AK108" s="76">
        <v>5.4</v>
      </c>
      <c r="AL108" s="76">
        <v>115</v>
      </c>
      <c r="AM108" s="76">
        <v>0.99254958095341372</v>
      </c>
      <c r="AN108" s="76">
        <v>5.4</v>
      </c>
      <c r="AO108" s="76">
        <v>112</v>
      </c>
      <c r="AP108" s="76">
        <v>1.0178269430994327</v>
      </c>
      <c r="AQ108" s="76">
        <v>5.4</v>
      </c>
      <c r="AR108" s="76">
        <v>113</v>
      </c>
      <c r="AS108" s="76">
        <v>1.0092591858996105</v>
      </c>
      <c r="AT108" s="76">
        <v>5.4</v>
      </c>
      <c r="AU108" s="76">
        <v>100</v>
      </c>
      <c r="AV108" s="76">
        <v>1.0436001532424248</v>
      </c>
      <c r="AW108" s="76">
        <v>5.4</v>
      </c>
      <c r="AX108" s="76">
        <v>102</v>
      </c>
      <c r="AY108" s="76">
        <v>1.0241500542807049</v>
      </c>
      <c r="AZ108" s="76">
        <v>5.4</v>
      </c>
      <c r="BA108" s="76">
        <v>107</v>
      </c>
      <c r="BB108" s="76">
        <v>0.97855790003759668</v>
      </c>
      <c r="BC108" s="76">
        <v>5.4</v>
      </c>
      <c r="BD108" s="76">
        <v>118</v>
      </c>
      <c r="BE108" s="76">
        <v>0.96849825989917437</v>
      </c>
      <c r="BF108" s="76">
        <v>5.4</v>
      </c>
      <c r="BG108" s="76">
        <v>117</v>
      </c>
      <c r="BH108" s="76">
        <v>1.0536051565782627</v>
      </c>
      <c r="BI108" s="76">
        <v>5.4</v>
      </c>
      <c r="BJ108" s="76">
        <v>99</v>
      </c>
      <c r="BK108" s="76">
        <v>1.0536051565782716</v>
      </c>
      <c r="BL108" s="76">
        <v>5.4</v>
      </c>
      <c r="BM108" s="76">
        <v>102</v>
      </c>
      <c r="BN108" s="76">
        <v>1.0241500542807049</v>
      </c>
      <c r="BO108" s="76">
        <v>5.4</v>
      </c>
      <c r="BP108" s="76">
        <v>106</v>
      </c>
      <c r="BQ108" s="76">
        <v>1.0724553035359856</v>
      </c>
      <c r="BR108" s="76">
        <v>5.4</v>
      </c>
      <c r="BS108" s="76">
        <v>114</v>
      </c>
      <c r="BT108" s="76">
        <v>1.0008345855698266</v>
      </c>
      <c r="BU108" s="76">
        <v>5.4</v>
      </c>
      <c r="BV108" s="76">
        <v>112</v>
      </c>
      <c r="BW108" s="76">
        <v>1.0178269430994327</v>
      </c>
    </row>
    <row r="109" spans="1:75" x14ac:dyDescent="0.15">
      <c r="A109" s="6">
        <v>5.5</v>
      </c>
      <c r="B109" s="7">
        <v>110</v>
      </c>
      <c r="C109" s="76">
        <v>0.95310179804325101</v>
      </c>
      <c r="D109" s="6">
        <v>5.5</v>
      </c>
      <c r="E109" s="7">
        <v>119</v>
      </c>
      <c r="F109" s="76">
        <v>1.0367842947484134</v>
      </c>
      <c r="G109" s="76">
        <v>5.5</v>
      </c>
      <c r="H109" s="76">
        <v>116</v>
      </c>
      <c r="I109" s="76">
        <v>0.98440072813252755</v>
      </c>
      <c r="J109" s="76">
        <v>5.5</v>
      </c>
      <c r="K109" s="76">
        <v>119</v>
      </c>
      <c r="L109" s="76">
        <v>0.96073830089621903</v>
      </c>
      <c r="M109" s="76">
        <v>5.5</v>
      </c>
      <c r="N109" s="76">
        <v>250</v>
      </c>
      <c r="O109" s="76">
        <v>0</v>
      </c>
      <c r="P109" s="76">
        <v>5.5</v>
      </c>
      <c r="Q109" s="76">
        <v>110</v>
      </c>
      <c r="R109" s="76">
        <v>1.0354067894084056</v>
      </c>
      <c r="S109" s="76">
        <v>5.5</v>
      </c>
      <c r="T109" s="76">
        <v>115</v>
      </c>
      <c r="U109" s="76">
        <v>0.99254958095341372</v>
      </c>
      <c r="V109" s="76">
        <v>5.5</v>
      </c>
      <c r="W109" s="76">
        <v>115</v>
      </c>
      <c r="X109" s="76">
        <v>0.99254958095341372</v>
      </c>
      <c r="Y109" s="76">
        <v>5.5</v>
      </c>
      <c r="Z109" s="76">
        <v>119</v>
      </c>
      <c r="AA109" s="76">
        <v>0.96073830089621903</v>
      </c>
      <c r="AB109" s="76">
        <v>5.5</v>
      </c>
      <c r="AC109" s="76">
        <v>123</v>
      </c>
      <c r="AD109" s="76">
        <v>0.93090423066012895</v>
      </c>
      <c r="AE109" s="76">
        <v>5.5</v>
      </c>
      <c r="AF109" s="76">
        <v>112</v>
      </c>
      <c r="AG109" s="76">
        <v>1.0178269430994327</v>
      </c>
      <c r="AH109" s="76">
        <v>5.5</v>
      </c>
      <c r="AI109" s="76">
        <v>116</v>
      </c>
      <c r="AJ109" s="76">
        <v>0.98440072813252755</v>
      </c>
      <c r="AK109" s="76">
        <v>5.5</v>
      </c>
      <c r="AL109" s="76">
        <v>127</v>
      </c>
      <c r="AM109" s="76">
        <v>1.0457280391957762</v>
      </c>
      <c r="AN109" s="76">
        <v>5.5</v>
      </c>
      <c r="AO109" s="76">
        <v>124</v>
      </c>
      <c r="AP109" s="76">
        <v>0.99699360223088362</v>
      </c>
      <c r="AQ109" s="76">
        <v>5.5</v>
      </c>
      <c r="AR109" s="76">
        <v>125</v>
      </c>
      <c r="AS109" s="76">
        <v>0.9893994785490392</v>
      </c>
      <c r="AT109" s="76">
        <v>5.5</v>
      </c>
      <c r="AU109" s="76">
        <v>111</v>
      </c>
      <c r="AV109" s="76">
        <v>0.94490843420923176</v>
      </c>
      <c r="AW109" s="76">
        <v>5.5</v>
      </c>
      <c r="AX109" s="76">
        <v>113</v>
      </c>
      <c r="AY109" s="76">
        <v>1.0092591858996105</v>
      </c>
      <c r="AZ109" s="76">
        <v>5.5</v>
      </c>
      <c r="BA109" s="76">
        <v>118</v>
      </c>
      <c r="BB109" s="76">
        <v>0.96849825989917437</v>
      </c>
      <c r="BC109" s="76">
        <v>5.5</v>
      </c>
      <c r="BD109" s="76">
        <v>130</v>
      </c>
      <c r="BE109" s="76">
        <v>1.0227884912041887</v>
      </c>
      <c r="BF109" s="76">
        <v>5.5</v>
      </c>
      <c r="BG109" s="76">
        <v>130</v>
      </c>
      <c r="BH109" s="76">
        <v>0.95310179804325101</v>
      </c>
      <c r="BI109" s="76">
        <v>5.5</v>
      </c>
      <c r="BJ109" s="76">
        <v>110</v>
      </c>
      <c r="BK109" s="76">
        <v>0.95310179804325101</v>
      </c>
      <c r="BL109" s="76">
        <v>5.5</v>
      </c>
      <c r="BM109" s="76">
        <v>113</v>
      </c>
      <c r="BN109" s="76">
        <v>1.0092591858996105</v>
      </c>
      <c r="BO109" s="76">
        <v>5.5</v>
      </c>
      <c r="BP109" s="76">
        <v>118</v>
      </c>
      <c r="BQ109" s="76">
        <v>0.96849825989917437</v>
      </c>
      <c r="BR109" s="76">
        <v>5.5</v>
      </c>
      <c r="BS109" s="76">
        <v>126</v>
      </c>
      <c r="BT109" s="76">
        <v>0.98192026179213865</v>
      </c>
      <c r="BU109" s="76">
        <v>5.5</v>
      </c>
      <c r="BV109" s="76">
        <v>124</v>
      </c>
      <c r="BW109" s="76">
        <v>0.99699360223088362</v>
      </c>
    </row>
    <row r="110" spans="1:75" x14ac:dyDescent="0.15">
      <c r="A110" s="6">
        <v>5.6</v>
      </c>
      <c r="B110" s="7">
        <v>121</v>
      </c>
      <c r="C110" s="76">
        <v>0.94558582625011878</v>
      </c>
      <c r="D110" s="6">
        <v>5.6</v>
      </c>
      <c r="E110" s="7">
        <v>132</v>
      </c>
      <c r="F110" s="76">
        <v>0.93931819834203123</v>
      </c>
      <c r="G110" s="76">
        <v>5.6</v>
      </c>
      <c r="H110" s="76">
        <v>128</v>
      </c>
      <c r="I110" s="76">
        <v>0.96729626458551032</v>
      </c>
      <c r="J110" s="76">
        <v>5.6</v>
      </c>
      <c r="K110" s="76">
        <v>131</v>
      </c>
      <c r="L110" s="76">
        <v>0.94615976374849031</v>
      </c>
      <c r="M110" s="76">
        <v>5.6</v>
      </c>
      <c r="N110" s="76">
        <v>250</v>
      </c>
      <c r="O110" s="76">
        <v>0</v>
      </c>
      <c r="P110" s="76">
        <v>5.6</v>
      </c>
      <c r="Q110" s="76">
        <v>122</v>
      </c>
      <c r="R110" s="76">
        <v>0.93818755217653871</v>
      </c>
      <c r="S110" s="76">
        <v>5.6</v>
      </c>
      <c r="T110" s="76">
        <v>127</v>
      </c>
      <c r="U110" s="76">
        <v>0.90286846672099819</v>
      </c>
      <c r="V110" s="76">
        <v>5.6</v>
      </c>
      <c r="W110" s="76">
        <v>127</v>
      </c>
      <c r="X110" s="76">
        <v>0.97455336150712146</v>
      </c>
      <c r="Y110" s="76">
        <v>5.6</v>
      </c>
      <c r="Z110" s="76">
        <v>131</v>
      </c>
      <c r="AA110" s="76">
        <v>0.94615976374849031</v>
      </c>
      <c r="AB110" s="76">
        <v>5.6</v>
      </c>
      <c r="AC110" s="76">
        <v>135</v>
      </c>
      <c r="AD110" s="76">
        <v>0.98671527507029044</v>
      </c>
      <c r="AE110" s="76">
        <v>5.6</v>
      </c>
      <c r="AF110" s="76">
        <v>124</v>
      </c>
      <c r="AG110" s="76">
        <v>0.92373320131014802</v>
      </c>
      <c r="AH110" s="76">
        <v>5.6</v>
      </c>
      <c r="AI110" s="76">
        <v>128</v>
      </c>
      <c r="AJ110" s="76">
        <v>0.96729626458551032</v>
      </c>
      <c r="AK110" s="76">
        <v>5.6</v>
      </c>
      <c r="AL110" s="76">
        <v>141</v>
      </c>
      <c r="AM110" s="76">
        <v>0.9466522654107784</v>
      </c>
      <c r="AN110" s="76">
        <v>5.6</v>
      </c>
      <c r="AO110" s="76">
        <v>137</v>
      </c>
      <c r="AP110" s="76">
        <v>0.97298910986798692</v>
      </c>
      <c r="AQ110" s="76">
        <v>5.6</v>
      </c>
      <c r="AR110" s="76">
        <v>138</v>
      </c>
      <c r="AS110" s="76">
        <v>0.96626835689070867</v>
      </c>
      <c r="AT110" s="76">
        <v>5.6</v>
      </c>
      <c r="AU110" s="76">
        <v>122</v>
      </c>
      <c r="AV110" s="76">
        <v>0.93818755217653871</v>
      </c>
      <c r="AW110" s="76">
        <v>5.6</v>
      </c>
      <c r="AX110" s="76">
        <v>125</v>
      </c>
      <c r="AY110" s="76">
        <v>0.91667188525823073</v>
      </c>
      <c r="AZ110" s="76">
        <v>5.6</v>
      </c>
      <c r="BA110" s="76">
        <v>130</v>
      </c>
      <c r="BB110" s="76">
        <v>0.95310179804324258</v>
      </c>
      <c r="BC110" s="76">
        <v>5.6</v>
      </c>
      <c r="BD110" s="76">
        <v>144</v>
      </c>
      <c r="BE110" s="76">
        <v>0.92781733450965687</v>
      </c>
      <c r="BF110" s="76">
        <v>5.6</v>
      </c>
      <c r="BG110" s="76">
        <v>143</v>
      </c>
      <c r="BH110" s="76">
        <v>0.99750402767059398</v>
      </c>
      <c r="BI110" s="76">
        <v>5.6</v>
      </c>
      <c r="BJ110" s="76">
        <v>121</v>
      </c>
      <c r="BK110" s="76">
        <v>0.94558582625011878</v>
      </c>
      <c r="BL110" s="76">
        <v>5.6</v>
      </c>
      <c r="BM110" s="76">
        <v>125</v>
      </c>
      <c r="BN110" s="76">
        <v>0.91667188525823073</v>
      </c>
      <c r="BO110" s="76">
        <v>5.6</v>
      </c>
      <c r="BP110" s="76">
        <v>130</v>
      </c>
      <c r="BQ110" s="76">
        <v>0.88292607145678192</v>
      </c>
      <c r="BR110" s="76">
        <v>5.6</v>
      </c>
      <c r="BS110" s="76">
        <v>139</v>
      </c>
      <c r="BT110" s="76">
        <v>0.95963988261743283</v>
      </c>
      <c r="BU110" s="76">
        <v>5.6</v>
      </c>
      <c r="BV110" s="76">
        <v>137</v>
      </c>
      <c r="BW110" s="76">
        <v>0.97298910986798692</v>
      </c>
    </row>
    <row r="111" spans="1:75" x14ac:dyDescent="0.15">
      <c r="A111" s="6">
        <v>5.7</v>
      </c>
      <c r="B111" s="7">
        <v>133</v>
      </c>
      <c r="C111" s="76">
        <v>0.93257493486582965</v>
      </c>
      <c r="D111" s="6">
        <v>5.7</v>
      </c>
      <c r="E111" s="7">
        <v>145</v>
      </c>
      <c r="F111" s="76">
        <v>0.92170459799657645</v>
      </c>
      <c r="G111" s="76">
        <v>5.7</v>
      </c>
      <c r="H111" s="76">
        <v>141</v>
      </c>
      <c r="I111" s="76">
        <v>0.94665226541078673</v>
      </c>
      <c r="J111" s="76">
        <v>5.7</v>
      </c>
      <c r="K111" s="76">
        <v>144</v>
      </c>
      <c r="L111" s="76">
        <v>0.92781733450966519</v>
      </c>
      <c r="M111" s="76">
        <v>5.7</v>
      </c>
      <c r="N111" s="76">
        <v>250</v>
      </c>
      <c r="O111" s="76">
        <v>0</v>
      </c>
      <c r="P111" s="76">
        <v>5.7</v>
      </c>
      <c r="Q111" s="76">
        <v>134</v>
      </c>
      <c r="R111" s="76">
        <v>0.85766821757425526</v>
      </c>
      <c r="S111" s="76">
        <v>5.7</v>
      </c>
      <c r="T111" s="76">
        <v>139</v>
      </c>
      <c r="U111" s="76">
        <v>0.95963988261744138</v>
      </c>
      <c r="V111" s="76">
        <v>5.7</v>
      </c>
      <c r="W111" s="76">
        <v>140</v>
      </c>
      <c r="X111" s="76">
        <v>0.88795498783131732</v>
      </c>
      <c r="Y111" s="76">
        <v>5.7</v>
      </c>
      <c r="Z111" s="76">
        <v>144</v>
      </c>
      <c r="AA111" s="76">
        <v>0.92781733450966519</v>
      </c>
      <c r="AB111" s="76">
        <v>5.7</v>
      </c>
      <c r="AC111" s="76">
        <v>149</v>
      </c>
      <c r="AD111" s="76">
        <v>0.89803894861303457</v>
      </c>
      <c r="AE111" s="76">
        <v>5.7</v>
      </c>
      <c r="AF111" s="76">
        <v>136</v>
      </c>
      <c r="AG111" s="76">
        <v>0.91291420209407159</v>
      </c>
      <c r="AH111" s="76">
        <v>5.7</v>
      </c>
      <c r="AI111" s="76">
        <v>141</v>
      </c>
      <c r="AJ111" s="76">
        <v>0.88192712035461396</v>
      </c>
      <c r="AK111" s="76">
        <v>5.7</v>
      </c>
      <c r="AL111" s="76">
        <v>155</v>
      </c>
      <c r="AM111" s="76">
        <v>0.92373320131015624</v>
      </c>
      <c r="AN111" s="76">
        <v>5.7</v>
      </c>
      <c r="AO111" s="76">
        <v>151</v>
      </c>
      <c r="AP111" s="76">
        <v>0.94707951541619706</v>
      </c>
      <c r="AQ111" s="76">
        <v>5.7</v>
      </c>
      <c r="AR111" s="76">
        <v>152</v>
      </c>
      <c r="AS111" s="76">
        <v>0.88107267510267517</v>
      </c>
      <c r="AT111" s="76">
        <v>5.7</v>
      </c>
      <c r="AU111" s="76">
        <v>134</v>
      </c>
      <c r="AV111" s="76">
        <v>0.92592786827825235</v>
      </c>
      <c r="AW111" s="76">
        <v>5.7</v>
      </c>
      <c r="AX111" s="76">
        <v>137</v>
      </c>
      <c r="AY111" s="76">
        <v>0.90654368268130769</v>
      </c>
      <c r="AZ111" s="76">
        <v>5.7</v>
      </c>
      <c r="BA111" s="76">
        <v>143</v>
      </c>
      <c r="BB111" s="76">
        <v>0.93401175088401067</v>
      </c>
      <c r="BC111" s="76">
        <v>5.7</v>
      </c>
      <c r="BD111" s="76">
        <v>158</v>
      </c>
      <c r="BE111" s="76">
        <v>0.96460266187562549</v>
      </c>
      <c r="BF111" s="76">
        <v>5.7</v>
      </c>
      <c r="BG111" s="76">
        <v>158</v>
      </c>
      <c r="BH111" s="76">
        <v>0.9069656147081272</v>
      </c>
      <c r="BI111" s="76">
        <v>5.7</v>
      </c>
      <c r="BJ111" s="76">
        <v>133</v>
      </c>
      <c r="BK111" s="76">
        <v>0.86384614198820797</v>
      </c>
      <c r="BL111" s="76">
        <v>5.7</v>
      </c>
      <c r="BM111" s="76">
        <v>137</v>
      </c>
      <c r="BN111" s="76">
        <v>0.90654368268130769</v>
      </c>
      <c r="BO111" s="76">
        <v>5.7</v>
      </c>
      <c r="BP111" s="76">
        <v>142</v>
      </c>
      <c r="BQ111" s="76">
        <v>0.94028949648276572</v>
      </c>
      <c r="BR111" s="76">
        <v>5.7</v>
      </c>
      <c r="BS111" s="76">
        <v>153</v>
      </c>
      <c r="BT111" s="76">
        <v>0.93526058010823809</v>
      </c>
      <c r="BU111" s="76">
        <v>5.7</v>
      </c>
      <c r="BV111" s="76">
        <v>151</v>
      </c>
      <c r="BW111" s="76">
        <v>0.88665637085656313</v>
      </c>
    </row>
    <row r="112" spans="1:75" x14ac:dyDescent="0.15">
      <c r="A112" s="6">
        <v>5.8</v>
      </c>
      <c r="B112" s="7">
        <v>146</v>
      </c>
      <c r="C112" s="76">
        <v>0.85297580511894722</v>
      </c>
      <c r="D112" s="6">
        <v>5.8</v>
      </c>
      <c r="E112" s="7">
        <v>159</v>
      </c>
      <c r="F112" s="76">
        <v>0.84387392277547313</v>
      </c>
      <c r="G112" s="76">
        <v>5.8</v>
      </c>
      <c r="H112" s="76">
        <v>155</v>
      </c>
      <c r="I112" s="76">
        <v>0.86473598003826235</v>
      </c>
      <c r="J112" s="76">
        <v>5.8</v>
      </c>
      <c r="K112" s="76">
        <v>158</v>
      </c>
      <c r="L112" s="76">
        <v>0.90696561470811909</v>
      </c>
      <c r="M112" s="76">
        <v>5.8</v>
      </c>
      <c r="N112" s="76">
        <v>250</v>
      </c>
      <c r="O112" s="76">
        <v>0</v>
      </c>
      <c r="P112" s="76">
        <v>5.8</v>
      </c>
      <c r="Q112" s="76">
        <v>146</v>
      </c>
      <c r="R112" s="76">
        <v>0.91567193525489765</v>
      </c>
      <c r="S112" s="76">
        <v>5.8</v>
      </c>
      <c r="T112" s="76">
        <v>153</v>
      </c>
      <c r="U112" s="76">
        <v>0.87555891024319688</v>
      </c>
      <c r="V112" s="76">
        <v>5.8</v>
      </c>
      <c r="W112" s="76">
        <v>153</v>
      </c>
      <c r="X112" s="76">
        <v>0.87555891024319688</v>
      </c>
      <c r="Y112" s="76">
        <v>5.8</v>
      </c>
      <c r="Z112" s="76">
        <v>158</v>
      </c>
      <c r="AA112" s="76">
        <v>0.90696561470811909</v>
      </c>
      <c r="AB112" s="76">
        <v>5.8</v>
      </c>
      <c r="AC112" s="76">
        <v>163</v>
      </c>
      <c r="AD112" s="76">
        <v>0.88033349485322243</v>
      </c>
      <c r="AE112" s="76">
        <v>5.8</v>
      </c>
      <c r="AF112" s="76">
        <v>149</v>
      </c>
      <c r="AG112" s="76">
        <v>0.89803894861302658</v>
      </c>
      <c r="AH112" s="76">
        <v>5.8</v>
      </c>
      <c r="AI112" s="76">
        <v>154</v>
      </c>
      <c r="AJ112" s="76">
        <v>0.87011376989628775</v>
      </c>
      <c r="AK112" s="76">
        <v>5.8</v>
      </c>
      <c r="AL112" s="76">
        <v>170</v>
      </c>
      <c r="AM112" s="76">
        <v>0.84557388028061886</v>
      </c>
      <c r="AN112" s="76">
        <v>5.8</v>
      </c>
      <c r="AO112" s="76">
        <v>166</v>
      </c>
      <c r="AP112" s="76">
        <v>0.86509242909281947</v>
      </c>
      <c r="AQ112" s="76">
        <v>5.8</v>
      </c>
      <c r="AR112" s="76">
        <v>166</v>
      </c>
      <c r="AS112" s="76">
        <v>0.92018898720250997</v>
      </c>
      <c r="AT112" s="76">
        <v>5.8</v>
      </c>
      <c r="AU112" s="76">
        <v>147</v>
      </c>
      <c r="AV112" s="76">
        <v>0.90971778205726617</v>
      </c>
      <c r="AW112" s="76">
        <v>5.8</v>
      </c>
      <c r="AX112" s="76">
        <v>150</v>
      </c>
      <c r="AY112" s="76">
        <v>0.89231133727942746</v>
      </c>
      <c r="AZ112" s="76">
        <v>5.8</v>
      </c>
      <c r="BA112" s="76">
        <v>157</v>
      </c>
      <c r="BB112" s="76">
        <v>0.91248671465144549</v>
      </c>
      <c r="BC112" s="76">
        <v>5.8</v>
      </c>
      <c r="BD112" s="76">
        <v>174</v>
      </c>
      <c r="BE112" s="76">
        <v>0.87968772945956597</v>
      </c>
      <c r="BF112" s="76">
        <v>5.8</v>
      </c>
      <c r="BG112" s="76">
        <v>173</v>
      </c>
      <c r="BH112" s="76">
        <v>0.88455420561862819</v>
      </c>
      <c r="BI112" s="76">
        <v>5.8</v>
      </c>
      <c r="BJ112" s="76">
        <v>145</v>
      </c>
      <c r="BK112" s="76">
        <v>0.92170459799656834</v>
      </c>
      <c r="BL112" s="76">
        <v>5.8</v>
      </c>
      <c r="BM112" s="76">
        <v>150</v>
      </c>
      <c r="BN112" s="76">
        <v>0.89231133727942746</v>
      </c>
      <c r="BO112" s="76">
        <v>5.8</v>
      </c>
      <c r="BP112" s="76">
        <v>156</v>
      </c>
      <c r="BQ112" s="76">
        <v>0.91807549253122689</v>
      </c>
      <c r="BR112" s="76">
        <v>5.8</v>
      </c>
      <c r="BS112" s="76">
        <v>168</v>
      </c>
      <c r="BT112" s="76">
        <v>0.90971778205726617</v>
      </c>
      <c r="BU112" s="76">
        <v>5.8</v>
      </c>
      <c r="BV112" s="76">
        <v>165</v>
      </c>
      <c r="BW112" s="76">
        <v>0.92551557365245296</v>
      </c>
    </row>
    <row r="113" spans="1:75" x14ac:dyDescent="0.15">
      <c r="A113" s="6">
        <v>5.9</v>
      </c>
      <c r="B113" s="7">
        <v>159</v>
      </c>
      <c r="C113" s="76">
        <v>0.84387392277548068</v>
      </c>
      <c r="D113" s="6">
        <v>5.9</v>
      </c>
      <c r="E113" s="7">
        <v>173</v>
      </c>
      <c r="F113" s="76">
        <v>0.88455420561863596</v>
      </c>
      <c r="G113" s="76">
        <v>5.9</v>
      </c>
      <c r="H113" s="76">
        <v>169</v>
      </c>
      <c r="I113" s="76">
        <v>0.85037042685912689</v>
      </c>
      <c r="J113" s="76">
        <v>5.9</v>
      </c>
      <c r="K113" s="76">
        <v>173</v>
      </c>
      <c r="L113" s="76">
        <v>0.83150368332170232</v>
      </c>
      <c r="M113" s="76">
        <v>5.9</v>
      </c>
      <c r="N113" s="76">
        <v>250</v>
      </c>
      <c r="O113" s="76">
        <v>0</v>
      </c>
      <c r="P113" s="76">
        <v>5.9</v>
      </c>
      <c r="Q113" s="76">
        <v>160</v>
      </c>
      <c r="R113" s="76">
        <v>0.83881483980702798</v>
      </c>
      <c r="S113" s="76">
        <v>5.9</v>
      </c>
      <c r="T113" s="76">
        <v>167</v>
      </c>
      <c r="U113" s="76">
        <v>0.86012874660040017</v>
      </c>
      <c r="V113" s="76">
        <v>5.9</v>
      </c>
      <c r="W113" s="76">
        <v>167</v>
      </c>
      <c r="X113" s="76">
        <v>0.86012874660040017</v>
      </c>
      <c r="Y113" s="76">
        <v>5.9</v>
      </c>
      <c r="Z113" s="76">
        <v>173</v>
      </c>
      <c r="AA113" s="76">
        <v>0.83150368332170232</v>
      </c>
      <c r="AB113" s="76">
        <v>5.9</v>
      </c>
      <c r="AC113" s="76">
        <v>178</v>
      </c>
      <c r="AD113" s="76">
        <v>0.86074608771243488</v>
      </c>
      <c r="AE113" s="76">
        <v>5.9</v>
      </c>
      <c r="AF113" s="76">
        <v>163</v>
      </c>
      <c r="AG113" s="76">
        <v>0.8239953176706678</v>
      </c>
      <c r="AH113" s="76">
        <v>5.9</v>
      </c>
      <c r="AI113" s="76">
        <v>168</v>
      </c>
      <c r="AJ113" s="76">
        <v>0.85522173438162896</v>
      </c>
      <c r="AK113" s="76">
        <v>5.9</v>
      </c>
      <c r="AL113" s="76">
        <v>185</v>
      </c>
      <c r="AM113" s="76">
        <v>0.8791187232288098</v>
      </c>
      <c r="AN113" s="76">
        <v>5.9</v>
      </c>
      <c r="AO113" s="76">
        <v>181</v>
      </c>
      <c r="AP113" s="76">
        <v>0.84706697472162717</v>
      </c>
      <c r="AQ113" s="76">
        <v>5.9</v>
      </c>
      <c r="AR113" s="76">
        <v>182</v>
      </c>
      <c r="AS113" s="76">
        <v>0.84260343617740341</v>
      </c>
      <c r="AT113" s="76">
        <v>5.9</v>
      </c>
      <c r="AU113" s="76">
        <v>161</v>
      </c>
      <c r="AV113" s="76">
        <v>0.83381608939051632</v>
      </c>
      <c r="AW113" s="76">
        <v>5.9</v>
      </c>
      <c r="AX113" s="76">
        <v>164</v>
      </c>
      <c r="AY113" s="76">
        <v>0.87519378016556493</v>
      </c>
      <c r="AZ113" s="76">
        <v>5.9</v>
      </c>
      <c r="BA113" s="76">
        <v>172</v>
      </c>
      <c r="BB113" s="76">
        <v>0.83614140041134399</v>
      </c>
      <c r="BC113" s="76">
        <v>5.9</v>
      </c>
      <c r="BD113" s="76">
        <v>190</v>
      </c>
      <c r="BE113" s="76">
        <v>0.85694721104882932</v>
      </c>
      <c r="BF113" s="76">
        <v>5.9</v>
      </c>
      <c r="BG113" s="76">
        <v>189</v>
      </c>
      <c r="BH113" s="76">
        <v>0.8612915372993899</v>
      </c>
      <c r="BI113" s="76">
        <v>5.9</v>
      </c>
      <c r="BJ113" s="76">
        <v>159</v>
      </c>
      <c r="BK113" s="76">
        <v>0.84387392277548068</v>
      </c>
      <c r="BL113" s="76">
        <v>5.9</v>
      </c>
      <c r="BM113" s="76">
        <v>164</v>
      </c>
      <c r="BN113" s="76">
        <v>0.87519378016556493</v>
      </c>
      <c r="BO113" s="76">
        <v>5.9</v>
      </c>
      <c r="BP113" s="76">
        <v>171</v>
      </c>
      <c r="BQ113" s="76">
        <v>0.84083117210541702</v>
      </c>
      <c r="BR113" s="76">
        <v>5.9</v>
      </c>
      <c r="BS113" s="76">
        <v>184</v>
      </c>
      <c r="BT113" s="76">
        <v>0.83381608939050744</v>
      </c>
      <c r="BU113" s="76">
        <v>5.9</v>
      </c>
      <c r="BV113" s="76">
        <v>181</v>
      </c>
      <c r="BW113" s="76">
        <v>0.84706697472162717</v>
      </c>
    </row>
    <row r="114" spans="1:75" x14ac:dyDescent="0.15">
      <c r="A114" s="6">
        <v>6</v>
      </c>
      <c r="B114" s="7">
        <v>173</v>
      </c>
      <c r="C114" s="76">
        <v>0.83150368332170232</v>
      </c>
      <c r="D114" s="6">
        <v>6</v>
      </c>
      <c r="E114" s="7">
        <v>189</v>
      </c>
      <c r="F114" s="76">
        <v>0.8612915372993899</v>
      </c>
      <c r="G114" s="76">
        <v>6</v>
      </c>
      <c r="H114" s="76">
        <v>184</v>
      </c>
      <c r="I114" s="76">
        <v>0.83381608939050744</v>
      </c>
      <c r="J114" s="76">
        <v>6</v>
      </c>
      <c r="K114" s="76">
        <v>188</v>
      </c>
      <c r="L114" s="76">
        <v>0.86568016308459539</v>
      </c>
      <c r="M114" s="76">
        <v>6</v>
      </c>
      <c r="N114" s="76">
        <v>250</v>
      </c>
      <c r="O114" s="76">
        <v>0</v>
      </c>
      <c r="P114" s="76">
        <v>6</v>
      </c>
      <c r="Q114" s="76">
        <v>174</v>
      </c>
      <c r="R114" s="76">
        <v>0.87968772945957374</v>
      </c>
      <c r="S114" s="76">
        <v>6</v>
      </c>
      <c r="T114" s="76">
        <v>182</v>
      </c>
      <c r="U114" s="76">
        <v>0.84260343617740341</v>
      </c>
      <c r="V114" s="76">
        <v>6</v>
      </c>
      <c r="W114" s="76">
        <v>182</v>
      </c>
      <c r="X114" s="76">
        <v>0.84260343617740341</v>
      </c>
      <c r="Y114" s="76">
        <v>6</v>
      </c>
      <c r="Z114" s="76">
        <v>188</v>
      </c>
      <c r="AA114" s="76">
        <v>0.86568016308459539</v>
      </c>
      <c r="AB114" s="76">
        <v>6</v>
      </c>
      <c r="AC114" s="76">
        <v>194</v>
      </c>
      <c r="AD114" s="76">
        <v>0.83999974412738732</v>
      </c>
      <c r="AE114" s="76">
        <v>6</v>
      </c>
      <c r="AF114" s="76">
        <v>177</v>
      </c>
      <c r="AG114" s="76">
        <v>0.86540456331057092</v>
      </c>
      <c r="AH114" s="76">
        <v>6</v>
      </c>
      <c r="AI114" s="76">
        <v>183</v>
      </c>
      <c r="AJ114" s="76">
        <v>0.83818671883071205</v>
      </c>
      <c r="AK114" s="76">
        <v>6</v>
      </c>
      <c r="AL114" s="76">
        <v>202</v>
      </c>
      <c r="AM114" s="76">
        <v>0.85359848951157191</v>
      </c>
      <c r="AN114" s="76">
        <v>6</v>
      </c>
      <c r="AO114" s="76">
        <v>197</v>
      </c>
      <c r="AP114" s="76">
        <v>0.87434299389674264</v>
      </c>
      <c r="AQ114" s="76">
        <v>6</v>
      </c>
      <c r="AR114" s="76">
        <v>198</v>
      </c>
      <c r="AS114" s="76">
        <v>0.8701137698963044</v>
      </c>
      <c r="AT114" s="76">
        <v>6</v>
      </c>
      <c r="AU114" s="76">
        <v>175</v>
      </c>
      <c r="AV114" s="76">
        <v>0.8223809823697199</v>
      </c>
      <c r="AW114" s="76">
        <v>6</v>
      </c>
      <c r="AX114" s="76">
        <v>179</v>
      </c>
      <c r="AY114" s="76">
        <v>0.85613752722992176</v>
      </c>
      <c r="AZ114" s="76">
        <v>6</v>
      </c>
      <c r="BA114" s="76">
        <v>187</v>
      </c>
      <c r="BB114" s="76">
        <v>0.82097362187200607</v>
      </c>
      <c r="BC114" s="76">
        <v>6</v>
      </c>
      <c r="BD114" s="76">
        <v>207</v>
      </c>
      <c r="BE114" s="76">
        <v>0.83381608939051632</v>
      </c>
      <c r="BF114" s="76">
        <v>6</v>
      </c>
      <c r="BG114" s="76">
        <v>206</v>
      </c>
      <c r="BH114" s="76">
        <v>0.83769883065458595</v>
      </c>
      <c r="BI114" s="76">
        <v>6</v>
      </c>
      <c r="BJ114" s="76">
        <v>173</v>
      </c>
      <c r="BK114" s="76">
        <v>0.83150368332170232</v>
      </c>
      <c r="BL114" s="76">
        <v>6</v>
      </c>
      <c r="BM114" s="76">
        <v>179</v>
      </c>
      <c r="BN114" s="76">
        <v>0.85613752722992176</v>
      </c>
      <c r="BO114" s="76">
        <v>6</v>
      </c>
      <c r="BP114" s="76">
        <v>186</v>
      </c>
      <c r="BQ114" s="76">
        <v>0.82521023688003692</v>
      </c>
      <c r="BR114" s="76">
        <v>6</v>
      </c>
      <c r="BS114" s="76">
        <v>200</v>
      </c>
      <c r="BT114" s="76">
        <v>0.86177696241052848</v>
      </c>
      <c r="BU114" s="76">
        <v>6</v>
      </c>
      <c r="BV114" s="76">
        <v>197</v>
      </c>
      <c r="BW114" s="76">
        <v>0.82772286283862972</v>
      </c>
    </row>
    <row r="115" spans="1:75" x14ac:dyDescent="0.15">
      <c r="A115" s="6">
        <v>6.1</v>
      </c>
      <c r="B115" s="7">
        <v>188</v>
      </c>
      <c r="C115" s="76">
        <v>0.81678031014266417</v>
      </c>
      <c r="D115" s="6">
        <v>6.1</v>
      </c>
      <c r="E115" s="7">
        <v>206</v>
      </c>
      <c r="F115" s="76">
        <v>0.79295602670537169</v>
      </c>
      <c r="G115" s="76">
        <v>6.1</v>
      </c>
      <c r="H115" s="76">
        <v>200</v>
      </c>
      <c r="I115" s="76">
        <v>0.81579986992422981</v>
      </c>
      <c r="J115" s="76">
        <v>6.1</v>
      </c>
      <c r="K115" s="76">
        <v>205</v>
      </c>
      <c r="L115" s="76">
        <v>0.79667402733870429</v>
      </c>
      <c r="M115" s="76">
        <v>6.1</v>
      </c>
      <c r="N115" s="76">
        <v>250</v>
      </c>
      <c r="O115" s="76">
        <v>0</v>
      </c>
      <c r="P115" s="76">
        <v>6.1</v>
      </c>
      <c r="Q115" s="76">
        <v>190</v>
      </c>
      <c r="R115" s="76">
        <v>0.80852096629094661</v>
      </c>
      <c r="S115" s="76">
        <v>6.1</v>
      </c>
      <c r="T115" s="76">
        <v>198</v>
      </c>
      <c r="U115" s="76">
        <v>0.77708984327315578</v>
      </c>
      <c r="V115" s="76">
        <v>6.1</v>
      </c>
      <c r="W115" s="76">
        <v>198</v>
      </c>
      <c r="X115" s="76">
        <v>0.82370997433126814</v>
      </c>
      <c r="Y115" s="76">
        <v>6.1</v>
      </c>
      <c r="Z115" s="76">
        <v>205</v>
      </c>
      <c r="AA115" s="76">
        <v>0.79667402733870429</v>
      </c>
      <c r="AB115" s="76">
        <v>6.1</v>
      </c>
      <c r="AC115" s="76">
        <v>211</v>
      </c>
      <c r="AD115" s="76">
        <v>0.81863870078172873</v>
      </c>
      <c r="AE115" s="76">
        <v>6.1</v>
      </c>
      <c r="AF115" s="76">
        <v>193</v>
      </c>
      <c r="AG115" s="76">
        <v>0.79644063059924908</v>
      </c>
      <c r="AH115" s="76">
        <v>6.1</v>
      </c>
      <c r="AI115" s="76">
        <v>199</v>
      </c>
      <c r="AJ115" s="76">
        <v>0.8197358295967262</v>
      </c>
      <c r="AK115" s="76">
        <v>6.1</v>
      </c>
      <c r="AL115" s="76">
        <v>220</v>
      </c>
      <c r="AM115" s="76">
        <v>0.82836005579148608</v>
      </c>
      <c r="AN115" s="76">
        <v>6.1</v>
      </c>
      <c r="AO115" s="76">
        <v>215</v>
      </c>
      <c r="AP115" s="76">
        <v>0.80400425438037282</v>
      </c>
      <c r="AQ115" s="76">
        <v>6.1</v>
      </c>
      <c r="AR115" s="76">
        <v>216</v>
      </c>
      <c r="AS115" s="76">
        <v>0.80042707673535962</v>
      </c>
      <c r="AT115" s="76">
        <v>6.1</v>
      </c>
      <c r="AU115" s="76">
        <v>190</v>
      </c>
      <c r="AV115" s="76">
        <v>0.85694721104882177</v>
      </c>
      <c r="AW115" s="76">
        <v>6.1</v>
      </c>
      <c r="AX115" s="76">
        <v>195</v>
      </c>
      <c r="AY115" s="76">
        <v>0.78858574912319424</v>
      </c>
      <c r="AZ115" s="76">
        <v>6.1</v>
      </c>
      <c r="BA115" s="76">
        <v>203</v>
      </c>
      <c r="BB115" s="76">
        <v>0.84956722475964852</v>
      </c>
      <c r="BC115" s="76">
        <v>6.1</v>
      </c>
      <c r="BD115" s="76">
        <v>225</v>
      </c>
      <c r="BE115" s="76">
        <v>0.81067823088781588</v>
      </c>
      <c r="BF115" s="76">
        <v>6.1</v>
      </c>
      <c r="BG115" s="76">
        <v>224</v>
      </c>
      <c r="BH115" s="76">
        <v>0.81415391485508259</v>
      </c>
      <c r="BI115" s="76">
        <v>6.1</v>
      </c>
      <c r="BJ115" s="76">
        <v>188</v>
      </c>
      <c r="BK115" s="76">
        <v>0.81678031014266417</v>
      </c>
      <c r="BL115" s="76">
        <v>6.1</v>
      </c>
      <c r="BM115" s="76">
        <v>195</v>
      </c>
      <c r="BN115" s="76">
        <v>0.78858574912319424</v>
      </c>
      <c r="BO115" s="76">
        <v>6.1</v>
      </c>
      <c r="BP115" s="76">
        <v>202</v>
      </c>
      <c r="BQ115" s="76">
        <v>0.80804032415295446</v>
      </c>
      <c r="BR115" s="76">
        <v>6.1</v>
      </c>
      <c r="BS115" s="76">
        <v>218</v>
      </c>
      <c r="BT115" s="76">
        <v>0.79336742236521229</v>
      </c>
      <c r="BU115" s="76">
        <v>6.1</v>
      </c>
      <c r="BV115" s="76">
        <v>214</v>
      </c>
      <c r="BW115" s="76">
        <v>0.80761356644458282</v>
      </c>
    </row>
    <row r="116" spans="1:75" x14ac:dyDescent="0.15">
      <c r="A116" s="6">
        <v>6.2</v>
      </c>
      <c r="B116" s="7">
        <v>204</v>
      </c>
      <c r="C116" s="76">
        <v>0.80042707673536673</v>
      </c>
      <c r="D116" s="6">
        <v>6.2</v>
      </c>
      <c r="E116" s="7">
        <v>223</v>
      </c>
      <c r="F116" s="76">
        <v>0.81765954696568177</v>
      </c>
      <c r="G116" s="76">
        <v>6.2</v>
      </c>
      <c r="H116" s="76">
        <v>217</v>
      </c>
      <c r="I116" s="76">
        <v>0.79688160603699498</v>
      </c>
      <c r="J116" s="76">
        <v>6.2</v>
      </c>
      <c r="K116" s="76">
        <v>222</v>
      </c>
      <c r="L116" s="76">
        <v>0.82119551618375763</v>
      </c>
      <c r="M116" s="76">
        <v>6.2</v>
      </c>
      <c r="N116" s="76">
        <v>250</v>
      </c>
      <c r="O116" s="76">
        <v>0</v>
      </c>
      <c r="P116" s="76">
        <v>6.2</v>
      </c>
      <c r="Q116" s="76">
        <v>206</v>
      </c>
      <c r="R116" s="76">
        <v>0.79295602670537868</v>
      </c>
      <c r="S116" s="76">
        <v>6.2</v>
      </c>
      <c r="T116" s="76">
        <v>214</v>
      </c>
      <c r="U116" s="76">
        <v>0.80761356644459004</v>
      </c>
      <c r="V116" s="76">
        <v>6.2</v>
      </c>
      <c r="W116" s="76">
        <v>215</v>
      </c>
      <c r="X116" s="76">
        <v>0.80400425438038003</v>
      </c>
      <c r="Y116" s="76">
        <v>6.2</v>
      </c>
      <c r="Z116" s="76">
        <v>222</v>
      </c>
      <c r="AA116" s="76">
        <v>0.82119551618375763</v>
      </c>
      <c r="AB116" s="76">
        <v>6.2</v>
      </c>
      <c r="AC116" s="76">
        <v>229</v>
      </c>
      <c r="AD116" s="76">
        <v>0.79706742610742798</v>
      </c>
      <c r="AE116" s="76">
        <v>6.2</v>
      </c>
      <c r="AF116" s="76">
        <v>209</v>
      </c>
      <c r="AG116" s="76">
        <v>0.82615765516592288</v>
      </c>
      <c r="AH116" s="76">
        <v>6.2</v>
      </c>
      <c r="AI116" s="76">
        <v>216</v>
      </c>
      <c r="AJ116" s="76">
        <v>0.80042707673536673</v>
      </c>
      <c r="AK116" s="76">
        <v>6.2</v>
      </c>
      <c r="AL116" s="76">
        <v>239</v>
      </c>
      <c r="AM116" s="76">
        <v>0.44997365930735161</v>
      </c>
      <c r="AN116" s="76">
        <v>6.2</v>
      </c>
      <c r="AO116" s="76">
        <v>233</v>
      </c>
      <c r="AP116" s="76">
        <v>0.70422464296546117</v>
      </c>
      <c r="AQ116" s="76">
        <v>6.2</v>
      </c>
      <c r="AR116" s="76">
        <v>234</v>
      </c>
      <c r="AS116" s="76">
        <v>0.66139802504544554</v>
      </c>
      <c r="AT116" s="76">
        <v>6.2</v>
      </c>
      <c r="AU116" s="76">
        <v>207</v>
      </c>
      <c r="AV116" s="76">
        <v>0.78927258589671034</v>
      </c>
      <c r="AW116" s="76">
        <v>6.2</v>
      </c>
      <c r="AX116" s="76">
        <v>211</v>
      </c>
      <c r="AY116" s="76">
        <v>0.81863870078173595</v>
      </c>
      <c r="AZ116" s="76">
        <v>6.2</v>
      </c>
      <c r="BA116" s="76">
        <v>221</v>
      </c>
      <c r="BB116" s="76">
        <v>0.78300850413758838</v>
      </c>
      <c r="BC116" s="76">
        <v>6.2</v>
      </c>
      <c r="BD116" s="76">
        <v>244</v>
      </c>
      <c r="BE116" s="76">
        <v>0.24292692569043958</v>
      </c>
      <c r="BF116" s="76">
        <v>6.2</v>
      </c>
      <c r="BG116" s="76">
        <v>243</v>
      </c>
      <c r="BH116" s="76">
        <v>0.28399474521697876</v>
      </c>
      <c r="BI116" s="76">
        <v>6.2</v>
      </c>
      <c r="BJ116" s="76">
        <v>204</v>
      </c>
      <c r="BK116" s="76">
        <v>0.80042707673536673</v>
      </c>
      <c r="BL116" s="76">
        <v>6.2</v>
      </c>
      <c r="BM116" s="76">
        <v>211</v>
      </c>
      <c r="BN116" s="76">
        <v>0.81863870078173595</v>
      </c>
      <c r="BO116" s="76">
        <v>6.2</v>
      </c>
      <c r="BP116" s="76">
        <v>219</v>
      </c>
      <c r="BQ116" s="76">
        <v>0.83198943854974361</v>
      </c>
      <c r="BR116" s="76">
        <v>6.2</v>
      </c>
      <c r="BS116" s="76">
        <v>236</v>
      </c>
      <c r="BT116" s="76">
        <v>0.57629112836635721</v>
      </c>
      <c r="BU116" s="76">
        <v>6.2</v>
      </c>
      <c r="BV116" s="76">
        <v>232</v>
      </c>
      <c r="BW116" s="76">
        <v>0.74723546195936397</v>
      </c>
    </row>
    <row r="117" spans="1:75" x14ac:dyDescent="0.15">
      <c r="A117" s="6">
        <v>6.3</v>
      </c>
      <c r="B117" s="7">
        <v>221</v>
      </c>
      <c r="C117" s="76">
        <v>0.78300850413758138</v>
      </c>
      <c r="D117" s="6">
        <v>6.3</v>
      </c>
      <c r="E117" s="7">
        <v>242</v>
      </c>
      <c r="F117" s="76">
        <v>0.32523191705559112</v>
      </c>
      <c r="G117" s="76">
        <v>6.3</v>
      </c>
      <c r="H117" s="76">
        <v>235</v>
      </c>
      <c r="I117" s="76">
        <v>0.61875403718086752</v>
      </c>
      <c r="J117" s="76">
        <v>6.3</v>
      </c>
      <c r="K117" s="76">
        <v>241</v>
      </c>
      <c r="L117" s="76">
        <v>0.36663984371591046</v>
      </c>
      <c r="M117" s="76">
        <v>6.3</v>
      </c>
      <c r="N117" s="76">
        <v>250</v>
      </c>
      <c r="O117" s="76">
        <v>0</v>
      </c>
      <c r="P117" s="76">
        <v>6.3</v>
      </c>
      <c r="Q117" s="76">
        <v>223</v>
      </c>
      <c r="R117" s="76">
        <v>0.77625162030535522</v>
      </c>
      <c r="S117" s="76">
        <v>6.3</v>
      </c>
      <c r="T117" s="76">
        <v>232</v>
      </c>
      <c r="U117" s="76">
        <v>0.74723546195935731</v>
      </c>
      <c r="V117" s="76">
        <v>6.3</v>
      </c>
      <c r="W117" s="76">
        <v>233</v>
      </c>
      <c r="X117" s="76">
        <v>0.70422464296545484</v>
      </c>
      <c r="Y117" s="76">
        <v>6.3</v>
      </c>
      <c r="Z117" s="76">
        <v>241</v>
      </c>
      <c r="AA117" s="76">
        <v>0.36663984371591046</v>
      </c>
      <c r="AB117" s="76">
        <v>6.3</v>
      </c>
      <c r="AC117" s="76">
        <v>248</v>
      </c>
      <c r="AD117" s="76">
        <v>8.032171697263514E-2</v>
      </c>
      <c r="AE117" s="76">
        <v>6.3</v>
      </c>
      <c r="AF117" s="76">
        <v>227</v>
      </c>
      <c r="AG117" s="76">
        <v>0.7630819306332407</v>
      </c>
      <c r="AH117" s="76">
        <v>6.3</v>
      </c>
      <c r="AI117" s="76">
        <v>234</v>
      </c>
      <c r="AJ117" s="76">
        <v>0.66139802504543965</v>
      </c>
      <c r="AK117" s="76">
        <v>6.3</v>
      </c>
      <c r="AL117" s="76">
        <v>250</v>
      </c>
      <c r="AM117" s="76">
        <v>0</v>
      </c>
      <c r="AN117" s="76">
        <v>6.3</v>
      </c>
      <c r="AO117" s="76">
        <v>250</v>
      </c>
      <c r="AP117" s="76">
        <v>0</v>
      </c>
      <c r="AQ117" s="76">
        <v>6.3</v>
      </c>
      <c r="AR117" s="76">
        <v>250</v>
      </c>
      <c r="AS117" s="76">
        <v>0</v>
      </c>
      <c r="AT117" s="76">
        <v>6.3</v>
      </c>
      <c r="AU117" s="76">
        <v>224</v>
      </c>
      <c r="AV117" s="76">
        <v>0.77291674301646773</v>
      </c>
      <c r="AW117" s="76">
        <v>6.3</v>
      </c>
      <c r="AX117" s="76">
        <v>229</v>
      </c>
      <c r="AY117" s="76">
        <v>0.75666333073737091</v>
      </c>
      <c r="AZ117" s="76">
        <v>6.3</v>
      </c>
      <c r="BA117" s="76">
        <v>239</v>
      </c>
      <c r="BB117" s="76">
        <v>0.44997365930734762</v>
      </c>
      <c r="BC117" s="76">
        <v>6.3</v>
      </c>
      <c r="BD117" s="76">
        <v>250</v>
      </c>
      <c r="BE117" s="76">
        <v>0</v>
      </c>
      <c r="BF117" s="76">
        <v>6.3</v>
      </c>
      <c r="BG117" s="76">
        <v>250</v>
      </c>
      <c r="BH117" s="76">
        <v>0</v>
      </c>
      <c r="BI117" s="76">
        <v>6.3</v>
      </c>
      <c r="BJ117" s="76">
        <v>221</v>
      </c>
      <c r="BK117" s="76">
        <v>0.78300850413758138</v>
      </c>
      <c r="BL117" s="76">
        <v>6.3</v>
      </c>
      <c r="BM117" s="76">
        <v>229</v>
      </c>
      <c r="BN117" s="76">
        <v>0.75666333073737091</v>
      </c>
      <c r="BO117" s="76">
        <v>6.3</v>
      </c>
      <c r="BP117" s="76">
        <v>238</v>
      </c>
      <c r="BQ117" s="76">
        <v>0.49190244190770743</v>
      </c>
      <c r="BR117" s="76">
        <v>6.3</v>
      </c>
      <c r="BS117" s="76">
        <v>250</v>
      </c>
      <c r="BT117" s="76">
        <v>0</v>
      </c>
      <c r="BU117" s="76">
        <v>6.3</v>
      </c>
      <c r="BV117" s="76">
        <v>250</v>
      </c>
      <c r="BW117" s="76">
        <v>0</v>
      </c>
    </row>
    <row r="118" spans="1:75" x14ac:dyDescent="0.15">
      <c r="A118" s="6">
        <v>6.4</v>
      </c>
      <c r="B118" s="7">
        <v>239</v>
      </c>
      <c r="C118" s="76">
        <v>0.44997365930735161</v>
      </c>
      <c r="D118" s="6">
        <v>6.4</v>
      </c>
      <c r="E118" s="7">
        <v>250</v>
      </c>
      <c r="F118" s="76">
        <v>0</v>
      </c>
      <c r="G118" s="76">
        <v>6.4</v>
      </c>
      <c r="H118" s="76">
        <v>250</v>
      </c>
      <c r="I118" s="76">
        <v>0</v>
      </c>
      <c r="J118" s="76">
        <v>6.4</v>
      </c>
      <c r="K118" s="76">
        <v>250</v>
      </c>
      <c r="L118" s="76">
        <v>0</v>
      </c>
      <c r="M118" s="76">
        <v>6.4</v>
      </c>
      <c r="N118" s="76">
        <v>250</v>
      </c>
      <c r="O118" s="76">
        <v>0</v>
      </c>
      <c r="P118" s="76">
        <v>6.4</v>
      </c>
      <c r="Q118" s="76">
        <v>241</v>
      </c>
      <c r="R118" s="76">
        <v>0.36663984371591368</v>
      </c>
      <c r="S118" s="76">
        <v>6.4</v>
      </c>
      <c r="T118" s="76">
        <v>250</v>
      </c>
      <c r="U118" s="76">
        <v>0</v>
      </c>
      <c r="V118" s="76">
        <v>6.4</v>
      </c>
      <c r="W118" s="76">
        <v>250</v>
      </c>
      <c r="X118" s="76">
        <v>0</v>
      </c>
      <c r="Y118" s="76">
        <v>6.4</v>
      </c>
      <c r="Z118" s="76">
        <v>250</v>
      </c>
      <c r="AA118" s="76">
        <v>0</v>
      </c>
      <c r="AB118" s="76">
        <v>6.4</v>
      </c>
      <c r="AC118" s="76">
        <v>250</v>
      </c>
      <c r="AD118" s="76">
        <v>0</v>
      </c>
      <c r="AE118" s="76">
        <v>6.4</v>
      </c>
      <c r="AF118" s="76">
        <v>245</v>
      </c>
      <c r="AG118" s="76">
        <v>0.20202707317518681</v>
      </c>
      <c r="AH118" s="76">
        <v>6.4</v>
      </c>
      <c r="AI118" s="76">
        <v>250</v>
      </c>
      <c r="AJ118" s="76">
        <v>0</v>
      </c>
      <c r="AK118" s="76">
        <v>6.4</v>
      </c>
      <c r="AL118" s="76">
        <v>250</v>
      </c>
      <c r="AM118" s="76">
        <v>0</v>
      </c>
      <c r="AN118" s="76">
        <v>6.4</v>
      </c>
      <c r="AO118" s="76">
        <v>250</v>
      </c>
      <c r="AP118" s="76">
        <v>0</v>
      </c>
      <c r="AQ118" s="76">
        <v>6.4</v>
      </c>
      <c r="AR118" s="76">
        <v>250</v>
      </c>
      <c r="AS118" s="76">
        <v>0</v>
      </c>
      <c r="AT118" s="76">
        <v>6.4</v>
      </c>
      <c r="AU118" s="76">
        <v>242</v>
      </c>
      <c r="AV118" s="76">
        <v>0.32523191705559401</v>
      </c>
      <c r="AW118" s="76">
        <v>6.4</v>
      </c>
      <c r="AX118" s="76">
        <v>247</v>
      </c>
      <c r="AY118" s="76">
        <v>0.12072581234268619</v>
      </c>
      <c r="AZ118" s="76">
        <v>6.4</v>
      </c>
      <c r="BA118" s="76">
        <v>250</v>
      </c>
      <c r="BB118" s="76">
        <v>0</v>
      </c>
      <c r="BC118" s="76">
        <v>6.4</v>
      </c>
      <c r="BD118" s="76">
        <v>250</v>
      </c>
      <c r="BE118" s="76">
        <v>0</v>
      </c>
      <c r="BF118" s="76">
        <v>6.4</v>
      </c>
      <c r="BG118" s="76">
        <v>250</v>
      </c>
      <c r="BH118" s="76">
        <v>0</v>
      </c>
      <c r="BI118" s="76">
        <v>6.4</v>
      </c>
      <c r="BJ118" s="76">
        <v>239</v>
      </c>
      <c r="BK118" s="76">
        <v>0.44997365930735161</v>
      </c>
      <c r="BL118" s="76">
        <v>6.4</v>
      </c>
      <c r="BM118" s="76">
        <v>247</v>
      </c>
      <c r="BN118" s="76">
        <v>0.12072581234268619</v>
      </c>
      <c r="BO118" s="76">
        <v>6.4</v>
      </c>
      <c r="BP118" s="76">
        <v>250</v>
      </c>
      <c r="BQ118" s="76">
        <v>0</v>
      </c>
      <c r="BR118" s="76">
        <v>6.4</v>
      </c>
      <c r="BS118" s="76">
        <v>250</v>
      </c>
      <c r="BT118" s="76">
        <v>0</v>
      </c>
      <c r="BU118" s="76">
        <v>6.4</v>
      </c>
      <c r="BV118" s="76">
        <v>250</v>
      </c>
      <c r="BW118" s="76">
        <v>0</v>
      </c>
    </row>
    <row r="119" spans="1:75" x14ac:dyDescent="0.15">
      <c r="A119" s="6">
        <v>6.5</v>
      </c>
      <c r="B119" s="7">
        <v>250</v>
      </c>
      <c r="C119" s="76">
        <v>0</v>
      </c>
      <c r="D119" s="6">
        <v>6.5</v>
      </c>
      <c r="E119" s="7">
        <v>250</v>
      </c>
      <c r="F119" s="76">
        <v>0</v>
      </c>
      <c r="G119" s="76">
        <v>6.5</v>
      </c>
      <c r="H119" s="76">
        <v>250</v>
      </c>
      <c r="I119" s="76">
        <v>0</v>
      </c>
      <c r="J119" s="76">
        <v>6.5</v>
      </c>
      <c r="K119" s="76">
        <v>250</v>
      </c>
      <c r="L119" s="76">
        <v>0</v>
      </c>
      <c r="M119" s="76">
        <v>6.5</v>
      </c>
      <c r="N119" s="76">
        <v>250</v>
      </c>
      <c r="O119" s="76">
        <v>0</v>
      </c>
      <c r="P119" s="76">
        <v>6.5</v>
      </c>
      <c r="Q119" s="76">
        <v>250</v>
      </c>
      <c r="R119" s="76">
        <v>0</v>
      </c>
      <c r="S119" s="76">
        <v>6.5</v>
      </c>
      <c r="T119" s="76">
        <v>250</v>
      </c>
      <c r="U119" s="76">
        <v>0</v>
      </c>
      <c r="V119" s="76">
        <v>6.5</v>
      </c>
      <c r="W119" s="76">
        <v>250</v>
      </c>
      <c r="X119" s="76">
        <v>0</v>
      </c>
      <c r="Y119" s="76">
        <v>6.5</v>
      </c>
      <c r="Z119" s="76">
        <v>250</v>
      </c>
      <c r="AA119" s="76">
        <v>0</v>
      </c>
      <c r="AB119" s="76">
        <v>6.5</v>
      </c>
      <c r="AC119" s="76">
        <v>250</v>
      </c>
      <c r="AD119" s="76">
        <v>0</v>
      </c>
      <c r="AE119" s="76">
        <v>6.5</v>
      </c>
      <c r="AF119" s="76">
        <v>250</v>
      </c>
      <c r="AG119" s="76">
        <v>0</v>
      </c>
      <c r="AH119" s="76">
        <v>6.5</v>
      </c>
      <c r="AI119" s="76">
        <v>250</v>
      </c>
      <c r="AJ119" s="76">
        <v>0</v>
      </c>
      <c r="AK119" s="76">
        <v>6.5</v>
      </c>
      <c r="AL119" s="76">
        <v>250</v>
      </c>
      <c r="AM119" s="76">
        <v>0</v>
      </c>
      <c r="AN119" s="76">
        <v>6.5</v>
      </c>
      <c r="AO119" s="76">
        <v>250</v>
      </c>
      <c r="AP119" s="76">
        <v>0</v>
      </c>
      <c r="AQ119" s="76">
        <v>6.5</v>
      </c>
      <c r="AR119" s="76">
        <v>250</v>
      </c>
      <c r="AS119" s="76">
        <v>0</v>
      </c>
      <c r="AT119" s="76">
        <v>6.5</v>
      </c>
      <c r="AU119" s="76">
        <v>250</v>
      </c>
      <c r="AV119" s="76">
        <v>0</v>
      </c>
      <c r="AW119" s="76">
        <v>6.5</v>
      </c>
      <c r="AX119" s="76">
        <v>250</v>
      </c>
      <c r="AY119" s="76">
        <v>0</v>
      </c>
      <c r="AZ119" s="76">
        <v>6.5</v>
      </c>
      <c r="BA119" s="76">
        <v>250</v>
      </c>
      <c r="BB119" s="76">
        <v>0</v>
      </c>
      <c r="BC119" s="76">
        <v>6.5</v>
      </c>
      <c r="BD119" s="76">
        <v>250</v>
      </c>
      <c r="BE119" s="76">
        <v>0</v>
      </c>
      <c r="BF119" s="76">
        <v>6.5</v>
      </c>
      <c r="BG119" s="76">
        <v>250</v>
      </c>
      <c r="BH119" s="76">
        <v>0</v>
      </c>
      <c r="BI119" s="76">
        <v>6.5</v>
      </c>
      <c r="BJ119" s="76">
        <v>250</v>
      </c>
      <c r="BK119" s="76">
        <v>0</v>
      </c>
      <c r="BL119" s="76">
        <v>6.5</v>
      </c>
      <c r="BM119" s="76">
        <v>250</v>
      </c>
      <c r="BN119" s="76">
        <v>0</v>
      </c>
      <c r="BO119" s="76">
        <v>6.5</v>
      </c>
      <c r="BP119" s="76">
        <v>250</v>
      </c>
      <c r="BQ119" s="76">
        <v>0</v>
      </c>
      <c r="BR119" s="76">
        <v>6.5</v>
      </c>
      <c r="BS119" s="76">
        <v>250</v>
      </c>
      <c r="BT119" s="76">
        <v>0</v>
      </c>
      <c r="BU119" s="76">
        <v>6.5</v>
      </c>
      <c r="BV119" s="76">
        <v>250</v>
      </c>
      <c r="BW119" s="76">
        <v>0</v>
      </c>
    </row>
    <row r="120" spans="1:75" x14ac:dyDescent="0.15">
      <c r="A120" s="6">
        <v>6.6</v>
      </c>
      <c r="B120" s="7">
        <v>250</v>
      </c>
      <c r="C120" s="76">
        <v>0</v>
      </c>
      <c r="D120" s="6">
        <v>6.6</v>
      </c>
      <c r="E120" s="7">
        <v>250</v>
      </c>
      <c r="F120" s="76">
        <v>0</v>
      </c>
      <c r="G120" s="76">
        <v>6.6</v>
      </c>
      <c r="H120" s="76">
        <v>250</v>
      </c>
      <c r="I120" s="76">
        <v>0</v>
      </c>
      <c r="J120" s="76">
        <v>6.6</v>
      </c>
      <c r="K120" s="76">
        <v>250</v>
      </c>
      <c r="L120" s="76">
        <v>0</v>
      </c>
      <c r="M120" s="76">
        <v>6.6</v>
      </c>
      <c r="N120" s="76">
        <v>250</v>
      </c>
      <c r="O120" s="76">
        <v>0</v>
      </c>
      <c r="P120" s="76">
        <v>6.6</v>
      </c>
      <c r="Q120" s="76">
        <v>250</v>
      </c>
      <c r="R120" s="76">
        <v>0</v>
      </c>
      <c r="S120" s="76">
        <v>6.6</v>
      </c>
      <c r="T120" s="76">
        <v>250</v>
      </c>
      <c r="U120" s="76">
        <v>0</v>
      </c>
      <c r="V120" s="76">
        <v>6.6</v>
      </c>
      <c r="W120" s="76">
        <v>250</v>
      </c>
      <c r="X120" s="76">
        <v>0</v>
      </c>
      <c r="Y120" s="76">
        <v>6.6</v>
      </c>
      <c r="Z120" s="76">
        <v>250</v>
      </c>
      <c r="AA120" s="76">
        <v>0</v>
      </c>
      <c r="AB120" s="76">
        <v>6.6</v>
      </c>
      <c r="AC120" s="76">
        <v>250</v>
      </c>
      <c r="AD120" s="76">
        <v>0</v>
      </c>
      <c r="AE120" s="76">
        <v>6.6</v>
      </c>
      <c r="AF120" s="76">
        <v>250</v>
      </c>
      <c r="AG120" s="76">
        <v>0</v>
      </c>
      <c r="AH120" s="76">
        <v>6.6</v>
      </c>
      <c r="AI120" s="76">
        <v>250</v>
      </c>
      <c r="AJ120" s="76">
        <v>0</v>
      </c>
      <c r="AK120" s="76">
        <v>6.6</v>
      </c>
      <c r="AL120" s="76">
        <v>250</v>
      </c>
      <c r="AM120" s="76">
        <v>0</v>
      </c>
      <c r="AN120" s="76">
        <v>6.6</v>
      </c>
      <c r="AO120" s="76">
        <v>250</v>
      </c>
      <c r="AP120" s="76">
        <v>0</v>
      </c>
      <c r="AQ120" s="76">
        <v>6.6</v>
      </c>
      <c r="AR120" s="76">
        <v>250</v>
      </c>
      <c r="AS120" s="76">
        <v>0</v>
      </c>
      <c r="AT120" s="76">
        <v>6.6</v>
      </c>
      <c r="AU120" s="76">
        <v>250</v>
      </c>
      <c r="AV120" s="76">
        <v>0</v>
      </c>
      <c r="AW120" s="76">
        <v>6.6</v>
      </c>
      <c r="AX120" s="76">
        <v>250</v>
      </c>
      <c r="AY120" s="76">
        <v>0</v>
      </c>
      <c r="AZ120" s="76">
        <v>6.6</v>
      </c>
      <c r="BA120" s="76">
        <v>250</v>
      </c>
      <c r="BB120" s="76">
        <v>0</v>
      </c>
      <c r="BC120" s="76">
        <v>6.6</v>
      </c>
      <c r="BD120" s="76">
        <v>250</v>
      </c>
      <c r="BE120" s="76">
        <v>0</v>
      </c>
      <c r="BF120" s="76">
        <v>6.6</v>
      </c>
      <c r="BG120" s="76">
        <v>250</v>
      </c>
      <c r="BH120" s="76">
        <v>0</v>
      </c>
      <c r="BI120" s="76">
        <v>6.6</v>
      </c>
      <c r="BJ120" s="76">
        <v>250</v>
      </c>
      <c r="BK120" s="76">
        <v>0</v>
      </c>
      <c r="BL120" s="76">
        <v>6.6</v>
      </c>
      <c r="BM120" s="76">
        <v>250</v>
      </c>
      <c r="BN120" s="76">
        <v>0</v>
      </c>
      <c r="BO120" s="76">
        <v>6.6</v>
      </c>
      <c r="BP120" s="76">
        <v>250</v>
      </c>
      <c r="BQ120" s="76">
        <v>0</v>
      </c>
      <c r="BR120" s="76">
        <v>6.6</v>
      </c>
      <c r="BS120" s="76">
        <v>250</v>
      </c>
      <c r="BT120" s="76">
        <v>0</v>
      </c>
      <c r="BU120" s="76">
        <v>6.6</v>
      </c>
      <c r="BV120" s="76">
        <v>250</v>
      </c>
      <c r="BW120" s="76">
        <v>0</v>
      </c>
    </row>
    <row r="121" spans="1:75" x14ac:dyDescent="0.15">
      <c r="A121" s="6">
        <v>6.7</v>
      </c>
      <c r="B121" s="7">
        <v>250</v>
      </c>
      <c r="C121" s="76">
        <v>0</v>
      </c>
      <c r="D121" s="6">
        <v>6.7</v>
      </c>
      <c r="E121" s="7">
        <v>250</v>
      </c>
      <c r="F121" s="76">
        <v>0</v>
      </c>
      <c r="G121" s="76">
        <v>6.7</v>
      </c>
      <c r="H121" s="76">
        <v>250</v>
      </c>
      <c r="I121" s="76">
        <v>0</v>
      </c>
      <c r="J121" s="76">
        <v>6.7</v>
      </c>
      <c r="K121" s="76">
        <v>250</v>
      </c>
      <c r="L121" s="76">
        <v>0</v>
      </c>
      <c r="M121" s="76">
        <v>6.7</v>
      </c>
      <c r="N121" s="76">
        <v>250</v>
      </c>
      <c r="O121" s="76">
        <v>0</v>
      </c>
      <c r="P121" s="76">
        <v>6.7</v>
      </c>
      <c r="Q121" s="76">
        <v>250</v>
      </c>
      <c r="R121" s="76">
        <v>0</v>
      </c>
      <c r="S121" s="76">
        <v>6.7</v>
      </c>
      <c r="T121" s="76">
        <v>250</v>
      </c>
      <c r="U121" s="76">
        <v>0</v>
      </c>
      <c r="V121" s="76">
        <v>6.7</v>
      </c>
      <c r="W121" s="76">
        <v>250</v>
      </c>
      <c r="X121" s="76">
        <v>0</v>
      </c>
      <c r="Y121" s="76">
        <v>6.7</v>
      </c>
      <c r="Z121" s="76">
        <v>250</v>
      </c>
      <c r="AA121" s="76">
        <v>0</v>
      </c>
      <c r="AB121" s="76">
        <v>6.7</v>
      </c>
      <c r="AC121" s="76">
        <v>250</v>
      </c>
      <c r="AD121" s="76">
        <v>0</v>
      </c>
      <c r="AE121" s="76">
        <v>6.7</v>
      </c>
      <c r="AF121" s="76">
        <v>250</v>
      </c>
      <c r="AG121" s="76">
        <v>0</v>
      </c>
      <c r="AH121" s="76">
        <v>6.7</v>
      </c>
      <c r="AI121" s="76">
        <v>250</v>
      </c>
      <c r="AJ121" s="76">
        <v>0</v>
      </c>
      <c r="AK121" s="76">
        <v>6.7</v>
      </c>
      <c r="AL121" s="76">
        <v>250</v>
      </c>
      <c r="AM121" s="76">
        <v>0</v>
      </c>
      <c r="AN121" s="76">
        <v>6.7</v>
      </c>
      <c r="AO121" s="76">
        <v>250</v>
      </c>
      <c r="AP121" s="76">
        <v>0</v>
      </c>
      <c r="AQ121" s="76">
        <v>6.7</v>
      </c>
      <c r="AR121" s="76">
        <v>250</v>
      </c>
      <c r="AS121" s="76">
        <v>0</v>
      </c>
      <c r="AT121" s="76">
        <v>6.7</v>
      </c>
      <c r="AU121" s="76">
        <v>250</v>
      </c>
      <c r="AV121" s="76">
        <v>0</v>
      </c>
      <c r="AW121" s="76">
        <v>6.7</v>
      </c>
      <c r="AX121" s="76">
        <v>250</v>
      </c>
      <c r="AY121" s="76">
        <v>0</v>
      </c>
      <c r="AZ121" s="76">
        <v>6.7</v>
      </c>
      <c r="BA121" s="76">
        <v>250</v>
      </c>
      <c r="BB121" s="76">
        <v>0</v>
      </c>
      <c r="BC121" s="76">
        <v>6.7</v>
      </c>
      <c r="BD121" s="76">
        <v>250</v>
      </c>
      <c r="BE121" s="76">
        <v>0</v>
      </c>
      <c r="BF121" s="76">
        <v>6.7</v>
      </c>
      <c r="BG121" s="76">
        <v>250</v>
      </c>
      <c r="BH121" s="76">
        <v>0</v>
      </c>
      <c r="BI121" s="76">
        <v>6.7</v>
      </c>
      <c r="BJ121" s="76">
        <v>250</v>
      </c>
      <c r="BK121" s="76">
        <v>0</v>
      </c>
      <c r="BL121" s="76">
        <v>6.7</v>
      </c>
      <c r="BM121" s="76">
        <v>250</v>
      </c>
      <c r="BN121" s="76">
        <v>0</v>
      </c>
      <c r="BO121" s="76">
        <v>6.7</v>
      </c>
      <c r="BP121" s="76">
        <v>250</v>
      </c>
      <c r="BQ121" s="76">
        <v>0</v>
      </c>
      <c r="BR121" s="76">
        <v>6.7</v>
      </c>
      <c r="BS121" s="76">
        <v>250</v>
      </c>
      <c r="BT121" s="76">
        <v>0</v>
      </c>
      <c r="BU121" s="76">
        <v>6.7</v>
      </c>
      <c r="BV121" s="76">
        <v>250</v>
      </c>
      <c r="BW121" s="76">
        <v>0</v>
      </c>
    </row>
    <row r="122" spans="1:75" x14ac:dyDescent="0.15">
      <c r="A122" s="6">
        <v>6.8</v>
      </c>
      <c r="B122" s="7">
        <v>250</v>
      </c>
      <c r="C122" s="76">
        <v>0</v>
      </c>
      <c r="D122" s="6">
        <v>6.8</v>
      </c>
      <c r="E122" s="7">
        <v>250</v>
      </c>
      <c r="F122" s="76">
        <v>0</v>
      </c>
      <c r="G122" s="76">
        <v>6.8</v>
      </c>
      <c r="H122" s="76">
        <v>250</v>
      </c>
      <c r="I122" s="76">
        <v>0</v>
      </c>
      <c r="J122" s="76">
        <v>6.8</v>
      </c>
      <c r="K122" s="76">
        <v>250</v>
      </c>
      <c r="L122" s="76">
        <v>0</v>
      </c>
      <c r="M122" s="76">
        <v>6.8</v>
      </c>
      <c r="N122" s="76">
        <v>250</v>
      </c>
      <c r="O122" s="76">
        <v>0</v>
      </c>
      <c r="P122" s="76">
        <v>6.8</v>
      </c>
      <c r="Q122" s="76">
        <v>250</v>
      </c>
      <c r="R122" s="76">
        <v>0</v>
      </c>
      <c r="S122" s="76">
        <v>6.8</v>
      </c>
      <c r="T122" s="76">
        <v>250</v>
      </c>
      <c r="U122" s="76">
        <v>0</v>
      </c>
      <c r="V122" s="76">
        <v>6.8</v>
      </c>
      <c r="W122" s="76">
        <v>250</v>
      </c>
      <c r="X122" s="76">
        <v>0</v>
      </c>
      <c r="Y122" s="76">
        <v>6.8</v>
      </c>
      <c r="Z122" s="76">
        <v>250</v>
      </c>
      <c r="AA122" s="76">
        <v>0</v>
      </c>
      <c r="AB122" s="76">
        <v>6.8</v>
      </c>
      <c r="AC122" s="76">
        <v>250</v>
      </c>
      <c r="AD122" s="76">
        <v>0</v>
      </c>
      <c r="AE122" s="76">
        <v>6.8</v>
      </c>
      <c r="AF122" s="76">
        <v>250</v>
      </c>
      <c r="AG122" s="76">
        <v>0</v>
      </c>
      <c r="AH122" s="76">
        <v>6.8</v>
      </c>
      <c r="AI122" s="76">
        <v>250</v>
      </c>
      <c r="AJ122" s="76">
        <v>0</v>
      </c>
      <c r="AK122" s="76">
        <v>6.8</v>
      </c>
      <c r="AL122" s="76">
        <v>250</v>
      </c>
      <c r="AM122" s="76">
        <v>0</v>
      </c>
      <c r="AN122" s="76">
        <v>6.8</v>
      </c>
      <c r="AO122" s="76">
        <v>250</v>
      </c>
      <c r="AP122" s="76">
        <v>0</v>
      </c>
      <c r="AQ122" s="76">
        <v>6.8</v>
      </c>
      <c r="AR122" s="76">
        <v>250</v>
      </c>
      <c r="AS122" s="76">
        <v>0</v>
      </c>
      <c r="AT122" s="76">
        <v>6.8</v>
      </c>
      <c r="AU122" s="76">
        <v>250</v>
      </c>
      <c r="AV122" s="76">
        <v>0</v>
      </c>
      <c r="AW122" s="76">
        <v>6.8</v>
      </c>
      <c r="AX122" s="76">
        <v>250</v>
      </c>
      <c r="AY122" s="76">
        <v>0</v>
      </c>
      <c r="AZ122" s="76">
        <v>6.8</v>
      </c>
      <c r="BA122" s="76">
        <v>250</v>
      </c>
      <c r="BB122" s="76">
        <v>0</v>
      </c>
      <c r="BC122" s="76">
        <v>6.8</v>
      </c>
      <c r="BD122" s="76">
        <v>250</v>
      </c>
      <c r="BE122" s="76">
        <v>0</v>
      </c>
      <c r="BF122" s="76">
        <v>6.8</v>
      </c>
      <c r="BG122" s="76">
        <v>250</v>
      </c>
      <c r="BH122" s="76">
        <v>0</v>
      </c>
      <c r="BI122" s="76">
        <v>6.8</v>
      </c>
      <c r="BJ122" s="76">
        <v>250</v>
      </c>
      <c r="BK122" s="76">
        <v>0</v>
      </c>
      <c r="BL122" s="76">
        <v>6.8</v>
      </c>
      <c r="BM122" s="76">
        <v>250</v>
      </c>
      <c r="BN122" s="76">
        <v>0</v>
      </c>
      <c r="BO122" s="76">
        <v>6.8</v>
      </c>
      <c r="BP122" s="76">
        <v>250</v>
      </c>
      <c r="BQ122" s="76">
        <v>0</v>
      </c>
      <c r="BR122" s="76">
        <v>6.8</v>
      </c>
      <c r="BS122" s="76">
        <v>250</v>
      </c>
      <c r="BT122" s="76">
        <v>0</v>
      </c>
      <c r="BU122" s="76">
        <v>6.8</v>
      </c>
      <c r="BV122" s="76">
        <v>250</v>
      </c>
      <c r="BW122" s="76">
        <v>0</v>
      </c>
    </row>
    <row r="123" spans="1:75" x14ac:dyDescent="0.15">
      <c r="A123" s="6">
        <v>6.9</v>
      </c>
      <c r="B123" s="7">
        <v>250</v>
      </c>
      <c r="C123" s="76">
        <v>0</v>
      </c>
      <c r="D123" s="6">
        <v>6.9</v>
      </c>
      <c r="E123" s="7">
        <v>250</v>
      </c>
      <c r="F123" s="76">
        <v>0</v>
      </c>
      <c r="G123" s="76">
        <v>6.9</v>
      </c>
      <c r="H123" s="76">
        <v>250</v>
      </c>
      <c r="I123" s="76">
        <v>0</v>
      </c>
      <c r="J123" s="76">
        <v>6.9</v>
      </c>
      <c r="K123" s="76">
        <v>250</v>
      </c>
      <c r="L123" s="76">
        <v>0</v>
      </c>
      <c r="M123" s="76">
        <v>6.9</v>
      </c>
      <c r="N123" s="76">
        <v>250</v>
      </c>
      <c r="O123" s="76">
        <v>0</v>
      </c>
      <c r="P123" s="76">
        <v>6.9</v>
      </c>
      <c r="Q123" s="76">
        <v>250</v>
      </c>
      <c r="R123" s="76">
        <v>0</v>
      </c>
      <c r="S123" s="76">
        <v>6.9</v>
      </c>
      <c r="T123" s="76">
        <v>250</v>
      </c>
      <c r="U123" s="76">
        <v>0</v>
      </c>
      <c r="V123" s="76">
        <v>6.9</v>
      </c>
      <c r="W123" s="76">
        <v>250</v>
      </c>
      <c r="X123" s="76">
        <v>0</v>
      </c>
      <c r="Y123" s="76">
        <v>6.9</v>
      </c>
      <c r="Z123" s="76">
        <v>250</v>
      </c>
      <c r="AA123" s="76">
        <v>0</v>
      </c>
      <c r="AB123" s="76">
        <v>6.9</v>
      </c>
      <c r="AC123" s="76">
        <v>250</v>
      </c>
      <c r="AD123" s="76">
        <v>0</v>
      </c>
      <c r="AE123" s="76">
        <v>6.9</v>
      </c>
      <c r="AF123" s="76">
        <v>250</v>
      </c>
      <c r="AG123" s="76">
        <v>0</v>
      </c>
      <c r="AH123" s="76">
        <v>6.9</v>
      </c>
      <c r="AI123" s="76">
        <v>250</v>
      </c>
      <c r="AJ123" s="76">
        <v>0</v>
      </c>
      <c r="AK123" s="76">
        <v>6.9</v>
      </c>
      <c r="AL123" s="76">
        <v>250</v>
      </c>
      <c r="AM123" s="76">
        <v>0</v>
      </c>
      <c r="AN123" s="76">
        <v>6.9</v>
      </c>
      <c r="AO123" s="76">
        <v>250</v>
      </c>
      <c r="AP123" s="76">
        <v>0</v>
      </c>
      <c r="AQ123" s="76">
        <v>6.9</v>
      </c>
      <c r="AR123" s="76">
        <v>250</v>
      </c>
      <c r="AS123" s="76">
        <v>0</v>
      </c>
      <c r="AT123" s="76">
        <v>6.9</v>
      </c>
      <c r="AU123" s="76">
        <v>250</v>
      </c>
      <c r="AV123" s="76">
        <v>0</v>
      </c>
      <c r="AW123" s="76">
        <v>6.9</v>
      </c>
      <c r="AX123" s="76">
        <v>250</v>
      </c>
      <c r="AY123" s="76">
        <v>0</v>
      </c>
      <c r="AZ123" s="76">
        <v>6.9</v>
      </c>
      <c r="BA123" s="76">
        <v>250</v>
      </c>
      <c r="BB123" s="76">
        <v>0</v>
      </c>
      <c r="BC123" s="76">
        <v>6.9</v>
      </c>
      <c r="BD123" s="76">
        <v>250</v>
      </c>
      <c r="BE123" s="76">
        <v>0</v>
      </c>
      <c r="BF123" s="76">
        <v>6.9</v>
      </c>
      <c r="BG123" s="76">
        <v>250</v>
      </c>
      <c r="BH123" s="76">
        <v>0</v>
      </c>
      <c r="BI123" s="76">
        <v>6.9</v>
      </c>
      <c r="BJ123" s="76">
        <v>250</v>
      </c>
      <c r="BK123" s="76">
        <v>0</v>
      </c>
      <c r="BL123" s="76">
        <v>6.9</v>
      </c>
      <c r="BM123" s="76">
        <v>250</v>
      </c>
      <c r="BN123" s="76">
        <v>0</v>
      </c>
      <c r="BO123" s="76">
        <v>6.9</v>
      </c>
      <c r="BP123" s="76">
        <v>250</v>
      </c>
      <c r="BQ123" s="76">
        <v>0</v>
      </c>
      <c r="BR123" s="76">
        <v>6.9</v>
      </c>
      <c r="BS123" s="76">
        <v>250</v>
      </c>
      <c r="BT123" s="76">
        <v>0</v>
      </c>
      <c r="BU123" s="76">
        <v>6.9</v>
      </c>
      <c r="BV123" s="76">
        <v>250</v>
      </c>
      <c r="BW123" s="76">
        <v>0</v>
      </c>
    </row>
    <row r="124" spans="1:75" x14ac:dyDescent="0.15">
      <c r="A124" s="6">
        <v>7</v>
      </c>
      <c r="B124" s="7">
        <v>250</v>
      </c>
      <c r="D124" s="6">
        <v>7</v>
      </c>
      <c r="E124" s="7">
        <v>250</v>
      </c>
      <c r="G124" s="76">
        <v>7</v>
      </c>
      <c r="H124" s="76">
        <v>250</v>
      </c>
      <c r="J124" s="76">
        <v>7</v>
      </c>
      <c r="K124" s="76">
        <v>250</v>
      </c>
      <c r="M124" s="76">
        <v>7</v>
      </c>
      <c r="N124" s="76">
        <v>250</v>
      </c>
      <c r="P124" s="76">
        <v>7</v>
      </c>
      <c r="Q124" s="76">
        <v>250</v>
      </c>
      <c r="S124" s="76">
        <v>7</v>
      </c>
      <c r="T124" s="76">
        <v>250</v>
      </c>
      <c r="V124" s="76">
        <v>7</v>
      </c>
      <c r="W124" s="76">
        <v>250</v>
      </c>
      <c r="Y124" s="76">
        <v>7</v>
      </c>
      <c r="Z124" s="76">
        <v>250</v>
      </c>
      <c r="AB124" s="76">
        <v>7</v>
      </c>
      <c r="AC124" s="76">
        <v>250</v>
      </c>
      <c r="AE124" s="76">
        <v>7</v>
      </c>
      <c r="AF124" s="76">
        <v>250</v>
      </c>
      <c r="AH124" s="76">
        <v>7</v>
      </c>
      <c r="AI124" s="76">
        <v>250</v>
      </c>
      <c r="AK124" s="76">
        <v>7</v>
      </c>
      <c r="AL124" s="76">
        <v>250</v>
      </c>
      <c r="AN124" s="76">
        <v>7</v>
      </c>
      <c r="AO124" s="76">
        <v>250</v>
      </c>
      <c r="AQ124" s="76">
        <v>7</v>
      </c>
      <c r="AR124" s="76">
        <v>250</v>
      </c>
      <c r="AT124" s="76">
        <v>7</v>
      </c>
      <c r="AU124" s="76">
        <v>250</v>
      </c>
      <c r="AW124" s="76">
        <v>7</v>
      </c>
      <c r="AX124" s="76">
        <v>250</v>
      </c>
      <c r="AZ124" s="76">
        <v>7</v>
      </c>
      <c r="BA124" s="76">
        <v>250</v>
      </c>
      <c r="BC124" s="76">
        <v>7</v>
      </c>
      <c r="BD124" s="76">
        <v>250</v>
      </c>
      <c r="BF124" s="76">
        <v>7</v>
      </c>
      <c r="BG124" s="76">
        <v>250</v>
      </c>
      <c r="BI124" s="76">
        <v>7</v>
      </c>
      <c r="BJ124" s="76">
        <v>250</v>
      </c>
      <c r="BL124" s="76">
        <v>7</v>
      </c>
      <c r="BM124" s="76">
        <v>250</v>
      </c>
      <c r="BO124" s="76">
        <v>7</v>
      </c>
      <c r="BP124" s="76">
        <v>250</v>
      </c>
      <c r="BR124" s="76">
        <v>7</v>
      </c>
      <c r="BS124" s="76">
        <v>250</v>
      </c>
      <c r="BU124" s="76">
        <v>7</v>
      </c>
      <c r="BV124" s="76">
        <v>250</v>
      </c>
    </row>
    <row r="125" spans="1:75" x14ac:dyDescent="0.15">
      <c r="B125" s="7"/>
      <c r="E125" s="7"/>
    </row>
    <row r="126" spans="1:75" x14ac:dyDescent="0.15">
      <c r="A126" s="6" t="s">
        <v>559</v>
      </c>
      <c r="B126" s="7"/>
      <c r="E126" s="7"/>
    </row>
    <row r="127" spans="1:75" x14ac:dyDescent="0.15">
      <c r="B127" s="7"/>
      <c r="E127" s="7"/>
    </row>
    <row r="128" spans="1:75" x14ac:dyDescent="0.15">
      <c r="B128" s="7"/>
      <c r="E128" s="7"/>
    </row>
    <row r="129" spans="2:6" x14ac:dyDescent="0.15">
      <c r="B129" s="7"/>
      <c r="E129" s="7"/>
    </row>
    <row r="130" spans="2:6" x14ac:dyDescent="0.15">
      <c r="B130" s="7"/>
      <c r="E130" s="7"/>
    </row>
    <row r="131" spans="2:6" x14ac:dyDescent="0.15">
      <c r="B131" s="7"/>
      <c r="E131" s="7"/>
    </row>
    <row r="132" spans="2:6" x14ac:dyDescent="0.15">
      <c r="B132" s="7"/>
      <c r="E132" s="7"/>
    </row>
    <row r="133" spans="2:6" x14ac:dyDescent="0.15">
      <c r="B133" s="7"/>
      <c r="E133" s="7"/>
    </row>
    <row r="134" spans="2:6" x14ac:dyDescent="0.15">
      <c r="B134" s="7"/>
      <c r="E134" s="7"/>
    </row>
    <row r="135" spans="2:6" x14ac:dyDescent="0.15">
      <c r="B135" s="7"/>
      <c r="E135" s="7"/>
    </row>
    <row r="136" spans="2:6" x14ac:dyDescent="0.15">
      <c r="B136" s="7"/>
      <c r="E136" s="7"/>
    </row>
    <row r="137" spans="2:6" x14ac:dyDescent="0.15">
      <c r="B137" s="7"/>
      <c r="E137" s="7"/>
    </row>
    <row r="138" spans="2:6" x14ac:dyDescent="0.15">
      <c r="B138" s="7"/>
      <c r="E138" s="7"/>
    </row>
    <row r="139" spans="2:6" x14ac:dyDescent="0.15">
      <c r="B139" s="7"/>
      <c r="E139" s="7"/>
    </row>
    <row r="140" spans="2:6" x14ac:dyDescent="0.15">
      <c r="B140" s="7"/>
      <c r="E140" s="7"/>
    </row>
    <row r="141" spans="2:6" x14ac:dyDescent="0.15">
      <c r="B141" s="7"/>
      <c r="E141" s="7"/>
    </row>
    <row r="142" spans="2:6" x14ac:dyDescent="0.15">
      <c r="B142" s="7"/>
      <c r="E142" s="7"/>
    </row>
    <row r="143" spans="2:6" x14ac:dyDescent="0.15">
      <c r="B143" s="7"/>
      <c r="C143" s="81"/>
      <c r="E143" s="7"/>
      <c r="F143" s="81"/>
    </row>
    <row r="144" spans="2:6" x14ac:dyDescent="0.15">
      <c r="B144" s="7"/>
      <c r="E144" s="7"/>
    </row>
    <row r="145" spans="2:75" x14ac:dyDescent="0.15">
      <c r="B145" s="7"/>
      <c r="E145" s="7"/>
    </row>
    <row r="146" spans="2:75" x14ac:dyDescent="0.15">
      <c r="B146" s="7"/>
      <c r="E146" s="7"/>
    </row>
    <row r="147" spans="2:75" x14ac:dyDescent="0.15">
      <c r="B147" s="7"/>
      <c r="E147" s="7"/>
    </row>
    <row r="148" spans="2:75" x14ac:dyDescent="0.15">
      <c r="B148" s="7"/>
      <c r="C148" s="81"/>
      <c r="E148" s="7"/>
      <c r="F148" s="81"/>
      <c r="G148" s="81"/>
      <c r="H148" s="81"/>
      <c r="I148" s="81"/>
      <c r="J148" s="81"/>
      <c r="K148" s="81"/>
      <c r="L148" s="81"/>
      <c r="M148" s="81"/>
      <c r="N148" s="81"/>
      <c r="O148" s="81"/>
      <c r="P148" s="81"/>
      <c r="Q148" s="81"/>
      <c r="R148" s="81"/>
      <c r="S148" s="81"/>
      <c r="T148" s="81"/>
      <c r="U148" s="81"/>
      <c r="V148" s="81"/>
      <c r="W148" s="81"/>
      <c r="X148" s="81"/>
      <c r="Y148" s="81"/>
      <c r="Z148" s="81"/>
      <c r="AA148" s="81"/>
      <c r="AB148" s="81"/>
      <c r="AC148" s="81"/>
      <c r="AD148" s="81"/>
      <c r="AE148" s="81"/>
      <c r="AF148" s="81"/>
      <c r="AG148" s="81"/>
      <c r="AH148" s="81"/>
      <c r="AI148" s="81"/>
      <c r="AJ148" s="81"/>
      <c r="AK148" s="81"/>
      <c r="AL148" s="81"/>
      <c r="AM148" s="81"/>
      <c r="AN148" s="81"/>
      <c r="AO148" s="81"/>
      <c r="AP148" s="81"/>
      <c r="AQ148" s="81"/>
      <c r="AR148" s="81"/>
      <c r="AS148" s="81"/>
      <c r="AT148" s="81"/>
      <c r="AU148" s="81"/>
      <c r="AV148" s="81"/>
      <c r="AW148" s="81"/>
      <c r="AX148" s="81"/>
      <c r="AY148" s="81"/>
      <c r="AZ148" s="81"/>
      <c r="BA148" s="81"/>
      <c r="BB148" s="81"/>
      <c r="BC148" s="81"/>
      <c r="BD148" s="81"/>
      <c r="BE148" s="81"/>
      <c r="BF148" s="81"/>
      <c r="BG148" s="81"/>
      <c r="BH148" s="81"/>
      <c r="BI148" s="81"/>
      <c r="BJ148" s="81"/>
      <c r="BK148" s="81"/>
      <c r="BL148" s="81"/>
      <c r="BM148" s="81"/>
      <c r="BN148" s="81"/>
      <c r="BO148" s="81"/>
      <c r="BP148" s="81"/>
      <c r="BQ148" s="81"/>
      <c r="BR148" s="81"/>
      <c r="BS148" s="81"/>
      <c r="BT148" s="81"/>
      <c r="BU148" s="81"/>
      <c r="BV148" s="81"/>
      <c r="BW148" s="81"/>
    </row>
    <row r="149" spans="2:75" x14ac:dyDescent="0.15">
      <c r="B149" s="7"/>
      <c r="E149" s="7"/>
    </row>
    <row r="150" spans="2:75" x14ac:dyDescent="0.15">
      <c r="B150" s="7"/>
      <c r="E150" s="7"/>
    </row>
    <row r="151" spans="2:75" x14ac:dyDescent="0.15">
      <c r="B151" s="7"/>
      <c r="E151" s="7"/>
    </row>
    <row r="152" spans="2:75" x14ac:dyDescent="0.15">
      <c r="B152" s="7"/>
      <c r="E152" s="7"/>
    </row>
    <row r="153" spans="2:75" x14ac:dyDescent="0.15">
      <c r="B153" s="7"/>
      <c r="E153" s="7"/>
    </row>
    <row r="154" spans="2:75" x14ac:dyDescent="0.15">
      <c r="B154" s="7"/>
      <c r="E154" s="7"/>
    </row>
    <row r="155" spans="2:75" x14ac:dyDescent="0.15">
      <c r="B155" s="7"/>
      <c r="E155" s="7"/>
    </row>
    <row r="156" spans="2:75" x14ac:dyDescent="0.15">
      <c r="B156" s="7"/>
      <c r="E156" s="7"/>
    </row>
    <row r="157" spans="2:75" x14ac:dyDescent="0.15">
      <c r="B157" s="7"/>
      <c r="E157" s="7"/>
    </row>
    <row r="158" spans="2:75" x14ac:dyDescent="0.15">
      <c r="B158" s="7"/>
      <c r="E158" s="7"/>
    </row>
    <row r="159" spans="2:75" x14ac:dyDescent="0.15">
      <c r="B159" s="7"/>
      <c r="E159" s="7"/>
    </row>
    <row r="160" spans="2:75" x14ac:dyDescent="0.15">
      <c r="B160" s="7"/>
      <c r="E160" s="7"/>
    </row>
    <row r="161" spans="2:5" x14ac:dyDescent="0.15">
      <c r="B161" s="7"/>
      <c r="E161" s="7"/>
    </row>
    <row r="162" spans="2:5" x14ac:dyDescent="0.15">
      <c r="B162" s="7"/>
      <c r="E162" s="7"/>
    </row>
    <row r="163" spans="2:5" x14ac:dyDescent="0.15">
      <c r="B163" s="7"/>
      <c r="E163" s="7"/>
    </row>
    <row r="164" spans="2:5" x14ac:dyDescent="0.15">
      <c r="B164" s="7"/>
      <c r="E164" s="7"/>
    </row>
    <row r="165" spans="2:5" x14ac:dyDescent="0.15">
      <c r="B165" s="7"/>
      <c r="E165" s="7"/>
    </row>
    <row r="166" spans="2:5" x14ac:dyDescent="0.15">
      <c r="B166" s="7"/>
      <c r="E166" s="7"/>
    </row>
    <row r="167" spans="2:5" x14ac:dyDescent="0.15">
      <c r="B167" s="7"/>
      <c r="E167" s="7"/>
    </row>
    <row r="168" spans="2:5" x14ac:dyDescent="0.15">
      <c r="B168" s="7"/>
      <c r="E168" s="7"/>
    </row>
    <row r="169" spans="2:5" x14ac:dyDescent="0.15">
      <c r="B169" s="7"/>
      <c r="E169" s="7"/>
    </row>
    <row r="170" spans="2:5" x14ac:dyDescent="0.15">
      <c r="B170" s="7"/>
      <c r="E170" s="7"/>
    </row>
    <row r="171" spans="2:5" x14ac:dyDescent="0.15">
      <c r="B171" s="7"/>
      <c r="E171" s="7"/>
    </row>
    <row r="172" spans="2:5" x14ac:dyDescent="0.15">
      <c r="B172" s="7"/>
      <c r="E172" s="7"/>
    </row>
    <row r="173" spans="2:5" x14ac:dyDescent="0.15">
      <c r="B173" s="7"/>
      <c r="E173" s="7"/>
    </row>
    <row r="174" spans="2:5" x14ac:dyDescent="0.15">
      <c r="B174" s="7"/>
      <c r="E174" s="7"/>
    </row>
    <row r="175" spans="2:5" x14ac:dyDescent="0.15">
      <c r="B175" s="7"/>
      <c r="E175" s="7"/>
    </row>
    <row r="176" spans="2:5" x14ac:dyDescent="0.15">
      <c r="B176" s="7"/>
      <c r="E176" s="7"/>
    </row>
    <row r="177" spans="2:5" x14ac:dyDescent="0.15">
      <c r="B177" s="7"/>
      <c r="E177" s="7"/>
    </row>
    <row r="178" spans="2:5" x14ac:dyDescent="0.15">
      <c r="B178" s="7"/>
      <c r="E178" s="7"/>
    </row>
    <row r="179" spans="2:5" x14ac:dyDescent="0.15">
      <c r="B179" s="7"/>
      <c r="E179" s="7"/>
    </row>
    <row r="180" spans="2:5" x14ac:dyDescent="0.15">
      <c r="B180" s="7"/>
      <c r="E180" s="7"/>
    </row>
    <row r="181" spans="2:5" x14ac:dyDescent="0.15">
      <c r="B181" s="7"/>
      <c r="E181" s="7"/>
    </row>
    <row r="182" spans="2:5" x14ac:dyDescent="0.15">
      <c r="B182" s="7"/>
      <c r="E182" s="7"/>
    </row>
    <row r="183" spans="2:5" x14ac:dyDescent="0.15">
      <c r="B183" s="7"/>
      <c r="E183" s="7"/>
    </row>
    <row r="184" spans="2:5" x14ac:dyDescent="0.15">
      <c r="B184" s="7"/>
      <c r="E184" s="7"/>
    </row>
    <row r="185" spans="2:5" x14ac:dyDescent="0.15">
      <c r="B185" s="7"/>
      <c r="E185" s="7"/>
    </row>
    <row r="186" spans="2:5" x14ac:dyDescent="0.15">
      <c r="B186" s="7"/>
      <c r="E186" s="7"/>
    </row>
    <row r="187" spans="2:5" x14ac:dyDescent="0.15">
      <c r="B187" s="7"/>
      <c r="E187" s="7"/>
    </row>
    <row r="188" spans="2:5" x14ac:dyDescent="0.15">
      <c r="B188" s="7"/>
      <c r="E188" s="7"/>
    </row>
    <row r="189" spans="2:5" x14ac:dyDescent="0.15">
      <c r="B189" s="7"/>
      <c r="E189" s="7"/>
    </row>
    <row r="190" spans="2:5" x14ac:dyDescent="0.15">
      <c r="B190" s="7"/>
      <c r="E190" s="7"/>
    </row>
    <row r="191" spans="2:5" x14ac:dyDescent="0.15">
      <c r="B191" s="7"/>
      <c r="E191" s="7"/>
    </row>
    <row r="192" spans="2:5" x14ac:dyDescent="0.15">
      <c r="B192" s="7"/>
      <c r="E192" s="7"/>
    </row>
    <row r="193" spans="2:75" x14ac:dyDescent="0.15">
      <c r="B193" s="7"/>
      <c r="E193" s="7"/>
    </row>
    <row r="194" spans="2:75" x14ac:dyDescent="0.15">
      <c r="B194" s="7"/>
      <c r="E194" s="7"/>
    </row>
    <row r="195" spans="2:75" x14ac:dyDescent="0.15">
      <c r="B195" s="7"/>
      <c r="E195" s="7"/>
    </row>
    <row r="196" spans="2:75" x14ac:dyDescent="0.15">
      <c r="B196" s="7"/>
      <c r="E196" s="7"/>
    </row>
    <row r="197" spans="2:75" x14ac:dyDescent="0.15">
      <c r="B197" s="7"/>
      <c r="E197" s="7"/>
    </row>
    <row r="198" spans="2:75" x14ac:dyDescent="0.15">
      <c r="B198" s="7"/>
      <c r="E198" s="7"/>
    </row>
    <row r="199" spans="2:75" x14ac:dyDescent="0.15">
      <c r="B199" s="7"/>
      <c r="E199" s="7"/>
    </row>
    <row r="200" spans="2:75" x14ac:dyDescent="0.15">
      <c r="B200" s="7"/>
      <c r="E200" s="7"/>
    </row>
    <row r="201" spans="2:75" x14ac:dyDescent="0.15">
      <c r="B201" s="7"/>
      <c r="E201" s="7"/>
    </row>
    <row r="202" spans="2:75" x14ac:dyDescent="0.15">
      <c r="B202" s="7"/>
      <c r="E202" s="7"/>
    </row>
    <row r="203" spans="2:75" x14ac:dyDescent="0.15">
      <c r="B203" s="7"/>
      <c r="E203" s="7"/>
    </row>
    <row r="204" spans="2:75" x14ac:dyDescent="0.15">
      <c r="B204" s="7"/>
      <c r="E204" s="7"/>
    </row>
    <row r="205" spans="2:75" x14ac:dyDescent="0.15">
      <c r="B205" s="7"/>
      <c r="E205" s="7"/>
    </row>
    <row r="207" spans="2:75" x14ac:dyDescent="0.15">
      <c r="B207" s="81"/>
      <c r="C207" s="81"/>
      <c r="F207" s="81"/>
      <c r="G207" s="81"/>
      <c r="H207" s="81"/>
      <c r="I207" s="81"/>
      <c r="J207" s="81"/>
      <c r="K207" s="81"/>
      <c r="L207" s="81"/>
      <c r="M207" s="81"/>
      <c r="N207" s="81"/>
      <c r="O207" s="81"/>
      <c r="P207" s="81"/>
      <c r="Q207" s="81"/>
      <c r="R207" s="81"/>
      <c r="S207" s="81"/>
      <c r="T207" s="81"/>
      <c r="U207" s="81"/>
      <c r="V207" s="81"/>
      <c r="W207" s="81"/>
      <c r="X207" s="81"/>
      <c r="Y207" s="81"/>
      <c r="Z207" s="81"/>
      <c r="AA207" s="81"/>
      <c r="AB207" s="81"/>
      <c r="AC207" s="81"/>
      <c r="AD207" s="81"/>
      <c r="AE207" s="81"/>
      <c r="AF207" s="81"/>
      <c r="AG207" s="81"/>
      <c r="AH207" s="81"/>
      <c r="AI207" s="81"/>
      <c r="AJ207" s="81"/>
      <c r="AK207" s="81"/>
      <c r="AL207" s="81"/>
      <c r="AM207" s="81"/>
      <c r="AN207" s="81"/>
      <c r="AO207" s="81"/>
      <c r="AP207" s="81"/>
      <c r="AQ207" s="81"/>
      <c r="AR207" s="81"/>
      <c r="AS207" s="81"/>
      <c r="AT207" s="81"/>
      <c r="AU207" s="81"/>
      <c r="AV207" s="81"/>
      <c r="AW207" s="81"/>
      <c r="AX207" s="81"/>
      <c r="AY207" s="81"/>
      <c r="AZ207" s="81"/>
      <c r="BA207" s="81"/>
      <c r="BB207" s="81"/>
      <c r="BC207" s="81"/>
      <c r="BD207" s="81"/>
      <c r="BE207" s="81"/>
      <c r="BF207" s="81"/>
      <c r="BG207" s="81"/>
      <c r="BH207" s="81"/>
      <c r="BI207" s="81"/>
      <c r="BJ207" s="81"/>
      <c r="BK207" s="81"/>
      <c r="BL207" s="81"/>
      <c r="BM207" s="81"/>
      <c r="BN207" s="81"/>
      <c r="BO207" s="81"/>
      <c r="BP207" s="81"/>
      <c r="BQ207" s="81"/>
      <c r="BR207" s="81"/>
      <c r="BS207" s="81"/>
      <c r="BT207" s="81"/>
      <c r="BU207" s="81"/>
      <c r="BV207" s="81"/>
      <c r="BW207" s="81"/>
    </row>
    <row r="208" spans="2:75" x14ac:dyDescent="0.15">
      <c r="B208" s="76"/>
    </row>
    <row r="209" spans="2:6" x14ac:dyDescent="0.15">
      <c r="B209" s="76"/>
    </row>
    <row r="210" spans="2:6" x14ac:dyDescent="0.15">
      <c r="B210" s="76"/>
    </row>
    <row r="211" spans="2:6" x14ac:dyDescent="0.15">
      <c r="B211" s="76"/>
    </row>
    <row r="212" spans="2:6" x14ac:dyDescent="0.15">
      <c r="B212" s="76"/>
    </row>
    <row r="213" spans="2:6" x14ac:dyDescent="0.15">
      <c r="B213" s="81"/>
      <c r="C213" s="81"/>
      <c r="F213" s="81"/>
    </row>
    <row r="214" spans="2:6" x14ac:dyDescent="0.15">
      <c r="B214" s="76"/>
    </row>
    <row r="215" spans="2:6" x14ac:dyDescent="0.15">
      <c r="B215" s="76"/>
    </row>
    <row r="216" spans="2:6" x14ac:dyDescent="0.15">
      <c r="B216" s="76"/>
    </row>
    <row r="217" spans="2:6" x14ac:dyDescent="0.15">
      <c r="B217" s="7"/>
    </row>
    <row r="218" spans="2:6" x14ac:dyDescent="0.15">
      <c r="B218" s="7"/>
    </row>
    <row r="219" spans="2:6" x14ac:dyDescent="0.15">
      <c r="B219" s="7"/>
    </row>
    <row r="220" spans="2:6" x14ac:dyDescent="0.15">
      <c r="B220" s="7"/>
    </row>
    <row r="221" spans="2:6" x14ac:dyDescent="0.15">
      <c r="B221" s="7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M5425"/>
  <sheetViews>
    <sheetView workbookViewId="0"/>
  </sheetViews>
  <sheetFormatPr defaultRowHeight="13.5" x14ac:dyDescent="0.15"/>
  <cols>
    <col min="1" max="1" width="5.5546875" style="76" bestFit="1" customWidth="1"/>
    <col min="2" max="2" width="6.5546875" style="76" bestFit="1" customWidth="1"/>
    <col min="3" max="3" width="5.5546875" style="76" bestFit="1" customWidth="1"/>
    <col min="4" max="4" width="9.6640625" style="76" bestFit="1" customWidth="1"/>
    <col min="5" max="16384" width="8.88671875" style="76"/>
  </cols>
  <sheetData>
    <row r="1" spans="1:169" x14ac:dyDescent="0.15">
      <c r="A1" s="6" t="s">
        <v>663</v>
      </c>
      <c r="B1" s="76">
        <v>11</v>
      </c>
      <c r="C1" s="81" t="s">
        <v>561</v>
      </c>
      <c r="D1" s="76">
        <v>1</v>
      </c>
      <c r="E1" s="76">
        <v>2</v>
      </c>
      <c r="F1" s="81">
        <v>3</v>
      </c>
      <c r="G1" s="76">
        <v>4</v>
      </c>
      <c r="H1" s="81">
        <v>5</v>
      </c>
      <c r="I1" s="76">
        <v>6</v>
      </c>
      <c r="J1" s="81">
        <v>7</v>
      </c>
      <c r="K1" s="76">
        <v>8</v>
      </c>
      <c r="L1" s="81">
        <v>9</v>
      </c>
      <c r="M1" s="76">
        <v>10</v>
      </c>
      <c r="N1" s="81" t="s">
        <v>559</v>
      </c>
      <c r="P1" s="81"/>
      <c r="R1" s="81"/>
      <c r="S1" s="81"/>
      <c r="T1" s="81"/>
      <c r="U1" s="81"/>
      <c r="W1" s="81"/>
      <c r="AA1" s="81"/>
      <c r="AD1" s="81"/>
      <c r="AE1" s="81"/>
      <c r="AF1" s="81"/>
      <c r="AG1" s="81"/>
      <c r="AQ1" s="81"/>
      <c r="AR1" s="81"/>
      <c r="AS1" s="81"/>
      <c r="AT1" s="81"/>
      <c r="BE1" s="81"/>
      <c r="BT1" s="81"/>
      <c r="BV1" s="81"/>
      <c r="CG1" s="81"/>
      <c r="CI1" s="81"/>
      <c r="DJ1" s="81"/>
      <c r="DL1" s="81"/>
      <c r="DW1" s="81"/>
      <c r="DY1" s="81"/>
      <c r="EZ1" s="81"/>
      <c r="FB1" s="81"/>
      <c r="FM1" s="81"/>
    </row>
    <row r="2" spans="1:169" x14ac:dyDescent="0.15">
      <c r="A2" s="6"/>
      <c r="B2" s="6"/>
      <c r="C2" s="81" t="s">
        <v>556</v>
      </c>
      <c r="D2" s="76">
        <v>3.57</v>
      </c>
      <c r="E2" s="76">
        <v>3.7090000000000001</v>
      </c>
      <c r="F2" s="76">
        <v>3.8090000000000002</v>
      </c>
      <c r="G2" s="76">
        <v>3.89</v>
      </c>
      <c r="H2" s="81">
        <v>3.9609999999999999</v>
      </c>
      <c r="I2" s="76">
        <v>4.0250000000000004</v>
      </c>
      <c r="J2" s="76">
        <v>4.0830000000000002</v>
      </c>
      <c r="K2" s="76">
        <v>4.1369999999999996</v>
      </c>
      <c r="L2" s="81">
        <v>4.1870000000000003</v>
      </c>
      <c r="M2" s="76">
        <v>4.234</v>
      </c>
      <c r="N2" s="81"/>
      <c r="T2" s="81"/>
      <c r="W2" s="81"/>
      <c r="AF2" s="81"/>
      <c r="AG2" s="81"/>
      <c r="AS2" s="81"/>
      <c r="AT2" s="81"/>
      <c r="BV2" s="81"/>
      <c r="CI2" s="81"/>
      <c r="DL2" s="81"/>
      <c r="DY2" s="81"/>
      <c r="FB2" s="81"/>
    </row>
    <row r="3" spans="1:169" x14ac:dyDescent="0.15">
      <c r="C3" s="81" t="s">
        <v>562</v>
      </c>
      <c r="D3" s="76">
        <v>0.08</v>
      </c>
      <c r="E3" s="76">
        <v>0.16</v>
      </c>
      <c r="F3" s="76">
        <v>0.24</v>
      </c>
      <c r="G3" s="76">
        <v>0.32</v>
      </c>
      <c r="H3" s="81">
        <v>0.4</v>
      </c>
      <c r="I3" s="76">
        <v>0.48</v>
      </c>
      <c r="J3" s="76">
        <v>0.56000000000000005</v>
      </c>
      <c r="K3" s="76">
        <v>0.64</v>
      </c>
      <c r="L3" s="81">
        <v>0.72</v>
      </c>
      <c r="M3" s="76">
        <v>0.8</v>
      </c>
      <c r="N3" s="81"/>
      <c r="T3" s="81"/>
      <c r="W3" s="81"/>
      <c r="AF3" s="81"/>
      <c r="AG3" s="81"/>
      <c r="AS3" s="81"/>
      <c r="AT3" s="81"/>
      <c r="BV3" s="81"/>
      <c r="CI3" s="81"/>
      <c r="DL3" s="81"/>
      <c r="DY3" s="81"/>
      <c r="FB3" s="81"/>
    </row>
    <row r="4" spans="1:169" x14ac:dyDescent="0.15">
      <c r="C4" s="81" t="s">
        <v>557</v>
      </c>
      <c r="D4" s="76">
        <v>2</v>
      </c>
      <c r="E4" s="76">
        <v>4</v>
      </c>
      <c r="F4" s="76">
        <v>6</v>
      </c>
      <c r="G4" s="76">
        <v>8</v>
      </c>
      <c r="H4" s="81">
        <v>10</v>
      </c>
      <c r="I4" s="76">
        <v>12</v>
      </c>
      <c r="J4" s="76">
        <v>14</v>
      </c>
      <c r="K4" s="76">
        <v>16</v>
      </c>
      <c r="L4" s="81">
        <v>18</v>
      </c>
      <c r="M4" s="76">
        <v>20</v>
      </c>
      <c r="N4" s="81"/>
      <c r="T4" s="81"/>
      <c r="W4" s="81"/>
      <c r="AF4" s="81"/>
      <c r="AG4" s="81"/>
      <c r="AS4" s="81"/>
      <c r="AT4" s="81"/>
      <c r="BV4" s="81"/>
      <c r="CI4" s="81"/>
      <c r="DL4" s="81"/>
      <c r="DY4" s="81"/>
      <c r="FB4" s="81"/>
    </row>
    <row r="5" spans="1:169" x14ac:dyDescent="0.15">
      <c r="C5" s="81" t="s">
        <v>560</v>
      </c>
      <c r="D5" s="76">
        <v>8.2650000000000006</v>
      </c>
      <c r="E5" s="76">
        <v>8.4440000000000008</v>
      </c>
      <c r="F5" s="76">
        <v>8.4559999999999995</v>
      </c>
      <c r="G5" s="76">
        <v>8.4450000000000003</v>
      </c>
      <c r="H5" s="81">
        <v>8.4339999999999993</v>
      </c>
      <c r="I5" s="76">
        <v>8.4160000000000004</v>
      </c>
      <c r="J5" s="76">
        <v>8.4</v>
      </c>
      <c r="K5" s="76">
        <v>8.3680000000000003</v>
      </c>
      <c r="L5" s="81">
        <v>8.3439999999999994</v>
      </c>
      <c r="M5" s="76">
        <v>8.33</v>
      </c>
      <c r="N5" s="81"/>
      <c r="T5" s="81"/>
      <c r="W5" s="81"/>
      <c r="AF5" s="81"/>
      <c r="AG5" s="81"/>
      <c r="AS5" s="81"/>
      <c r="AT5" s="81"/>
      <c r="BV5" s="81"/>
      <c r="CI5" s="81"/>
      <c r="DL5" s="81"/>
      <c r="DY5" s="81"/>
      <c r="FB5" s="81"/>
    </row>
    <row r="6" spans="1:169" x14ac:dyDescent="0.15">
      <c r="C6" s="81" t="s">
        <v>563</v>
      </c>
      <c r="D6" s="76">
        <v>7.2723380000000004</v>
      </c>
      <c r="E6" s="76">
        <v>7.1515240000000002</v>
      </c>
      <c r="F6" s="76">
        <v>6.9752910000000004</v>
      </c>
      <c r="G6" s="76">
        <v>6.81968</v>
      </c>
      <c r="H6" s="81">
        <v>6.6890980000000004</v>
      </c>
      <c r="I6" s="76">
        <v>6.5689229999999998</v>
      </c>
      <c r="J6" s="76">
        <v>6.462294</v>
      </c>
      <c r="K6" s="76">
        <v>6.3545100000000003</v>
      </c>
      <c r="L6" s="81">
        <v>6.2605170000000001</v>
      </c>
      <c r="M6" s="76">
        <v>6.1802539999999997</v>
      </c>
      <c r="N6" s="81"/>
      <c r="T6" s="81"/>
      <c r="W6" s="81"/>
      <c r="AF6" s="81"/>
      <c r="AG6" s="81"/>
      <c r="AS6" s="81"/>
      <c r="AT6" s="81"/>
      <c r="BV6" s="81"/>
      <c r="CI6" s="81"/>
      <c r="DL6" s="81"/>
      <c r="DY6" s="81"/>
      <c r="FB6" s="81"/>
    </row>
    <row r="7" spans="1:169" x14ac:dyDescent="0.15">
      <c r="C7" s="81" t="s">
        <v>564</v>
      </c>
      <c r="D7" s="76">
        <v>165.3</v>
      </c>
      <c r="E7" s="76">
        <v>337.8</v>
      </c>
      <c r="F7" s="76">
        <v>507.4</v>
      </c>
      <c r="G7" s="76">
        <v>675.6</v>
      </c>
      <c r="H7" s="81">
        <v>843.5</v>
      </c>
      <c r="I7" s="76">
        <v>1010</v>
      </c>
      <c r="J7" s="76">
        <v>1176</v>
      </c>
      <c r="K7" s="76">
        <v>1339</v>
      </c>
      <c r="L7" s="81">
        <v>1502</v>
      </c>
      <c r="M7" s="76">
        <v>1666</v>
      </c>
      <c r="N7" s="81"/>
      <c r="T7" s="81"/>
      <c r="W7" s="81"/>
      <c r="AF7" s="81"/>
      <c r="AG7" s="81"/>
      <c r="AS7" s="81"/>
      <c r="AT7" s="81"/>
      <c r="BV7" s="81"/>
      <c r="CI7" s="81"/>
      <c r="DL7" s="81"/>
      <c r="DY7" s="81"/>
      <c r="FB7" s="81"/>
    </row>
    <row r="8" spans="1:169" x14ac:dyDescent="0.15">
      <c r="C8" s="81" t="s">
        <v>565</v>
      </c>
      <c r="D8" s="76">
        <v>165.3</v>
      </c>
      <c r="E8" s="76">
        <v>337.8</v>
      </c>
      <c r="F8" s="76">
        <v>507.4</v>
      </c>
      <c r="G8" s="76">
        <v>675.6</v>
      </c>
      <c r="H8" s="81">
        <v>843.5</v>
      </c>
      <c r="I8" s="76">
        <v>1010</v>
      </c>
      <c r="J8" s="76">
        <v>1176</v>
      </c>
      <c r="K8" s="76">
        <v>1339</v>
      </c>
      <c r="L8" s="81">
        <v>1502</v>
      </c>
      <c r="M8" s="76">
        <v>1666</v>
      </c>
      <c r="N8" s="81"/>
      <c r="T8" s="81"/>
      <c r="W8" s="81"/>
      <c r="AF8" s="81"/>
      <c r="AG8" s="81"/>
      <c r="AS8" s="81"/>
      <c r="AT8" s="81"/>
      <c r="BV8" s="81"/>
      <c r="CI8" s="81"/>
      <c r="DL8" s="81"/>
      <c r="DY8" s="81"/>
      <c r="FB8" s="81"/>
    </row>
    <row r="9" spans="1:169" x14ac:dyDescent="0.15">
      <c r="C9" s="81" t="s">
        <v>566</v>
      </c>
      <c r="D9" s="11">
        <v>0.1353</v>
      </c>
      <c r="E9" s="11">
        <v>0.1353</v>
      </c>
      <c r="F9" s="11">
        <v>0.13519999999999999</v>
      </c>
      <c r="G9" s="11">
        <v>0.1351</v>
      </c>
      <c r="H9" s="11">
        <v>0.13519999999999999</v>
      </c>
      <c r="I9" s="11">
        <v>0.1353</v>
      </c>
      <c r="J9" s="76">
        <v>0.1353</v>
      </c>
      <c r="K9" s="76">
        <v>0.13519999999999999</v>
      </c>
      <c r="L9" s="81">
        <v>0.13519999999999999</v>
      </c>
      <c r="M9" s="76">
        <v>0.1353</v>
      </c>
      <c r="N9" s="81"/>
      <c r="T9" s="81"/>
      <c r="W9" s="81"/>
      <c r="AF9" s="81"/>
      <c r="AG9" s="81"/>
      <c r="AS9" s="81"/>
      <c r="AT9" s="81"/>
      <c r="BV9" s="81"/>
      <c r="CI9" s="81"/>
      <c r="DL9" s="81"/>
      <c r="DY9" s="81"/>
      <c r="FB9" s="81"/>
    </row>
    <row r="10" spans="1:169" x14ac:dyDescent="0.15">
      <c r="C10" s="81" t="s">
        <v>567</v>
      </c>
      <c r="D10" s="11">
        <v>0.11849999999999999</v>
      </c>
      <c r="E10" s="11">
        <v>0.1183</v>
      </c>
      <c r="F10" s="11">
        <v>0.1182</v>
      </c>
      <c r="G10" s="11">
        <v>0.1181</v>
      </c>
      <c r="H10" s="11">
        <v>0.1181</v>
      </c>
      <c r="I10" s="11">
        <v>0.1181</v>
      </c>
      <c r="J10" s="76">
        <v>0.1181</v>
      </c>
      <c r="K10" s="76">
        <v>0.1181</v>
      </c>
      <c r="L10" s="81">
        <v>0.11799999999999999</v>
      </c>
      <c r="M10" s="76">
        <v>0.11799999999999999</v>
      </c>
      <c r="N10" s="81"/>
      <c r="T10" s="81"/>
      <c r="W10" s="81"/>
      <c r="AF10" s="81"/>
      <c r="AG10" s="81"/>
      <c r="AS10" s="81"/>
      <c r="AT10" s="81"/>
      <c r="BV10" s="81"/>
      <c r="CI10" s="81"/>
      <c r="DL10" s="81"/>
      <c r="DY10" s="81"/>
      <c r="FB10" s="81"/>
    </row>
    <row r="11" spans="1:169" x14ac:dyDescent="0.15">
      <c r="C11" s="81" t="s">
        <v>568</v>
      </c>
      <c r="D11" s="11">
        <v>9.1257000000000001</v>
      </c>
      <c r="E11" s="11">
        <v>9.3240999999999996</v>
      </c>
      <c r="F11" s="11">
        <v>9.3432999999999993</v>
      </c>
      <c r="G11" s="11">
        <v>9.3444000000000003</v>
      </c>
      <c r="H11" s="11">
        <v>9.3340999999999994</v>
      </c>
      <c r="I11" s="11">
        <v>9.3133999999999997</v>
      </c>
      <c r="J11" s="76">
        <v>9.2965999999999998</v>
      </c>
      <c r="K11" s="76">
        <v>9.2657000000000007</v>
      </c>
      <c r="L11" s="81">
        <v>9.2489000000000008</v>
      </c>
      <c r="M11" s="76">
        <v>9.2135999999999996</v>
      </c>
      <c r="N11" s="81"/>
      <c r="T11" s="81"/>
      <c r="W11" s="81"/>
      <c r="AF11" s="81"/>
      <c r="AG11" s="81"/>
      <c r="AS11" s="81"/>
      <c r="AT11" s="81"/>
      <c r="BV11" s="81"/>
      <c r="CI11" s="81"/>
      <c r="DL11" s="81"/>
      <c r="DY11" s="81"/>
      <c r="FB11" s="81"/>
    </row>
    <row r="12" spans="1:169" x14ac:dyDescent="0.15">
      <c r="C12" s="81" t="s">
        <v>569</v>
      </c>
      <c r="D12" s="11"/>
      <c r="E12" s="11"/>
      <c r="F12" s="11"/>
      <c r="G12" s="11"/>
      <c r="H12" s="11"/>
      <c r="I12" s="11"/>
      <c r="L12" s="81"/>
      <c r="N12" s="81"/>
      <c r="T12" s="81"/>
      <c r="W12" s="81"/>
      <c r="AF12" s="81"/>
      <c r="AG12" s="81"/>
      <c r="AS12" s="81"/>
      <c r="AT12" s="81"/>
      <c r="BV12" s="81"/>
      <c r="CI12" s="81"/>
      <c r="DL12" s="81"/>
      <c r="DY12" s="81"/>
      <c r="FB12" s="81"/>
    </row>
    <row r="13" spans="1:169" x14ac:dyDescent="0.15">
      <c r="C13" s="81" t="s">
        <v>570</v>
      </c>
      <c r="D13" s="11">
        <v>4</v>
      </c>
      <c r="E13" s="11">
        <v>4</v>
      </c>
      <c r="F13" s="11">
        <v>4</v>
      </c>
      <c r="G13" s="11">
        <v>4</v>
      </c>
      <c r="H13" s="11">
        <v>4</v>
      </c>
      <c r="I13" s="11">
        <v>4</v>
      </c>
      <c r="J13" s="76">
        <v>4</v>
      </c>
      <c r="K13" s="76">
        <v>4</v>
      </c>
      <c r="L13" s="81">
        <v>4</v>
      </c>
      <c r="M13" s="76">
        <v>4</v>
      </c>
      <c r="N13" s="81"/>
      <c r="T13" s="81"/>
      <c r="W13" s="81"/>
      <c r="AF13" s="81"/>
      <c r="AG13" s="81"/>
      <c r="AS13" s="81"/>
      <c r="AT13" s="81"/>
      <c r="BV13" s="81"/>
      <c r="CI13" s="81"/>
      <c r="DL13" s="81"/>
      <c r="DY13" s="81"/>
      <c r="FB13" s="81"/>
    </row>
    <row r="14" spans="1:169" x14ac:dyDescent="0.15">
      <c r="A14" s="6"/>
      <c r="C14" s="81" t="s">
        <v>571</v>
      </c>
      <c r="D14" s="11">
        <v>100</v>
      </c>
      <c r="E14" s="11">
        <v>100</v>
      </c>
      <c r="F14" s="11">
        <v>100</v>
      </c>
      <c r="G14" s="11">
        <v>100</v>
      </c>
      <c r="H14" s="11">
        <v>100</v>
      </c>
      <c r="I14" s="11">
        <v>100</v>
      </c>
      <c r="J14" s="76">
        <v>100</v>
      </c>
      <c r="K14" s="76">
        <v>100</v>
      </c>
      <c r="L14" s="81">
        <v>100</v>
      </c>
      <c r="M14" s="76">
        <v>100</v>
      </c>
      <c r="N14" s="81"/>
      <c r="T14" s="81"/>
      <c r="W14" s="81"/>
      <c r="AF14" s="81"/>
      <c r="AG14" s="81"/>
      <c r="AS14" s="81"/>
      <c r="AT14" s="81"/>
      <c r="BV14" s="81"/>
      <c r="CI14" s="81"/>
      <c r="DL14" s="81"/>
      <c r="DY14" s="81"/>
      <c r="FB14" s="81"/>
    </row>
    <row r="15" spans="1:169" x14ac:dyDescent="0.15">
      <c r="A15" s="6"/>
      <c r="B15" s="6"/>
      <c r="C15" s="81" t="s">
        <v>572</v>
      </c>
      <c r="D15" s="11" t="s">
        <v>574</v>
      </c>
      <c r="E15" s="11" t="s">
        <v>574</v>
      </c>
      <c r="F15" s="11" t="s">
        <v>574</v>
      </c>
      <c r="G15" s="11" t="s">
        <v>574</v>
      </c>
      <c r="H15" s="11" t="s">
        <v>574</v>
      </c>
      <c r="I15" s="11" t="s">
        <v>574</v>
      </c>
      <c r="J15" s="81" t="s">
        <v>574</v>
      </c>
      <c r="K15" s="81" t="s">
        <v>574</v>
      </c>
      <c r="L15" s="81" t="s">
        <v>574</v>
      </c>
      <c r="M15" s="81" t="s">
        <v>574</v>
      </c>
      <c r="N15" s="81"/>
      <c r="O15" s="81"/>
      <c r="P15" s="81"/>
      <c r="Q15" s="81"/>
      <c r="R15" s="81"/>
      <c r="S15" s="81"/>
      <c r="T15" s="81"/>
      <c r="U15" s="81"/>
      <c r="V15" s="81"/>
      <c r="W15" s="81"/>
      <c r="X15" s="81"/>
      <c r="Y15" s="81"/>
      <c r="Z15" s="81"/>
      <c r="AA15" s="81"/>
      <c r="AB15" s="81"/>
      <c r="AC15" s="81"/>
      <c r="AD15" s="81"/>
      <c r="AF15" s="81"/>
      <c r="AG15" s="81"/>
      <c r="AH15" s="81"/>
      <c r="AI15" s="81"/>
      <c r="AJ15" s="81"/>
      <c r="AK15" s="81"/>
      <c r="AL15" s="81"/>
      <c r="AM15" s="81"/>
      <c r="AN15" s="81"/>
      <c r="AO15" s="81"/>
      <c r="AP15" s="81"/>
      <c r="AQ15" s="81"/>
      <c r="AS15" s="81"/>
      <c r="AT15" s="81"/>
      <c r="AU15" s="81"/>
      <c r="AV15" s="81"/>
      <c r="AW15" s="81"/>
      <c r="AX15" s="81"/>
      <c r="AY15" s="81"/>
      <c r="AZ15" s="81"/>
      <c r="BA15" s="81"/>
      <c r="BB15" s="81"/>
      <c r="BC15" s="81"/>
      <c r="BD15" s="81"/>
      <c r="BE15" s="81"/>
      <c r="BF15" s="81"/>
      <c r="BG15" s="81"/>
      <c r="BH15" s="81"/>
      <c r="BI15" s="81"/>
      <c r="BJ15" s="81"/>
      <c r="BK15" s="81"/>
      <c r="BL15" s="81"/>
      <c r="BM15" s="81"/>
      <c r="BN15" s="81"/>
      <c r="BO15" s="81"/>
      <c r="BP15" s="81"/>
      <c r="BQ15" s="81"/>
      <c r="BR15" s="81"/>
      <c r="BS15" s="81"/>
      <c r="BV15" s="81"/>
      <c r="BW15" s="81"/>
      <c r="BX15" s="81"/>
      <c r="BY15" s="81"/>
      <c r="BZ15" s="81"/>
      <c r="CA15" s="81"/>
      <c r="CB15" s="81"/>
      <c r="CC15" s="81"/>
      <c r="CD15" s="81"/>
      <c r="CE15" s="81"/>
      <c r="CF15" s="81"/>
      <c r="CI15" s="81"/>
      <c r="CJ15" s="81"/>
      <c r="CK15" s="81"/>
      <c r="CL15" s="81"/>
      <c r="CM15" s="81"/>
      <c r="CN15" s="81"/>
      <c r="CO15" s="81"/>
      <c r="CP15" s="81"/>
      <c r="CQ15" s="81"/>
      <c r="CR15" s="81"/>
      <c r="CS15" s="81"/>
      <c r="CT15" s="81"/>
      <c r="CU15" s="81"/>
      <c r="CV15" s="81"/>
      <c r="CW15" s="81"/>
      <c r="CX15" s="81"/>
      <c r="CY15" s="81"/>
      <c r="CZ15" s="81"/>
      <c r="DA15" s="81"/>
      <c r="DB15" s="81"/>
      <c r="DC15" s="81"/>
      <c r="DD15" s="81"/>
      <c r="DE15" s="81"/>
      <c r="DF15" s="81"/>
      <c r="DG15" s="81"/>
      <c r="DH15" s="81"/>
      <c r="DI15" s="81"/>
      <c r="DL15" s="81"/>
      <c r="DM15" s="81"/>
      <c r="DN15" s="81"/>
      <c r="DO15" s="81"/>
      <c r="DP15" s="81"/>
      <c r="DQ15" s="81"/>
      <c r="DR15" s="81"/>
      <c r="DS15" s="81"/>
      <c r="DT15" s="81"/>
      <c r="DU15" s="81"/>
      <c r="DV15" s="81"/>
      <c r="DY15" s="81"/>
      <c r="DZ15" s="81"/>
      <c r="EA15" s="81"/>
      <c r="EB15" s="81"/>
      <c r="EC15" s="81"/>
      <c r="ED15" s="81"/>
      <c r="EE15" s="81"/>
      <c r="EF15" s="81"/>
      <c r="EG15" s="81"/>
      <c r="EH15" s="81"/>
      <c r="EI15" s="81"/>
      <c r="EJ15" s="81"/>
      <c r="EK15" s="81"/>
      <c r="EL15" s="81"/>
      <c r="EM15" s="81"/>
      <c r="EN15" s="81"/>
      <c r="EO15" s="81"/>
      <c r="EP15" s="81"/>
      <c r="EQ15" s="81"/>
      <c r="ER15" s="81"/>
      <c r="ES15" s="81"/>
      <c r="ET15" s="81"/>
      <c r="EU15" s="81"/>
      <c r="EV15" s="81"/>
      <c r="EW15" s="81"/>
      <c r="EX15" s="81"/>
      <c r="EY15" s="81"/>
      <c r="FB15" s="81"/>
      <c r="FC15" s="81"/>
      <c r="FD15" s="81"/>
      <c r="FE15" s="81"/>
      <c r="FF15" s="81"/>
      <c r="FG15" s="81"/>
      <c r="FH15" s="81"/>
      <c r="FI15" s="81"/>
      <c r="FJ15" s="81"/>
      <c r="FK15" s="81"/>
      <c r="FL15" s="81"/>
    </row>
    <row r="16" spans="1:169" x14ac:dyDescent="0.15">
      <c r="C16" s="81" t="s">
        <v>573</v>
      </c>
      <c r="D16" s="11">
        <v>1</v>
      </c>
      <c r="E16" s="11">
        <v>2</v>
      </c>
      <c r="F16" s="11">
        <v>3</v>
      </c>
      <c r="G16" s="11">
        <v>4</v>
      </c>
      <c r="H16" s="11">
        <v>5</v>
      </c>
      <c r="I16" s="11">
        <v>6</v>
      </c>
      <c r="J16" s="76">
        <v>7</v>
      </c>
      <c r="K16" s="76">
        <v>8</v>
      </c>
      <c r="L16" s="81">
        <v>9</v>
      </c>
      <c r="M16" s="76">
        <v>10</v>
      </c>
      <c r="N16" s="81"/>
      <c r="T16" s="81"/>
      <c r="W16" s="81"/>
      <c r="AF16" s="81"/>
      <c r="AG16" s="81"/>
      <c r="AS16" s="81"/>
      <c r="AT16" s="81"/>
      <c r="BV16" s="81"/>
      <c r="CI16" s="81"/>
      <c r="DL16" s="81"/>
      <c r="DY16" s="81"/>
      <c r="FB16" s="81"/>
    </row>
    <row r="17" spans="1:30" x14ac:dyDescent="0.15">
      <c r="C17" s="76">
        <v>380</v>
      </c>
      <c r="D17" s="11">
        <v>1.7899999999999999E-4</v>
      </c>
      <c r="E17" s="11">
        <v>1.4999999999999999E-4</v>
      </c>
      <c r="F17" s="11">
        <v>3.9800000000000002E-4</v>
      </c>
      <c r="G17" s="11">
        <v>3.8400000000000001E-4</v>
      </c>
      <c r="H17" s="11">
        <v>8.7299999999999997E-4</v>
      </c>
      <c r="I17" s="11">
        <v>7.5000000000000002E-4</v>
      </c>
      <c r="J17" s="76">
        <v>1.42E-3</v>
      </c>
      <c r="K17" s="76">
        <v>1.6900000000000001E-3</v>
      </c>
      <c r="L17" s="76">
        <v>1.3699999999999999E-3</v>
      </c>
      <c r="M17" s="76">
        <v>7.1599999999999995E-4</v>
      </c>
    </row>
    <row r="18" spans="1:30" x14ac:dyDescent="0.15">
      <c r="C18" s="76">
        <v>382</v>
      </c>
      <c r="D18" s="76">
        <v>2.0599999999999999E-4</v>
      </c>
      <c r="E18" s="76">
        <v>1.36E-4</v>
      </c>
      <c r="F18" s="76">
        <v>2.3599999999999999E-4</v>
      </c>
      <c r="G18" s="76">
        <v>5.1199999999999998E-4</v>
      </c>
      <c r="H18" s="76">
        <v>8.3500000000000002E-4</v>
      </c>
      <c r="I18" s="76">
        <v>8.92E-4</v>
      </c>
      <c r="J18" s="76">
        <v>1.0300000000000001E-3</v>
      </c>
      <c r="K18" s="76">
        <v>1.33E-3</v>
      </c>
      <c r="L18" s="76">
        <v>1.41E-3</v>
      </c>
      <c r="M18" s="76">
        <v>6.2200000000000005E-4</v>
      </c>
    </row>
    <row r="19" spans="1:30" x14ac:dyDescent="0.15">
      <c r="C19" s="76">
        <v>384</v>
      </c>
      <c r="D19" s="76">
        <v>1.63E-4</v>
      </c>
      <c r="E19" s="76">
        <v>1.03E-4</v>
      </c>
      <c r="F19" s="76">
        <v>3.21E-4</v>
      </c>
      <c r="G19" s="76">
        <v>3.86E-4</v>
      </c>
      <c r="H19" s="76">
        <v>6.9899999999999997E-4</v>
      </c>
      <c r="I19" s="76">
        <v>8.1899999999999996E-4</v>
      </c>
      <c r="J19" s="76">
        <v>1.1100000000000001E-3</v>
      </c>
      <c r="K19" s="76">
        <v>1.2099999999999999E-3</v>
      </c>
      <c r="L19" s="76">
        <v>1.2199999999999999E-3</v>
      </c>
      <c r="M19" s="76">
        <v>7.4899999999999999E-4</v>
      </c>
    </row>
    <row r="20" spans="1:30" x14ac:dyDescent="0.15">
      <c r="C20" s="76">
        <v>386</v>
      </c>
      <c r="D20" s="76">
        <v>1.4799999999999999E-4</v>
      </c>
      <c r="E20" s="76">
        <v>1.45E-4</v>
      </c>
      <c r="F20" s="76">
        <v>2.5300000000000002E-4</v>
      </c>
      <c r="G20" s="76">
        <v>3.6299999999999999E-4</v>
      </c>
      <c r="H20" s="76">
        <v>7.6099999999999996E-4</v>
      </c>
      <c r="I20" s="76">
        <v>9.1299999999999997E-4</v>
      </c>
      <c r="J20" s="76">
        <v>9.7799999999999992E-4</v>
      </c>
      <c r="K20" s="76">
        <v>1.15E-3</v>
      </c>
      <c r="L20" s="76">
        <v>1.3799999999999999E-3</v>
      </c>
      <c r="M20" s="76">
        <v>4.0700000000000003E-4</v>
      </c>
    </row>
    <row r="21" spans="1:30" x14ac:dyDescent="0.15">
      <c r="C21" s="76">
        <v>388</v>
      </c>
      <c r="D21" s="76">
        <v>9.8999999999999994E-5</v>
      </c>
      <c r="E21" s="76">
        <v>1.16E-4</v>
      </c>
      <c r="F21" s="76">
        <v>2.8200000000000002E-4</v>
      </c>
      <c r="G21" s="76">
        <v>2.9399999999999999E-4</v>
      </c>
      <c r="H21" s="76">
        <v>7.2800000000000002E-4</v>
      </c>
      <c r="I21" s="76">
        <v>6.6600000000000003E-4</v>
      </c>
      <c r="J21" s="76">
        <v>9.990000000000001E-4</v>
      </c>
      <c r="K21" s="76">
        <v>1.0399999999999999E-3</v>
      </c>
      <c r="L21" s="76">
        <v>1.31E-3</v>
      </c>
      <c r="M21" s="76">
        <v>4.9299999999999995E-4</v>
      </c>
    </row>
    <row r="22" spans="1:30" x14ac:dyDescent="0.15">
      <c r="C22" s="76">
        <v>390</v>
      </c>
      <c r="D22" s="76">
        <v>9.4900000000000003E-5</v>
      </c>
      <c r="E22" s="76">
        <v>1.0900000000000001E-4</v>
      </c>
      <c r="F22" s="76">
        <v>2.5799999999999998E-4</v>
      </c>
      <c r="G22" s="76">
        <v>3.1599999999999998E-4</v>
      </c>
      <c r="H22" s="76">
        <v>6.7599999999999995E-4</v>
      </c>
      <c r="I22" s="76">
        <v>7.9199999999999995E-4</v>
      </c>
      <c r="J22" s="76">
        <v>9.4700000000000003E-4</v>
      </c>
      <c r="K22" s="76">
        <v>1.07E-3</v>
      </c>
      <c r="L22" s="76">
        <v>1.24E-3</v>
      </c>
      <c r="M22" s="76">
        <v>6.6100000000000002E-4</v>
      </c>
    </row>
    <row r="23" spans="1:30" x14ac:dyDescent="0.15">
      <c r="C23" s="76">
        <v>392</v>
      </c>
      <c r="D23" s="76">
        <v>1.1E-4</v>
      </c>
      <c r="E23" s="76">
        <v>7.8800000000000004E-5</v>
      </c>
      <c r="F23" s="76">
        <v>2.6899999999999998E-4</v>
      </c>
      <c r="G23" s="76">
        <v>3.68E-4</v>
      </c>
      <c r="H23" s="76">
        <v>6.6200000000000005E-4</v>
      </c>
      <c r="I23" s="76">
        <v>6.9200000000000002E-4</v>
      </c>
      <c r="J23" s="76">
        <v>8.8800000000000001E-4</v>
      </c>
      <c r="K23" s="76">
        <v>1.2600000000000001E-3</v>
      </c>
      <c r="L23" s="76">
        <v>1.2199999999999999E-3</v>
      </c>
      <c r="M23" s="76">
        <v>7.2800000000000002E-4</v>
      </c>
    </row>
    <row r="24" spans="1:30" x14ac:dyDescent="0.15">
      <c r="C24" s="76">
        <v>394</v>
      </c>
      <c r="D24" s="76">
        <v>9.5099999999999994E-5</v>
      </c>
      <c r="E24" s="76">
        <v>1.6100000000000001E-4</v>
      </c>
      <c r="F24" s="76">
        <v>2.6200000000000003E-4</v>
      </c>
      <c r="G24" s="76">
        <v>3.1E-4</v>
      </c>
      <c r="H24" s="76">
        <v>7.8399999999999997E-4</v>
      </c>
      <c r="I24" s="76">
        <v>6.8800000000000003E-4</v>
      </c>
      <c r="J24" s="76">
        <v>8.5599999999999999E-4</v>
      </c>
      <c r="K24" s="76">
        <v>1.0499999999999999E-3</v>
      </c>
      <c r="L24" s="76">
        <v>1.07E-3</v>
      </c>
      <c r="M24" s="76">
        <v>8.5999999999999998E-4</v>
      </c>
    </row>
    <row r="25" spans="1:30" x14ac:dyDescent="0.15">
      <c r="C25" s="76">
        <v>396</v>
      </c>
      <c r="D25" s="76">
        <v>7.7000000000000001E-5</v>
      </c>
      <c r="E25" s="81">
        <v>1.11E-4</v>
      </c>
      <c r="F25" s="81">
        <v>2.3900000000000001E-4</v>
      </c>
      <c r="G25" s="81">
        <v>4.2900000000000002E-4</v>
      </c>
      <c r="H25" s="81">
        <v>6.2299999999999996E-4</v>
      </c>
      <c r="I25" s="81">
        <v>8.7500000000000002E-4</v>
      </c>
      <c r="J25" s="81">
        <v>8.6799999999999996E-4</v>
      </c>
      <c r="K25" s="81">
        <v>9.77E-4</v>
      </c>
      <c r="L25" s="81">
        <v>1.2600000000000001E-3</v>
      </c>
      <c r="M25" s="81">
        <v>6.96E-4</v>
      </c>
      <c r="N25" s="81"/>
      <c r="O25" s="81"/>
      <c r="P25" s="81"/>
      <c r="Q25" s="81"/>
      <c r="R25" s="81"/>
      <c r="S25" s="81"/>
      <c r="T25" s="81"/>
      <c r="U25" s="81"/>
      <c r="V25" s="81"/>
      <c r="W25" s="81"/>
      <c r="X25" s="81"/>
      <c r="Y25" s="81"/>
      <c r="Z25" s="81"/>
      <c r="AA25" s="81"/>
      <c r="AB25" s="81"/>
      <c r="AC25" s="81"/>
      <c r="AD25" s="81"/>
    </row>
    <row r="26" spans="1:30" x14ac:dyDescent="0.15">
      <c r="C26" s="76">
        <v>398</v>
      </c>
      <c r="D26" s="76">
        <v>1.2400000000000001E-4</v>
      </c>
      <c r="E26" s="76">
        <v>1.83E-4</v>
      </c>
      <c r="F26" s="76">
        <v>3.1700000000000001E-4</v>
      </c>
      <c r="G26" s="76">
        <v>3.8699999999999997E-4</v>
      </c>
      <c r="H26" s="76">
        <v>7.0899999999999999E-4</v>
      </c>
      <c r="I26" s="76">
        <v>7.6199999999999998E-4</v>
      </c>
      <c r="J26" s="76">
        <v>7.3700000000000002E-4</v>
      </c>
      <c r="K26" s="76">
        <v>1.1900000000000001E-3</v>
      </c>
      <c r="L26" s="76">
        <v>1.2999999999999999E-3</v>
      </c>
      <c r="M26" s="76">
        <v>7.2599999999999997E-4</v>
      </c>
    </row>
    <row r="27" spans="1:30" x14ac:dyDescent="0.15">
      <c r="A27" s="6"/>
      <c r="C27" s="76">
        <v>400</v>
      </c>
      <c r="D27" s="76">
        <v>9.2200000000000005E-5</v>
      </c>
      <c r="E27" s="76">
        <v>1.5699999999999999E-4</v>
      </c>
      <c r="F27" s="76">
        <v>3.1100000000000002E-4</v>
      </c>
      <c r="G27" s="76">
        <v>3.9899999999999999E-4</v>
      </c>
      <c r="H27" s="76">
        <v>7.2199999999999999E-4</v>
      </c>
      <c r="I27" s="76">
        <v>7.27E-4</v>
      </c>
      <c r="J27" s="76">
        <v>8.1400000000000005E-4</v>
      </c>
      <c r="K27" s="76">
        <v>1.0499999999999999E-3</v>
      </c>
      <c r="L27" s="76">
        <v>1.2999999999999999E-3</v>
      </c>
      <c r="M27" s="76">
        <v>9.2900000000000003E-4</v>
      </c>
    </row>
    <row r="28" spans="1:30" x14ac:dyDescent="0.15">
      <c r="A28" s="6"/>
      <c r="B28" s="6"/>
      <c r="C28" s="76">
        <v>402</v>
      </c>
      <c r="D28" s="76">
        <v>1.27E-4</v>
      </c>
      <c r="E28" s="76">
        <v>1.2999999999999999E-4</v>
      </c>
      <c r="F28" s="76">
        <v>2.99E-4</v>
      </c>
      <c r="G28" s="76">
        <v>5.5800000000000001E-4</v>
      </c>
      <c r="H28" s="76">
        <v>7.1400000000000001E-4</v>
      </c>
      <c r="I28" s="76">
        <v>7.4299999999999995E-4</v>
      </c>
      <c r="J28" s="76">
        <v>9.2599999999999996E-4</v>
      </c>
      <c r="K28" s="76">
        <v>8.9599999999999999E-4</v>
      </c>
      <c r="L28" s="76">
        <v>1.2700000000000001E-3</v>
      </c>
      <c r="M28" s="76">
        <v>1.0300000000000001E-3</v>
      </c>
    </row>
    <row r="29" spans="1:30" x14ac:dyDescent="0.15">
      <c r="C29" s="76">
        <v>404</v>
      </c>
      <c r="D29" s="76">
        <v>1.21E-4</v>
      </c>
      <c r="E29" s="76">
        <v>1.64E-4</v>
      </c>
      <c r="F29" s="76">
        <v>3.8000000000000002E-4</v>
      </c>
      <c r="G29" s="76">
        <v>4.8200000000000001E-4</v>
      </c>
      <c r="H29" s="76">
        <v>7.4899999999999999E-4</v>
      </c>
      <c r="I29" s="76">
        <v>8.8199999999999997E-4</v>
      </c>
      <c r="J29" s="76">
        <v>7.6199999999999998E-4</v>
      </c>
      <c r="K29" s="76">
        <v>9.7300000000000002E-4</v>
      </c>
      <c r="L29" s="76">
        <v>1.5299999999999999E-3</v>
      </c>
      <c r="M29" s="76">
        <v>1.07E-3</v>
      </c>
    </row>
    <row r="30" spans="1:30" x14ac:dyDescent="0.15">
      <c r="C30" s="76">
        <v>406</v>
      </c>
      <c r="D30" s="76">
        <v>1.2899999999999999E-4</v>
      </c>
      <c r="E30" s="76">
        <v>2.3499999999999999E-4</v>
      </c>
      <c r="F30" s="76">
        <v>4.06E-4</v>
      </c>
      <c r="G30" s="76">
        <v>5.2400000000000005E-4</v>
      </c>
      <c r="H30" s="76">
        <v>7.8799999999999996E-4</v>
      </c>
      <c r="I30" s="76">
        <v>9.8200000000000002E-4</v>
      </c>
      <c r="J30" s="76">
        <v>8.5800000000000004E-4</v>
      </c>
      <c r="K30" s="76">
        <v>1.0499999999999999E-3</v>
      </c>
      <c r="L30" s="76">
        <v>1.6000000000000001E-3</v>
      </c>
      <c r="M30" s="76">
        <v>1.2600000000000001E-3</v>
      </c>
    </row>
    <row r="31" spans="1:30" x14ac:dyDescent="0.15">
      <c r="A31" s="11"/>
      <c r="C31" s="76">
        <v>408</v>
      </c>
      <c r="D31" s="76">
        <v>1.3999999999999999E-4</v>
      </c>
      <c r="E31" s="76">
        <v>2.7099999999999997E-4</v>
      </c>
      <c r="F31" s="76">
        <v>4.7100000000000001E-4</v>
      </c>
      <c r="G31" s="76">
        <v>6.1799999999999995E-4</v>
      </c>
      <c r="H31" s="76">
        <v>8.6899999999999998E-4</v>
      </c>
      <c r="I31" s="76">
        <v>9.7099999999999997E-4</v>
      </c>
      <c r="J31" s="76">
        <v>9.7999999999999997E-4</v>
      </c>
      <c r="K31" s="76">
        <v>1.25E-3</v>
      </c>
      <c r="L31" s="76">
        <v>1.5399999999999999E-3</v>
      </c>
      <c r="M31" s="76">
        <v>1.67E-3</v>
      </c>
    </row>
    <row r="32" spans="1:30" x14ac:dyDescent="0.15">
      <c r="C32" s="76">
        <v>410</v>
      </c>
      <c r="D32" s="76">
        <v>1.4200000000000001E-4</v>
      </c>
      <c r="E32" s="76">
        <v>3.3599999999999998E-4</v>
      </c>
      <c r="F32" s="76">
        <v>4.9600000000000002E-4</v>
      </c>
      <c r="G32" s="76">
        <v>7.0799999999999997E-4</v>
      </c>
      <c r="H32" s="76">
        <v>9.5399999999999999E-4</v>
      </c>
      <c r="I32" s="76">
        <v>1.1299999999999999E-3</v>
      </c>
      <c r="J32" s="76">
        <v>1.2099999999999999E-3</v>
      </c>
      <c r="K32" s="76">
        <v>1.2099999999999999E-3</v>
      </c>
      <c r="L32" s="76">
        <v>1.4499999999999999E-3</v>
      </c>
      <c r="M32" s="76">
        <v>1.72E-3</v>
      </c>
    </row>
    <row r="33" spans="1:13" x14ac:dyDescent="0.15">
      <c r="C33" s="76">
        <v>412</v>
      </c>
      <c r="D33" s="76">
        <v>1.84E-4</v>
      </c>
      <c r="E33" s="76">
        <v>3.8200000000000002E-4</v>
      </c>
      <c r="F33" s="76">
        <v>5.7399999999999997E-4</v>
      </c>
      <c r="G33" s="76">
        <v>8.2399999999999997E-4</v>
      </c>
      <c r="H33" s="76">
        <v>1.07E-3</v>
      </c>
      <c r="I33" s="76">
        <v>1.2899999999999999E-3</v>
      </c>
      <c r="J33" s="76">
        <v>1.34E-3</v>
      </c>
      <c r="K33" s="76">
        <v>1.64E-3</v>
      </c>
      <c r="L33" s="76">
        <v>1.81E-3</v>
      </c>
      <c r="M33" s="76">
        <v>1.98E-3</v>
      </c>
    </row>
    <row r="34" spans="1:13" x14ac:dyDescent="0.15">
      <c r="C34" s="76">
        <v>414</v>
      </c>
      <c r="D34" s="76">
        <v>2.1699999999999999E-4</v>
      </c>
      <c r="E34" s="76">
        <v>4.4299999999999998E-4</v>
      </c>
      <c r="F34" s="76">
        <v>6.87E-4</v>
      </c>
      <c r="G34" s="76">
        <v>9.77E-4</v>
      </c>
      <c r="H34" s="76">
        <v>1.1999999999999999E-3</v>
      </c>
      <c r="I34" s="76">
        <v>1.4599999999999999E-3</v>
      </c>
      <c r="J34" s="76">
        <v>1.5900000000000001E-3</v>
      </c>
      <c r="K34" s="76">
        <v>1.83E-3</v>
      </c>
      <c r="L34" s="76">
        <v>2.0699999999999998E-3</v>
      </c>
      <c r="M34" s="76">
        <v>2.2699999999999999E-3</v>
      </c>
    </row>
    <row r="35" spans="1:13" x14ac:dyDescent="0.15">
      <c r="C35" s="76">
        <v>416</v>
      </c>
      <c r="D35" s="76">
        <v>2.5300000000000002E-4</v>
      </c>
      <c r="E35" s="76">
        <v>5.4000000000000001E-4</v>
      </c>
      <c r="F35" s="76">
        <v>8.5899999999999995E-4</v>
      </c>
      <c r="G35" s="76">
        <v>1.0399999999999999E-3</v>
      </c>
      <c r="H35" s="76">
        <v>1.3799999999999999E-3</v>
      </c>
      <c r="I35" s="76">
        <v>1.72E-3</v>
      </c>
      <c r="J35" s="76">
        <v>1.8400000000000001E-3</v>
      </c>
      <c r="K35" s="76">
        <v>2.1299999999999999E-3</v>
      </c>
      <c r="L35" s="76">
        <v>2.3999999999999998E-3</v>
      </c>
      <c r="M35" s="76">
        <v>2.7699999999999999E-3</v>
      </c>
    </row>
    <row r="36" spans="1:13" x14ac:dyDescent="0.15">
      <c r="C36" s="76">
        <v>418</v>
      </c>
      <c r="D36" s="76">
        <v>2.9999999999999997E-4</v>
      </c>
      <c r="E36" s="76">
        <v>6.38E-4</v>
      </c>
      <c r="F36" s="76">
        <v>9.9099999999999991E-4</v>
      </c>
      <c r="G36" s="76">
        <v>1.1999999999999999E-3</v>
      </c>
      <c r="H36" s="76">
        <v>1.64E-3</v>
      </c>
      <c r="I36" s="76">
        <v>2.0100000000000001E-3</v>
      </c>
      <c r="J36" s="76">
        <v>2.2100000000000002E-3</v>
      </c>
      <c r="K36" s="76">
        <v>2.5200000000000001E-3</v>
      </c>
      <c r="L36" s="76">
        <v>2.81E-3</v>
      </c>
      <c r="M36" s="76">
        <v>3.2599999999999999E-3</v>
      </c>
    </row>
    <row r="37" spans="1:13" x14ac:dyDescent="0.15">
      <c r="C37" s="76">
        <v>420</v>
      </c>
      <c r="D37" s="76">
        <v>3.6699999999999998E-4</v>
      </c>
      <c r="E37" s="76">
        <v>7.8200000000000003E-4</v>
      </c>
      <c r="F37" s="76">
        <v>1.1900000000000001E-3</v>
      </c>
      <c r="G37" s="76">
        <v>1.5100000000000001E-3</v>
      </c>
      <c r="H37" s="76">
        <v>1.9499999999999999E-3</v>
      </c>
      <c r="I37" s="76">
        <v>2.3500000000000001E-3</v>
      </c>
      <c r="J37" s="76">
        <v>2.5600000000000002E-3</v>
      </c>
      <c r="K37" s="76">
        <v>2.9399999999999999E-3</v>
      </c>
      <c r="L37" s="76">
        <v>3.3899999999999998E-3</v>
      </c>
      <c r="M37" s="76">
        <v>3.7699999999999999E-3</v>
      </c>
    </row>
    <row r="38" spans="1:13" x14ac:dyDescent="0.15">
      <c r="C38" s="76">
        <v>422</v>
      </c>
      <c r="D38" s="76">
        <v>4.3600000000000003E-4</v>
      </c>
      <c r="E38" s="76">
        <v>9.2500000000000004E-4</v>
      </c>
      <c r="F38" s="76">
        <v>1.4599999999999999E-3</v>
      </c>
      <c r="G38" s="76">
        <v>1.8600000000000001E-3</v>
      </c>
      <c r="H38" s="76">
        <v>2.31E-3</v>
      </c>
      <c r="I38" s="76">
        <v>2.8400000000000001E-3</v>
      </c>
      <c r="J38" s="76">
        <v>3.1700000000000001E-3</v>
      </c>
      <c r="K38" s="76">
        <v>3.62E-3</v>
      </c>
      <c r="L38" s="76">
        <v>4.1599999999999996E-3</v>
      </c>
      <c r="M38" s="76">
        <v>4.8300000000000001E-3</v>
      </c>
    </row>
    <row r="39" spans="1:13" x14ac:dyDescent="0.15">
      <c r="C39" s="76">
        <v>424</v>
      </c>
      <c r="D39" s="76">
        <v>5.5800000000000001E-4</v>
      </c>
      <c r="E39" s="76">
        <v>1.17E-3</v>
      </c>
      <c r="F39" s="76">
        <v>1.81E-3</v>
      </c>
      <c r="G39" s="76">
        <v>2.2699999999999999E-3</v>
      </c>
      <c r="H39" s="76">
        <v>2.97E-3</v>
      </c>
      <c r="I39" s="76">
        <v>3.5899999999999999E-3</v>
      </c>
      <c r="J39" s="76">
        <v>4.0200000000000001E-3</v>
      </c>
      <c r="K39" s="76">
        <v>4.7099999999999998E-3</v>
      </c>
      <c r="L39" s="76">
        <v>5.2500000000000003E-3</v>
      </c>
      <c r="M39" s="76">
        <v>6.0099999999999997E-3</v>
      </c>
    </row>
    <row r="40" spans="1:13" x14ac:dyDescent="0.15">
      <c r="A40" s="6"/>
      <c r="C40" s="76">
        <v>426</v>
      </c>
      <c r="D40" s="76">
        <v>7.1199999999999996E-4</v>
      </c>
      <c r="E40" s="76">
        <v>1.48E-3</v>
      </c>
      <c r="F40" s="76">
        <v>2.2100000000000002E-3</v>
      </c>
      <c r="G40" s="76">
        <v>2.8999999999999998E-3</v>
      </c>
      <c r="H40" s="76">
        <v>3.7299999999999998E-3</v>
      </c>
      <c r="I40" s="76">
        <v>4.4999999999999997E-3</v>
      </c>
      <c r="J40" s="76">
        <v>5.1500000000000001E-3</v>
      </c>
      <c r="K40" s="76">
        <v>5.8700000000000002E-3</v>
      </c>
      <c r="L40" s="76">
        <v>6.6E-3</v>
      </c>
      <c r="M40" s="76">
        <v>7.62E-3</v>
      </c>
    </row>
    <row r="41" spans="1:13" x14ac:dyDescent="0.15">
      <c r="A41" s="6"/>
      <c r="B41" s="6"/>
      <c r="C41" s="76">
        <v>428</v>
      </c>
      <c r="D41" s="76">
        <v>9.2299999999999999E-4</v>
      </c>
      <c r="E41" s="76">
        <v>1.9300000000000001E-3</v>
      </c>
      <c r="F41" s="76">
        <v>2.8999999999999998E-3</v>
      </c>
      <c r="G41" s="76">
        <v>3.82E-3</v>
      </c>
      <c r="H41" s="76">
        <v>4.7800000000000004E-3</v>
      </c>
      <c r="I41" s="76">
        <v>5.8399999999999997E-3</v>
      </c>
      <c r="J41" s="76">
        <v>6.7799999999999996E-3</v>
      </c>
      <c r="K41" s="76">
        <v>7.6899999999999998E-3</v>
      </c>
      <c r="L41" s="76">
        <v>8.6499999999999997E-3</v>
      </c>
      <c r="M41" s="76">
        <v>9.6900000000000007E-3</v>
      </c>
    </row>
    <row r="42" spans="1:13" x14ac:dyDescent="0.15">
      <c r="C42" s="76">
        <v>430</v>
      </c>
      <c r="D42" s="76">
        <v>1.24E-3</v>
      </c>
      <c r="E42" s="76">
        <v>2.5799999999999998E-3</v>
      </c>
      <c r="F42" s="76">
        <v>3.8400000000000001E-3</v>
      </c>
      <c r="G42" s="76">
        <v>5.1399999999999996E-3</v>
      </c>
      <c r="H42" s="76">
        <v>6.4799999999999996E-3</v>
      </c>
      <c r="I42" s="76">
        <v>7.7999999999999996E-3</v>
      </c>
      <c r="J42" s="76">
        <v>9.0799999999999995E-3</v>
      </c>
      <c r="K42" s="76">
        <v>1.03E-2</v>
      </c>
      <c r="L42" s="76">
        <v>1.15E-2</v>
      </c>
      <c r="M42" s="76">
        <v>1.3100000000000001E-2</v>
      </c>
    </row>
    <row r="43" spans="1:13" x14ac:dyDescent="0.15">
      <c r="C43" s="76">
        <v>432</v>
      </c>
      <c r="D43" s="76">
        <v>1.6999999999999999E-3</v>
      </c>
      <c r="E43" s="76">
        <v>3.5300000000000002E-3</v>
      </c>
      <c r="F43" s="76">
        <v>5.3E-3</v>
      </c>
      <c r="G43" s="76">
        <v>7.0400000000000003E-3</v>
      </c>
      <c r="H43" s="76">
        <v>8.8900000000000003E-3</v>
      </c>
      <c r="I43" s="76">
        <v>1.0699999999999999E-2</v>
      </c>
      <c r="J43" s="76">
        <v>1.24E-2</v>
      </c>
      <c r="K43" s="76">
        <v>1.41E-2</v>
      </c>
      <c r="L43" s="76">
        <v>1.5900000000000001E-2</v>
      </c>
      <c r="M43" s="76">
        <v>1.78E-2</v>
      </c>
    </row>
    <row r="44" spans="1:13" x14ac:dyDescent="0.15">
      <c r="C44" s="76">
        <v>434</v>
      </c>
      <c r="D44" s="76">
        <v>2.3600000000000001E-3</v>
      </c>
      <c r="E44" s="76">
        <v>4.8799999999999998E-3</v>
      </c>
      <c r="F44" s="76">
        <v>7.3400000000000002E-3</v>
      </c>
      <c r="G44" s="76">
        <v>9.7800000000000005E-3</v>
      </c>
      <c r="H44" s="76">
        <v>1.23E-2</v>
      </c>
      <c r="I44" s="76">
        <v>1.4800000000000001E-2</v>
      </c>
      <c r="J44" s="76">
        <v>1.72E-2</v>
      </c>
      <c r="K44" s="76">
        <v>1.9599999999999999E-2</v>
      </c>
      <c r="L44" s="76">
        <v>2.2100000000000002E-2</v>
      </c>
      <c r="M44" s="76">
        <v>2.47E-2</v>
      </c>
    </row>
    <row r="45" spans="1:13" x14ac:dyDescent="0.15">
      <c r="C45" s="76">
        <v>436</v>
      </c>
      <c r="D45" s="76">
        <v>3.3899999999999998E-3</v>
      </c>
      <c r="E45" s="76">
        <v>6.9800000000000001E-3</v>
      </c>
      <c r="F45" s="76">
        <v>1.0500000000000001E-2</v>
      </c>
      <c r="G45" s="76">
        <v>1.4E-2</v>
      </c>
      <c r="H45" s="76">
        <v>1.7600000000000001E-2</v>
      </c>
      <c r="I45" s="76">
        <v>2.1000000000000001E-2</v>
      </c>
      <c r="J45" s="76">
        <v>2.46E-2</v>
      </c>
      <c r="K45" s="76">
        <v>2.81E-2</v>
      </c>
      <c r="L45" s="76">
        <v>3.15E-2</v>
      </c>
      <c r="M45" s="76">
        <v>3.5200000000000002E-2</v>
      </c>
    </row>
    <row r="46" spans="1:13" x14ac:dyDescent="0.15">
      <c r="C46" s="76">
        <v>438</v>
      </c>
      <c r="D46" s="76">
        <v>4.8300000000000001E-3</v>
      </c>
      <c r="E46" s="76">
        <v>9.92E-3</v>
      </c>
      <c r="F46" s="76">
        <v>1.4999999999999999E-2</v>
      </c>
      <c r="G46" s="76">
        <v>0.02</v>
      </c>
      <c r="H46" s="76">
        <v>2.5000000000000001E-2</v>
      </c>
      <c r="I46" s="76">
        <v>2.9899999999999999E-2</v>
      </c>
      <c r="J46" s="76">
        <v>3.5000000000000003E-2</v>
      </c>
      <c r="K46" s="76">
        <v>3.9899999999999998E-2</v>
      </c>
      <c r="L46" s="76">
        <v>4.4699999999999997E-2</v>
      </c>
      <c r="M46" s="76">
        <v>0.05</v>
      </c>
    </row>
    <row r="47" spans="1:13" x14ac:dyDescent="0.15">
      <c r="C47" s="76">
        <v>440</v>
      </c>
      <c r="D47" s="76">
        <v>6.6600000000000001E-3</v>
      </c>
      <c r="E47" s="76">
        <v>1.37E-2</v>
      </c>
      <c r="F47" s="76">
        <v>2.06E-2</v>
      </c>
      <c r="G47" s="76">
        <v>2.75E-2</v>
      </c>
      <c r="H47" s="76">
        <v>3.44E-2</v>
      </c>
      <c r="I47" s="76">
        <v>4.1200000000000001E-2</v>
      </c>
      <c r="J47" s="76">
        <v>4.82E-2</v>
      </c>
      <c r="K47" s="76">
        <v>5.4899999999999997E-2</v>
      </c>
      <c r="L47" s="76">
        <v>6.1699999999999998E-2</v>
      </c>
      <c r="M47" s="76">
        <v>6.8599999999999994E-2</v>
      </c>
    </row>
    <row r="48" spans="1:13" x14ac:dyDescent="0.15">
      <c r="C48" s="76">
        <v>442</v>
      </c>
      <c r="D48" s="76">
        <v>8.9200000000000008E-3</v>
      </c>
      <c r="E48" s="76">
        <v>1.83E-2</v>
      </c>
      <c r="F48" s="76">
        <v>2.76E-2</v>
      </c>
      <c r="G48" s="76">
        <v>3.6700000000000003E-2</v>
      </c>
      <c r="H48" s="76">
        <v>4.5900000000000003E-2</v>
      </c>
      <c r="I48" s="76">
        <v>5.5E-2</v>
      </c>
      <c r="J48" s="76">
        <v>6.4299999999999996E-2</v>
      </c>
      <c r="K48" s="76">
        <v>7.3300000000000004E-2</v>
      </c>
      <c r="L48" s="76">
        <v>8.2299999999999998E-2</v>
      </c>
      <c r="M48" s="76">
        <v>9.1499999999999998E-2</v>
      </c>
    </row>
    <row r="49" spans="3:13" x14ac:dyDescent="0.15">
      <c r="C49" s="76">
        <v>444</v>
      </c>
      <c r="D49" s="76">
        <v>1.1599999999999999E-2</v>
      </c>
      <c r="E49" s="76">
        <v>2.3800000000000002E-2</v>
      </c>
      <c r="F49" s="76">
        <v>3.5799999999999998E-2</v>
      </c>
      <c r="G49" s="76">
        <v>4.7699999999999999E-2</v>
      </c>
      <c r="H49" s="76">
        <v>5.9700000000000003E-2</v>
      </c>
      <c r="I49" s="76">
        <v>7.1499999999999994E-2</v>
      </c>
      <c r="J49" s="76">
        <v>8.3500000000000005E-2</v>
      </c>
      <c r="K49" s="76">
        <v>9.5100000000000004E-2</v>
      </c>
      <c r="L49" s="76">
        <v>0.107</v>
      </c>
      <c r="M49" s="76">
        <v>0.11899999999999999</v>
      </c>
    </row>
    <row r="50" spans="3:13" x14ac:dyDescent="0.15">
      <c r="C50" s="76">
        <v>446</v>
      </c>
      <c r="D50" s="76">
        <v>1.46E-2</v>
      </c>
      <c r="E50" s="76">
        <v>0.03</v>
      </c>
      <c r="F50" s="76">
        <v>4.5100000000000001E-2</v>
      </c>
      <c r="G50" s="76">
        <v>6.0100000000000001E-2</v>
      </c>
      <c r="H50" s="76">
        <v>7.5200000000000003E-2</v>
      </c>
      <c r="I50" s="76">
        <v>0.09</v>
      </c>
      <c r="J50" s="76">
        <v>0.105</v>
      </c>
      <c r="K50" s="76">
        <v>0.12</v>
      </c>
      <c r="L50" s="76">
        <v>0.13400000000000001</v>
      </c>
      <c r="M50" s="76">
        <v>0.14899999999999999</v>
      </c>
    </row>
    <row r="51" spans="3:13" x14ac:dyDescent="0.15">
      <c r="C51" s="76">
        <v>448</v>
      </c>
      <c r="D51" s="76">
        <v>1.7899999999999999E-2</v>
      </c>
      <c r="E51" s="76">
        <v>3.6499999999999998E-2</v>
      </c>
      <c r="F51" s="76">
        <v>5.4899999999999997E-2</v>
      </c>
      <c r="G51" s="76">
        <v>7.3300000000000004E-2</v>
      </c>
      <c r="H51" s="76">
        <v>9.1499999999999998E-2</v>
      </c>
      <c r="I51" s="76">
        <v>0.11</v>
      </c>
      <c r="J51" s="76">
        <v>0.128</v>
      </c>
      <c r="K51" s="76">
        <v>0.14599999999999999</v>
      </c>
      <c r="L51" s="76">
        <v>0.16400000000000001</v>
      </c>
      <c r="M51" s="76">
        <v>0.18099999999999999</v>
      </c>
    </row>
    <row r="52" spans="3:13" x14ac:dyDescent="0.15">
      <c r="C52" s="76">
        <v>450</v>
      </c>
      <c r="D52" s="76">
        <v>2.12E-2</v>
      </c>
      <c r="E52" s="76">
        <v>4.3499999999999997E-2</v>
      </c>
      <c r="F52" s="76">
        <v>6.54E-2</v>
      </c>
      <c r="G52" s="76">
        <v>8.72E-2</v>
      </c>
      <c r="H52" s="76">
        <v>0.109</v>
      </c>
      <c r="I52" s="76">
        <v>0.13</v>
      </c>
      <c r="J52" s="76">
        <v>0.152</v>
      </c>
      <c r="K52" s="76">
        <v>0.17299999999999999</v>
      </c>
      <c r="L52" s="76">
        <v>0.19400000000000001</v>
      </c>
      <c r="M52" s="76">
        <v>0.215</v>
      </c>
    </row>
    <row r="53" spans="3:13" x14ac:dyDescent="0.15">
      <c r="C53" s="76">
        <v>452</v>
      </c>
      <c r="D53" s="76">
        <v>2.4199999999999999E-2</v>
      </c>
      <c r="E53" s="76">
        <v>4.9500000000000002E-2</v>
      </c>
      <c r="F53" s="76">
        <v>7.4300000000000005E-2</v>
      </c>
      <c r="G53" s="76">
        <v>9.9099999999999994E-2</v>
      </c>
      <c r="H53" s="76">
        <v>0.124</v>
      </c>
      <c r="I53" s="76">
        <v>0.14799999999999999</v>
      </c>
      <c r="J53" s="76">
        <v>0.17299999999999999</v>
      </c>
      <c r="K53" s="76">
        <v>0.19700000000000001</v>
      </c>
      <c r="L53" s="76">
        <v>0.221</v>
      </c>
      <c r="M53" s="76">
        <v>0.245</v>
      </c>
    </row>
    <row r="54" spans="3:13" x14ac:dyDescent="0.15">
      <c r="C54" s="76">
        <v>454</v>
      </c>
      <c r="D54" s="76">
        <v>2.64E-2</v>
      </c>
      <c r="E54" s="76">
        <v>5.4100000000000002E-2</v>
      </c>
      <c r="F54" s="76">
        <v>8.1299999999999997E-2</v>
      </c>
      <c r="G54" s="76">
        <v>0.108</v>
      </c>
      <c r="H54" s="76">
        <v>0.13500000000000001</v>
      </c>
      <c r="I54" s="76">
        <v>0.16200000000000001</v>
      </c>
      <c r="J54" s="76">
        <v>0.189</v>
      </c>
      <c r="K54" s="76">
        <v>0.215</v>
      </c>
      <c r="L54" s="76">
        <v>0.24099999999999999</v>
      </c>
      <c r="M54" s="76">
        <v>0.26700000000000002</v>
      </c>
    </row>
    <row r="55" spans="3:13" x14ac:dyDescent="0.15">
      <c r="C55" s="76">
        <v>456</v>
      </c>
      <c r="D55" s="76">
        <v>2.8000000000000001E-2</v>
      </c>
      <c r="E55" s="76">
        <v>5.74E-2</v>
      </c>
      <c r="F55" s="76">
        <v>8.6199999999999999E-2</v>
      </c>
      <c r="G55" s="76">
        <v>0.115</v>
      </c>
      <c r="H55" s="76">
        <v>0.14299999999999999</v>
      </c>
      <c r="I55" s="76">
        <v>0.17199999999999999</v>
      </c>
      <c r="J55" s="76">
        <v>0.2</v>
      </c>
      <c r="K55" s="76">
        <v>0.22800000000000001</v>
      </c>
      <c r="L55" s="76">
        <v>0.255</v>
      </c>
      <c r="M55" s="76">
        <v>0.28299999999999997</v>
      </c>
    </row>
    <row r="56" spans="3:13" x14ac:dyDescent="0.15">
      <c r="C56" s="76">
        <v>458</v>
      </c>
      <c r="D56" s="76">
        <v>2.8799999999999999E-2</v>
      </c>
      <c r="E56" s="76">
        <v>5.8999999999999997E-2</v>
      </c>
      <c r="F56" s="76">
        <v>8.8599999999999998E-2</v>
      </c>
      <c r="G56" s="76">
        <v>0.11799999999999999</v>
      </c>
      <c r="H56" s="76">
        <v>0.14699999999999999</v>
      </c>
      <c r="I56" s="76">
        <v>0.17599999999999999</v>
      </c>
      <c r="J56" s="76">
        <v>0.20499999999999999</v>
      </c>
      <c r="K56" s="76">
        <v>0.23400000000000001</v>
      </c>
      <c r="L56" s="76">
        <v>0.26300000000000001</v>
      </c>
      <c r="M56" s="76">
        <v>0.29099999999999998</v>
      </c>
    </row>
    <row r="57" spans="3:13" x14ac:dyDescent="0.15">
      <c r="C57" s="76">
        <v>460</v>
      </c>
      <c r="D57" s="76">
        <v>2.8899999999999999E-2</v>
      </c>
      <c r="E57" s="76">
        <v>5.9200000000000003E-2</v>
      </c>
      <c r="F57" s="76">
        <v>8.8900000000000007E-2</v>
      </c>
      <c r="G57" s="76">
        <v>0.11799999999999999</v>
      </c>
      <c r="H57" s="76">
        <v>0.14799999999999999</v>
      </c>
      <c r="I57" s="76">
        <v>0.17699999999999999</v>
      </c>
      <c r="J57" s="76">
        <v>0.20599999999999999</v>
      </c>
      <c r="K57" s="76">
        <v>0.23499999999999999</v>
      </c>
      <c r="L57" s="76">
        <v>0.26300000000000001</v>
      </c>
      <c r="M57" s="76">
        <v>0.29199999999999998</v>
      </c>
    </row>
    <row r="58" spans="3:13" x14ac:dyDescent="0.15">
      <c r="C58" s="76">
        <v>462</v>
      </c>
      <c r="D58" s="76">
        <v>2.8299999999999999E-2</v>
      </c>
      <c r="E58" s="76">
        <v>5.79E-2</v>
      </c>
      <c r="F58" s="76">
        <v>8.6900000000000005E-2</v>
      </c>
      <c r="G58" s="76">
        <v>0.11600000000000001</v>
      </c>
      <c r="H58" s="76">
        <v>0.14399999999999999</v>
      </c>
      <c r="I58" s="76">
        <v>0.17299999999999999</v>
      </c>
      <c r="J58" s="76">
        <v>0.20200000000000001</v>
      </c>
      <c r="K58" s="76">
        <v>0.23</v>
      </c>
      <c r="L58" s="76">
        <v>0.25700000000000001</v>
      </c>
      <c r="M58" s="76">
        <v>0.28499999999999998</v>
      </c>
    </row>
    <row r="59" spans="3:13" x14ac:dyDescent="0.15">
      <c r="C59" s="76">
        <v>464</v>
      </c>
      <c r="D59" s="76">
        <v>2.69E-2</v>
      </c>
      <c r="E59" s="76">
        <v>5.5100000000000003E-2</v>
      </c>
      <c r="F59" s="76">
        <v>8.2900000000000001E-2</v>
      </c>
      <c r="G59" s="76">
        <v>0.111</v>
      </c>
      <c r="H59" s="76">
        <v>0.13800000000000001</v>
      </c>
      <c r="I59" s="76">
        <v>0.16500000000000001</v>
      </c>
      <c r="J59" s="76">
        <v>0.192</v>
      </c>
      <c r="K59" s="76">
        <v>0.219</v>
      </c>
      <c r="L59" s="76">
        <v>0.245</v>
      </c>
      <c r="M59" s="76">
        <v>0.27200000000000002</v>
      </c>
    </row>
    <row r="60" spans="3:13" x14ac:dyDescent="0.15">
      <c r="C60" s="76">
        <v>466</v>
      </c>
      <c r="D60" s="76">
        <v>2.5499999999999998E-2</v>
      </c>
      <c r="E60" s="76">
        <v>5.21E-2</v>
      </c>
      <c r="F60" s="76">
        <v>7.8399999999999997E-2</v>
      </c>
      <c r="G60" s="76">
        <v>0.105</v>
      </c>
      <c r="H60" s="76">
        <v>0.13</v>
      </c>
      <c r="I60" s="76">
        <v>0.156</v>
      </c>
      <c r="J60" s="76">
        <v>0.182</v>
      </c>
      <c r="K60" s="76">
        <v>0.20699999999999999</v>
      </c>
      <c r="L60" s="76">
        <v>0.23200000000000001</v>
      </c>
      <c r="M60" s="76">
        <v>0.25700000000000001</v>
      </c>
    </row>
    <row r="61" spans="3:13" x14ac:dyDescent="0.15">
      <c r="C61" s="76">
        <v>468</v>
      </c>
      <c r="D61" s="76">
        <v>2.4E-2</v>
      </c>
      <c r="E61" s="76">
        <v>4.9000000000000002E-2</v>
      </c>
      <c r="F61" s="76">
        <v>7.3700000000000002E-2</v>
      </c>
      <c r="G61" s="76">
        <v>9.8199999999999996E-2</v>
      </c>
      <c r="H61" s="76">
        <v>0.122</v>
      </c>
      <c r="I61" s="76">
        <v>0.14699999999999999</v>
      </c>
      <c r="J61" s="76">
        <v>0.17100000000000001</v>
      </c>
      <c r="K61" s="76">
        <v>0.19500000000000001</v>
      </c>
      <c r="L61" s="76">
        <v>0.218</v>
      </c>
      <c r="M61" s="76">
        <v>0.24199999999999999</v>
      </c>
    </row>
    <row r="62" spans="3:13" x14ac:dyDescent="0.15">
      <c r="C62" s="76">
        <v>470</v>
      </c>
      <c r="D62" s="76">
        <v>2.24E-2</v>
      </c>
      <c r="E62" s="76">
        <v>4.58E-2</v>
      </c>
      <c r="F62" s="76">
        <v>6.9000000000000006E-2</v>
      </c>
      <c r="G62" s="76">
        <v>9.1899999999999996E-2</v>
      </c>
      <c r="H62" s="76">
        <v>0.115</v>
      </c>
      <c r="I62" s="76">
        <v>0.13700000000000001</v>
      </c>
      <c r="J62" s="76">
        <v>0.16</v>
      </c>
      <c r="K62" s="76">
        <v>0.182</v>
      </c>
      <c r="L62" s="76">
        <v>0.20399999999999999</v>
      </c>
      <c r="M62" s="76">
        <v>0.22600000000000001</v>
      </c>
    </row>
    <row r="63" spans="3:13" x14ac:dyDescent="0.15">
      <c r="C63" s="76">
        <v>472</v>
      </c>
      <c r="D63" s="76">
        <v>2.1000000000000001E-2</v>
      </c>
      <c r="E63" s="76">
        <v>4.2900000000000001E-2</v>
      </c>
      <c r="F63" s="76">
        <v>6.4600000000000005E-2</v>
      </c>
      <c r="G63" s="76">
        <v>8.6199999999999999E-2</v>
      </c>
      <c r="H63" s="76">
        <v>0.107</v>
      </c>
      <c r="I63" s="76">
        <v>0.129</v>
      </c>
      <c r="J63" s="76">
        <v>0.15</v>
      </c>
      <c r="K63" s="76">
        <v>0.17100000000000001</v>
      </c>
      <c r="L63" s="76">
        <v>0.192</v>
      </c>
      <c r="M63" s="76">
        <v>0.21199999999999999</v>
      </c>
    </row>
    <row r="64" spans="3:13" x14ac:dyDescent="0.15">
      <c r="C64" s="76">
        <v>474</v>
      </c>
      <c r="D64" s="76">
        <v>1.9800000000000002E-2</v>
      </c>
      <c r="E64" s="76">
        <v>4.0500000000000001E-2</v>
      </c>
      <c r="F64" s="76">
        <v>6.0999999999999999E-2</v>
      </c>
      <c r="G64" s="76">
        <v>8.1299999999999997E-2</v>
      </c>
      <c r="H64" s="76">
        <v>0.10100000000000001</v>
      </c>
      <c r="I64" s="76">
        <v>0.121</v>
      </c>
      <c r="J64" s="76">
        <v>0.14099999999999999</v>
      </c>
      <c r="K64" s="76">
        <v>0.161</v>
      </c>
      <c r="L64" s="76">
        <v>0.18099999999999999</v>
      </c>
      <c r="M64" s="76">
        <v>0.2</v>
      </c>
    </row>
    <row r="65" spans="3:13" x14ac:dyDescent="0.15">
      <c r="C65" s="76">
        <v>476</v>
      </c>
      <c r="D65" s="76">
        <v>1.8700000000000001E-2</v>
      </c>
      <c r="E65" s="76">
        <v>3.8100000000000002E-2</v>
      </c>
      <c r="F65" s="76">
        <v>5.74E-2</v>
      </c>
      <c r="G65" s="76">
        <v>7.6499999999999999E-2</v>
      </c>
      <c r="H65" s="76">
        <v>9.5399999999999999E-2</v>
      </c>
      <c r="I65" s="76">
        <v>0.114</v>
      </c>
      <c r="J65" s="76">
        <v>0.13300000000000001</v>
      </c>
      <c r="K65" s="76">
        <v>0.152</v>
      </c>
      <c r="L65" s="76">
        <v>0.17</v>
      </c>
      <c r="M65" s="76">
        <v>0.189</v>
      </c>
    </row>
    <row r="66" spans="3:13" x14ac:dyDescent="0.15">
      <c r="C66" s="76">
        <v>478</v>
      </c>
      <c r="D66" s="76">
        <v>1.7899999999999999E-2</v>
      </c>
      <c r="E66" s="76">
        <v>3.6499999999999998E-2</v>
      </c>
      <c r="F66" s="76">
        <v>5.4899999999999997E-2</v>
      </c>
      <c r="G66" s="76">
        <v>7.3200000000000001E-2</v>
      </c>
      <c r="H66" s="76">
        <v>9.1300000000000006E-2</v>
      </c>
      <c r="I66" s="76">
        <v>0.109</v>
      </c>
      <c r="J66" s="76">
        <v>0.127</v>
      </c>
      <c r="K66" s="76">
        <v>0.14499999999999999</v>
      </c>
      <c r="L66" s="76">
        <v>0.16300000000000001</v>
      </c>
      <c r="M66" s="76">
        <v>0.18</v>
      </c>
    </row>
    <row r="67" spans="3:13" x14ac:dyDescent="0.15">
      <c r="C67" s="76">
        <v>480</v>
      </c>
      <c r="D67" s="76">
        <v>1.72E-2</v>
      </c>
      <c r="E67" s="76">
        <v>3.5099999999999999E-2</v>
      </c>
      <c r="F67" s="76">
        <v>5.28E-2</v>
      </c>
      <c r="G67" s="76">
        <v>7.0400000000000004E-2</v>
      </c>
      <c r="H67" s="76">
        <v>8.77E-2</v>
      </c>
      <c r="I67" s="76">
        <v>0.105</v>
      </c>
      <c r="J67" s="76">
        <v>0.122</v>
      </c>
      <c r="K67" s="76">
        <v>0.13900000000000001</v>
      </c>
      <c r="L67" s="76">
        <v>0.157</v>
      </c>
      <c r="M67" s="76">
        <v>0.17299999999999999</v>
      </c>
    </row>
    <row r="68" spans="3:13" x14ac:dyDescent="0.15">
      <c r="C68" s="76">
        <v>482</v>
      </c>
      <c r="D68" s="76">
        <v>1.66E-2</v>
      </c>
      <c r="E68" s="76">
        <v>3.3799999999999997E-2</v>
      </c>
      <c r="F68" s="76">
        <v>5.0900000000000001E-2</v>
      </c>
      <c r="G68" s="76">
        <v>6.7900000000000002E-2</v>
      </c>
      <c r="H68" s="76">
        <v>8.4599999999999995E-2</v>
      </c>
      <c r="I68" s="76">
        <v>0.10100000000000001</v>
      </c>
      <c r="J68" s="76">
        <v>0.11799999999999999</v>
      </c>
      <c r="K68" s="76">
        <v>0.13500000000000001</v>
      </c>
      <c r="L68" s="76">
        <v>0.151</v>
      </c>
      <c r="M68" s="76">
        <v>0.16700000000000001</v>
      </c>
    </row>
    <row r="69" spans="3:13" x14ac:dyDescent="0.15">
      <c r="C69" s="76">
        <v>484</v>
      </c>
      <c r="D69" s="76">
        <v>1.5900000000000001E-2</v>
      </c>
      <c r="E69" s="76">
        <v>3.2599999999999997E-2</v>
      </c>
      <c r="F69" s="76">
        <v>4.9000000000000002E-2</v>
      </c>
      <c r="G69" s="76">
        <v>6.5299999999999997E-2</v>
      </c>
      <c r="H69" s="76">
        <v>8.1500000000000003E-2</v>
      </c>
      <c r="I69" s="76">
        <v>9.7500000000000003E-2</v>
      </c>
      <c r="J69" s="76">
        <v>0.114</v>
      </c>
      <c r="K69" s="76">
        <v>0.129</v>
      </c>
      <c r="L69" s="76">
        <v>0.14499999999999999</v>
      </c>
      <c r="M69" s="76">
        <v>0.161</v>
      </c>
    </row>
    <row r="70" spans="3:13" x14ac:dyDescent="0.15">
      <c r="C70" s="76">
        <v>486</v>
      </c>
      <c r="D70" s="76">
        <v>1.5299999999999999E-2</v>
      </c>
      <c r="E70" s="76">
        <v>3.1300000000000001E-2</v>
      </c>
      <c r="F70" s="76">
        <v>4.7100000000000003E-2</v>
      </c>
      <c r="G70" s="76">
        <v>6.2799999999999995E-2</v>
      </c>
      <c r="H70" s="76">
        <v>7.8299999999999995E-2</v>
      </c>
      <c r="I70" s="76">
        <v>9.3700000000000006E-2</v>
      </c>
      <c r="J70" s="76">
        <v>0.109</v>
      </c>
      <c r="K70" s="76">
        <v>0.124</v>
      </c>
      <c r="L70" s="76">
        <v>0.14000000000000001</v>
      </c>
      <c r="M70" s="76">
        <v>0.154</v>
      </c>
    </row>
    <row r="71" spans="3:13" x14ac:dyDescent="0.15">
      <c r="C71" s="76">
        <v>488</v>
      </c>
      <c r="D71" s="76">
        <v>1.4500000000000001E-2</v>
      </c>
      <c r="E71" s="76">
        <v>2.9600000000000001E-2</v>
      </c>
      <c r="F71" s="76">
        <v>4.4600000000000001E-2</v>
      </c>
      <c r="G71" s="76">
        <v>5.9400000000000001E-2</v>
      </c>
      <c r="H71" s="76">
        <v>7.3999999999999996E-2</v>
      </c>
      <c r="I71" s="76">
        <v>8.8599999999999998E-2</v>
      </c>
      <c r="J71" s="76">
        <v>0.10299999999999999</v>
      </c>
      <c r="K71" s="76">
        <v>0.11700000000000001</v>
      </c>
      <c r="L71" s="76">
        <v>0.13200000000000001</v>
      </c>
      <c r="M71" s="76">
        <v>0.14599999999999999</v>
      </c>
    </row>
    <row r="72" spans="3:13" x14ac:dyDescent="0.15">
      <c r="C72" s="76">
        <v>490</v>
      </c>
      <c r="D72" s="76">
        <v>1.37E-2</v>
      </c>
      <c r="E72" s="76">
        <v>2.7900000000000001E-2</v>
      </c>
      <c r="F72" s="76">
        <v>4.2099999999999999E-2</v>
      </c>
      <c r="G72" s="76">
        <v>5.6000000000000001E-2</v>
      </c>
      <c r="H72" s="76">
        <v>6.9900000000000004E-2</v>
      </c>
      <c r="I72" s="76">
        <v>8.3699999999999997E-2</v>
      </c>
      <c r="J72" s="76">
        <v>9.7299999999999998E-2</v>
      </c>
      <c r="K72" s="76">
        <v>0.111</v>
      </c>
      <c r="L72" s="76">
        <v>0.125</v>
      </c>
      <c r="M72" s="76">
        <v>0.13800000000000001</v>
      </c>
    </row>
    <row r="73" spans="3:13" x14ac:dyDescent="0.15">
      <c r="C73" s="76">
        <v>492</v>
      </c>
      <c r="D73" s="76">
        <v>1.2800000000000001E-2</v>
      </c>
      <c r="E73" s="76">
        <v>2.6200000000000001E-2</v>
      </c>
      <c r="F73" s="76">
        <v>3.95E-2</v>
      </c>
      <c r="G73" s="76">
        <v>5.2499999999999998E-2</v>
      </c>
      <c r="H73" s="76">
        <v>6.5500000000000003E-2</v>
      </c>
      <c r="I73" s="76">
        <v>7.8399999999999997E-2</v>
      </c>
      <c r="J73" s="76">
        <v>9.1200000000000003E-2</v>
      </c>
      <c r="K73" s="76">
        <v>0.104</v>
      </c>
      <c r="L73" s="76">
        <v>0.11700000000000001</v>
      </c>
      <c r="M73" s="76">
        <v>0.129</v>
      </c>
    </row>
    <row r="74" spans="3:13" x14ac:dyDescent="0.15">
      <c r="C74" s="76">
        <v>494</v>
      </c>
      <c r="D74" s="76">
        <v>1.1900000000000001E-2</v>
      </c>
      <c r="E74" s="76">
        <v>2.4400000000000002E-2</v>
      </c>
      <c r="F74" s="76">
        <v>3.6700000000000003E-2</v>
      </c>
      <c r="G74" s="76">
        <v>4.8899999999999999E-2</v>
      </c>
      <c r="H74" s="76">
        <v>6.0999999999999999E-2</v>
      </c>
      <c r="I74" s="76">
        <v>7.2900000000000006E-2</v>
      </c>
      <c r="J74" s="76">
        <v>8.48E-2</v>
      </c>
      <c r="K74" s="76">
        <v>9.6699999999999994E-2</v>
      </c>
      <c r="L74" s="76">
        <v>0.109</v>
      </c>
      <c r="M74" s="76">
        <v>0.12</v>
      </c>
    </row>
    <row r="75" spans="3:13" x14ac:dyDescent="0.15">
      <c r="C75" s="76">
        <v>496</v>
      </c>
      <c r="D75" s="76">
        <v>1.11E-2</v>
      </c>
      <c r="E75" s="76">
        <v>2.2599999999999999E-2</v>
      </c>
      <c r="F75" s="76">
        <v>3.4000000000000002E-2</v>
      </c>
      <c r="G75" s="76">
        <v>4.5199999999999997E-2</v>
      </c>
      <c r="H75" s="76">
        <v>5.6500000000000002E-2</v>
      </c>
      <c r="I75" s="76">
        <v>6.7500000000000004E-2</v>
      </c>
      <c r="J75" s="76">
        <v>7.8600000000000003E-2</v>
      </c>
      <c r="K75" s="76">
        <v>8.9499999999999996E-2</v>
      </c>
      <c r="L75" s="76">
        <v>0.10100000000000001</v>
      </c>
      <c r="M75" s="76">
        <v>0.112</v>
      </c>
    </row>
    <row r="76" spans="3:13" x14ac:dyDescent="0.15">
      <c r="C76" s="76">
        <v>498</v>
      </c>
      <c r="D76" s="76">
        <v>1.01E-2</v>
      </c>
      <c r="E76" s="76">
        <v>2.07E-2</v>
      </c>
      <c r="F76" s="76">
        <v>3.1199999999999999E-2</v>
      </c>
      <c r="G76" s="76">
        <v>4.1500000000000002E-2</v>
      </c>
      <c r="H76" s="76">
        <v>5.1900000000000002E-2</v>
      </c>
      <c r="I76" s="76">
        <v>6.2E-2</v>
      </c>
      <c r="J76" s="76">
        <v>7.2099999999999997E-2</v>
      </c>
      <c r="K76" s="76">
        <v>8.2299999999999998E-2</v>
      </c>
      <c r="L76" s="76">
        <v>9.2299999999999993E-2</v>
      </c>
      <c r="M76" s="76">
        <v>0.10199999999999999</v>
      </c>
    </row>
    <row r="77" spans="3:13" x14ac:dyDescent="0.15">
      <c r="C77" s="76">
        <v>500</v>
      </c>
      <c r="D77" s="76">
        <v>9.1999999999999998E-3</v>
      </c>
      <c r="E77" s="76">
        <v>1.8800000000000001E-2</v>
      </c>
      <c r="F77" s="76">
        <v>2.8299999999999999E-2</v>
      </c>
      <c r="G77" s="76">
        <v>3.7699999999999997E-2</v>
      </c>
      <c r="H77" s="76">
        <v>4.7E-2</v>
      </c>
      <c r="I77" s="76">
        <v>5.62E-2</v>
      </c>
      <c r="J77" s="76">
        <v>6.54E-2</v>
      </c>
      <c r="K77" s="76">
        <v>7.4499999999999997E-2</v>
      </c>
      <c r="L77" s="76">
        <v>8.3699999999999997E-2</v>
      </c>
      <c r="M77" s="76">
        <v>9.2700000000000005E-2</v>
      </c>
    </row>
    <row r="78" spans="3:13" x14ac:dyDescent="0.15">
      <c r="C78" s="76">
        <v>502</v>
      </c>
      <c r="D78" s="76">
        <v>8.3099999999999997E-3</v>
      </c>
      <c r="E78" s="76">
        <v>1.7000000000000001E-2</v>
      </c>
      <c r="F78" s="76">
        <v>2.5499999999999998E-2</v>
      </c>
      <c r="G78" s="76">
        <v>3.4000000000000002E-2</v>
      </c>
      <c r="H78" s="76">
        <v>4.24E-2</v>
      </c>
      <c r="I78" s="76">
        <v>5.0799999999999998E-2</v>
      </c>
      <c r="J78" s="76">
        <v>5.91E-2</v>
      </c>
      <c r="K78" s="76">
        <v>6.7400000000000002E-2</v>
      </c>
      <c r="L78" s="76">
        <v>7.5499999999999998E-2</v>
      </c>
      <c r="M78" s="76">
        <v>8.3699999999999997E-2</v>
      </c>
    </row>
    <row r="79" spans="3:13" x14ac:dyDescent="0.15">
      <c r="C79" s="76">
        <v>504</v>
      </c>
      <c r="D79" s="76">
        <v>7.5300000000000002E-3</v>
      </c>
      <c r="E79" s="76">
        <v>1.54E-2</v>
      </c>
      <c r="F79" s="76">
        <v>2.3099999999999999E-2</v>
      </c>
      <c r="G79" s="76">
        <v>3.0800000000000001E-2</v>
      </c>
      <c r="H79" s="76">
        <v>3.8399999999999997E-2</v>
      </c>
      <c r="I79" s="76">
        <v>4.5999999999999999E-2</v>
      </c>
      <c r="J79" s="76">
        <v>5.3400000000000003E-2</v>
      </c>
      <c r="K79" s="76">
        <v>6.0999999999999999E-2</v>
      </c>
      <c r="L79" s="76">
        <v>6.83E-2</v>
      </c>
      <c r="M79" s="76">
        <v>7.5899999999999995E-2</v>
      </c>
    </row>
    <row r="80" spans="3:13" x14ac:dyDescent="0.15">
      <c r="C80" s="76">
        <v>506</v>
      </c>
      <c r="D80" s="76">
        <v>6.8100000000000001E-3</v>
      </c>
      <c r="E80" s="76">
        <v>1.3899999999999999E-2</v>
      </c>
      <c r="F80" s="76">
        <v>2.0899999999999998E-2</v>
      </c>
      <c r="G80" s="76">
        <v>2.7900000000000001E-2</v>
      </c>
      <c r="H80" s="76">
        <v>3.4799999999999998E-2</v>
      </c>
      <c r="I80" s="76">
        <v>4.1599999999999998E-2</v>
      </c>
      <c r="J80" s="76">
        <v>4.8399999999999999E-2</v>
      </c>
      <c r="K80" s="76">
        <v>5.5199999999999999E-2</v>
      </c>
      <c r="L80" s="76">
        <v>6.1899999999999997E-2</v>
      </c>
      <c r="M80" s="76">
        <v>6.8699999999999997E-2</v>
      </c>
    </row>
    <row r="81" spans="3:13" x14ac:dyDescent="0.15">
      <c r="C81" s="76">
        <v>508</v>
      </c>
      <c r="D81" s="76">
        <v>6.1599999999999997E-3</v>
      </c>
      <c r="E81" s="76">
        <v>1.26E-2</v>
      </c>
      <c r="F81" s="76">
        <v>1.89E-2</v>
      </c>
      <c r="G81" s="76">
        <v>2.52E-2</v>
      </c>
      <c r="H81" s="76">
        <v>3.1399999999999997E-2</v>
      </c>
      <c r="I81" s="76">
        <v>3.7600000000000001E-2</v>
      </c>
      <c r="J81" s="76">
        <v>4.3799999999999999E-2</v>
      </c>
      <c r="K81" s="76">
        <v>0.05</v>
      </c>
      <c r="L81" s="76">
        <v>5.6000000000000001E-2</v>
      </c>
      <c r="M81" s="76">
        <v>6.2199999999999998E-2</v>
      </c>
    </row>
    <row r="82" spans="3:13" x14ac:dyDescent="0.15">
      <c r="C82" s="76">
        <v>510</v>
      </c>
      <c r="D82" s="76">
        <v>5.5900000000000004E-3</v>
      </c>
      <c r="E82" s="76">
        <v>1.15E-2</v>
      </c>
      <c r="F82" s="76">
        <v>1.72E-2</v>
      </c>
      <c r="G82" s="76">
        <v>2.29E-2</v>
      </c>
      <c r="H82" s="76">
        <v>2.86E-2</v>
      </c>
      <c r="I82" s="76">
        <v>3.4200000000000001E-2</v>
      </c>
      <c r="J82" s="76">
        <v>3.9800000000000002E-2</v>
      </c>
      <c r="K82" s="76">
        <v>4.5400000000000003E-2</v>
      </c>
      <c r="L82" s="76">
        <v>5.0900000000000001E-2</v>
      </c>
      <c r="M82" s="76">
        <v>5.6500000000000002E-2</v>
      </c>
    </row>
    <row r="83" spans="3:13" x14ac:dyDescent="0.15">
      <c r="C83" s="76">
        <v>512</v>
      </c>
      <c r="D83" s="76">
        <v>5.0400000000000002E-3</v>
      </c>
      <c r="E83" s="76">
        <v>1.03E-2</v>
      </c>
      <c r="F83" s="76">
        <v>1.55E-2</v>
      </c>
      <c r="G83" s="76">
        <v>2.06E-2</v>
      </c>
      <c r="H83" s="76">
        <v>2.58E-2</v>
      </c>
      <c r="I83" s="76">
        <v>3.0800000000000001E-2</v>
      </c>
      <c r="J83" s="76">
        <v>3.5799999999999998E-2</v>
      </c>
      <c r="K83" s="76">
        <v>4.0899999999999999E-2</v>
      </c>
      <c r="L83" s="76">
        <v>4.58E-2</v>
      </c>
      <c r="M83" s="76">
        <v>5.0999999999999997E-2</v>
      </c>
    </row>
    <row r="84" spans="3:13" x14ac:dyDescent="0.15">
      <c r="C84" s="76">
        <v>514</v>
      </c>
      <c r="D84" s="76">
        <v>4.5999999999999999E-3</v>
      </c>
      <c r="E84" s="76">
        <v>9.41E-3</v>
      </c>
      <c r="F84" s="76">
        <v>1.41E-2</v>
      </c>
      <c r="G84" s="76">
        <v>1.8800000000000001E-2</v>
      </c>
      <c r="H84" s="76">
        <v>2.35E-2</v>
      </c>
      <c r="I84" s="76">
        <v>2.8199999999999999E-2</v>
      </c>
      <c r="J84" s="76">
        <v>3.27E-2</v>
      </c>
      <c r="K84" s="76">
        <v>3.73E-2</v>
      </c>
      <c r="L84" s="76">
        <v>4.1799999999999997E-2</v>
      </c>
      <c r="M84" s="76">
        <v>4.6399999999999997E-2</v>
      </c>
    </row>
    <row r="85" spans="3:13" x14ac:dyDescent="0.15">
      <c r="C85" s="76">
        <v>516</v>
      </c>
      <c r="D85" s="76">
        <v>4.2300000000000003E-3</v>
      </c>
      <c r="E85" s="76">
        <v>8.6499999999999997E-3</v>
      </c>
      <c r="F85" s="76">
        <v>1.2999999999999999E-2</v>
      </c>
      <c r="G85" s="76">
        <v>1.7299999999999999E-2</v>
      </c>
      <c r="H85" s="76">
        <v>2.1600000000000001E-2</v>
      </c>
      <c r="I85" s="76">
        <v>2.5899999999999999E-2</v>
      </c>
      <c r="J85" s="76">
        <v>3.0099999999999998E-2</v>
      </c>
      <c r="K85" s="76">
        <v>3.4299999999999997E-2</v>
      </c>
      <c r="L85" s="76">
        <v>3.8300000000000001E-2</v>
      </c>
      <c r="M85" s="76">
        <v>4.2799999999999998E-2</v>
      </c>
    </row>
    <row r="86" spans="3:13" x14ac:dyDescent="0.15">
      <c r="C86" s="76">
        <v>518</v>
      </c>
      <c r="D86" s="76">
        <v>3.8899999999999998E-3</v>
      </c>
      <c r="E86" s="76">
        <v>8.0000000000000002E-3</v>
      </c>
      <c r="F86" s="76">
        <v>1.2E-2</v>
      </c>
      <c r="G86" s="76">
        <v>1.6E-2</v>
      </c>
      <c r="H86" s="76">
        <v>1.9900000000000001E-2</v>
      </c>
      <c r="I86" s="76">
        <v>2.3800000000000002E-2</v>
      </c>
      <c r="J86" s="76">
        <v>2.7699999999999999E-2</v>
      </c>
      <c r="K86" s="76">
        <v>3.1600000000000003E-2</v>
      </c>
      <c r="L86" s="76">
        <v>3.5400000000000001E-2</v>
      </c>
      <c r="M86" s="76">
        <v>3.95E-2</v>
      </c>
    </row>
    <row r="87" spans="3:13" x14ac:dyDescent="0.15">
      <c r="C87" s="76">
        <v>520</v>
      </c>
      <c r="D87" s="76">
        <v>3.6099999999999999E-3</v>
      </c>
      <c r="E87" s="76">
        <v>7.4200000000000004E-3</v>
      </c>
      <c r="F87" s="76">
        <v>1.11E-2</v>
      </c>
      <c r="G87" s="76">
        <v>1.4800000000000001E-2</v>
      </c>
      <c r="H87" s="76">
        <v>1.8499999999999999E-2</v>
      </c>
      <c r="I87" s="76">
        <v>2.2100000000000002E-2</v>
      </c>
      <c r="J87" s="76">
        <v>2.5600000000000001E-2</v>
      </c>
      <c r="K87" s="76">
        <v>2.93E-2</v>
      </c>
      <c r="L87" s="76">
        <v>3.2800000000000003E-2</v>
      </c>
      <c r="M87" s="76">
        <v>3.6499999999999998E-2</v>
      </c>
    </row>
    <row r="88" spans="3:13" x14ac:dyDescent="0.15">
      <c r="C88" s="76">
        <v>522</v>
      </c>
      <c r="D88" s="76">
        <v>3.3400000000000001E-3</v>
      </c>
      <c r="E88" s="76">
        <v>6.8500000000000002E-3</v>
      </c>
      <c r="F88" s="76">
        <v>1.03E-2</v>
      </c>
      <c r="G88" s="76">
        <v>1.37E-2</v>
      </c>
      <c r="H88" s="76">
        <v>1.7100000000000001E-2</v>
      </c>
      <c r="I88" s="76">
        <v>2.0500000000000001E-2</v>
      </c>
      <c r="J88" s="76">
        <v>2.3900000000000001E-2</v>
      </c>
      <c r="K88" s="76">
        <v>2.7099999999999999E-2</v>
      </c>
      <c r="L88" s="76">
        <v>3.0300000000000001E-2</v>
      </c>
      <c r="M88" s="76">
        <v>3.3799999999999997E-2</v>
      </c>
    </row>
    <row r="89" spans="3:13" x14ac:dyDescent="0.15">
      <c r="C89" s="76">
        <v>524</v>
      </c>
      <c r="D89" s="76">
        <v>3.0599999999999998E-3</v>
      </c>
      <c r="E89" s="76">
        <v>6.28E-3</v>
      </c>
      <c r="F89" s="76">
        <v>9.3900000000000008E-3</v>
      </c>
      <c r="G89" s="76">
        <v>1.2500000000000001E-2</v>
      </c>
      <c r="H89" s="76">
        <v>1.5599999999999999E-2</v>
      </c>
      <c r="I89" s="76">
        <v>1.8800000000000001E-2</v>
      </c>
      <c r="J89" s="76">
        <v>2.1700000000000001E-2</v>
      </c>
      <c r="K89" s="76">
        <v>2.4899999999999999E-2</v>
      </c>
      <c r="L89" s="76">
        <v>2.7799999999999998E-2</v>
      </c>
      <c r="M89" s="76">
        <v>3.1E-2</v>
      </c>
    </row>
    <row r="90" spans="3:13" x14ac:dyDescent="0.15">
      <c r="C90" s="76">
        <v>526</v>
      </c>
      <c r="D90" s="76">
        <v>2.82E-3</v>
      </c>
      <c r="E90" s="76">
        <v>5.7999999999999996E-3</v>
      </c>
      <c r="F90" s="76">
        <v>8.6700000000000006E-3</v>
      </c>
      <c r="G90" s="76">
        <v>1.1599999999999999E-2</v>
      </c>
      <c r="H90" s="76">
        <v>1.44E-2</v>
      </c>
      <c r="I90" s="76">
        <v>1.7299999999999999E-2</v>
      </c>
      <c r="J90" s="76">
        <v>0.02</v>
      </c>
      <c r="K90" s="76">
        <v>2.29E-2</v>
      </c>
      <c r="L90" s="76">
        <v>2.5700000000000001E-2</v>
      </c>
      <c r="M90" s="76">
        <v>2.86E-2</v>
      </c>
    </row>
    <row r="91" spans="3:13" x14ac:dyDescent="0.15">
      <c r="C91" s="76">
        <v>528</v>
      </c>
      <c r="D91" s="76">
        <v>2.6099999999999999E-3</v>
      </c>
      <c r="E91" s="76">
        <v>5.3699999999999998E-3</v>
      </c>
      <c r="F91" s="76">
        <v>8.0199999999999994E-3</v>
      </c>
      <c r="G91" s="76">
        <v>1.0699999999999999E-2</v>
      </c>
      <c r="H91" s="76">
        <v>1.3299999999999999E-2</v>
      </c>
      <c r="I91" s="76">
        <v>1.6E-2</v>
      </c>
      <c r="J91" s="76">
        <v>1.8599999999999998E-2</v>
      </c>
      <c r="K91" s="76">
        <v>2.12E-2</v>
      </c>
      <c r="L91" s="76">
        <v>2.3699999999999999E-2</v>
      </c>
      <c r="M91" s="76">
        <v>2.64E-2</v>
      </c>
    </row>
    <row r="92" spans="3:13" x14ac:dyDescent="0.15">
      <c r="C92" s="76">
        <v>530</v>
      </c>
      <c r="D92" s="76">
        <v>2.3999999999999998E-3</v>
      </c>
      <c r="E92" s="76">
        <v>4.9500000000000004E-3</v>
      </c>
      <c r="F92" s="76">
        <v>7.3600000000000002E-3</v>
      </c>
      <c r="G92" s="76">
        <v>9.8499999999999994E-3</v>
      </c>
      <c r="H92" s="76">
        <v>1.23E-2</v>
      </c>
      <c r="I92" s="76">
        <v>1.47E-2</v>
      </c>
      <c r="J92" s="76">
        <v>1.7100000000000001E-2</v>
      </c>
      <c r="K92" s="76">
        <v>1.95E-2</v>
      </c>
      <c r="L92" s="76">
        <v>2.18E-2</v>
      </c>
      <c r="M92" s="76">
        <v>2.4199999999999999E-2</v>
      </c>
    </row>
    <row r="93" spans="3:13" x14ac:dyDescent="0.15">
      <c r="C93" s="76">
        <v>532</v>
      </c>
      <c r="D93" s="76">
        <v>2.2000000000000001E-3</v>
      </c>
      <c r="E93" s="76">
        <v>4.5300000000000002E-3</v>
      </c>
      <c r="F93" s="76">
        <v>6.7600000000000004E-3</v>
      </c>
      <c r="G93" s="76">
        <v>9.0200000000000002E-3</v>
      </c>
      <c r="H93" s="76">
        <v>1.12E-2</v>
      </c>
      <c r="I93" s="76">
        <v>1.35E-2</v>
      </c>
      <c r="J93" s="76">
        <v>1.5699999999999999E-2</v>
      </c>
      <c r="K93" s="76">
        <v>1.7899999999999999E-2</v>
      </c>
      <c r="L93" s="76">
        <v>0.02</v>
      </c>
      <c r="M93" s="76">
        <v>2.2200000000000001E-2</v>
      </c>
    </row>
    <row r="94" spans="3:13" x14ac:dyDescent="0.15">
      <c r="C94" s="76">
        <v>534</v>
      </c>
      <c r="D94" s="76">
        <v>2.0100000000000001E-3</v>
      </c>
      <c r="E94" s="76">
        <v>4.1200000000000004E-3</v>
      </c>
      <c r="F94" s="76">
        <v>6.1500000000000001E-3</v>
      </c>
      <c r="G94" s="76">
        <v>8.2199999999999999E-3</v>
      </c>
      <c r="H94" s="76">
        <v>1.0200000000000001E-2</v>
      </c>
      <c r="I94" s="76">
        <v>1.23E-2</v>
      </c>
      <c r="J94" s="76">
        <v>1.43E-2</v>
      </c>
      <c r="K94" s="76">
        <v>1.6199999999999999E-2</v>
      </c>
      <c r="L94" s="76">
        <v>1.8200000000000001E-2</v>
      </c>
      <c r="M94" s="76">
        <v>2.0299999999999999E-2</v>
      </c>
    </row>
    <row r="95" spans="3:13" x14ac:dyDescent="0.15">
      <c r="C95" s="76">
        <v>536</v>
      </c>
      <c r="D95" s="76">
        <v>1.81E-3</v>
      </c>
      <c r="E95" s="76">
        <v>3.7100000000000002E-3</v>
      </c>
      <c r="F95" s="76">
        <v>5.5399999999999998E-3</v>
      </c>
      <c r="G95" s="76">
        <v>7.4099999999999999E-3</v>
      </c>
      <c r="H95" s="76">
        <v>9.2099999999999994E-3</v>
      </c>
      <c r="I95" s="76">
        <v>1.11E-2</v>
      </c>
      <c r="J95" s="76">
        <v>1.29E-2</v>
      </c>
      <c r="K95" s="76">
        <v>1.46E-2</v>
      </c>
      <c r="L95" s="76">
        <v>1.6400000000000001E-2</v>
      </c>
      <c r="M95" s="76">
        <v>1.83E-2</v>
      </c>
    </row>
    <row r="96" spans="3:13" x14ac:dyDescent="0.15">
      <c r="C96" s="76">
        <v>538</v>
      </c>
      <c r="D96" s="76">
        <v>1.65E-3</v>
      </c>
      <c r="E96" s="76">
        <v>3.3899999999999998E-3</v>
      </c>
      <c r="F96" s="76">
        <v>5.0499999999999998E-3</v>
      </c>
      <c r="G96" s="76">
        <v>6.7299999999999999E-3</v>
      </c>
      <c r="H96" s="76">
        <v>8.3999999999999995E-3</v>
      </c>
      <c r="I96" s="76">
        <v>1.01E-2</v>
      </c>
      <c r="J96" s="76">
        <v>1.17E-2</v>
      </c>
      <c r="K96" s="76">
        <v>1.34E-2</v>
      </c>
      <c r="L96" s="76">
        <v>1.49E-2</v>
      </c>
      <c r="M96" s="76">
        <v>1.66E-2</v>
      </c>
    </row>
    <row r="97" spans="3:13" x14ac:dyDescent="0.15">
      <c r="C97" s="76">
        <v>540</v>
      </c>
      <c r="D97" s="76">
        <v>1.5E-3</v>
      </c>
      <c r="E97" s="76">
        <v>3.0899999999999999E-3</v>
      </c>
      <c r="F97" s="76">
        <v>4.5900000000000003E-3</v>
      </c>
      <c r="G97" s="76">
        <v>6.1199999999999996E-3</v>
      </c>
      <c r="H97" s="76">
        <v>7.6299999999999996E-3</v>
      </c>
      <c r="I97" s="76">
        <v>9.1500000000000001E-3</v>
      </c>
      <c r="J97" s="76">
        <v>1.0699999999999999E-2</v>
      </c>
      <c r="K97" s="76">
        <v>1.21E-2</v>
      </c>
      <c r="L97" s="76">
        <v>1.3599999999999999E-2</v>
      </c>
      <c r="M97" s="76">
        <v>1.5100000000000001E-2</v>
      </c>
    </row>
    <row r="98" spans="3:13" x14ac:dyDescent="0.15">
      <c r="C98" s="76">
        <v>542</v>
      </c>
      <c r="D98" s="76">
        <v>1.3699999999999999E-3</v>
      </c>
      <c r="E98" s="76">
        <v>2.81E-3</v>
      </c>
      <c r="F98" s="76">
        <v>4.1700000000000001E-3</v>
      </c>
      <c r="G98" s="76">
        <v>5.5599999999999998E-3</v>
      </c>
      <c r="H98" s="76">
        <v>6.94E-3</v>
      </c>
      <c r="I98" s="76">
        <v>8.3099999999999997E-3</v>
      </c>
      <c r="J98" s="76">
        <v>9.7400000000000004E-3</v>
      </c>
      <c r="K98" s="76">
        <v>1.0999999999999999E-2</v>
      </c>
      <c r="L98" s="76">
        <v>1.24E-2</v>
      </c>
      <c r="M98" s="76">
        <v>1.37E-2</v>
      </c>
    </row>
    <row r="99" spans="3:13" x14ac:dyDescent="0.15">
      <c r="C99" s="76">
        <v>544</v>
      </c>
      <c r="D99" s="76">
        <v>1.24E-3</v>
      </c>
      <c r="E99" s="76">
        <v>2.5600000000000002E-3</v>
      </c>
      <c r="F99" s="76">
        <v>3.8E-3</v>
      </c>
      <c r="G99" s="76">
        <v>5.0699999999999999E-3</v>
      </c>
      <c r="H99" s="76">
        <v>6.3E-3</v>
      </c>
      <c r="I99" s="76">
        <v>7.5700000000000003E-3</v>
      </c>
      <c r="J99" s="76">
        <v>8.8500000000000002E-3</v>
      </c>
      <c r="K99" s="76">
        <v>0.01</v>
      </c>
      <c r="L99" s="76">
        <v>1.1299999999999999E-2</v>
      </c>
      <c r="M99" s="76">
        <v>1.2500000000000001E-2</v>
      </c>
    </row>
    <row r="100" spans="3:13" x14ac:dyDescent="0.15">
      <c r="C100" s="76">
        <v>546</v>
      </c>
      <c r="D100" s="76">
        <v>1.1299999999999999E-3</v>
      </c>
      <c r="E100" s="76">
        <v>2.3E-3</v>
      </c>
      <c r="F100" s="76">
        <v>3.4299999999999999E-3</v>
      </c>
      <c r="G100" s="76">
        <v>4.5900000000000003E-3</v>
      </c>
      <c r="H100" s="76">
        <v>5.6899999999999997E-3</v>
      </c>
      <c r="I100" s="76">
        <v>6.8399999999999997E-3</v>
      </c>
      <c r="J100" s="76">
        <v>7.9500000000000005E-3</v>
      </c>
      <c r="K100" s="76">
        <v>9.0299999999999998E-3</v>
      </c>
      <c r="L100" s="76">
        <v>1.0200000000000001E-2</v>
      </c>
      <c r="M100" s="76">
        <v>1.1299999999999999E-2</v>
      </c>
    </row>
    <row r="101" spans="3:13" x14ac:dyDescent="0.15">
      <c r="C101" s="76">
        <v>548</v>
      </c>
      <c r="D101" s="76">
        <v>1.0200000000000001E-3</v>
      </c>
      <c r="E101" s="76">
        <v>2.0799999999999998E-3</v>
      </c>
      <c r="F101" s="76">
        <v>3.0999999999999999E-3</v>
      </c>
      <c r="G101" s="76">
        <v>4.1599999999999996E-3</v>
      </c>
      <c r="H101" s="76">
        <v>5.1599999999999997E-3</v>
      </c>
      <c r="I101" s="76">
        <v>6.1999999999999998E-3</v>
      </c>
      <c r="J101" s="76">
        <v>7.2199999999999999E-3</v>
      </c>
      <c r="K101" s="76">
        <v>8.2100000000000003E-3</v>
      </c>
      <c r="L101" s="76">
        <v>9.2599999999999991E-3</v>
      </c>
      <c r="M101" s="76">
        <v>1.0200000000000001E-2</v>
      </c>
    </row>
    <row r="102" spans="3:13" x14ac:dyDescent="0.15">
      <c r="C102" s="76">
        <v>550</v>
      </c>
      <c r="D102" s="76">
        <v>9.2400000000000002E-4</v>
      </c>
      <c r="E102" s="76">
        <v>1.9E-3</v>
      </c>
      <c r="F102" s="76">
        <v>2.82E-3</v>
      </c>
      <c r="G102" s="76">
        <v>3.8E-3</v>
      </c>
      <c r="H102" s="76">
        <v>4.7000000000000002E-3</v>
      </c>
      <c r="I102" s="76">
        <v>5.64E-3</v>
      </c>
      <c r="J102" s="76">
        <v>6.6100000000000004E-3</v>
      </c>
      <c r="K102" s="76">
        <v>7.4799999999999997E-3</v>
      </c>
      <c r="L102" s="76">
        <v>8.5000000000000006E-3</v>
      </c>
      <c r="M102" s="76">
        <v>9.2700000000000005E-3</v>
      </c>
    </row>
    <row r="103" spans="3:13" x14ac:dyDescent="0.15">
      <c r="C103" s="76">
        <v>552</v>
      </c>
      <c r="D103" s="76">
        <v>8.4599999999999996E-4</v>
      </c>
      <c r="E103" s="76">
        <v>1.73E-3</v>
      </c>
      <c r="F103" s="76">
        <v>2.5699999999999998E-3</v>
      </c>
      <c r="G103" s="76">
        <v>3.4399999999999999E-3</v>
      </c>
      <c r="H103" s="76">
        <v>4.28E-3</v>
      </c>
      <c r="I103" s="76">
        <v>5.1399999999999996E-3</v>
      </c>
      <c r="J103" s="76">
        <v>6.0099999999999997E-3</v>
      </c>
      <c r="K103" s="76">
        <v>6.8399999999999997E-3</v>
      </c>
      <c r="L103" s="76">
        <v>7.77E-3</v>
      </c>
      <c r="M103" s="76">
        <v>8.4100000000000008E-3</v>
      </c>
    </row>
    <row r="104" spans="3:13" x14ac:dyDescent="0.15">
      <c r="C104" s="76">
        <v>554</v>
      </c>
      <c r="D104" s="76">
        <v>7.76E-4</v>
      </c>
      <c r="E104" s="76">
        <v>1.57E-3</v>
      </c>
      <c r="F104" s="76">
        <v>2.3500000000000001E-3</v>
      </c>
      <c r="G104" s="76">
        <v>3.1199999999999999E-3</v>
      </c>
      <c r="H104" s="76">
        <v>3.9199999999999999E-3</v>
      </c>
      <c r="I104" s="76">
        <v>4.6899999999999997E-3</v>
      </c>
      <c r="J104" s="76">
        <v>5.4900000000000001E-3</v>
      </c>
      <c r="K104" s="76">
        <v>6.2100000000000002E-3</v>
      </c>
      <c r="L104" s="76">
        <v>7.0899999999999999E-3</v>
      </c>
      <c r="M104" s="76">
        <v>7.6800000000000002E-3</v>
      </c>
    </row>
    <row r="105" spans="3:13" x14ac:dyDescent="0.15">
      <c r="C105" s="76">
        <v>556</v>
      </c>
      <c r="D105" s="76">
        <v>7.1000000000000002E-4</v>
      </c>
      <c r="E105" s="76">
        <v>1.4300000000000001E-3</v>
      </c>
      <c r="F105" s="76">
        <v>2.14E-3</v>
      </c>
      <c r="G105" s="76">
        <v>2.8600000000000001E-3</v>
      </c>
      <c r="H105" s="76">
        <v>3.5699999999999998E-3</v>
      </c>
      <c r="I105" s="76">
        <v>4.3E-3</v>
      </c>
      <c r="J105" s="76">
        <v>4.9800000000000001E-3</v>
      </c>
      <c r="K105" s="76">
        <v>5.6100000000000004E-3</v>
      </c>
      <c r="L105" s="76">
        <v>6.4599999999999996E-3</v>
      </c>
      <c r="M105" s="76">
        <v>7.0099999999999997E-3</v>
      </c>
    </row>
    <row r="106" spans="3:13" x14ac:dyDescent="0.15">
      <c r="C106" s="76">
        <v>558</v>
      </c>
      <c r="D106" s="76">
        <v>6.38E-4</v>
      </c>
      <c r="E106" s="76">
        <v>1.2800000000000001E-3</v>
      </c>
      <c r="F106" s="76">
        <v>1.9400000000000001E-3</v>
      </c>
      <c r="G106" s="76">
        <v>2.5899999999999999E-3</v>
      </c>
      <c r="H106" s="76">
        <v>3.2499999999999999E-3</v>
      </c>
      <c r="I106" s="76">
        <v>3.8999999999999998E-3</v>
      </c>
      <c r="J106" s="76">
        <v>4.5500000000000002E-3</v>
      </c>
      <c r="K106" s="76">
        <v>5.13E-3</v>
      </c>
      <c r="L106" s="76">
        <v>5.7999999999999996E-3</v>
      </c>
      <c r="M106" s="76">
        <v>6.3600000000000002E-3</v>
      </c>
    </row>
    <row r="107" spans="3:13" x14ac:dyDescent="0.15">
      <c r="C107" s="76">
        <v>560</v>
      </c>
      <c r="D107" s="76">
        <v>5.8399999999999999E-4</v>
      </c>
      <c r="E107" s="76">
        <v>1.1800000000000001E-3</v>
      </c>
      <c r="F107" s="76">
        <v>1.7899999999999999E-3</v>
      </c>
      <c r="G107" s="76">
        <v>2.3700000000000001E-3</v>
      </c>
      <c r="H107" s="76">
        <v>2.98E-3</v>
      </c>
      <c r="I107" s="76">
        <v>3.5500000000000002E-3</v>
      </c>
      <c r="J107" s="76">
        <v>4.1799999999999997E-3</v>
      </c>
      <c r="K107" s="76">
        <v>4.6899999999999997E-3</v>
      </c>
      <c r="L107" s="76">
        <v>5.3400000000000001E-3</v>
      </c>
      <c r="M107" s="76">
        <v>5.7800000000000004E-3</v>
      </c>
    </row>
    <row r="108" spans="3:13" x14ac:dyDescent="0.15">
      <c r="C108" s="76">
        <v>562</v>
      </c>
      <c r="D108" s="76">
        <v>5.3700000000000004E-4</v>
      </c>
      <c r="E108" s="76">
        <v>1.08E-3</v>
      </c>
      <c r="F108" s="76">
        <v>1.65E-3</v>
      </c>
      <c r="G108" s="76">
        <v>2.16E-3</v>
      </c>
      <c r="H108" s="76">
        <v>2.7399999999999998E-3</v>
      </c>
      <c r="I108" s="76">
        <v>3.2499999999999999E-3</v>
      </c>
      <c r="J108" s="76">
        <v>3.8400000000000001E-3</v>
      </c>
      <c r="K108" s="76">
        <v>4.3099999999999996E-3</v>
      </c>
      <c r="L108" s="76">
        <v>4.8799999999999998E-3</v>
      </c>
      <c r="M108" s="76">
        <v>5.3099999999999996E-3</v>
      </c>
    </row>
    <row r="109" spans="3:13" x14ac:dyDescent="0.15">
      <c r="C109" s="76">
        <v>564</v>
      </c>
      <c r="D109" s="76">
        <v>4.9299999999999995E-4</v>
      </c>
      <c r="E109" s="76">
        <v>9.810000000000001E-4</v>
      </c>
      <c r="F109" s="76">
        <v>1.5E-3</v>
      </c>
      <c r="G109" s="76">
        <v>1.98E-3</v>
      </c>
      <c r="H109" s="76">
        <v>2.5100000000000001E-3</v>
      </c>
      <c r="I109" s="76">
        <v>3.0000000000000001E-3</v>
      </c>
      <c r="J109" s="76">
        <v>3.5100000000000001E-3</v>
      </c>
      <c r="K109" s="76">
        <v>3.96E-3</v>
      </c>
      <c r="L109" s="76">
        <v>4.47E-3</v>
      </c>
      <c r="M109" s="76">
        <v>4.8500000000000001E-3</v>
      </c>
    </row>
    <row r="110" spans="3:13" x14ac:dyDescent="0.15">
      <c r="C110" s="76">
        <v>566</v>
      </c>
      <c r="D110" s="76">
        <v>4.6000000000000001E-4</v>
      </c>
      <c r="E110" s="76">
        <v>9.0499999999999999E-4</v>
      </c>
      <c r="F110" s="76">
        <v>1.4E-3</v>
      </c>
      <c r="G110" s="76">
        <v>1.83E-3</v>
      </c>
      <c r="H110" s="76">
        <v>2.33E-3</v>
      </c>
      <c r="I110" s="76">
        <v>2.7499999999999998E-3</v>
      </c>
      <c r="J110" s="76">
        <v>3.2599999999999999E-3</v>
      </c>
      <c r="K110" s="76">
        <v>3.6700000000000001E-3</v>
      </c>
      <c r="L110" s="76">
        <v>4.15E-3</v>
      </c>
      <c r="M110" s="76">
        <v>4.5900000000000003E-3</v>
      </c>
    </row>
    <row r="111" spans="3:13" x14ac:dyDescent="0.15">
      <c r="C111" s="76">
        <v>568</v>
      </c>
      <c r="D111" s="76">
        <v>4.1300000000000001E-4</v>
      </c>
      <c r="E111" s="76">
        <v>8.1700000000000002E-4</v>
      </c>
      <c r="F111" s="76">
        <v>1.2700000000000001E-3</v>
      </c>
      <c r="G111" s="76">
        <v>1.6999999999999999E-3</v>
      </c>
      <c r="H111" s="76">
        <v>2.16E-3</v>
      </c>
      <c r="I111" s="76">
        <v>2.5100000000000001E-3</v>
      </c>
      <c r="J111" s="76">
        <v>2.96E-3</v>
      </c>
      <c r="K111" s="76">
        <v>3.3800000000000002E-3</v>
      </c>
      <c r="L111" s="76">
        <v>3.7699999999999999E-3</v>
      </c>
      <c r="M111" s="76">
        <v>4.13E-3</v>
      </c>
    </row>
    <row r="112" spans="3:13" x14ac:dyDescent="0.15">
      <c r="C112" s="76">
        <v>570</v>
      </c>
      <c r="D112" s="76">
        <v>3.9199999999999999E-4</v>
      </c>
      <c r="E112" s="76">
        <v>7.5699999999999997E-4</v>
      </c>
      <c r="F112" s="76">
        <v>1.1800000000000001E-3</v>
      </c>
      <c r="G112" s="76">
        <v>1.5100000000000001E-3</v>
      </c>
      <c r="H112" s="76">
        <v>1.99E-3</v>
      </c>
      <c r="I112" s="76">
        <v>2.3600000000000001E-3</v>
      </c>
      <c r="J112" s="76">
        <v>2.7799999999999999E-3</v>
      </c>
      <c r="K112" s="76">
        <v>3.0999999999999999E-3</v>
      </c>
      <c r="L112" s="76">
        <v>3.5100000000000001E-3</v>
      </c>
      <c r="M112" s="76">
        <v>3.79E-3</v>
      </c>
    </row>
    <row r="113" spans="3:158" x14ac:dyDescent="0.15">
      <c r="C113" s="76">
        <v>572</v>
      </c>
      <c r="D113" s="76">
        <v>3.6200000000000002E-4</v>
      </c>
      <c r="E113" s="76">
        <v>7.0100000000000002E-4</v>
      </c>
      <c r="F113" s="76">
        <v>1.1100000000000001E-3</v>
      </c>
      <c r="G113" s="76">
        <v>1.42E-3</v>
      </c>
      <c r="H113" s="76">
        <v>1.8600000000000001E-3</v>
      </c>
      <c r="I113" s="76">
        <v>2.1700000000000001E-3</v>
      </c>
      <c r="J113" s="76">
        <v>2.5999999999999999E-3</v>
      </c>
      <c r="K113" s="76">
        <v>2.8800000000000002E-3</v>
      </c>
      <c r="L113" s="76">
        <v>3.2599999999999999E-3</v>
      </c>
      <c r="M113" s="76">
        <v>3.5000000000000001E-3</v>
      </c>
    </row>
    <row r="114" spans="3:158" x14ac:dyDescent="0.15">
      <c r="C114" s="76">
        <v>574</v>
      </c>
      <c r="D114" s="76">
        <v>3.3199999999999999E-4</v>
      </c>
      <c r="E114" s="76">
        <v>6.5099999999999999E-4</v>
      </c>
      <c r="F114" s="76">
        <v>1.0499999999999999E-3</v>
      </c>
      <c r="G114" s="76">
        <v>1.2999999999999999E-3</v>
      </c>
      <c r="H114" s="76">
        <v>1.75E-3</v>
      </c>
      <c r="I114" s="76">
        <v>2.0100000000000001E-3</v>
      </c>
      <c r="J114" s="76">
        <v>2.4099999999999998E-3</v>
      </c>
      <c r="K114" s="76">
        <v>2.6700000000000001E-3</v>
      </c>
      <c r="L114" s="76">
        <v>2.98E-3</v>
      </c>
      <c r="M114" s="76">
        <v>3.31E-3</v>
      </c>
    </row>
    <row r="115" spans="3:158" x14ac:dyDescent="0.15">
      <c r="C115" s="76">
        <v>576</v>
      </c>
      <c r="D115" s="76">
        <v>3.1E-4</v>
      </c>
      <c r="E115" s="76">
        <v>6.02E-4</v>
      </c>
      <c r="F115" s="76">
        <v>9.6299999999999999E-4</v>
      </c>
      <c r="G115" s="76">
        <v>1.1999999999999999E-3</v>
      </c>
      <c r="H115" s="76">
        <v>1.6100000000000001E-3</v>
      </c>
      <c r="I115" s="76">
        <v>1.8500000000000001E-3</v>
      </c>
      <c r="J115" s="76">
        <v>2.2100000000000002E-3</v>
      </c>
      <c r="K115" s="76">
        <v>2.5000000000000001E-3</v>
      </c>
      <c r="L115" s="76">
        <v>2.7000000000000001E-3</v>
      </c>
      <c r="M115" s="76">
        <v>3.0999999999999999E-3</v>
      </c>
    </row>
    <row r="116" spans="3:158" x14ac:dyDescent="0.15">
      <c r="C116" s="76">
        <v>578</v>
      </c>
      <c r="D116" s="76">
        <v>2.8800000000000001E-4</v>
      </c>
      <c r="E116" s="76">
        <v>5.5199999999999997E-4</v>
      </c>
      <c r="F116" s="76">
        <v>8.9899999999999995E-4</v>
      </c>
      <c r="G116" s="76">
        <v>1.08E-3</v>
      </c>
      <c r="H116" s="76">
        <v>1.4499999999999999E-3</v>
      </c>
      <c r="I116" s="76">
        <v>1.6800000000000001E-3</v>
      </c>
      <c r="J116" s="76">
        <v>1.97E-3</v>
      </c>
      <c r="K116" s="76">
        <v>2.33E-3</v>
      </c>
      <c r="L116" s="76">
        <v>2.5600000000000002E-3</v>
      </c>
      <c r="M116" s="76">
        <v>2.8E-3</v>
      </c>
    </row>
    <row r="117" spans="3:158" x14ac:dyDescent="0.15">
      <c r="C117" s="76">
        <v>580</v>
      </c>
      <c r="D117" s="76">
        <v>2.6600000000000001E-4</v>
      </c>
      <c r="E117" s="76">
        <v>4.9399999999999997E-4</v>
      </c>
      <c r="F117" s="76">
        <v>8.1800000000000004E-4</v>
      </c>
      <c r="G117" s="76">
        <v>1.0200000000000001E-3</v>
      </c>
      <c r="H117" s="76">
        <v>1.3600000000000001E-3</v>
      </c>
      <c r="I117" s="76">
        <v>1.58E-3</v>
      </c>
      <c r="J117" s="76">
        <v>1.83E-3</v>
      </c>
      <c r="K117" s="76">
        <v>2.16E-3</v>
      </c>
      <c r="L117" s="76">
        <v>2.32E-3</v>
      </c>
      <c r="M117" s="76">
        <v>2.63E-3</v>
      </c>
    </row>
    <row r="118" spans="3:158" x14ac:dyDescent="0.15">
      <c r="C118" s="81">
        <v>582</v>
      </c>
      <c r="D118" s="76">
        <v>2.41E-4</v>
      </c>
      <c r="E118" s="76">
        <v>4.6200000000000001E-4</v>
      </c>
      <c r="F118" s="76">
        <v>7.4799999999999997E-4</v>
      </c>
      <c r="G118" s="76">
        <v>9.2900000000000003E-4</v>
      </c>
      <c r="H118" s="81">
        <v>1.25E-3</v>
      </c>
      <c r="I118" s="76">
        <v>1.4400000000000001E-3</v>
      </c>
      <c r="J118" s="76">
        <v>1.72E-3</v>
      </c>
      <c r="K118" s="76">
        <v>2.0200000000000001E-3</v>
      </c>
      <c r="L118" s="81">
        <v>2.14E-3</v>
      </c>
      <c r="M118" s="76">
        <v>2.4199999999999998E-3</v>
      </c>
      <c r="N118" s="81"/>
      <c r="T118" s="81"/>
      <c r="W118" s="81"/>
      <c r="AF118" s="81"/>
      <c r="AG118" s="81"/>
      <c r="AS118" s="81"/>
      <c r="AT118" s="81"/>
      <c r="BV118" s="81"/>
      <c r="CI118" s="81"/>
      <c r="DL118" s="81"/>
      <c r="DY118" s="81"/>
      <c r="FB118" s="81"/>
    </row>
    <row r="119" spans="3:158" x14ac:dyDescent="0.15">
      <c r="C119" s="81">
        <v>584</v>
      </c>
      <c r="D119" s="76">
        <v>2.1800000000000001E-4</v>
      </c>
      <c r="E119" s="76">
        <v>4.15E-4</v>
      </c>
      <c r="F119" s="76">
        <v>6.8900000000000005E-4</v>
      </c>
      <c r="G119" s="76">
        <v>8.7399999999999999E-4</v>
      </c>
      <c r="H119" s="81">
        <v>1.16E-3</v>
      </c>
      <c r="I119" s="76">
        <v>1.3500000000000001E-3</v>
      </c>
      <c r="J119" s="76">
        <v>1.6000000000000001E-3</v>
      </c>
      <c r="K119" s="76">
        <v>1.7899999999999999E-3</v>
      </c>
      <c r="L119" s="81">
        <v>2.0100000000000001E-3</v>
      </c>
      <c r="M119" s="76">
        <v>2.1900000000000001E-3</v>
      </c>
      <c r="N119" s="81"/>
      <c r="T119" s="81"/>
      <c r="W119" s="81"/>
      <c r="AF119" s="81"/>
      <c r="AG119" s="81"/>
      <c r="AS119" s="81"/>
      <c r="AT119" s="81"/>
      <c r="BV119" s="81"/>
      <c r="CI119" s="81"/>
      <c r="DL119" s="81"/>
      <c r="DY119" s="81"/>
      <c r="FB119" s="81"/>
    </row>
    <row r="120" spans="3:158" x14ac:dyDescent="0.15">
      <c r="C120" s="81">
        <v>586</v>
      </c>
      <c r="D120" s="76">
        <v>2.04E-4</v>
      </c>
      <c r="E120" s="76">
        <v>3.9399999999999998E-4</v>
      </c>
      <c r="F120" s="76">
        <v>6.3599999999999996E-4</v>
      </c>
      <c r="G120" s="76">
        <v>7.7899999999999996E-4</v>
      </c>
      <c r="H120" s="81">
        <v>1.06E-3</v>
      </c>
      <c r="I120" s="76">
        <v>1.25E-3</v>
      </c>
      <c r="J120" s="76">
        <v>1.4499999999999999E-3</v>
      </c>
      <c r="K120" s="76">
        <v>1.6199999999999999E-3</v>
      </c>
      <c r="L120" s="81">
        <v>1.7700000000000001E-3</v>
      </c>
      <c r="M120" s="76">
        <v>2.0400000000000001E-3</v>
      </c>
      <c r="N120" s="81"/>
      <c r="T120" s="81"/>
      <c r="W120" s="81"/>
      <c r="AF120" s="81"/>
      <c r="AG120" s="81"/>
      <c r="AS120" s="81"/>
      <c r="AT120" s="81"/>
      <c r="BV120" s="81"/>
      <c r="CI120" s="81"/>
      <c r="DL120" s="81"/>
      <c r="DY120" s="81"/>
      <c r="FB120" s="81"/>
    </row>
    <row r="121" spans="3:158" x14ac:dyDescent="0.15">
      <c r="C121" s="81">
        <v>588</v>
      </c>
      <c r="D121" s="76">
        <v>1.9100000000000001E-4</v>
      </c>
      <c r="E121" s="76">
        <v>3.6000000000000002E-4</v>
      </c>
      <c r="F121" s="76">
        <v>5.6800000000000004E-4</v>
      </c>
      <c r="G121" s="76">
        <v>6.9499999999999998E-4</v>
      </c>
      <c r="H121" s="81">
        <v>9.3199999999999999E-4</v>
      </c>
      <c r="I121" s="76">
        <v>1.1299999999999999E-3</v>
      </c>
      <c r="J121" s="76">
        <v>1.32E-3</v>
      </c>
      <c r="K121" s="76">
        <v>1.5399999999999999E-3</v>
      </c>
      <c r="L121" s="81">
        <v>1.6299999999999999E-3</v>
      </c>
      <c r="M121" s="76">
        <v>1.8400000000000001E-3</v>
      </c>
      <c r="N121" s="81"/>
      <c r="T121" s="81"/>
      <c r="W121" s="81"/>
      <c r="AF121" s="81"/>
      <c r="AG121" s="81"/>
      <c r="AS121" s="81"/>
      <c r="AT121" s="81"/>
      <c r="BV121" s="81"/>
      <c r="CI121" s="81"/>
      <c r="DL121" s="81"/>
      <c r="DY121" s="81"/>
      <c r="FB121" s="81"/>
    </row>
    <row r="122" spans="3:158" x14ac:dyDescent="0.15">
      <c r="C122" s="81">
        <v>590</v>
      </c>
      <c r="D122" s="76">
        <v>1.65E-4</v>
      </c>
      <c r="E122" s="76">
        <v>3.39E-4</v>
      </c>
      <c r="F122" s="76">
        <v>5.2800000000000004E-4</v>
      </c>
      <c r="G122" s="76">
        <v>6.3199999999999997E-4</v>
      </c>
      <c r="H122" s="81">
        <v>8.1800000000000004E-4</v>
      </c>
      <c r="I122" s="76">
        <v>1.0399999999999999E-3</v>
      </c>
      <c r="J122" s="76">
        <v>1.1900000000000001E-3</v>
      </c>
      <c r="K122" s="76">
        <v>1.3600000000000001E-3</v>
      </c>
      <c r="L122" s="81">
        <v>1.5E-3</v>
      </c>
      <c r="M122" s="76">
        <v>1.7099999999999999E-3</v>
      </c>
      <c r="N122" s="81"/>
      <c r="T122" s="81"/>
      <c r="W122" s="81"/>
      <c r="AF122" s="81"/>
      <c r="AG122" s="81"/>
      <c r="AS122" s="81"/>
      <c r="AT122" s="81"/>
      <c r="BV122" s="81"/>
      <c r="CI122" s="81"/>
      <c r="DL122" s="81"/>
      <c r="DY122" s="81"/>
      <c r="FB122" s="81"/>
    </row>
    <row r="123" spans="3:158" x14ac:dyDescent="0.15">
      <c r="C123" s="81">
        <v>592</v>
      </c>
      <c r="D123" s="76">
        <v>1.46E-4</v>
      </c>
      <c r="E123" s="76">
        <v>3.1799999999999998E-4</v>
      </c>
      <c r="F123" s="76">
        <v>4.8099999999999998E-4</v>
      </c>
      <c r="G123" s="76">
        <v>5.6099999999999998E-4</v>
      </c>
      <c r="H123" s="81">
        <v>7.76E-4</v>
      </c>
      <c r="I123" s="76">
        <v>9.68E-4</v>
      </c>
      <c r="J123" s="76">
        <v>1.1000000000000001E-3</v>
      </c>
      <c r="K123" s="76">
        <v>1.2899999999999999E-3</v>
      </c>
      <c r="L123" s="81">
        <v>1.3500000000000001E-3</v>
      </c>
      <c r="M123" s="76">
        <v>1.5499999999999999E-3</v>
      </c>
      <c r="N123" s="81"/>
      <c r="T123" s="81"/>
      <c r="W123" s="81"/>
      <c r="AF123" s="81"/>
      <c r="AG123" s="81"/>
      <c r="AS123" s="81"/>
      <c r="AT123" s="81"/>
      <c r="BV123" s="81"/>
      <c r="CI123" s="81"/>
      <c r="DL123" s="81"/>
      <c r="DY123" s="81"/>
      <c r="FB123" s="81"/>
    </row>
    <row r="124" spans="3:158" x14ac:dyDescent="0.15">
      <c r="C124" s="81">
        <v>594</v>
      </c>
      <c r="D124" s="76">
        <v>1.4200000000000001E-4</v>
      </c>
      <c r="E124" s="76">
        <v>2.9300000000000002E-4</v>
      </c>
      <c r="F124" s="76">
        <v>4.28E-4</v>
      </c>
      <c r="G124" s="76">
        <v>5.22E-4</v>
      </c>
      <c r="H124" s="81">
        <v>7.1400000000000001E-4</v>
      </c>
      <c r="I124" s="76">
        <v>8.6799999999999996E-4</v>
      </c>
      <c r="J124" s="76">
        <v>9.9099999999999991E-4</v>
      </c>
      <c r="K124" s="76">
        <v>1.16E-3</v>
      </c>
      <c r="L124" s="81">
        <v>1.2600000000000001E-3</v>
      </c>
      <c r="M124" s="76">
        <v>1.4599999999999999E-3</v>
      </c>
      <c r="N124" s="81"/>
      <c r="T124" s="81"/>
      <c r="W124" s="81"/>
      <c r="AF124" s="81"/>
      <c r="AG124" s="81"/>
      <c r="AS124" s="81"/>
      <c r="AT124" s="81"/>
      <c r="BV124" s="81"/>
      <c r="CI124" s="81"/>
      <c r="DL124" s="81"/>
      <c r="DY124" s="81"/>
      <c r="FB124" s="81"/>
    </row>
    <row r="125" spans="3:158" x14ac:dyDescent="0.15">
      <c r="C125" s="81">
        <v>596</v>
      </c>
      <c r="D125" s="76">
        <v>1.2300000000000001E-4</v>
      </c>
      <c r="E125" s="76">
        <v>2.9100000000000003E-4</v>
      </c>
      <c r="F125" s="76">
        <v>4.15E-4</v>
      </c>
      <c r="G125" s="76">
        <v>4.7199999999999998E-4</v>
      </c>
      <c r="H125" s="81">
        <v>6.5499999999999998E-4</v>
      </c>
      <c r="I125" s="76">
        <v>8.3799999999999999E-4</v>
      </c>
      <c r="J125" s="76">
        <v>8.9700000000000001E-4</v>
      </c>
      <c r="K125" s="76">
        <v>1.07E-3</v>
      </c>
      <c r="L125" s="81">
        <v>1.15E-3</v>
      </c>
      <c r="M125" s="76">
        <v>1.3799999999999999E-3</v>
      </c>
      <c r="N125" s="81"/>
      <c r="T125" s="81"/>
      <c r="W125" s="81"/>
      <c r="AF125" s="81"/>
      <c r="AG125" s="81"/>
      <c r="AS125" s="81"/>
      <c r="AT125" s="81"/>
      <c r="BV125" s="81"/>
      <c r="CI125" s="81"/>
      <c r="DL125" s="81"/>
      <c r="DY125" s="81"/>
      <c r="FB125" s="81"/>
    </row>
    <row r="126" spans="3:158" x14ac:dyDescent="0.15">
      <c r="C126" s="81">
        <v>598</v>
      </c>
      <c r="D126" s="76">
        <v>1.18E-4</v>
      </c>
      <c r="E126" s="76">
        <v>2.7599999999999999E-4</v>
      </c>
      <c r="F126" s="76">
        <v>3.7399999999999998E-4</v>
      </c>
      <c r="G126" s="76">
        <v>4.5100000000000001E-4</v>
      </c>
      <c r="H126" s="81">
        <v>5.5800000000000001E-4</v>
      </c>
      <c r="I126" s="76">
        <v>7.4399999999999998E-4</v>
      </c>
      <c r="J126" s="76">
        <v>8.1599999999999999E-4</v>
      </c>
      <c r="K126" s="76">
        <v>1.0499999999999999E-3</v>
      </c>
      <c r="L126" s="81">
        <v>1.0399999999999999E-3</v>
      </c>
      <c r="M126" s="76">
        <v>1.2099999999999999E-3</v>
      </c>
      <c r="N126" s="81"/>
      <c r="T126" s="81"/>
      <c r="W126" s="81"/>
      <c r="AF126" s="81"/>
      <c r="AG126" s="81"/>
      <c r="AS126" s="81"/>
      <c r="AT126" s="81"/>
      <c r="BV126" s="81"/>
      <c r="CI126" s="81"/>
      <c r="DL126" s="81"/>
      <c r="DY126" s="81"/>
      <c r="FB126" s="81"/>
    </row>
    <row r="127" spans="3:158" x14ac:dyDescent="0.15">
      <c r="C127" s="81">
        <v>600</v>
      </c>
      <c r="D127" s="76">
        <v>1.0900000000000001E-4</v>
      </c>
      <c r="E127" s="76">
        <v>2.5700000000000001E-4</v>
      </c>
      <c r="F127" s="76">
        <v>3.5E-4</v>
      </c>
      <c r="G127" s="76">
        <v>4.1599999999999997E-4</v>
      </c>
      <c r="H127" s="81">
        <v>5.1199999999999998E-4</v>
      </c>
      <c r="I127" s="76">
        <v>6.7299999999999999E-4</v>
      </c>
      <c r="J127" s="76">
        <v>7.5799999999999999E-4</v>
      </c>
      <c r="K127" s="76">
        <v>9.2500000000000004E-4</v>
      </c>
      <c r="L127" s="81">
        <v>8.7699999999999996E-4</v>
      </c>
      <c r="M127" s="76">
        <v>1.14E-3</v>
      </c>
      <c r="N127" s="81"/>
      <c r="T127" s="81"/>
      <c r="W127" s="81"/>
      <c r="AF127" s="81"/>
      <c r="AG127" s="81"/>
      <c r="AS127" s="81"/>
      <c r="AT127" s="81"/>
      <c r="BV127" s="81"/>
      <c r="CI127" s="81"/>
      <c r="DL127" s="81"/>
      <c r="DY127" s="81"/>
      <c r="FB127" s="81"/>
    </row>
    <row r="128" spans="3:158" x14ac:dyDescent="0.15">
      <c r="C128" s="81">
        <v>602</v>
      </c>
      <c r="D128" s="76">
        <v>1.01E-4</v>
      </c>
      <c r="E128" s="76">
        <v>2.3699999999999999E-4</v>
      </c>
      <c r="F128" s="76">
        <v>3.0400000000000002E-4</v>
      </c>
      <c r="G128" s="76">
        <v>3.9399999999999998E-4</v>
      </c>
      <c r="H128" s="81">
        <v>4.8899999999999996E-4</v>
      </c>
      <c r="I128" s="76">
        <v>6.1200000000000002E-4</v>
      </c>
      <c r="J128" s="76">
        <v>6.9700000000000003E-4</v>
      </c>
      <c r="K128" s="76">
        <v>8.6200000000000003E-4</v>
      </c>
      <c r="L128" s="81">
        <v>9.1500000000000001E-4</v>
      </c>
      <c r="M128" s="76">
        <v>1.0200000000000001E-3</v>
      </c>
      <c r="N128" s="81"/>
      <c r="T128" s="81"/>
      <c r="W128" s="81"/>
      <c r="AF128" s="81"/>
      <c r="AG128" s="81"/>
      <c r="AS128" s="81"/>
      <c r="AT128" s="81"/>
      <c r="BV128" s="81"/>
      <c r="CI128" s="81"/>
      <c r="DL128" s="81"/>
      <c r="DY128" s="81"/>
      <c r="FB128" s="81"/>
    </row>
    <row r="129" spans="3:168" x14ac:dyDescent="0.15">
      <c r="C129" s="81">
        <v>604</v>
      </c>
      <c r="D129" s="76">
        <v>9.0199999999999997E-5</v>
      </c>
      <c r="E129" s="76">
        <v>2.2100000000000001E-4</v>
      </c>
      <c r="F129" s="76">
        <v>2.7099999999999997E-4</v>
      </c>
      <c r="G129" s="76">
        <v>3.6499999999999998E-4</v>
      </c>
      <c r="H129" s="81">
        <v>4.1300000000000001E-4</v>
      </c>
      <c r="I129" s="76">
        <v>5.9500000000000004E-4</v>
      </c>
      <c r="J129" s="76">
        <v>6.6500000000000001E-4</v>
      </c>
      <c r="K129" s="76">
        <v>7.8299999999999995E-4</v>
      </c>
      <c r="L129" s="81">
        <v>7.9000000000000001E-4</v>
      </c>
      <c r="M129" s="76">
        <v>9.5500000000000001E-4</v>
      </c>
      <c r="N129" s="81"/>
      <c r="T129" s="81"/>
      <c r="W129" s="81"/>
      <c r="AF129" s="81"/>
      <c r="AG129" s="81"/>
      <c r="AS129" s="81"/>
      <c r="AT129" s="81"/>
      <c r="BV129" s="81"/>
      <c r="CI129" s="81"/>
      <c r="DL129" s="81"/>
      <c r="DY129" s="81"/>
      <c r="FB129" s="81"/>
    </row>
    <row r="130" spans="3:168" x14ac:dyDescent="0.15">
      <c r="C130" s="81">
        <v>606</v>
      </c>
      <c r="D130" s="76">
        <v>8.0599999999999994E-5</v>
      </c>
      <c r="E130" s="76">
        <v>2.1900000000000001E-4</v>
      </c>
      <c r="F130" s="76">
        <v>2.5999999999999998E-4</v>
      </c>
      <c r="G130" s="76">
        <v>3.5599999999999998E-4</v>
      </c>
      <c r="H130" s="81">
        <v>3.7800000000000003E-4</v>
      </c>
      <c r="I130" s="76">
        <v>5.62E-4</v>
      </c>
      <c r="J130" s="76">
        <v>5.6800000000000004E-4</v>
      </c>
      <c r="K130" s="76">
        <v>7.0899999999999999E-4</v>
      </c>
      <c r="L130" s="81">
        <v>6.8000000000000005E-4</v>
      </c>
      <c r="M130" s="76">
        <v>8.4199999999999998E-4</v>
      </c>
      <c r="N130" s="81"/>
      <c r="T130" s="81"/>
      <c r="W130" s="81"/>
      <c r="AF130" s="81"/>
      <c r="AG130" s="81"/>
      <c r="AS130" s="81"/>
      <c r="AT130" s="81"/>
      <c r="BV130" s="81"/>
      <c r="CI130" s="81"/>
      <c r="DL130" s="81"/>
      <c r="DY130" s="81"/>
      <c r="FB130" s="81"/>
    </row>
    <row r="131" spans="3:168" x14ac:dyDescent="0.15">
      <c r="C131" s="81">
        <v>608</v>
      </c>
      <c r="D131" s="76">
        <v>8.1500000000000002E-5</v>
      </c>
      <c r="E131" s="76">
        <v>2.1699999999999999E-4</v>
      </c>
      <c r="F131" s="76">
        <v>2.3000000000000001E-4</v>
      </c>
      <c r="G131" s="76">
        <v>2.9799999999999998E-4</v>
      </c>
      <c r="H131" s="81">
        <v>3.8900000000000002E-4</v>
      </c>
      <c r="I131" s="76">
        <v>5.0500000000000002E-4</v>
      </c>
      <c r="J131" s="76">
        <v>5.6999999999999998E-4</v>
      </c>
      <c r="K131" s="76">
        <v>7.0699999999999995E-4</v>
      </c>
      <c r="L131" s="81">
        <v>6.2699999999999995E-4</v>
      </c>
      <c r="M131" s="76">
        <v>8.43E-4</v>
      </c>
      <c r="N131" s="81"/>
      <c r="T131" s="81"/>
      <c r="W131" s="81"/>
      <c r="AF131" s="81"/>
      <c r="AG131" s="81"/>
      <c r="AS131" s="81"/>
      <c r="AT131" s="81"/>
      <c r="BV131" s="81"/>
      <c r="CI131" s="81"/>
      <c r="DL131" s="81"/>
      <c r="DY131" s="81"/>
      <c r="FB131" s="81"/>
    </row>
    <row r="132" spans="3:168" x14ac:dyDescent="0.15">
      <c r="C132" s="81">
        <v>610</v>
      </c>
      <c r="D132" s="81">
        <v>7.2299999999999996E-5</v>
      </c>
      <c r="E132" s="81">
        <v>1.9100000000000001E-4</v>
      </c>
      <c r="F132" s="81">
        <v>2.1699999999999999E-4</v>
      </c>
      <c r="G132" s="81">
        <v>3.2499999999999999E-4</v>
      </c>
      <c r="H132" s="81">
        <v>3.6699999999999998E-4</v>
      </c>
      <c r="I132" s="81">
        <v>4.6700000000000002E-4</v>
      </c>
      <c r="J132" s="81">
        <v>5.22E-4</v>
      </c>
      <c r="K132" s="81">
        <v>6.0899999999999995E-4</v>
      </c>
      <c r="L132" s="81">
        <v>6.5499999999999998E-4</v>
      </c>
      <c r="M132" s="81">
        <v>7.7999999999999999E-4</v>
      </c>
      <c r="N132" s="81"/>
      <c r="O132" s="81"/>
      <c r="P132" s="81"/>
      <c r="Q132" s="81"/>
      <c r="R132" s="81"/>
      <c r="S132" s="81"/>
      <c r="T132" s="81"/>
      <c r="U132" s="81"/>
      <c r="V132" s="81"/>
      <c r="W132" s="81"/>
      <c r="X132" s="81"/>
      <c r="Y132" s="81"/>
      <c r="Z132" s="81"/>
      <c r="AA132" s="81"/>
      <c r="AB132" s="81"/>
      <c r="AC132" s="81"/>
      <c r="AD132" s="81"/>
      <c r="AF132" s="81"/>
      <c r="AG132" s="81"/>
      <c r="AH132" s="81"/>
      <c r="AI132" s="81"/>
      <c r="AJ132" s="81"/>
      <c r="AK132" s="81"/>
      <c r="AL132" s="81"/>
      <c r="AM132" s="81"/>
      <c r="AN132" s="81"/>
      <c r="AO132" s="81"/>
      <c r="AP132" s="81"/>
      <c r="AQ132" s="81"/>
      <c r="AS132" s="81"/>
      <c r="AT132" s="81"/>
      <c r="AU132" s="81"/>
      <c r="AV132" s="81"/>
      <c r="AW132" s="81"/>
      <c r="AX132" s="81"/>
      <c r="AY132" s="81"/>
      <c r="AZ132" s="81"/>
      <c r="BA132" s="81"/>
      <c r="BB132" s="81"/>
      <c r="BC132" s="81"/>
      <c r="BD132" s="81"/>
      <c r="BE132" s="81"/>
      <c r="BF132" s="81"/>
      <c r="BG132" s="81"/>
      <c r="BH132" s="81"/>
      <c r="BI132" s="81"/>
      <c r="BJ132" s="81"/>
      <c r="BK132" s="81"/>
      <c r="BL132" s="81"/>
      <c r="BM132" s="81"/>
      <c r="BN132" s="81"/>
      <c r="BO132" s="81"/>
      <c r="BP132" s="81"/>
      <c r="BQ132" s="81"/>
      <c r="BR132" s="81"/>
      <c r="BS132" s="81"/>
      <c r="BV132" s="81"/>
      <c r="BW132" s="81"/>
      <c r="BX132" s="81"/>
      <c r="BY132" s="81"/>
      <c r="BZ132" s="81"/>
      <c r="CA132" s="81"/>
      <c r="CB132" s="81"/>
      <c r="CC132" s="81"/>
      <c r="CD132" s="81"/>
      <c r="CE132" s="81"/>
      <c r="CF132" s="81"/>
      <c r="CI132" s="81"/>
      <c r="CJ132" s="81"/>
      <c r="CK132" s="81"/>
      <c r="CL132" s="81"/>
      <c r="CM132" s="81"/>
      <c r="CN132" s="81"/>
      <c r="CO132" s="81"/>
      <c r="CP132" s="81"/>
      <c r="CQ132" s="81"/>
      <c r="CR132" s="81"/>
      <c r="CS132" s="81"/>
      <c r="CT132" s="81"/>
      <c r="CU132" s="81"/>
      <c r="CV132" s="81"/>
      <c r="CW132" s="81"/>
      <c r="CX132" s="81"/>
      <c r="CY132" s="81"/>
      <c r="CZ132" s="81"/>
      <c r="DA132" s="81"/>
      <c r="DB132" s="81"/>
      <c r="DC132" s="81"/>
      <c r="DD132" s="81"/>
      <c r="DE132" s="81"/>
      <c r="DF132" s="81"/>
      <c r="DG132" s="81"/>
      <c r="DH132" s="81"/>
      <c r="DI132" s="81"/>
      <c r="DL132" s="81"/>
      <c r="DM132" s="81"/>
      <c r="DN132" s="81"/>
      <c r="DO132" s="81"/>
      <c r="DP132" s="81"/>
      <c r="DQ132" s="81"/>
      <c r="DR132" s="81"/>
      <c r="DS132" s="81"/>
      <c r="DT132" s="81"/>
      <c r="DU132" s="81"/>
      <c r="DV132" s="81"/>
      <c r="DY132" s="81"/>
      <c r="DZ132" s="81"/>
      <c r="EA132" s="81"/>
      <c r="EB132" s="81"/>
      <c r="EC132" s="81"/>
      <c r="ED132" s="81"/>
      <c r="EE132" s="81"/>
      <c r="EF132" s="81"/>
      <c r="EG132" s="81"/>
      <c r="EH132" s="81"/>
      <c r="EI132" s="81"/>
      <c r="EJ132" s="81"/>
      <c r="EK132" s="81"/>
      <c r="EL132" s="81"/>
      <c r="EM132" s="81"/>
      <c r="EN132" s="81"/>
      <c r="EO132" s="81"/>
      <c r="EP132" s="81"/>
      <c r="EQ132" s="81"/>
      <c r="ER132" s="81"/>
      <c r="ES132" s="81"/>
      <c r="ET132" s="81"/>
      <c r="EU132" s="81"/>
      <c r="EV132" s="81"/>
      <c r="EW132" s="81"/>
      <c r="EX132" s="81"/>
      <c r="EY132" s="81"/>
      <c r="FB132" s="81"/>
      <c r="FC132" s="81"/>
      <c r="FD132" s="81"/>
      <c r="FE132" s="81"/>
      <c r="FF132" s="81"/>
      <c r="FG132" s="81"/>
      <c r="FH132" s="81"/>
      <c r="FI132" s="81"/>
      <c r="FJ132" s="81"/>
      <c r="FK132" s="81"/>
      <c r="FL132" s="81"/>
    </row>
    <row r="133" spans="3:168" x14ac:dyDescent="0.15">
      <c r="C133" s="81">
        <v>612</v>
      </c>
      <c r="D133" s="76">
        <v>7.4400000000000006E-5</v>
      </c>
      <c r="E133" s="76">
        <v>1.85E-4</v>
      </c>
      <c r="F133" s="76">
        <v>1.85E-4</v>
      </c>
      <c r="G133" s="76">
        <v>3.1E-4</v>
      </c>
      <c r="H133" s="81">
        <v>2.9399999999999999E-4</v>
      </c>
      <c r="I133" s="76">
        <v>4.5899999999999999E-4</v>
      </c>
      <c r="J133" s="76">
        <v>4.86E-4</v>
      </c>
      <c r="K133" s="76">
        <v>5.9100000000000005E-4</v>
      </c>
      <c r="L133" s="81">
        <v>5.1500000000000005E-4</v>
      </c>
      <c r="M133" s="76">
        <v>6.7400000000000001E-4</v>
      </c>
      <c r="N133" s="81"/>
      <c r="T133" s="81"/>
      <c r="W133" s="81"/>
      <c r="AF133" s="81"/>
      <c r="AG133" s="81"/>
      <c r="AS133" s="81"/>
      <c r="AT133" s="81"/>
      <c r="BV133" s="81"/>
      <c r="CI133" s="81"/>
      <c r="DL133" s="81"/>
      <c r="DY133" s="81"/>
      <c r="FB133" s="81"/>
    </row>
    <row r="134" spans="3:168" x14ac:dyDescent="0.15">
      <c r="C134" s="76">
        <v>614</v>
      </c>
      <c r="D134" s="76">
        <v>6.3499999999999999E-5</v>
      </c>
      <c r="E134" s="76">
        <v>1.7699999999999999E-4</v>
      </c>
      <c r="F134" s="76">
        <v>1.6899999999999999E-4</v>
      </c>
      <c r="G134" s="76">
        <v>2.7500000000000002E-4</v>
      </c>
      <c r="H134" s="76">
        <v>2.6499999999999999E-4</v>
      </c>
      <c r="I134" s="76">
        <v>4.3100000000000001E-4</v>
      </c>
      <c r="J134" s="76">
        <v>4.4499999999999997E-4</v>
      </c>
      <c r="K134" s="76">
        <v>5.4000000000000001E-4</v>
      </c>
      <c r="L134" s="76">
        <v>4.75E-4</v>
      </c>
      <c r="M134" s="76">
        <v>5.9000000000000003E-4</v>
      </c>
    </row>
    <row r="135" spans="3:168" x14ac:dyDescent="0.15">
      <c r="C135" s="76">
        <v>616</v>
      </c>
      <c r="D135" s="76">
        <v>5.8999999999999998E-5</v>
      </c>
      <c r="E135" s="76">
        <v>1.6699999999999999E-4</v>
      </c>
      <c r="F135" s="76">
        <v>1.84E-4</v>
      </c>
      <c r="G135" s="76">
        <v>2.4399999999999999E-4</v>
      </c>
      <c r="H135" s="76">
        <v>2.5900000000000001E-4</v>
      </c>
      <c r="I135" s="76">
        <v>3.8000000000000002E-4</v>
      </c>
      <c r="J135" s="76">
        <v>4.0499999999999998E-4</v>
      </c>
      <c r="K135" s="76">
        <v>4.8099999999999998E-4</v>
      </c>
      <c r="L135" s="76">
        <v>4.55E-4</v>
      </c>
      <c r="M135" s="76">
        <v>5.9100000000000005E-4</v>
      </c>
    </row>
    <row r="136" spans="3:168" x14ac:dyDescent="0.15">
      <c r="C136" s="76">
        <v>618</v>
      </c>
      <c r="D136" s="76">
        <v>6.2700000000000006E-5</v>
      </c>
      <c r="E136" s="76">
        <v>1.45E-4</v>
      </c>
      <c r="F136" s="76">
        <v>1.3999999999999999E-4</v>
      </c>
      <c r="G136" s="76">
        <v>2.4800000000000001E-4</v>
      </c>
      <c r="H136" s="76">
        <v>2.4600000000000002E-4</v>
      </c>
      <c r="I136" s="76">
        <v>3.6499999999999998E-4</v>
      </c>
      <c r="J136" s="76">
        <v>4.2400000000000001E-4</v>
      </c>
      <c r="K136" s="76">
        <v>4.4999999999999999E-4</v>
      </c>
      <c r="L136" s="76">
        <v>5.8799999999999998E-4</v>
      </c>
      <c r="M136" s="76">
        <v>5.7300000000000005E-4</v>
      </c>
    </row>
    <row r="137" spans="3:168" x14ac:dyDescent="0.15">
      <c r="C137" s="76">
        <v>620</v>
      </c>
      <c r="D137" s="76">
        <v>5.7800000000000002E-5</v>
      </c>
      <c r="E137" s="76">
        <v>1.3999999999999999E-4</v>
      </c>
      <c r="F137" s="76">
        <v>1.3999999999999999E-4</v>
      </c>
      <c r="G137" s="76">
        <v>1.8599999999999999E-4</v>
      </c>
      <c r="H137" s="76">
        <v>2.05E-4</v>
      </c>
      <c r="I137" s="76">
        <v>3.4000000000000002E-4</v>
      </c>
      <c r="J137" s="76">
        <v>3.28E-4</v>
      </c>
      <c r="K137" s="76">
        <v>3.9599999999999998E-4</v>
      </c>
      <c r="L137" s="76">
        <v>3.88E-4</v>
      </c>
      <c r="M137" s="76">
        <v>5.3499999999999999E-4</v>
      </c>
    </row>
    <row r="138" spans="3:168" x14ac:dyDescent="0.15">
      <c r="C138" s="76">
        <v>622</v>
      </c>
      <c r="D138" s="76">
        <v>5.4599999999999999E-5</v>
      </c>
      <c r="E138" s="76">
        <v>1.35E-4</v>
      </c>
      <c r="F138" s="76">
        <v>1.34E-4</v>
      </c>
      <c r="G138" s="76">
        <v>2.1900000000000001E-4</v>
      </c>
      <c r="H138" s="76">
        <v>2.1100000000000001E-4</v>
      </c>
      <c r="I138" s="76">
        <v>2.5500000000000002E-4</v>
      </c>
      <c r="J138" s="76">
        <v>2.8400000000000002E-4</v>
      </c>
      <c r="K138" s="76">
        <v>3.9599999999999998E-4</v>
      </c>
      <c r="L138" s="76">
        <v>4.4499999999999997E-4</v>
      </c>
      <c r="M138" s="76">
        <v>5.1699999999999999E-4</v>
      </c>
    </row>
    <row r="139" spans="3:168" x14ac:dyDescent="0.15">
      <c r="C139" s="76">
        <v>624</v>
      </c>
      <c r="D139" s="76">
        <v>5.3699999999999997E-5</v>
      </c>
      <c r="E139" s="76">
        <v>1.16E-4</v>
      </c>
      <c r="F139" s="76">
        <v>1.08E-4</v>
      </c>
      <c r="G139" s="76">
        <v>2.2100000000000001E-4</v>
      </c>
      <c r="H139" s="76">
        <v>1.9699999999999999E-4</v>
      </c>
      <c r="I139" s="76">
        <v>2.4699999999999999E-4</v>
      </c>
      <c r="J139" s="76">
        <v>2.9599999999999998E-4</v>
      </c>
      <c r="K139" s="76">
        <v>3.4400000000000001E-4</v>
      </c>
      <c r="L139" s="76">
        <v>4.1899999999999999E-4</v>
      </c>
      <c r="M139" s="76">
        <v>4.8700000000000002E-4</v>
      </c>
    </row>
    <row r="140" spans="3:168" x14ac:dyDescent="0.15">
      <c r="C140" s="76">
        <v>626</v>
      </c>
      <c r="D140" s="76">
        <v>4.7500000000000003E-5</v>
      </c>
      <c r="E140" s="76">
        <v>9.6500000000000001E-5</v>
      </c>
      <c r="F140" s="76">
        <v>9.6600000000000003E-5</v>
      </c>
      <c r="G140" s="76">
        <v>2.2699999999999999E-4</v>
      </c>
      <c r="H140" s="76">
        <v>1.9799999999999999E-4</v>
      </c>
      <c r="I140" s="76">
        <v>2.9E-4</v>
      </c>
      <c r="J140" s="76">
        <v>3.3700000000000001E-4</v>
      </c>
      <c r="K140" s="76">
        <v>3.3599999999999998E-4</v>
      </c>
      <c r="L140" s="76">
        <v>3.9800000000000002E-4</v>
      </c>
      <c r="M140" s="76">
        <v>4.55E-4</v>
      </c>
    </row>
    <row r="141" spans="3:168" x14ac:dyDescent="0.15">
      <c r="C141" s="76">
        <v>628</v>
      </c>
      <c r="D141" s="76">
        <v>4.6199999999999998E-5</v>
      </c>
      <c r="E141" s="76">
        <v>8.5599999999999994E-5</v>
      </c>
      <c r="F141" s="76">
        <v>9.2600000000000001E-5</v>
      </c>
      <c r="G141" s="76">
        <v>1.92E-4</v>
      </c>
      <c r="H141" s="76">
        <v>1.9799999999999999E-4</v>
      </c>
      <c r="I141" s="76">
        <v>2.7399999999999999E-4</v>
      </c>
      <c r="J141" s="76">
        <v>2.9300000000000002E-4</v>
      </c>
      <c r="K141" s="76">
        <v>2.7900000000000001E-4</v>
      </c>
      <c r="L141" s="76">
        <v>3.6099999999999999E-4</v>
      </c>
      <c r="M141" s="76">
        <v>4.17E-4</v>
      </c>
    </row>
    <row r="142" spans="3:168" x14ac:dyDescent="0.15">
      <c r="C142" s="76">
        <v>630</v>
      </c>
      <c r="D142" s="76">
        <v>4.9299999999999999E-5</v>
      </c>
      <c r="E142" s="76">
        <v>7.7899999999999996E-5</v>
      </c>
      <c r="F142" s="76">
        <v>8.3399999999999994E-5</v>
      </c>
      <c r="G142" s="76">
        <v>1.75E-4</v>
      </c>
      <c r="H142" s="76">
        <v>1.7899999999999999E-4</v>
      </c>
      <c r="I142" s="76">
        <v>2.2100000000000001E-4</v>
      </c>
      <c r="J142" s="76">
        <v>2.7599999999999999E-4</v>
      </c>
      <c r="K142" s="76">
        <v>2.13E-4</v>
      </c>
      <c r="L142" s="76">
        <v>3.1199999999999999E-4</v>
      </c>
      <c r="M142" s="76">
        <v>3.88E-4</v>
      </c>
    </row>
    <row r="143" spans="3:168" x14ac:dyDescent="0.15">
      <c r="C143" s="76">
        <v>632</v>
      </c>
      <c r="D143" s="76">
        <v>4.7200000000000002E-5</v>
      </c>
      <c r="E143" s="76">
        <v>7.2299999999999996E-5</v>
      </c>
      <c r="F143" s="76">
        <v>9.1199999999999994E-5</v>
      </c>
      <c r="G143" s="76">
        <v>1.75E-4</v>
      </c>
      <c r="H143" s="76">
        <v>1.6799999999999999E-4</v>
      </c>
      <c r="I143" s="76">
        <v>2.1599999999999999E-4</v>
      </c>
      <c r="J143" s="76">
        <v>2.7300000000000002E-4</v>
      </c>
      <c r="K143" s="76">
        <v>1.5699999999999999E-4</v>
      </c>
      <c r="L143" s="76">
        <v>3.4600000000000001E-4</v>
      </c>
      <c r="M143" s="76">
        <v>4.1100000000000002E-4</v>
      </c>
    </row>
    <row r="144" spans="3:168" x14ac:dyDescent="0.15">
      <c r="C144" s="76">
        <v>634</v>
      </c>
      <c r="D144" s="76">
        <v>4.6900000000000002E-5</v>
      </c>
      <c r="E144" s="76">
        <v>5.6900000000000001E-5</v>
      </c>
      <c r="F144" s="76">
        <v>8.3300000000000005E-5</v>
      </c>
      <c r="G144" s="76">
        <v>1.54E-4</v>
      </c>
      <c r="H144" s="76">
        <v>1.13E-4</v>
      </c>
      <c r="I144" s="76">
        <v>1.9699999999999999E-4</v>
      </c>
      <c r="J144" s="76">
        <v>2.9500000000000001E-4</v>
      </c>
      <c r="K144" s="76">
        <v>1.5699999999999999E-4</v>
      </c>
      <c r="L144" s="76">
        <v>3.2600000000000001E-4</v>
      </c>
      <c r="M144" s="76">
        <v>3.88E-4</v>
      </c>
    </row>
    <row r="145" spans="3:13" x14ac:dyDescent="0.15">
      <c r="C145" s="76">
        <v>636</v>
      </c>
      <c r="D145" s="76">
        <v>4.0000000000000003E-5</v>
      </c>
      <c r="E145" s="76">
        <v>4.71E-5</v>
      </c>
      <c r="F145" s="76">
        <v>1.1E-4</v>
      </c>
      <c r="G145" s="76">
        <v>1.7200000000000001E-4</v>
      </c>
      <c r="H145" s="76">
        <v>1.4799999999999999E-4</v>
      </c>
      <c r="I145" s="76">
        <v>2.1699999999999999E-4</v>
      </c>
      <c r="J145" s="76">
        <v>2.92E-4</v>
      </c>
      <c r="K145" s="76">
        <v>1.6100000000000001E-4</v>
      </c>
      <c r="L145" s="76">
        <v>3.2899999999999997E-4</v>
      </c>
      <c r="M145" s="76">
        <v>3.5799999999999997E-4</v>
      </c>
    </row>
    <row r="146" spans="3:13" x14ac:dyDescent="0.15">
      <c r="C146" s="76">
        <v>638</v>
      </c>
      <c r="D146" s="76">
        <v>4.2599999999999999E-5</v>
      </c>
      <c r="E146" s="76">
        <v>4.5300000000000003E-5</v>
      </c>
      <c r="F146" s="76">
        <v>7.4400000000000006E-5</v>
      </c>
      <c r="G146" s="76">
        <v>1.3999999999999999E-4</v>
      </c>
      <c r="H146" s="76">
        <v>2.1800000000000001E-4</v>
      </c>
      <c r="I146" s="76">
        <v>1.75E-4</v>
      </c>
      <c r="J146" s="76">
        <v>2.6499999999999999E-4</v>
      </c>
      <c r="K146" s="76">
        <v>1.35E-4</v>
      </c>
      <c r="L146" s="76">
        <v>3.3300000000000002E-4</v>
      </c>
      <c r="M146" s="76">
        <v>3.0400000000000002E-4</v>
      </c>
    </row>
    <row r="147" spans="3:13" x14ac:dyDescent="0.15">
      <c r="C147" s="76">
        <v>640</v>
      </c>
      <c r="D147" s="76">
        <v>4.0399999999999999E-5</v>
      </c>
      <c r="E147" s="76">
        <v>3.26E-5</v>
      </c>
      <c r="F147" s="76">
        <v>7.4999999999999993E-5</v>
      </c>
      <c r="G147" s="76">
        <v>1.5799999999999999E-4</v>
      </c>
      <c r="H147" s="76">
        <v>1.63E-4</v>
      </c>
      <c r="I147" s="76">
        <v>2.02E-4</v>
      </c>
      <c r="J147" s="76">
        <v>2.0799999999999999E-4</v>
      </c>
      <c r="K147" s="76">
        <v>6.8800000000000005E-5</v>
      </c>
      <c r="L147" s="76">
        <v>3.5E-4</v>
      </c>
      <c r="M147" s="76">
        <v>3.1100000000000002E-4</v>
      </c>
    </row>
    <row r="148" spans="3:13" x14ac:dyDescent="0.15">
      <c r="C148" s="76">
        <v>642</v>
      </c>
      <c r="D148" s="76">
        <v>3.96E-5</v>
      </c>
      <c r="E148" s="76">
        <v>1.6500000000000001E-5</v>
      </c>
      <c r="F148" s="76">
        <v>6.3899999999999995E-5</v>
      </c>
      <c r="G148" s="76">
        <v>1.4100000000000001E-4</v>
      </c>
      <c r="H148" s="76">
        <v>1.46E-4</v>
      </c>
      <c r="I148" s="76">
        <v>2.0900000000000001E-4</v>
      </c>
      <c r="J148" s="76">
        <v>2.2900000000000001E-4</v>
      </c>
      <c r="K148" s="76">
        <v>9.0000000000000006E-5</v>
      </c>
      <c r="L148" s="76">
        <v>2.6600000000000001E-4</v>
      </c>
      <c r="M148" s="76">
        <v>3.1500000000000001E-4</v>
      </c>
    </row>
    <row r="149" spans="3:13" x14ac:dyDescent="0.15">
      <c r="C149" s="76">
        <v>644</v>
      </c>
      <c r="D149" s="76">
        <v>3.7499999999999997E-5</v>
      </c>
      <c r="E149" s="76">
        <v>2.0400000000000001E-5</v>
      </c>
      <c r="F149" s="76">
        <v>7.5199999999999998E-5</v>
      </c>
      <c r="G149" s="76">
        <v>1.13E-4</v>
      </c>
      <c r="H149" s="76">
        <v>1.44E-4</v>
      </c>
      <c r="I149" s="76">
        <v>1.7699999999999999E-4</v>
      </c>
      <c r="J149" s="76">
        <v>2.3499999999999999E-4</v>
      </c>
      <c r="K149" s="76">
        <v>1.4300000000000001E-4</v>
      </c>
      <c r="L149" s="76">
        <v>2.8200000000000002E-4</v>
      </c>
      <c r="M149" s="76">
        <v>3.0600000000000001E-4</v>
      </c>
    </row>
    <row r="150" spans="3:13" x14ac:dyDescent="0.15">
      <c r="C150" s="76">
        <v>646</v>
      </c>
      <c r="D150" s="76">
        <v>4.1E-5</v>
      </c>
      <c r="E150" s="76">
        <v>1.0200000000000001E-5</v>
      </c>
      <c r="F150" s="76">
        <v>7.8499999999999997E-5</v>
      </c>
      <c r="G150" s="76">
        <v>1.1900000000000001E-4</v>
      </c>
      <c r="H150" s="76">
        <v>1.3899999999999999E-4</v>
      </c>
      <c r="I150" s="76">
        <v>1.4100000000000001E-4</v>
      </c>
      <c r="J150" s="76">
        <v>2.5300000000000002E-4</v>
      </c>
      <c r="K150" s="76">
        <v>1.3100000000000001E-4</v>
      </c>
      <c r="L150" s="76">
        <v>3.0200000000000002E-4</v>
      </c>
      <c r="M150" s="76">
        <v>2.9399999999999999E-4</v>
      </c>
    </row>
    <row r="151" spans="3:13" x14ac:dyDescent="0.15">
      <c r="C151" s="76">
        <v>648</v>
      </c>
      <c r="D151" s="76">
        <v>2.6699999999999998E-5</v>
      </c>
      <c r="E151" s="76">
        <v>2.5000000000000001E-5</v>
      </c>
      <c r="F151" s="76">
        <v>8.1899999999999999E-5</v>
      </c>
      <c r="G151" s="76">
        <v>1.11E-4</v>
      </c>
      <c r="H151" s="76">
        <v>1.75E-4</v>
      </c>
      <c r="I151" s="76">
        <v>1.2300000000000001E-4</v>
      </c>
      <c r="J151" s="76">
        <v>3.3100000000000002E-4</v>
      </c>
      <c r="K151" s="76">
        <v>1.54E-4</v>
      </c>
      <c r="L151" s="76">
        <v>3.48E-4</v>
      </c>
      <c r="M151" s="76">
        <v>2.7399999999999999E-4</v>
      </c>
    </row>
    <row r="152" spans="3:13" x14ac:dyDescent="0.15">
      <c r="C152" s="76">
        <v>650</v>
      </c>
      <c r="D152" s="76">
        <v>2.2099999999999998E-5</v>
      </c>
      <c r="E152" s="76">
        <v>3.3000000000000003E-5</v>
      </c>
      <c r="F152" s="76">
        <v>7.6000000000000004E-5</v>
      </c>
      <c r="G152" s="76">
        <v>1.07E-4</v>
      </c>
      <c r="H152" s="76">
        <v>1.45E-4</v>
      </c>
      <c r="I152" s="76">
        <v>1.07E-4</v>
      </c>
      <c r="J152" s="76">
        <v>1.9699999999999999E-4</v>
      </c>
      <c r="K152" s="76">
        <v>2.1100000000000001E-4</v>
      </c>
      <c r="L152" s="76">
        <v>3.4200000000000002E-4</v>
      </c>
      <c r="M152" s="76">
        <v>3.1199999999999999E-4</v>
      </c>
    </row>
    <row r="153" spans="3:13" x14ac:dyDescent="0.15">
      <c r="C153" s="76">
        <v>652</v>
      </c>
      <c r="D153" s="76">
        <v>2.9799999999999999E-5</v>
      </c>
      <c r="E153" s="76">
        <v>2.73E-5</v>
      </c>
      <c r="F153" s="76">
        <v>8.1199999999999995E-5</v>
      </c>
      <c r="G153" s="76">
        <v>1.2899999999999999E-4</v>
      </c>
      <c r="H153" s="76">
        <v>1.5799999999999999E-4</v>
      </c>
      <c r="I153" s="76">
        <v>1.1400000000000001E-4</v>
      </c>
      <c r="J153" s="76">
        <v>1.9100000000000001E-4</v>
      </c>
      <c r="K153" s="76">
        <v>1.7699999999999999E-4</v>
      </c>
      <c r="L153" s="76">
        <v>3.19E-4</v>
      </c>
      <c r="M153" s="76">
        <v>2.7300000000000002E-4</v>
      </c>
    </row>
    <row r="154" spans="3:13" x14ac:dyDescent="0.15">
      <c r="C154" s="76">
        <v>654</v>
      </c>
      <c r="D154" s="76">
        <v>2.55E-5</v>
      </c>
      <c r="E154" s="76">
        <v>1.5400000000000002E-5</v>
      </c>
      <c r="F154" s="76">
        <v>1.37E-4</v>
      </c>
      <c r="G154" s="76">
        <v>8.0900000000000001E-5</v>
      </c>
      <c r="H154" s="76">
        <v>9.9699999999999998E-5</v>
      </c>
      <c r="I154" s="76">
        <v>1.2999999999999999E-4</v>
      </c>
      <c r="J154" s="76">
        <v>2.3900000000000001E-4</v>
      </c>
      <c r="K154" s="76">
        <v>1.2999999999999999E-4</v>
      </c>
      <c r="L154" s="76">
        <v>2.7300000000000002E-4</v>
      </c>
      <c r="M154" s="76">
        <v>2.05E-4</v>
      </c>
    </row>
    <row r="155" spans="3:13" x14ac:dyDescent="0.15">
      <c r="C155" s="76">
        <v>656</v>
      </c>
      <c r="D155" s="76">
        <v>1.7499999999999998E-5</v>
      </c>
      <c r="E155" s="76">
        <v>1.42E-5</v>
      </c>
      <c r="F155" s="76">
        <v>9.0199999999999997E-5</v>
      </c>
      <c r="G155" s="76">
        <v>9.0000000000000006E-5</v>
      </c>
      <c r="H155" s="76">
        <v>1.12E-4</v>
      </c>
      <c r="I155" s="76">
        <v>9.09E-5</v>
      </c>
      <c r="J155" s="76">
        <v>1.7899999999999999E-4</v>
      </c>
      <c r="K155" s="76">
        <v>2.2000000000000001E-4</v>
      </c>
      <c r="L155" s="76">
        <v>3.0200000000000002E-4</v>
      </c>
      <c r="M155" s="76">
        <v>2.3900000000000001E-4</v>
      </c>
    </row>
    <row r="156" spans="3:13" x14ac:dyDescent="0.15">
      <c r="C156" s="76">
        <v>658</v>
      </c>
      <c r="D156" s="76">
        <v>1.9199999999999999E-5</v>
      </c>
      <c r="E156" s="76">
        <v>1.9700000000000001E-5</v>
      </c>
      <c r="F156" s="76">
        <v>1.06E-4</v>
      </c>
      <c r="G156" s="76">
        <v>7.6500000000000003E-5</v>
      </c>
      <c r="H156" s="76">
        <v>1.2E-4</v>
      </c>
      <c r="I156" s="76">
        <v>6.4399999999999993E-5</v>
      </c>
      <c r="J156" s="76">
        <v>1.7699999999999999E-4</v>
      </c>
      <c r="K156" s="76">
        <v>1.74E-4</v>
      </c>
      <c r="L156" s="76">
        <v>3.0600000000000001E-4</v>
      </c>
      <c r="M156" s="76">
        <v>2.3000000000000001E-4</v>
      </c>
    </row>
    <row r="157" spans="3:13" x14ac:dyDescent="0.15">
      <c r="C157" s="76">
        <v>660</v>
      </c>
      <c r="D157" s="76">
        <v>2.0100000000000001E-5</v>
      </c>
      <c r="E157" s="76">
        <v>1.15E-5</v>
      </c>
      <c r="F157" s="76">
        <v>9.4500000000000007E-5</v>
      </c>
      <c r="G157" s="76">
        <v>1.2300000000000001E-4</v>
      </c>
      <c r="H157" s="76">
        <v>1.54E-4</v>
      </c>
      <c r="I157" s="76">
        <v>7.1299999999999998E-5</v>
      </c>
      <c r="J157" s="76">
        <v>2.05E-4</v>
      </c>
      <c r="K157" s="76">
        <v>2.1900000000000001E-4</v>
      </c>
      <c r="L157" s="76">
        <v>2.3699999999999999E-4</v>
      </c>
      <c r="M157" s="76">
        <v>1.5699999999999999E-4</v>
      </c>
    </row>
    <row r="158" spans="3:13" x14ac:dyDescent="0.15">
      <c r="C158" s="76">
        <v>662</v>
      </c>
      <c r="D158" s="76">
        <v>2.1500000000000001E-5</v>
      </c>
      <c r="E158" s="76">
        <v>3.2700000000000002E-5</v>
      </c>
      <c r="F158" s="76">
        <v>8.3700000000000002E-5</v>
      </c>
      <c r="G158" s="76">
        <v>7.8800000000000004E-5</v>
      </c>
      <c r="H158" s="76">
        <v>1.16E-4</v>
      </c>
      <c r="I158" s="76">
        <v>2.3499999999999999E-5</v>
      </c>
      <c r="J158" s="76">
        <v>1.7200000000000001E-4</v>
      </c>
      <c r="K158" s="76">
        <v>2.04E-4</v>
      </c>
      <c r="L158" s="76">
        <v>2.5700000000000001E-4</v>
      </c>
      <c r="M158" s="76">
        <v>1.4899999999999999E-4</v>
      </c>
    </row>
    <row r="159" spans="3:13" x14ac:dyDescent="0.15">
      <c r="C159" s="76">
        <v>664</v>
      </c>
      <c r="D159" s="76">
        <v>1.0699999999999999E-5</v>
      </c>
      <c r="E159" s="76">
        <v>3.7100000000000001E-5</v>
      </c>
      <c r="F159" s="76">
        <v>1.02E-4</v>
      </c>
      <c r="G159" s="76">
        <v>6.6199999999999996E-5</v>
      </c>
      <c r="H159" s="76">
        <v>9.9699999999999998E-5</v>
      </c>
      <c r="I159" s="76">
        <v>3.6199999999999999E-5</v>
      </c>
      <c r="J159" s="76">
        <v>1.06E-4</v>
      </c>
      <c r="K159" s="76">
        <v>2.8499999999999999E-4</v>
      </c>
      <c r="L159" s="76">
        <v>2.4499999999999999E-4</v>
      </c>
      <c r="M159" s="76">
        <v>1.47E-4</v>
      </c>
    </row>
    <row r="160" spans="3:13" x14ac:dyDescent="0.15">
      <c r="C160" s="76">
        <v>666</v>
      </c>
      <c r="D160" s="76">
        <v>8.4300000000000006E-6</v>
      </c>
      <c r="E160" s="76">
        <v>2.9499999999999999E-5</v>
      </c>
      <c r="F160" s="76">
        <v>8.4400000000000005E-5</v>
      </c>
      <c r="G160" s="76">
        <v>8.2399999999999997E-5</v>
      </c>
      <c r="H160" s="76">
        <v>1.13E-4</v>
      </c>
      <c r="I160" s="76">
        <v>5.2299999999999997E-5</v>
      </c>
      <c r="J160" s="76">
        <v>1.6100000000000001E-4</v>
      </c>
      <c r="K160" s="76">
        <v>2.2100000000000001E-4</v>
      </c>
      <c r="L160" s="76">
        <v>2.1599999999999999E-4</v>
      </c>
      <c r="M160" s="76">
        <v>1.37E-4</v>
      </c>
    </row>
    <row r="161" spans="3:13" x14ac:dyDescent="0.15">
      <c r="C161" s="76">
        <v>668</v>
      </c>
      <c r="D161" s="76">
        <v>1.38E-5</v>
      </c>
      <c r="E161" s="76">
        <v>3.8600000000000003E-5</v>
      </c>
      <c r="F161" s="76">
        <v>1.15E-4</v>
      </c>
      <c r="G161" s="76">
        <v>9.1000000000000003E-5</v>
      </c>
      <c r="H161" s="76">
        <v>9.4900000000000003E-5</v>
      </c>
      <c r="I161" s="76">
        <v>5.7599999999999997E-5</v>
      </c>
      <c r="J161" s="76">
        <v>1.45E-4</v>
      </c>
      <c r="K161" s="76">
        <v>2.7099999999999997E-4</v>
      </c>
      <c r="L161" s="76">
        <v>1.6200000000000001E-4</v>
      </c>
      <c r="M161" s="76">
        <v>1.06E-4</v>
      </c>
    </row>
    <row r="162" spans="3:13" x14ac:dyDescent="0.15">
      <c r="C162" s="76">
        <v>670</v>
      </c>
      <c r="D162" s="76">
        <v>1.24E-5</v>
      </c>
      <c r="E162" s="76">
        <v>4.3300000000000002E-5</v>
      </c>
      <c r="F162" s="76">
        <v>9.98E-5</v>
      </c>
      <c r="G162" s="76">
        <v>4.3099999999999997E-5</v>
      </c>
      <c r="H162" s="76">
        <v>8.53E-5</v>
      </c>
      <c r="I162" s="76">
        <v>6.9300000000000004E-5</v>
      </c>
      <c r="J162" s="76">
        <v>1.6799999999999999E-4</v>
      </c>
      <c r="K162" s="76">
        <v>2.4000000000000001E-4</v>
      </c>
      <c r="L162" s="76">
        <v>1.34E-4</v>
      </c>
      <c r="M162" s="76">
        <v>7.0300000000000001E-5</v>
      </c>
    </row>
    <row r="163" spans="3:13" x14ac:dyDescent="0.15">
      <c r="C163" s="76">
        <v>672</v>
      </c>
      <c r="D163" s="76">
        <v>1.7600000000000001E-5</v>
      </c>
      <c r="E163" s="76">
        <v>6.4700000000000001E-5</v>
      </c>
      <c r="F163" s="76">
        <v>8.4499999999999994E-5</v>
      </c>
      <c r="G163" s="76">
        <v>6.9099999999999999E-5</v>
      </c>
      <c r="H163" s="76">
        <v>8.53E-5</v>
      </c>
      <c r="I163" s="76">
        <v>4.32E-5</v>
      </c>
      <c r="J163" s="76">
        <v>1.83E-4</v>
      </c>
      <c r="K163" s="76">
        <v>3.39E-4</v>
      </c>
      <c r="L163" s="76">
        <v>2.2599999999999999E-4</v>
      </c>
      <c r="M163" s="76">
        <v>6.1099999999999994E-5</v>
      </c>
    </row>
    <row r="164" spans="3:13" x14ac:dyDescent="0.15">
      <c r="C164" s="76">
        <v>674</v>
      </c>
      <c r="D164" s="76">
        <v>2.4499999999999999E-5</v>
      </c>
      <c r="E164" s="76">
        <v>4.9400000000000001E-5</v>
      </c>
      <c r="F164" s="76">
        <v>8.1199999999999995E-5</v>
      </c>
      <c r="G164" s="76">
        <v>8.3499999999999997E-5</v>
      </c>
      <c r="H164" s="76">
        <v>4.0000000000000003E-5</v>
      </c>
      <c r="I164" s="76">
        <v>1.16E-4</v>
      </c>
      <c r="J164" s="76">
        <v>1.8200000000000001E-4</v>
      </c>
      <c r="K164" s="76">
        <v>2.6400000000000002E-4</v>
      </c>
      <c r="L164" s="76">
        <v>1.6100000000000001E-4</v>
      </c>
      <c r="M164" s="76">
        <v>1.2899999999999999E-4</v>
      </c>
    </row>
    <row r="165" spans="3:13" x14ac:dyDescent="0.15">
      <c r="C165" s="76">
        <v>676</v>
      </c>
      <c r="D165" s="76">
        <v>1.9000000000000001E-5</v>
      </c>
      <c r="E165" s="76">
        <v>5.8600000000000001E-5</v>
      </c>
      <c r="F165" s="76">
        <v>5.94E-5</v>
      </c>
      <c r="G165" s="76">
        <v>7.4900000000000005E-5</v>
      </c>
      <c r="H165" s="76">
        <v>2.8200000000000001E-5</v>
      </c>
      <c r="I165" s="76">
        <v>8.7899999999999995E-5</v>
      </c>
      <c r="J165" s="76">
        <v>1.3899999999999999E-4</v>
      </c>
      <c r="K165" s="76">
        <v>2.4399999999999999E-4</v>
      </c>
      <c r="L165" s="76">
        <v>1.25E-4</v>
      </c>
      <c r="M165" s="76">
        <v>5.0000000000000002E-5</v>
      </c>
    </row>
    <row r="166" spans="3:13" x14ac:dyDescent="0.15">
      <c r="C166" s="76">
        <v>678</v>
      </c>
      <c r="D166" s="76">
        <v>1.49E-5</v>
      </c>
      <c r="E166" s="76">
        <v>6.6299999999999999E-5</v>
      </c>
      <c r="F166" s="76">
        <v>8.7100000000000003E-5</v>
      </c>
      <c r="G166" s="76">
        <v>8.8499999999999996E-5</v>
      </c>
      <c r="H166" s="76">
        <v>1.1400000000000001E-4</v>
      </c>
      <c r="I166" s="76">
        <v>7.6000000000000004E-5</v>
      </c>
      <c r="J166" s="76">
        <v>1.1E-4</v>
      </c>
      <c r="K166" s="76">
        <v>2.05E-4</v>
      </c>
      <c r="L166" s="76">
        <v>9.7200000000000004E-5</v>
      </c>
      <c r="M166" s="76">
        <v>9.2100000000000003E-5</v>
      </c>
    </row>
    <row r="167" spans="3:13" x14ac:dyDescent="0.15">
      <c r="C167" s="76">
        <v>680</v>
      </c>
      <c r="D167" s="76">
        <v>1.27E-5</v>
      </c>
      <c r="E167" s="76">
        <v>4.5399999999999999E-5</v>
      </c>
      <c r="F167" s="76">
        <v>7.4200000000000001E-5</v>
      </c>
      <c r="G167" s="76">
        <v>5.8400000000000003E-5</v>
      </c>
      <c r="H167" s="76">
        <v>1.08E-4</v>
      </c>
      <c r="I167" s="76">
        <v>1.11E-4</v>
      </c>
      <c r="J167" s="76">
        <v>1.16E-4</v>
      </c>
      <c r="K167" s="76">
        <v>3.01E-4</v>
      </c>
      <c r="L167" s="76">
        <v>1.83E-4</v>
      </c>
      <c r="M167" s="76">
        <v>4.5599999999999997E-5</v>
      </c>
    </row>
    <row r="168" spans="3:13" x14ac:dyDescent="0.15">
      <c r="C168" s="76">
        <v>682</v>
      </c>
      <c r="D168" s="76">
        <v>8.6000000000000007E-6</v>
      </c>
      <c r="E168" s="76">
        <v>5.0099999999999998E-5</v>
      </c>
      <c r="F168" s="76">
        <v>4.6100000000000002E-5</v>
      </c>
      <c r="G168" s="76">
        <v>4.9700000000000002E-5</v>
      </c>
      <c r="H168" s="76">
        <v>7.64E-5</v>
      </c>
      <c r="I168" s="76">
        <v>1.08E-4</v>
      </c>
      <c r="J168" s="76">
        <v>1.2400000000000001E-4</v>
      </c>
      <c r="K168" s="76">
        <v>2.4699999999999999E-4</v>
      </c>
      <c r="L168" s="76">
        <v>1.22E-4</v>
      </c>
      <c r="M168" s="76">
        <v>6.1500000000000004E-5</v>
      </c>
    </row>
    <row r="169" spans="3:13" x14ac:dyDescent="0.15">
      <c r="C169" s="76">
        <v>684</v>
      </c>
      <c r="D169" s="76">
        <v>8.9500000000000007E-6</v>
      </c>
      <c r="E169" s="76">
        <v>5.5999999999999999E-5</v>
      </c>
      <c r="F169" s="76">
        <v>6.1099999999999994E-5</v>
      </c>
      <c r="G169" s="76">
        <v>8.0900000000000001E-5</v>
      </c>
      <c r="H169" s="76">
        <v>5.8999999999999998E-5</v>
      </c>
      <c r="I169" s="76">
        <v>8.4300000000000003E-5</v>
      </c>
      <c r="J169" s="76">
        <v>1.3100000000000001E-4</v>
      </c>
      <c r="K169" s="76">
        <v>2.3800000000000001E-4</v>
      </c>
      <c r="L169" s="76">
        <v>2.0799999999999999E-4</v>
      </c>
      <c r="M169" s="76">
        <v>6.3700000000000003E-5</v>
      </c>
    </row>
    <row r="170" spans="3:13" x14ac:dyDescent="0.15">
      <c r="C170" s="76">
        <v>686</v>
      </c>
      <c r="D170" s="76">
        <v>1.2500000000000001E-5</v>
      </c>
      <c r="E170" s="76">
        <v>5.4799999999999997E-5</v>
      </c>
      <c r="F170" s="76">
        <v>6.6000000000000005E-5</v>
      </c>
      <c r="G170" s="76">
        <v>7.5699999999999997E-5</v>
      </c>
      <c r="H170" s="76">
        <v>7.4999999999999993E-5</v>
      </c>
      <c r="I170" s="76">
        <v>1.2999999999999999E-4</v>
      </c>
      <c r="J170" s="76">
        <v>1.44E-4</v>
      </c>
      <c r="K170" s="76">
        <v>2.03E-4</v>
      </c>
      <c r="L170" s="76">
        <v>1.7699999999999999E-4</v>
      </c>
      <c r="M170" s="76">
        <v>4.9799999999999998E-5</v>
      </c>
    </row>
    <row r="171" spans="3:13" x14ac:dyDescent="0.15">
      <c r="C171" s="76">
        <v>688</v>
      </c>
      <c r="D171" s="76">
        <v>8.4600000000000003E-6</v>
      </c>
      <c r="E171" s="76">
        <v>5.5500000000000001E-5</v>
      </c>
      <c r="F171" s="76">
        <v>5.6900000000000001E-5</v>
      </c>
      <c r="G171" s="76">
        <v>5.5099999999999998E-5</v>
      </c>
      <c r="H171" s="76">
        <v>1.0900000000000001E-4</v>
      </c>
      <c r="I171" s="76">
        <v>1.7899999999999999E-4</v>
      </c>
      <c r="J171" s="76">
        <v>1.4999999999999999E-4</v>
      </c>
      <c r="K171" s="76">
        <v>1.5899999999999999E-4</v>
      </c>
      <c r="L171" s="76">
        <v>7.7700000000000005E-5</v>
      </c>
      <c r="M171" s="76">
        <v>9.0099999999999995E-5</v>
      </c>
    </row>
    <row r="172" spans="3:13" x14ac:dyDescent="0.15">
      <c r="C172" s="76">
        <v>690</v>
      </c>
      <c r="D172" s="76">
        <v>1.4600000000000001E-5</v>
      </c>
      <c r="E172" s="76">
        <v>6.2799999999999995E-5</v>
      </c>
      <c r="F172" s="76">
        <v>6.4599999999999998E-5</v>
      </c>
      <c r="G172" s="76">
        <v>9.9099999999999996E-5</v>
      </c>
      <c r="H172" s="76">
        <v>1.18E-4</v>
      </c>
      <c r="I172" s="76">
        <v>1.34E-4</v>
      </c>
      <c r="J172" s="76">
        <v>1.1400000000000001E-4</v>
      </c>
      <c r="K172" s="76">
        <v>2.13E-4</v>
      </c>
      <c r="L172" s="76">
        <v>9.4699999999999998E-5</v>
      </c>
      <c r="M172" s="76">
        <v>2.1100000000000001E-4</v>
      </c>
    </row>
    <row r="173" spans="3:13" x14ac:dyDescent="0.15">
      <c r="C173" s="76">
        <v>692</v>
      </c>
      <c r="D173" s="76">
        <v>1.22E-5</v>
      </c>
      <c r="E173" s="76">
        <v>6.1099999999999994E-5</v>
      </c>
      <c r="F173" s="76">
        <v>4.6699999999999997E-5</v>
      </c>
      <c r="G173" s="76">
        <v>7.6500000000000003E-5</v>
      </c>
      <c r="H173" s="76">
        <v>9.8200000000000002E-5</v>
      </c>
      <c r="I173" s="76">
        <v>1.3799999999999999E-4</v>
      </c>
      <c r="J173" s="76">
        <v>1.15E-4</v>
      </c>
      <c r="K173" s="76">
        <v>1.4100000000000001E-4</v>
      </c>
      <c r="L173" s="76">
        <v>1.25E-4</v>
      </c>
      <c r="M173" s="76">
        <v>1.73E-4</v>
      </c>
    </row>
    <row r="174" spans="3:13" x14ac:dyDescent="0.15">
      <c r="C174" s="76">
        <v>694</v>
      </c>
      <c r="D174" s="76">
        <v>5.66E-6</v>
      </c>
      <c r="E174" s="76">
        <v>6.0800000000000001E-5</v>
      </c>
      <c r="F174" s="76">
        <v>2.9600000000000001E-5</v>
      </c>
      <c r="G174" s="76">
        <v>9.2999999999999997E-5</v>
      </c>
      <c r="H174" s="76">
        <v>8.1199999999999995E-5</v>
      </c>
      <c r="I174" s="76">
        <v>1.5899999999999999E-4</v>
      </c>
      <c r="J174" s="76">
        <v>1.15E-4</v>
      </c>
      <c r="K174" s="76">
        <v>1.64E-4</v>
      </c>
      <c r="L174" s="76">
        <v>1.3200000000000001E-4</v>
      </c>
      <c r="M174" s="76">
        <v>2.02E-4</v>
      </c>
    </row>
    <row r="175" spans="3:13" x14ac:dyDescent="0.15">
      <c r="C175" s="76">
        <v>696</v>
      </c>
      <c r="D175" s="76">
        <v>1.13E-5</v>
      </c>
      <c r="E175" s="76">
        <v>4.3399999999999998E-5</v>
      </c>
      <c r="F175" s="76">
        <v>3.3000000000000003E-5</v>
      </c>
      <c r="G175" s="76">
        <v>6.1600000000000007E-5</v>
      </c>
      <c r="H175" s="76">
        <v>8.0099999999999995E-5</v>
      </c>
      <c r="I175" s="76">
        <v>1.46E-4</v>
      </c>
      <c r="J175" s="76">
        <v>6.2000000000000003E-5</v>
      </c>
      <c r="K175" s="76">
        <v>1.8100000000000001E-4</v>
      </c>
      <c r="L175" s="76">
        <v>1.18E-4</v>
      </c>
      <c r="M175" s="76">
        <v>2.2900000000000001E-4</v>
      </c>
    </row>
    <row r="176" spans="3:13" x14ac:dyDescent="0.15">
      <c r="C176" s="76">
        <v>698</v>
      </c>
      <c r="D176" s="76">
        <v>1.29E-5</v>
      </c>
      <c r="E176" s="76">
        <v>4.57E-5</v>
      </c>
      <c r="F176" s="76">
        <v>2.0299999999999999E-5</v>
      </c>
      <c r="G176" s="76">
        <v>4.5500000000000001E-5</v>
      </c>
      <c r="H176" s="76">
        <v>1.0399999999999999E-4</v>
      </c>
      <c r="I176" s="76">
        <v>1.5200000000000001E-4</v>
      </c>
      <c r="J176" s="76">
        <v>1.3899999999999999E-4</v>
      </c>
      <c r="K176" s="76">
        <v>1.13E-4</v>
      </c>
      <c r="L176" s="76">
        <v>2.33E-4</v>
      </c>
      <c r="M176" s="76">
        <v>2.1800000000000001E-4</v>
      </c>
    </row>
    <row r="177" spans="3:13" x14ac:dyDescent="0.15">
      <c r="C177" s="76">
        <v>700</v>
      </c>
      <c r="D177" s="76">
        <v>2.12E-5</v>
      </c>
      <c r="E177" s="76">
        <v>4.18E-5</v>
      </c>
      <c r="F177" s="76">
        <v>1.8499999999999999E-5</v>
      </c>
      <c r="G177" s="76">
        <v>7.2600000000000003E-5</v>
      </c>
      <c r="H177" s="76">
        <v>1.3200000000000001E-4</v>
      </c>
      <c r="I177" s="76">
        <v>2.0699999999999999E-4</v>
      </c>
      <c r="J177" s="76">
        <v>1.6799999999999999E-4</v>
      </c>
      <c r="K177" s="76">
        <v>1.2899999999999999E-4</v>
      </c>
      <c r="L177" s="76">
        <v>1.9799999999999999E-4</v>
      </c>
      <c r="M177" s="76">
        <v>2.02E-4</v>
      </c>
    </row>
    <row r="178" spans="3:13" x14ac:dyDescent="0.15">
      <c r="C178" s="76">
        <v>702</v>
      </c>
      <c r="D178" s="76">
        <v>1.77E-5</v>
      </c>
      <c r="E178" s="76">
        <v>4.6900000000000002E-5</v>
      </c>
      <c r="F178" s="76">
        <v>3.45E-6</v>
      </c>
      <c r="G178" s="76">
        <v>7.9800000000000002E-5</v>
      </c>
      <c r="H178" s="76">
        <v>1.03E-4</v>
      </c>
      <c r="I178" s="76">
        <v>2.05E-4</v>
      </c>
      <c r="J178" s="76">
        <v>8.2899999999999996E-5</v>
      </c>
      <c r="K178" s="76">
        <v>1.22E-4</v>
      </c>
      <c r="L178" s="76">
        <v>9.8599999999999998E-5</v>
      </c>
      <c r="M178" s="76">
        <v>1.9900000000000001E-4</v>
      </c>
    </row>
    <row r="179" spans="3:13" x14ac:dyDescent="0.15">
      <c r="C179" s="76">
        <v>704</v>
      </c>
      <c r="D179" s="76">
        <v>2.0800000000000001E-5</v>
      </c>
      <c r="E179" s="76">
        <v>4.0299999999999997E-5</v>
      </c>
      <c r="F179" s="76">
        <v>1.1E-5</v>
      </c>
      <c r="G179" s="76">
        <v>2.9799999999999999E-5</v>
      </c>
      <c r="H179" s="76">
        <v>9.4599999999999996E-5</v>
      </c>
      <c r="I179" s="76">
        <v>1.2999999999999999E-4</v>
      </c>
      <c r="J179" s="76">
        <v>1.1900000000000001E-4</v>
      </c>
      <c r="K179" s="76">
        <v>8.3700000000000002E-5</v>
      </c>
      <c r="L179" s="76">
        <v>8.6500000000000002E-5</v>
      </c>
      <c r="M179" s="76">
        <v>3.2000000000000003E-4</v>
      </c>
    </row>
    <row r="180" spans="3:13" x14ac:dyDescent="0.15">
      <c r="C180" s="76">
        <v>706</v>
      </c>
      <c r="D180" s="76">
        <v>1.5E-5</v>
      </c>
      <c r="E180" s="76">
        <v>2.2500000000000001E-5</v>
      </c>
      <c r="F180" s="76">
        <v>1.5699999999999999E-5</v>
      </c>
      <c r="G180" s="76">
        <v>6.3800000000000006E-5</v>
      </c>
      <c r="H180" s="76">
        <v>7.6799999999999997E-5</v>
      </c>
      <c r="I180" s="76">
        <v>1.8799999999999999E-4</v>
      </c>
      <c r="J180" s="76">
        <v>1.2300000000000001E-4</v>
      </c>
      <c r="K180" s="76">
        <v>5.8000000000000004E-6</v>
      </c>
      <c r="L180" s="76">
        <v>1.6100000000000001E-4</v>
      </c>
      <c r="M180" s="76">
        <v>2.7700000000000001E-4</v>
      </c>
    </row>
    <row r="181" spans="3:13" x14ac:dyDescent="0.15">
      <c r="C181" s="76">
        <v>708</v>
      </c>
      <c r="D181" s="76">
        <v>1.56E-5</v>
      </c>
      <c r="E181" s="76">
        <v>1.5500000000000001E-5</v>
      </c>
      <c r="F181" s="76">
        <v>5.6799999999999998E-6</v>
      </c>
      <c r="G181" s="76">
        <v>5.2099999999999999E-5</v>
      </c>
      <c r="H181" s="76">
        <v>7.7399999999999998E-5</v>
      </c>
      <c r="I181" s="76">
        <v>1.9100000000000001E-4</v>
      </c>
      <c r="J181" s="76">
        <v>1.6699999999999999E-4</v>
      </c>
      <c r="K181" s="76">
        <v>2.44E-5</v>
      </c>
      <c r="L181" s="76">
        <v>1.03E-4</v>
      </c>
      <c r="M181" s="76">
        <v>2.3000000000000001E-4</v>
      </c>
    </row>
    <row r="182" spans="3:13" x14ac:dyDescent="0.15">
      <c r="C182" s="76">
        <v>710</v>
      </c>
      <c r="D182" s="76">
        <v>1.7900000000000001E-5</v>
      </c>
      <c r="E182" s="76">
        <v>2.16E-5</v>
      </c>
      <c r="F182" s="76">
        <v>3.2899999999999998E-6</v>
      </c>
      <c r="G182" s="76">
        <v>6.5500000000000006E-5</v>
      </c>
      <c r="H182" s="76">
        <v>6.8499999999999998E-5</v>
      </c>
      <c r="I182" s="76">
        <v>1.73E-4</v>
      </c>
      <c r="J182" s="76">
        <v>1.3799999999999999E-4</v>
      </c>
      <c r="K182" s="76">
        <v>8.5299999999999996E-6</v>
      </c>
      <c r="L182" s="76">
        <v>1.6799999999999999E-4</v>
      </c>
      <c r="M182" s="76">
        <v>2.5900000000000001E-4</v>
      </c>
    </row>
    <row r="183" spans="3:13" x14ac:dyDescent="0.15">
      <c r="C183" s="76">
        <v>712</v>
      </c>
      <c r="D183" s="76">
        <v>2.41E-5</v>
      </c>
      <c r="E183" s="76">
        <v>2.83E-5</v>
      </c>
      <c r="F183" s="76">
        <v>4.1500000000000001E-6</v>
      </c>
      <c r="G183" s="76">
        <v>5.6100000000000002E-5</v>
      </c>
      <c r="H183" s="76">
        <v>4.4700000000000002E-5</v>
      </c>
      <c r="I183" s="76">
        <v>1.4300000000000001E-4</v>
      </c>
      <c r="J183" s="76">
        <v>1.6100000000000001E-4</v>
      </c>
      <c r="K183" s="76">
        <v>2.39E-6</v>
      </c>
      <c r="L183" s="76">
        <v>1.22E-4</v>
      </c>
      <c r="M183" s="76">
        <v>2.5099999999999998E-4</v>
      </c>
    </row>
    <row r="184" spans="3:13" x14ac:dyDescent="0.15">
      <c r="C184" s="76">
        <v>714</v>
      </c>
      <c r="D184" s="76">
        <v>1.59E-5</v>
      </c>
      <c r="E184" s="76">
        <v>2.1100000000000001E-5</v>
      </c>
      <c r="F184" s="76">
        <v>3.04E-5</v>
      </c>
      <c r="G184" s="76">
        <v>4.1999999999999998E-5</v>
      </c>
      <c r="H184" s="76">
        <v>4.5800000000000002E-5</v>
      </c>
      <c r="I184" s="76">
        <v>1.5100000000000001E-4</v>
      </c>
      <c r="J184" s="76">
        <v>1.7000000000000001E-4</v>
      </c>
      <c r="K184" s="76">
        <v>1.3200000000000001E-5</v>
      </c>
      <c r="L184" s="76">
        <v>1.17E-4</v>
      </c>
      <c r="M184" s="76">
        <v>1.7100000000000001E-4</v>
      </c>
    </row>
    <row r="185" spans="3:13" x14ac:dyDescent="0.15">
      <c r="C185" s="76">
        <v>716</v>
      </c>
      <c r="D185" s="76">
        <v>1.8099999999999999E-5</v>
      </c>
      <c r="E185" s="76">
        <v>2.7500000000000001E-5</v>
      </c>
      <c r="F185" s="76">
        <v>1.06E-5</v>
      </c>
      <c r="G185" s="76">
        <v>2.9899999999999998E-5</v>
      </c>
      <c r="H185" s="76">
        <v>5.0099999999999998E-5</v>
      </c>
      <c r="I185" s="76">
        <v>1.35E-4</v>
      </c>
      <c r="J185" s="76">
        <v>1.74E-4</v>
      </c>
      <c r="K185" s="76">
        <v>0</v>
      </c>
      <c r="L185" s="76">
        <v>1.5699999999999999E-4</v>
      </c>
      <c r="M185" s="76">
        <v>2.52E-4</v>
      </c>
    </row>
    <row r="186" spans="3:13" x14ac:dyDescent="0.15">
      <c r="C186" s="76">
        <v>718</v>
      </c>
      <c r="D186" s="76">
        <v>2.1100000000000001E-5</v>
      </c>
      <c r="E186" s="76">
        <v>3.43E-5</v>
      </c>
      <c r="F186" s="76">
        <v>1.42E-5</v>
      </c>
      <c r="G186" s="76">
        <v>5.1600000000000001E-5</v>
      </c>
      <c r="H186" s="76">
        <v>9.6899999999999997E-5</v>
      </c>
      <c r="I186" s="76">
        <v>1.66E-4</v>
      </c>
      <c r="J186" s="76">
        <v>1.56E-4</v>
      </c>
      <c r="K186" s="76">
        <v>0</v>
      </c>
      <c r="L186" s="76">
        <v>6.3600000000000001E-5</v>
      </c>
      <c r="M186" s="76">
        <v>3.3100000000000002E-4</v>
      </c>
    </row>
    <row r="187" spans="3:13" x14ac:dyDescent="0.15">
      <c r="C187" s="76">
        <v>720</v>
      </c>
      <c r="D187" s="76">
        <v>2.7100000000000001E-5</v>
      </c>
      <c r="E187" s="76">
        <v>1.6399999999999999E-5</v>
      </c>
      <c r="F187" s="76">
        <v>2.0800000000000001E-5</v>
      </c>
      <c r="G187" s="76">
        <v>2.7300000000000001E-6</v>
      </c>
      <c r="H187" s="76">
        <v>5.0899999999999997E-5</v>
      </c>
      <c r="I187" s="76">
        <v>1.13E-4</v>
      </c>
      <c r="J187" s="76">
        <v>1.93E-4</v>
      </c>
      <c r="K187" s="76">
        <v>3.2499999999999998E-6</v>
      </c>
      <c r="L187" s="76">
        <v>1.74E-4</v>
      </c>
      <c r="M187" s="76">
        <v>9.48E-5</v>
      </c>
    </row>
    <row r="188" spans="3:13" x14ac:dyDescent="0.15">
      <c r="C188" s="76">
        <v>722</v>
      </c>
      <c r="D188" s="76">
        <v>2.0000000000000002E-5</v>
      </c>
      <c r="E188" s="76">
        <v>4.6099999999999999E-6</v>
      </c>
      <c r="F188" s="76">
        <v>7.1300000000000003E-6</v>
      </c>
      <c r="G188" s="76">
        <v>3.7799999999999998E-6</v>
      </c>
      <c r="H188" s="76">
        <v>5.1600000000000001E-5</v>
      </c>
      <c r="I188" s="76">
        <v>1.22E-4</v>
      </c>
      <c r="J188" s="76">
        <v>2.1000000000000001E-4</v>
      </c>
      <c r="K188" s="76">
        <v>1.2300000000000001E-5</v>
      </c>
      <c r="L188" s="76">
        <v>1.2400000000000001E-4</v>
      </c>
      <c r="M188" s="76">
        <v>1.93E-4</v>
      </c>
    </row>
    <row r="189" spans="3:13" x14ac:dyDescent="0.15">
      <c r="C189" s="76">
        <v>724</v>
      </c>
      <c r="D189" s="76">
        <v>1.2799999999999999E-5</v>
      </c>
      <c r="E189" s="76">
        <v>1.4E-5</v>
      </c>
      <c r="F189" s="76">
        <v>1.56E-5</v>
      </c>
      <c r="G189" s="76">
        <v>3.0700000000000001E-5</v>
      </c>
      <c r="H189" s="76">
        <v>8.2299999999999995E-5</v>
      </c>
      <c r="I189" s="76">
        <v>1.64E-4</v>
      </c>
      <c r="J189" s="76">
        <v>1.74E-4</v>
      </c>
      <c r="K189" s="76">
        <v>0</v>
      </c>
      <c r="L189" s="76">
        <v>5.1499999999999998E-5</v>
      </c>
      <c r="M189" s="76">
        <v>1.8699999999999999E-4</v>
      </c>
    </row>
    <row r="190" spans="3:13" x14ac:dyDescent="0.15">
      <c r="C190" s="76">
        <v>726</v>
      </c>
      <c r="D190" s="76">
        <v>1.6900000000000001E-5</v>
      </c>
      <c r="E190" s="76">
        <v>8.2400000000000007E-6</v>
      </c>
      <c r="F190" s="76">
        <v>2.3499999999999999E-5</v>
      </c>
      <c r="G190" s="76">
        <v>2.8900000000000001E-5</v>
      </c>
      <c r="H190" s="76">
        <v>2.7900000000000001E-5</v>
      </c>
      <c r="I190" s="76">
        <v>1.5100000000000001E-4</v>
      </c>
      <c r="J190" s="76">
        <v>1.55E-4</v>
      </c>
      <c r="K190" s="76">
        <v>1.63E-5</v>
      </c>
      <c r="L190" s="76">
        <v>1.3999999999999999E-4</v>
      </c>
      <c r="M190" s="76">
        <v>1.4200000000000001E-4</v>
      </c>
    </row>
    <row r="191" spans="3:13" x14ac:dyDescent="0.15">
      <c r="C191" s="76">
        <v>728</v>
      </c>
      <c r="D191" s="76">
        <v>2.0599999999999999E-5</v>
      </c>
      <c r="E191" s="76">
        <v>3.0499999999999999E-5</v>
      </c>
      <c r="F191" s="76">
        <v>2.0599999999999999E-5</v>
      </c>
      <c r="G191" s="76">
        <v>3.36E-6</v>
      </c>
      <c r="H191" s="76">
        <v>5.0599999999999997E-5</v>
      </c>
      <c r="I191" s="76">
        <v>9.5500000000000004E-5</v>
      </c>
      <c r="J191" s="76">
        <v>1.47E-4</v>
      </c>
      <c r="K191" s="76">
        <v>6.3299999999999994E-5</v>
      </c>
      <c r="L191" s="76">
        <v>1.54E-4</v>
      </c>
      <c r="M191" s="76">
        <v>1.06E-4</v>
      </c>
    </row>
    <row r="192" spans="3:13" x14ac:dyDescent="0.15">
      <c r="C192" s="76">
        <v>730</v>
      </c>
      <c r="D192" s="76">
        <v>3.9199999999999997E-6</v>
      </c>
      <c r="E192" s="76">
        <v>8.0199999999999994E-6</v>
      </c>
      <c r="F192" s="76">
        <v>2.3200000000000001E-5</v>
      </c>
      <c r="G192" s="76">
        <v>2.3799999999999999E-5</v>
      </c>
      <c r="H192" s="76">
        <v>7.2100000000000004E-5</v>
      </c>
      <c r="I192" s="76">
        <v>6.9999999999999994E-5</v>
      </c>
      <c r="J192" s="76">
        <v>1.84E-4</v>
      </c>
      <c r="K192" s="76">
        <v>2.6999999999999999E-5</v>
      </c>
      <c r="L192" s="76">
        <v>1.25E-4</v>
      </c>
      <c r="M192" s="76">
        <v>5.41E-5</v>
      </c>
    </row>
    <row r="193" spans="3:13" x14ac:dyDescent="0.15">
      <c r="C193" s="76">
        <v>732</v>
      </c>
      <c r="D193" s="76">
        <v>2.3799999999999999E-5</v>
      </c>
      <c r="E193" s="76">
        <v>2.3499999999999999E-5</v>
      </c>
      <c r="F193" s="76">
        <v>2.6400000000000001E-5</v>
      </c>
      <c r="G193" s="76">
        <v>1.88E-5</v>
      </c>
      <c r="H193" s="76">
        <v>5.24E-5</v>
      </c>
      <c r="I193" s="76">
        <v>1.13E-4</v>
      </c>
      <c r="J193" s="76">
        <v>1.66E-4</v>
      </c>
      <c r="K193" s="76">
        <v>6.8399999999999996E-5</v>
      </c>
      <c r="L193" s="76">
        <v>1.17E-4</v>
      </c>
      <c r="M193" s="76">
        <v>1.0900000000000001E-4</v>
      </c>
    </row>
    <row r="194" spans="3:13" x14ac:dyDescent="0.15">
      <c r="C194" s="76">
        <v>734</v>
      </c>
      <c r="D194" s="76">
        <v>1.7799999999999999E-5</v>
      </c>
      <c r="E194" s="76">
        <v>7.3000000000000004E-6</v>
      </c>
      <c r="F194" s="76">
        <v>3.3099999999999998E-5</v>
      </c>
      <c r="G194" s="76">
        <v>1.0900000000000001E-5</v>
      </c>
      <c r="H194" s="76">
        <v>5.1499999999999998E-5</v>
      </c>
      <c r="I194" s="76">
        <v>1.06E-4</v>
      </c>
      <c r="J194" s="76">
        <v>1.4799999999999999E-4</v>
      </c>
      <c r="K194" s="76">
        <v>9.9099999999999996E-5</v>
      </c>
      <c r="L194" s="76">
        <v>1.46E-4</v>
      </c>
      <c r="M194" s="76">
        <v>7.3999999999999996E-5</v>
      </c>
    </row>
    <row r="195" spans="3:13" x14ac:dyDescent="0.15">
      <c r="C195" s="76">
        <v>736</v>
      </c>
      <c r="D195" s="76">
        <v>1.9300000000000002E-5</v>
      </c>
      <c r="E195" s="76">
        <v>1.7200000000000001E-5</v>
      </c>
      <c r="F195" s="76">
        <v>1.9899999999999999E-5</v>
      </c>
      <c r="G195" s="76">
        <v>2.1699999999999999E-5</v>
      </c>
      <c r="H195" s="76">
        <v>4.1300000000000001E-5</v>
      </c>
      <c r="I195" s="76">
        <v>8.4300000000000003E-5</v>
      </c>
      <c r="J195" s="76">
        <v>1.5699999999999999E-4</v>
      </c>
      <c r="K195" s="76">
        <v>1.47E-4</v>
      </c>
      <c r="L195" s="76">
        <v>1.3200000000000001E-4</v>
      </c>
      <c r="M195" s="76">
        <v>9.1000000000000003E-5</v>
      </c>
    </row>
    <row r="196" spans="3:13" x14ac:dyDescent="0.15">
      <c r="C196" s="76">
        <v>738</v>
      </c>
      <c r="D196" s="76">
        <v>2.6699999999999998E-5</v>
      </c>
      <c r="E196" s="76">
        <v>2.1699999999999999E-5</v>
      </c>
      <c r="F196" s="76">
        <v>2.3600000000000001E-5</v>
      </c>
      <c r="G196" s="76">
        <v>1.2300000000000001E-5</v>
      </c>
      <c r="H196" s="76">
        <v>8.1699999999999994E-5</v>
      </c>
      <c r="I196" s="76">
        <v>9.0199999999999997E-5</v>
      </c>
      <c r="J196" s="76">
        <v>4.6699999999999997E-5</v>
      </c>
      <c r="K196" s="76">
        <v>1.2799999999999999E-4</v>
      </c>
      <c r="L196" s="76">
        <v>2.42E-4</v>
      </c>
      <c r="M196" s="76">
        <v>6.7799999999999995E-5</v>
      </c>
    </row>
    <row r="197" spans="3:13" x14ac:dyDescent="0.15">
      <c r="C197" s="76">
        <v>740</v>
      </c>
      <c r="D197" s="76">
        <v>1.31E-5</v>
      </c>
      <c r="E197" s="76">
        <v>3.2799999999999998E-5</v>
      </c>
      <c r="F197" s="76">
        <v>4.5399999999999999E-5</v>
      </c>
      <c r="G197" s="76">
        <v>1.13E-5</v>
      </c>
      <c r="H197" s="76">
        <v>1.8700000000000001E-5</v>
      </c>
      <c r="I197" s="76">
        <v>1.13E-4</v>
      </c>
      <c r="J197" s="76">
        <v>1.16E-4</v>
      </c>
      <c r="K197" s="76">
        <v>1.4899999999999999E-4</v>
      </c>
      <c r="L197" s="76">
        <v>2.32E-4</v>
      </c>
      <c r="M197" s="76">
        <v>1.08E-4</v>
      </c>
    </row>
    <row r="198" spans="3:13" x14ac:dyDescent="0.15">
      <c r="C198" s="76">
        <v>742</v>
      </c>
      <c r="D198" s="76">
        <v>1.91E-5</v>
      </c>
      <c r="E198" s="76">
        <v>2.0699999999999998E-5</v>
      </c>
      <c r="F198" s="76">
        <v>1.9199999999999999E-5</v>
      </c>
      <c r="G198" s="76">
        <v>1.24E-5</v>
      </c>
      <c r="H198" s="76">
        <v>6.3600000000000001E-5</v>
      </c>
      <c r="I198" s="76">
        <v>6.8899999999999994E-5</v>
      </c>
      <c r="J198" s="76">
        <v>1.7200000000000001E-4</v>
      </c>
      <c r="K198" s="76">
        <v>2.5999999999999998E-4</v>
      </c>
      <c r="L198" s="76">
        <v>1.55E-4</v>
      </c>
      <c r="M198" s="76">
        <v>1.06E-4</v>
      </c>
    </row>
    <row r="199" spans="3:13" x14ac:dyDescent="0.15">
      <c r="C199" s="76">
        <v>744</v>
      </c>
      <c r="D199" s="76">
        <v>1.5400000000000002E-5</v>
      </c>
      <c r="E199" s="76">
        <v>4.4700000000000002E-5</v>
      </c>
      <c r="F199" s="76">
        <v>3.6900000000000002E-5</v>
      </c>
      <c r="G199" s="76">
        <v>1.2799999999999999E-5</v>
      </c>
      <c r="H199" s="76">
        <v>2.9600000000000001E-5</v>
      </c>
      <c r="I199" s="76">
        <v>6.3200000000000005E-5</v>
      </c>
      <c r="J199" s="76">
        <v>9.7499999999999998E-5</v>
      </c>
      <c r="K199" s="76">
        <v>1.3799999999999999E-4</v>
      </c>
      <c r="L199" s="76">
        <v>1.7000000000000001E-4</v>
      </c>
      <c r="M199" s="76">
        <v>1.13E-4</v>
      </c>
    </row>
    <row r="200" spans="3:13" x14ac:dyDescent="0.15">
      <c r="C200" s="76">
        <v>746</v>
      </c>
      <c r="D200" s="76">
        <v>1.6500000000000001E-5</v>
      </c>
      <c r="E200" s="76">
        <v>5.8799999999999999E-5</v>
      </c>
      <c r="F200" s="76">
        <v>3.9900000000000001E-5</v>
      </c>
      <c r="G200" s="76">
        <v>6.4699999999999999E-6</v>
      </c>
      <c r="H200" s="76">
        <v>5.4200000000000003E-5</v>
      </c>
      <c r="I200" s="76">
        <v>9.7499999999999998E-5</v>
      </c>
      <c r="J200" s="76">
        <v>1.4300000000000001E-4</v>
      </c>
      <c r="K200" s="76">
        <v>9.5000000000000005E-5</v>
      </c>
      <c r="L200" s="76">
        <v>1.7200000000000001E-4</v>
      </c>
      <c r="M200" s="76">
        <v>8.25E-5</v>
      </c>
    </row>
    <row r="201" spans="3:13" x14ac:dyDescent="0.15">
      <c r="C201" s="76">
        <v>748</v>
      </c>
      <c r="D201" s="76">
        <v>1.2099999999999999E-5</v>
      </c>
      <c r="E201" s="76">
        <v>4.7200000000000002E-5</v>
      </c>
      <c r="F201" s="76">
        <v>1.04E-5</v>
      </c>
      <c r="G201" s="76">
        <v>3.0300000000000001E-5</v>
      </c>
      <c r="H201" s="76">
        <v>7.6899999999999999E-5</v>
      </c>
      <c r="I201" s="76">
        <v>3.2100000000000001E-5</v>
      </c>
      <c r="J201" s="76">
        <v>1.11E-4</v>
      </c>
      <c r="K201" s="76">
        <v>1.18E-4</v>
      </c>
      <c r="L201" s="76">
        <v>1.9000000000000001E-4</v>
      </c>
      <c r="M201" s="76">
        <v>3.57E-5</v>
      </c>
    </row>
    <row r="202" spans="3:13" x14ac:dyDescent="0.15">
      <c r="C202" s="76">
        <v>750</v>
      </c>
      <c r="D202" s="76">
        <v>1.9199999999999999E-5</v>
      </c>
      <c r="E202" s="76">
        <v>3.4700000000000003E-5</v>
      </c>
      <c r="F202" s="76">
        <v>2.5199999999999999E-5</v>
      </c>
      <c r="G202" s="76">
        <v>7.1899999999999999E-5</v>
      </c>
      <c r="H202" s="76">
        <v>7.2399999999999998E-5</v>
      </c>
      <c r="I202" s="76">
        <v>2.2900000000000001E-5</v>
      </c>
      <c r="J202" s="76">
        <v>2.58E-5</v>
      </c>
      <c r="K202" s="76">
        <v>1.7200000000000001E-4</v>
      </c>
      <c r="L202" s="76">
        <v>2.1800000000000001E-4</v>
      </c>
      <c r="M202" s="76">
        <v>2.0000000000000001E-4</v>
      </c>
    </row>
    <row r="203" spans="3:13" x14ac:dyDescent="0.15">
      <c r="C203" s="76">
        <v>752</v>
      </c>
      <c r="D203" s="76">
        <v>2.37E-5</v>
      </c>
      <c r="E203" s="76">
        <v>5.3900000000000002E-5</v>
      </c>
      <c r="F203" s="76">
        <v>4.2100000000000003E-6</v>
      </c>
      <c r="G203" s="76">
        <v>9.4900000000000003E-5</v>
      </c>
      <c r="H203" s="76">
        <v>7.6100000000000007E-5</v>
      </c>
      <c r="I203" s="76">
        <v>5.7599999999999997E-5</v>
      </c>
      <c r="J203" s="76">
        <v>5.3100000000000003E-5</v>
      </c>
      <c r="K203" s="76">
        <v>1.5300000000000001E-4</v>
      </c>
      <c r="L203" s="76">
        <v>2.0699999999999999E-4</v>
      </c>
      <c r="M203" s="76">
        <v>1.4899999999999999E-4</v>
      </c>
    </row>
    <row r="204" spans="3:13" x14ac:dyDescent="0.15">
      <c r="C204" s="76">
        <v>754</v>
      </c>
      <c r="D204" s="76">
        <v>2.3300000000000001E-5</v>
      </c>
      <c r="E204" s="76">
        <v>4.8199999999999999E-5</v>
      </c>
      <c r="F204" s="76">
        <v>3.2100000000000001E-5</v>
      </c>
      <c r="G204" s="76">
        <v>7.3700000000000002E-5</v>
      </c>
      <c r="H204" s="76">
        <v>2.9600000000000001E-5</v>
      </c>
      <c r="I204" s="76">
        <v>5.7500000000000002E-5</v>
      </c>
      <c r="J204" s="76">
        <v>9.7799999999999995E-6</v>
      </c>
      <c r="K204" s="76">
        <v>1.18E-4</v>
      </c>
      <c r="L204" s="76">
        <v>1.7899999999999999E-4</v>
      </c>
      <c r="M204" s="76">
        <v>1.8799999999999999E-4</v>
      </c>
    </row>
    <row r="205" spans="3:13" x14ac:dyDescent="0.15">
      <c r="C205" s="76">
        <v>756</v>
      </c>
      <c r="D205" s="76">
        <v>1.9599999999999999E-5</v>
      </c>
      <c r="E205" s="76">
        <v>5.3900000000000002E-5</v>
      </c>
      <c r="F205" s="76">
        <v>4.2400000000000001E-5</v>
      </c>
      <c r="G205" s="76">
        <v>7.2399999999999998E-5</v>
      </c>
      <c r="H205" s="76">
        <v>1.03E-4</v>
      </c>
      <c r="I205" s="76">
        <v>6.7700000000000006E-5</v>
      </c>
      <c r="J205" s="76">
        <v>4.8699999999999998E-5</v>
      </c>
      <c r="K205" s="76">
        <v>1.9100000000000001E-4</v>
      </c>
      <c r="L205" s="76">
        <v>1.0900000000000001E-4</v>
      </c>
      <c r="M205" s="76">
        <v>1.4100000000000001E-4</v>
      </c>
    </row>
    <row r="206" spans="3:13" x14ac:dyDescent="0.15">
      <c r="C206" s="76">
        <v>758</v>
      </c>
      <c r="D206" s="76">
        <v>1.9899999999999999E-5</v>
      </c>
      <c r="E206" s="76">
        <v>5.8199999999999998E-5</v>
      </c>
      <c r="F206" s="76">
        <v>2.6999999999999999E-5</v>
      </c>
      <c r="G206" s="76">
        <v>1.05E-4</v>
      </c>
      <c r="H206" s="76">
        <v>9.2600000000000001E-5</v>
      </c>
      <c r="I206" s="76">
        <v>5.27E-5</v>
      </c>
      <c r="J206" s="76">
        <v>2.23E-5</v>
      </c>
      <c r="K206" s="76">
        <v>1.9100000000000001E-4</v>
      </c>
      <c r="L206" s="76">
        <v>1.7000000000000001E-4</v>
      </c>
      <c r="M206" s="76">
        <v>7.8399999999999995E-5</v>
      </c>
    </row>
    <row r="207" spans="3:13" x14ac:dyDescent="0.15">
      <c r="C207" s="76">
        <v>760</v>
      </c>
      <c r="D207" s="76">
        <v>2.1299999999999999E-5</v>
      </c>
      <c r="E207" s="76">
        <v>4.74E-5</v>
      </c>
      <c r="F207" s="76">
        <v>2.5000000000000001E-5</v>
      </c>
      <c r="G207" s="76">
        <v>1.1400000000000001E-4</v>
      </c>
      <c r="H207" s="76">
        <v>1.17E-4</v>
      </c>
      <c r="I207" s="76">
        <v>5.4500000000000003E-5</v>
      </c>
      <c r="J207" s="76">
        <v>1.5699999999999999E-5</v>
      </c>
      <c r="K207" s="76">
        <v>1.73E-4</v>
      </c>
      <c r="L207" s="76">
        <v>1.63E-4</v>
      </c>
      <c r="M207" s="76">
        <v>5.4700000000000001E-5</v>
      </c>
    </row>
    <row r="208" spans="3:13" x14ac:dyDescent="0.15">
      <c r="C208" s="76">
        <v>762</v>
      </c>
      <c r="D208" s="76">
        <v>2.1399999999999998E-5</v>
      </c>
      <c r="E208" s="76">
        <v>7.1199999999999996E-5</v>
      </c>
      <c r="F208" s="76">
        <v>3.82E-5</v>
      </c>
      <c r="G208" s="76">
        <v>8.7299999999999994E-5</v>
      </c>
      <c r="H208" s="76">
        <v>9.7299999999999993E-5</v>
      </c>
      <c r="I208" s="76">
        <v>6.7700000000000006E-5</v>
      </c>
      <c r="J208" s="76">
        <v>1.63E-5</v>
      </c>
      <c r="K208" s="76">
        <v>2.0599999999999999E-4</v>
      </c>
      <c r="L208" s="76">
        <v>1.36E-4</v>
      </c>
      <c r="M208" s="76">
        <v>1.2E-4</v>
      </c>
    </row>
    <row r="209" spans="2:13" x14ac:dyDescent="0.15">
      <c r="C209" s="76">
        <v>764</v>
      </c>
      <c r="D209" s="76">
        <v>1.36E-5</v>
      </c>
      <c r="E209" s="76">
        <v>6.8300000000000007E-5</v>
      </c>
      <c r="F209" s="76">
        <v>9.8300000000000008E-6</v>
      </c>
      <c r="G209" s="76">
        <v>1.12E-4</v>
      </c>
      <c r="H209" s="76">
        <v>8.9599999999999996E-5</v>
      </c>
      <c r="I209" s="76">
        <v>7.0500000000000006E-5</v>
      </c>
      <c r="J209" s="76">
        <v>0</v>
      </c>
      <c r="K209" s="76">
        <v>1.4999999999999999E-4</v>
      </c>
      <c r="L209" s="76">
        <v>2.0699999999999999E-4</v>
      </c>
      <c r="M209" s="76">
        <v>1.73E-4</v>
      </c>
    </row>
    <row r="210" spans="2:13" x14ac:dyDescent="0.15">
      <c r="C210" s="76">
        <v>766</v>
      </c>
      <c r="D210" s="76">
        <v>1.5999999999999999E-5</v>
      </c>
      <c r="E210" s="76">
        <v>6.0300000000000002E-5</v>
      </c>
      <c r="F210" s="76">
        <v>2.2900000000000001E-5</v>
      </c>
      <c r="G210" s="76">
        <v>1.17E-4</v>
      </c>
      <c r="H210" s="76">
        <v>7.6500000000000003E-5</v>
      </c>
      <c r="I210" s="76">
        <v>8.4800000000000001E-5</v>
      </c>
      <c r="J210" s="76">
        <v>0</v>
      </c>
      <c r="K210" s="76">
        <v>1.4799999999999999E-4</v>
      </c>
      <c r="L210" s="76">
        <v>2.04E-4</v>
      </c>
      <c r="M210" s="76">
        <v>1.7799999999999999E-4</v>
      </c>
    </row>
    <row r="211" spans="2:13" x14ac:dyDescent="0.15">
      <c r="C211" s="76">
        <v>768</v>
      </c>
      <c r="D211" s="76">
        <v>2.65E-5</v>
      </c>
      <c r="E211" s="76">
        <v>4.5399999999999999E-5</v>
      </c>
      <c r="F211" s="76">
        <v>4.71E-5</v>
      </c>
      <c r="G211" s="76">
        <v>1.26E-4</v>
      </c>
      <c r="H211" s="76">
        <v>8.5000000000000006E-5</v>
      </c>
      <c r="I211" s="76">
        <v>1.17E-4</v>
      </c>
      <c r="J211" s="76">
        <v>0</v>
      </c>
      <c r="K211" s="76">
        <v>1.76E-4</v>
      </c>
      <c r="L211" s="76">
        <v>2.2100000000000001E-4</v>
      </c>
      <c r="M211" s="76">
        <v>1.7799999999999999E-4</v>
      </c>
    </row>
    <row r="212" spans="2:13" x14ac:dyDescent="0.15">
      <c r="C212" s="76">
        <v>770</v>
      </c>
      <c r="D212" s="76">
        <v>6.0100000000000001E-6</v>
      </c>
      <c r="E212" s="76">
        <v>8.3800000000000004E-5</v>
      </c>
      <c r="F212" s="76">
        <v>7.8099999999999998E-6</v>
      </c>
      <c r="G212" s="76">
        <v>1.1400000000000001E-4</v>
      </c>
      <c r="H212" s="76">
        <v>5.9299999999999998E-5</v>
      </c>
      <c r="I212" s="76">
        <v>4.4700000000000002E-5</v>
      </c>
      <c r="J212" s="76">
        <v>1.5E-5</v>
      </c>
      <c r="K212" s="76">
        <v>2.3699999999999999E-4</v>
      </c>
      <c r="L212" s="76">
        <v>2.2800000000000001E-4</v>
      </c>
      <c r="M212" s="76">
        <v>1.2799999999999999E-4</v>
      </c>
    </row>
    <row r="213" spans="2:13" x14ac:dyDescent="0.15">
      <c r="C213" s="76">
        <v>772</v>
      </c>
      <c r="D213" s="76">
        <v>2.09E-5</v>
      </c>
      <c r="E213" s="76">
        <v>5.7599999999999997E-5</v>
      </c>
      <c r="F213" s="76">
        <v>1.3499999999999999E-5</v>
      </c>
      <c r="G213" s="76">
        <v>1.16E-4</v>
      </c>
      <c r="H213" s="76">
        <v>1.05E-4</v>
      </c>
      <c r="I213" s="76">
        <v>3.0899999999999999E-5</v>
      </c>
      <c r="J213" s="76">
        <v>6.7299999999999996E-5</v>
      </c>
      <c r="K213" s="76">
        <v>8.6199999999999995E-5</v>
      </c>
      <c r="L213" s="76">
        <v>2.2599999999999999E-4</v>
      </c>
      <c r="M213" s="76">
        <v>1.18E-4</v>
      </c>
    </row>
    <row r="214" spans="2:13" x14ac:dyDescent="0.15">
      <c r="C214" s="76">
        <v>774</v>
      </c>
      <c r="D214" s="76">
        <v>1.03E-5</v>
      </c>
      <c r="E214" s="76">
        <v>6.5099999999999997E-5</v>
      </c>
      <c r="F214" s="76">
        <v>2.3E-5</v>
      </c>
      <c r="G214" s="76">
        <v>1.44E-4</v>
      </c>
      <c r="H214" s="76">
        <v>9.7700000000000003E-5</v>
      </c>
      <c r="I214" s="76">
        <v>1.02E-4</v>
      </c>
      <c r="J214" s="76">
        <v>2.1100000000000001E-5</v>
      </c>
      <c r="K214" s="76">
        <v>1.2E-4</v>
      </c>
      <c r="L214" s="76">
        <v>2.0799999999999999E-4</v>
      </c>
      <c r="M214" s="76">
        <v>7.6299999999999998E-5</v>
      </c>
    </row>
    <row r="215" spans="2:13" x14ac:dyDescent="0.15">
      <c r="C215" s="76">
        <v>776</v>
      </c>
      <c r="D215" s="76">
        <v>1.22E-5</v>
      </c>
      <c r="E215" s="76">
        <v>3.5500000000000002E-5</v>
      </c>
      <c r="F215" s="76">
        <v>2.55E-5</v>
      </c>
      <c r="G215" s="76">
        <v>1.2799999999999999E-4</v>
      </c>
      <c r="H215" s="76">
        <v>9.87E-5</v>
      </c>
      <c r="I215" s="76">
        <v>7.7399999999999998E-5</v>
      </c>
      <c r="J215" s="76">
        <v>8.6500000000000002E-5</v>
      </c>
      <c r="K215" s="76">
        <v>1.3300000000000001E-4</v>
      </c>
      <c r="L215" s="76">
        <v>2.9799999999999998E-4</v>
      </c>
      <c r="M215" s="76">
        <v>1.15E-4</v>
      </c>
    </row>
    <row r="216" spans="2:13" x14ac:dyDescent="0.15">
      <c r="C216" s="76">
        <v>778</v>
      </c>
      <c r="D216" s="76">
        <v>6.6400000000000002E-7</v>
      </c>
      <c r="E216" s="76">
        <v>5.5899999999999997E-5</v>
      </c>
      <c r="F216" s="76">
        <v>7.1199999999999996E-6</v>
      </c>
      <c r="G216" s="76">
        <v>1.1900000000000001E-4</v>
      </c>
      <c r="H216" s="76">
        <v>7.2200000000000007E-5</v>
      </c>
      <c r="I216" s="76">
        <v>9.2299999999999994E-5</v>
      </c>
      <c r="J216" s="76">
        <v>8.6700000000000007E-5</v>
      </c>
      <c r="K216" s="76">
        <v>1.34E-4</v>
      </c>
      <c r="L216" s="76">
        <v>2.61E-4</v>
      </c>
      <c r="M216" s="76">
        <v>1.5799999999999999E-4</v>
      </c>
    </row>
    <row r="217" spans="2:13" x14ac:dyDescent="0.15">
      <c r="C217" s="76">
        <v>780</v>
      </c>
      <c r="D217" s="120">
        <v>6.4600000000000004E-7</v>
      </c>
      <c r="E217" s="76">
        <v>5.4700000000000001E-5</v>
      </c>
      <c r="F217" s="76">
        <v>3.6699999999999998E-5</v>
      </c>
      <c r="G217" s="76">
        <v>1.1900000000000001E-4</v>
      </c>
      <c r="H217" s="76">
        <v>7.8399999999999995E-5</v>
      </c>
      <c r="I217" s="76">
        <v>1.01E-4</v>
      </c>
      <c r="J217" s="76">
        <v>1.27E-4</v>
      </c>
      <c r="K217" s="76">
        <v>2.4600000000000002E-4</v>
      </c>
      <c r="L217" s="76">
        <v>1.83E-4</v>
      </c>
      <c r="M217" s="76">
        <v>1.7000000000000001E-4</v>
      </c>
    </row>
    <row r="218" spans="2:13" x14ac:dyDescent="0.15">
      <c r="B218" s="76">
        <v>12</v>
      </c>
      <c r="C218" s="76" t="s">
        <v>561</v>
      </c>
      <c r="D218" s="76">
        <v>1</v>
      </c>
      <c r="E218" s="76">
        <v>2</v>
      </c>
      <c r="F218" s="76">
        <v>3</v>
      </c>
      <c r="G218" s="76">
        <v>4</v>
      </c>
      <c r="H218" s="76">
        <v>5</v>
      </c>
      <c r="I218" s="76">
        <v>6</v>
      </c>
      <c r="J218" s="76">
        <v>7</v>
      </c>
      <c r="K218" s="76">
        <v>8</v>
      </c>
      <c r="L218" s="76">
        <v>9</v>
      </c>
      <c r="M218" s="76">
        <v>10</v>
      </c>
    </row>
    <row r="219" spans="2:13" x14ac:dyDescent="0.15">
      <c r="C219" s="76" t="s">
        <v>556</v>
      </c>
      <c r="D219" s="76">
        <v>3.5680000000000001</v>
      </c>
      <c r="E219" s="76">
        <v>3.7040000000000002</v>
      </c>
      <c r="F219" s="76">
        <v>3.8010000000000002</v>
      </c>
      <c r="G219" s="76">
        <v>3.88</v>
      </c>
      <c r="H219" s="76">
        <v>3.9489999999999998</v>
      </c>
      <c r="I219" s="76">
        <v>4.0110000000000001</v>
      </c>
      <c r="J219" s="76">
        <v>4.0659999999999998</v>
      </c>
      <c r="K219" s="76">
        <v>4.1180000000000003</v>
      </c>
      <c r="L219" s="76">
        <v>4.1660000000000004</v>
      </c>
      <c r="M219" s="76">
        <v>4.2110000000000003</v>
      </c>
    </row>
    <row r="220" spans="2:13" x14ac:dyDescent="0.15">
      <c r="C220" s="76" t="s">
        <v>562</v>
      </c>
      <c r="D220" s="76">
        <v>0.08</v>
      </c>
      <c r="E220" s="76">
        <v>0.16</v>
      </c>
      <c r="F220" s="76">
        <v>0.24</v>
      </c>
      <c r="G220" s="76">
        <v>0.32</v>
      </c>
      <c r="H220" s="76">
        <v>0.4</v>
      </c>
      <c r="I220" s="76">
        <v>0.48</v>
      </c>
      <c r="J220" s="76">
        <v>0.56000000000000005</v>
      </c>
      <c r="K220" s="76">
        <v>0.64</v>
      </c>
      <c r="L220" s="76">
        <v>0.72</v>
      </c>
      <c r="M220" s="76">
        <v>0.8</v>
      </c>
    </row>
    <row r="221" spans="2:13" x14ac:dyDescent="0.15">
      <c r="C221" s="76" t="s">
        <v>557</v>
      </c>
      <c r="D221" s="76">
        <v>2</v>
      </c>
      <c r="E221" s="76">
        <v>4</v>
      </c>
      <c r="F221" s="76">
        <v>6</v>
      </c>
      <c r="G221" s="76">
        <v>8</v>
      </c>
      <c r="H221" s="76">
        <v>10</v>
      </c>
      <c r="I221" s="76">
        <v>12</v>
      </c>
      <c r="J221" s="76">
        <v>14</v>
      </c>
      <c r="K221" s="76">
        <v>16</v>
      </c>
      <c r="L221" s="76">
        <v>18</v>
      </c>
      <c r="M221" s="76">
        <v>20</v>
      </c>
    </row>
    <row r="222" spans="2:13" x14ac:dyDescent="0.15">
      <c r="C222" s="76" t="s">
        <v>560</v>
      </c>
      <c r="D222" s="76">
        <v>8.2590000000000003</v>
      </c>
      <c r="E222" s="76">
        <v>8.4309999999999992</v>
      </c>
      <c r="F222" s="76">
        <v>8.4380000000000006</v>
      </c>
      <c r="G222" s="76">
        <v>8.4420000000000002</v>
      </c>
      <c r="H222" s="76">
        <v>8.4269999999999996</v>
      </c>
      <c r="I222" s="76">
        <v>8.4</v>
      </c>
      <c r="J222" s="76">
        <v>8.3919999999999995</v>
      </c>
      <c r="K222" s="76">
        <v>8.3680000000000003</v>
      </c>
      <c r="L222" s="76">
        <v>8.3439999999999994</v>
      </c>
      <c r="M222" s="76">
        <v>8.3249999999999993</v>
      </c>
    </row>
    <row r="223" spans="2:13" x14ac:dyDescent="0.15">
      <c r="C223" s="76" t="s">
        <v>563</v>
      </c>
      <c r="D223" s="76">
        <v>7.2729720000000002</v>
      </c>
      <c r="E223" s="76">
        <v>7.1501549999999998</v>
      </c>
      <c r="F223" s="76">
        <v>6.9734949999999998</v>
      </c>
      <c r="G223" s="76">
        <v>6.8347660000000001</v>
      </c>
      <c r="H223" s="76">
        <v>6.7040600000000001</v>
      </c>
      <c r="I223" s="76">
        <v>6.5796640000000002</v>
      </c>
      <c r="J223" s="76">
        <v>6.4837239999999996</v>
      </c>
      <c r="K223" s="76">
        <v>6.3842829999999999</v>
      </c>
      <c r="L223" s="76">
        <v>6.2924049999999996</v>
      </c>
      <c r="M223" s="76">
        <v>6.2110320000000003</v>
      </c>
    </row>
    <row r="224" spans="2:13" x14ac:dyDescent="0.15">
      <c r="C224" s="76" t="s">
        <v>564</v>
      </c>
      <c r="D224" s="76">
        <v>165.2</v>
      </c>
      <c r="E224" s="76">
        <v>337.3</v>
      </c>
      <c r="F224" s="76">
        <v>506.3</v>
      </c>
      <c r="G224" s="76">
        <v>675.4</v>
      </c>
      <c r="H224" s="120">
        <v>842.8</v>
      </c>
      <c r="I224" s="76">
        <v>1008</v>
      </c>
      <c r="J224" s="76">
        <v>1175</v>
      </c>
      <c r="K224" s="120">
        <v>1339</v>
      </c>
      <c r="L224" s="76">
        <v>1502</v>
      </c>
      <c r="M224" s="76">
        <v>1665</v>
      </c>
    </row>
    <row r="225" spans="3:46" x14ac:dyDescent="0.15">
      <c r="C225" s="76" t="s">
        <v>565</v>
      </c>
      <c r="D225" s="76">
        <v>165.2</v>
      </c>
      <c r="E225" s="76">
        <v>337.3</v>
      </c>
      <c r="F225" s="76">
        <v>506.3</v>
      </c>
      <c r="G225" s="76">
        <v>675.4</v>
      </c>
      <c r="H225" s="120">
        <v>842.8</v>
      </c>
      <c r="I225" s="76">
        <v>1008</v>
      </c>
      <c r="J225" s="76">
        <v>1175</v>
      </c>
      <c r="K225" s="120">
        <v>1339</v>
      </c>
      <c r="L225" s="76">
        <v>1502</v>
      </c>
      <c r="M225" s="76">
        <v>1665</v>
      </c>
    </row>
    <row r="226" spans="3:46" x14ac:dyDescent="0.15">
      <c r="C226" s="76" t="s">
        <v>566</v>
      </c>
      <c r="D226" s="76">
        <v>0.13539999999999999</v>
      </c>
      <c r="E226" s="76">
        <v>0.13519999999999999</v>
      </c>
      <c r="F226" s="76">
        <v>0.1351</v>
      </c>
      <c r="G226" s="76">
        <v>0.13519999999999999</v>
      </c>
      <c r="H226" s="76">
        <v>0.1353</v>
      </c>
      <c r="I226" s="76">
        <v>0.13519999999999999</v>
      </c>
      <c r="J226" s="76">
        <v>0.1353</v>
      </c>
      <c r="K226" s="76">
        <v>0.13539999999999999</v>
      </c>
      <c r="L226" s="76">
        <v>0.1353</v>
      </c>
      <c r="M226" s="76">
        <v>0.13539999999999999</v>
      </c>
    </row>
    <row r="227" spans="3:46" x14ac:dyDescent="0.15">
      <c r="C227" s="76" t="s">
        <v>567</v>
      </c>
      <c r="D227" s="76">
        <v>0.1183</v>
      </c>
      <c r="E227" s="76">
        <v>0.1181</v>
      </c>
      <c r="F227" s="76">
        <v>0.1178</v>
      </c>
      <c r="G227" s="76">
        <v>0.1179</v>
      </c>
      <c r="H227" s="76">
        <v>0.1178</v>
      </c>
      <c r="I227" s="76">
        <v>0.1177</v>
      </c>
      <c r="J227" s="76">
        <v>0.1178</v>
      </c>
      <c r="K227" s="76">
        <v>0.1178</v>
      </c>
      <c r="L227" s="76">
        <v>0.1177</v>
      </c>
      <c r="M227" s="76">
        <v>0.1177</v>
      </c>
    </row>
    <row r="228" spans="3:46" x14ac:dyDescent="0.15">
      <c r="C228" s="76" t="s">
        <v>568</v>
      </c>
      <c r="D228" s="76">
        <v>9.1271000000000004</v>
      </c>
      <c r="E228" s="76">
        <v>9.3230000000000004</v>
      </c>
      <c r="F228" s="76">
        <v>9.3567999999999998</v>
      </c>
      <c r="G228" s="76">
        <v>9.3477999999999994</v>
      </c>
      <c r="H228" s="76">
        <v>9.3375000000000004</v>
      </c>
      <c r="I228" s="76">
        <v>9.3237000000000005</v>
      </c>
      <c r="J228" s="76">
        <v>9.3010000000000002</v>
      </c>
      <c r="K228" s="76">
        <v>9.2818000000000005</v>
      </c>
      <c r="L228" s="76">
        <v>9.2597000000000005</v>
      </c>
      <c r="M228" s="76">
        <v>9.2332000000000001</v>
      </c>
    </row>
    <row r="229" spans="3:46" x14ac:dyDescent="0.15">
      <c r="C229" s="76" t="s">
        <v>569</v>
      </c>
    </row>
    <row r="230" spans="3:46" x14ac:dyDescent="0.15">
      <c r="C230" s="76" t="s">
        <v>570</v>
      </c>
      <c r="D230" s="76">
        <v>4</v>
      </c>
      <c r="E230" s="76">
        <v>4</v>
      </c>
      <c r="F230" s="76">
        <v>4</v>
      </c>
      <c r="G230" s="76">
        <v>4</v>
      </c>
      <c r="H230" s="76">
        <v>4</v>
      </c>
      <c r="I230" s="76">
        <v>4</v>
      </c>
      <c r="J230" s="76">
        <v>4</v>
      </c>
      <c r="K230" s="76">
        <v>4</v>
      </c>
      <c r="L230" s="76">
        <v>4</v>
      </c>
      <c r="M230" s="76">
        <v>4</v>
      </c>
    </row>
    <row r="231" spans="3:46" x14ac:dyDescent="0.15">
      <c r="C231" s="76" t="s">
        <v>571</v>
      </c>
      <c r="D231" s="76">
        <v>100</v>
      </c>
      <c r="E231" s="76">
        <v>100</v>
      </c>
      <c r="F231" s="76">
        <v>100</v>
      </c>
      <c r="G231" s="76">
        <v>100</v>
      </c>
      <c r="H231" s="76">
        <v>100</v>
      </c>
      <c r="I231" s="76">
        <v>100</v>
      </c>
      <c r="J231" s="76">
        <v>100</v>
      </c>
      <c r="K231" s="76">
        <v>100</v>
      </c>
      <c r="L231" s="76">
        <v>100</v>
      </c>
      <c r="M231" s="76">
        <v>100</v>
      </c>
    </row>
    <row r="232" spans="3:46" x14ac:dyDescent="0.15">
      <c r="C232" s="76" t="s">
        <v>572</v>
      </c>
      <c r="D232" s="76" t="s">
        <v>574</v>
      </c>
      <c r="E232" s="76" t="s">
        <v>574</v>
      </c>
      <c r="F232" s="76" t="s">
        <v>574</v>
      </c>
      <c r="G232" s="76" t="s">
        <v>574</v>
      </c>
      <c r="H232" s="76" t="s">
        <v>574</v>
      </c>
      <c r="I232" s="76" t="s">
        <v>574</v>
      </c>
      <c r="J232" s="76" t="s">
        <v>574</v>
      </c>
      <c r="K232" s="76" t="s">
        <v>574</v>
      </c>
      <c r="L232" s="76" t="s">
        <v>574</v>
      </c>
      <c r="M232" s="76" t="s">
        <v>574</v>
      </c>
    </row>
    <row r="233" spans="3:46" x14ac:dyDescent="0.15">
      <c r="C233" s="76" t="s">
        <v>573</v>
      </c>
      <c r="D233" s="76">
        <v>1</v>
      </c>
      <c r="E233" s="76">
        <v>2</v>
      </c>
      <c r="F233" s="76">
        <v>3</v>
      </c>
      <c r="G233" s="76">
        <v>4</v>
      </c>
      <c r="H233" s="76">
        <v>5</v>
      </c>
      <c r="I233" s="76">
        <v>6</v>
      </c>
      <c r="J233" s="76">
        <v>7</v>
      </c>
      <c r="K233" s="76">
        <v>8</v>
      </c>
      <c r="L233" s="76">
        <v>9</v>
      </c>
      <c r="M233" s="76">
        <v>10</v>
      </c>
    </row>
    <row r="234" spans="3:46" x14ac:dyDescent="0.15">
      <c r="C234" s="76">
        <v>380</v>
      </c>
      <c r="D234" s="76">
        <v>1.9100000000000001E-4</v>
      </c>
      <c r="E234" s="76">
        <v>1.35E-4</v>
      </c>
      <c r="F234" s="76">
        <v>6.8999999999999997E-4</v>
      </c>
      <c r="G234" s="76">
        <v>3.39E-4</v>
      </c>
      <c r="H234" s="76">
        <v>8.2899999999999998E-4</v>
      </c>
      <c r="I234" s="76">
        <v>1.1000000000000001E-3</v>
      </c>
      <c r="J234" s="76">
        <v>1.2800000000000001E-3</v>
      </c>
      <c r="K234" s="76">
        <v>1.23E-3</v>
      </c>
      <c r="L234" s="76">
        <v>1.3600000000000001E-3</v>
      </c>
      <c r="M234" s="76">
        <v>8.2799999999999996E-4</v>
      </c>
    </row>
    <row r="235" spans="3:46" x14ac:dyDescent="0.15">
      <c r="C235" s="81">
        <v>382</v>
      </c>
      <c r="D235" s="76">
        <v>1.6699999999999999E-4</v>
      </c>
      <c r="E235" s="76">
        <v>1.95E-4</v>
      </c>
      <c r="F235" s="76">
        <v>8.2200000000000003E-4</v>
      </c>
      <c r="G235" s="76">
        <v>3.2499999999999999E-4</v>
      </c>
      <c r="H235" s="81">
        <v>8.2100000000000001E-4</v>
      </c>
      <c r="I235" s="76">
        <v>1.08E-3</v>
      </c>
      <c r="J235" s="76">
        <v>1.06E-3</v>
      </c>
      <c r="K235" s="76">
        <v>1.91E-3</v>
      </c>
      <c r="L235" s="81">
        <v>1.1900000000000001E-3</v>
      </c>
      <c r="M235" s="76">
        <v>7.1500000000000003E-4</v>
      </c>
      <c r="N235" s="81"/>
      <c r="T235" s="81"/>
      <c r="W235" s="81"/>
      <c r="AF235" s="81"/>
      <c r="AG235" s="81"/>
      <c r="AT235" s="81"/>
    </row>
    <row r="236" spans="3:46" x14ac:dyDescent="0.15">
      <c r="C236" s="81">
        <v>384</v>
      </c>
      <c r="D236" s="76">
        <v>1.7200000000000001E-4</v>
      </c>
      <c r="E236" s="76">
        <v>2.4499999999999999E-4</v>
      </c>
      <c r="F236" s="76">
        <v>6.1499999999999999E-4</v>
      </c>
      <c r="G236" s="76">
        <v>3.77E-4</v>
      </c>
      <c r="H236" s="81">
        <v>5.5900000000000004E-4</v>
      </c>
      <c r="I236" s="76">
        <v>1.16E-3</v>
      </c>
      <c r="J236" s="76">
        <v>1.2800000000000001E-3</v>
      </c>
      <c r="K236" s="76">
        <v>1.4599999999999999E-3</v>
      </c>
      <c r="L236" s="81">
        <v>1.23E-3</v>
      </c>
      <c r="M236" s="76">
        <v>4.5899999999999999E-4</v>
      </c>
      <c r="N236" s="81"/>
      <c r="T236" s="81"/>
      <c r="W236" s="81"/>
      <c r="AF236" s="81"/>
      <c r="AG236" s="81"/>
      <c r="AT236" s="81"/>
    </row>
    <row r="237" spans="3:46" x14ac:dyDescent="0.15">
      <c r="C237" s="81">
        <v>386</v>
      </c>
      <c r="D237" s="76">
        <v>1.55E-4</v>
      </c>
      <c r="E237" s="76">
        <v>2.4600000000000002E-4</v>
      </c>
      <c r="F237" s="76">
        <v>6.0700000000000001E-4</v>
      </c>
      <c r="G237" s="76">
        <v>3.4099999999999999E-4</v>
      </c>
      <c r="H237" s="81">
        <v>7.36E-4</v>
      </c>
      <c r="I237" s="76">
        <v>1.01E-3</v>
      </c>
      <c r="J237" s="76">
        <v>1.14E-3</v>
      </c>
      <c r="K237" s="76">
        <v>1.1800000000000001E-3</v>
      </c>
      <c r="L237" s="81">
        <v>1.16E-3</v>
      </c>
      <c r="M237" s="76">
        <v>6.6299999999999996E-4</v>
      </c>
      <c r="N237" s="81"/>
      <c r="T237" s="81"/>
      <c r="W237" s="81"/>
      <c r="AF237" s="81"/>
      <c r="AG237" s="81"/>
      <c r="AT237" s="81"/>
    </row>
    <row r="238" spans="3:46" x14ac:dyDescent="0.15">
      <c r="C238" s="81">
        <v>388</v>
      </c>
      <c r="D238" s="76">
        <v>1.5699999999999999E-4</v>
      </c>
      <c r="E238" s="76">
        <v>1.8200000000000001E-4</v>
      </c>
      <c r="F238" s="76">
        <v>5.5400000000000002E-4</v>
      </c>
      <c r="G238" s="76">
        <v>3.39E-4</v>
      </c>
      <c r="H238" s="81">
        <v>6.7400000000000001E-4</v>
      </c>
      <c r="I238" s="76">
        <v>8.3000000000000001E-4</v>
      </c>
      <c r="J238" s="76">
        <v>1.17E-3</v>
      </c>
      <c r="K238" s="76">
        <v>8.5599999999999999E-4</v>
      </c>
      <c r="L238" s="81">
        <v>1.2700000000000001E-3</v>
      </c>
      <c r="M238" s="76">
        <v>7.8100000000000001E-4</v>
      </c>
      <c r="N238" s="81"/>
      <c r="T238" s="81"/>
      <c r="W238" s="81"/>
      <c r="AF238" s="81"/>
      <c r="AG238" s="81"/>
      <c r="AT238" s="81"/>
    </row>
    <row r="239" spans="3:46" x14ac:dyDescent="0.15">
      <c r="C239" s="81">
        <v>390</v>
      </c>
      <c r="D239" s="76">
        <v>1.5300000000000001E-4</v>
      </c>
      <c r="E239" s="76">
        <v>1.6899999999999999E-4</v>
      </c>
      <c r="F239" s="76">
        <v>4.8299999999999998E-4</v>
      </c>
      <c r="G239" s="76">
        <v>2.9399999999999999E-4</v>
      </c>
      <c r="H239" s="81">
        <v>6.8199999999999999E-4</v>
      </c>
      <c r="I239" s="76">
        <v>8.1300000000000003E-4</v>
      </c>
      <c r="J239" s="76">
        <v>9.59E-4</v>
      </c>
      <c r="K239" s="76">
        <v>1.1900000000000001E-3</v>
      </c>
      <c r="L239" s="81">
        <v>1.24E-3</v>
      </c>
      <c r="M239" s="76">
        <v>8.4199999999999998E-4</v>
      </c>
      <c r="N239" s="81"/>
      <c r="T239" s="81"/>
      <c r="W239" s="81"/>
      <c r="AF239" s="81"/>
      <c r="AG239" s="81"/>
      <c r="AT239" s="81"/>
    </row>
    <row r="240" spans="3:46" x14ac:dyDescent="0.15">
      <c r="C240" s="81">
        <v>392</v>
      </c>
      <c r="D240" s="76">
        <v>1.34E-4</v>
      </c>
      <c r="E240" s="76">
        <v>1.8699999999999999E-4</v>
      </c>
      <c r="F240" s="76">
        <v>4.4999999999999999E-4</v>
      </c>
      <c r="G240" s="76">
        <v>3.57E-4</v>
      </c>
      <c r="H240" s="81">
        <v>6.5099999999999999E-4</v>
      </c>
      <c r="I240" s="76">
        <v>9.1699999999999995E-4</v>
      </c>
      <c r="J240" s="76">
        <v>8.1099999999999998E-4</v>
      </c>
      <c r="K240" s="76">
        <v>1.3500000000000001E-3</v>
      </c>
      <c r="L240" s="81">
        <v>9.5100000000000002E-4</v>
      </c>
      <c r="M240" s="76">
        <v>9.68E-4</v>
      </c>
      <c r="N240" s="81"/>
      <c r="T240" s="81"/>
      <c r="W240" s="81"/>
      <c r="AF240" s="81"/>
      <c r="AG240" s="81"/>
      <c r="AT240" s="81"/>
    </row>
    <row r="241" spans="3:56" x14ac:dyDescent="0.15">
      <c r="C241" s="81">
        <v>394</v>
      </c>
      <c r="D241" s="76">
        <v>1.22E-4</v>
      </c>
      <c r="E241" s="76">
        <v>1.9900000000000001E-4</v>
      </c>
      <c r="F241" s="76">
        <v>5.1000000000000004E-4</v>
      </c>
      <c r="G241" s="76">
        <v>3.9599999999999998E-4</v>
      </c>
      <c r="H241" s="81">
        <v>5.04E-4</v>
      </c>
      <c r="I241" s="76">
        <v>7.5900000000000002E-4</v>
      </c>
      <c r="J241" s="76">
        <v>8.6899999999999998E-4</v>
      </c>
      <c r="K241" s="76">
        <v>1.5100000000000001E-3</v>
      </c>
      <c r="L241" s="81">
        <v>8.2899999999999998E-4</v>
      </c>
      <c r="M241" s="76">
        <v>9.2400000000000002E-4</v>
      </c>
      <c r="N241" s="81"/>
      <c r="T241" s="81"/>
      <c r="W241" s="81"/>
      <c r="AF241" s="81"/>
      <c r="AG241" s="81"/>
      <c r="AT241" s="81"/>
    </row>
    <row r="242" spans="3:56" x14ac:dyDescent="0.15">
      <c r="C242" s="81">
        <v>396</v>
      </c>
      <c r="D242" s="76">
        <v>1.13E-4</v>
      </c>
      <c r="E242" s="76">
        <v>1.93E-4</v>
      </c>
      <c r="F242" s="76">
        <v>3.9399999999999998E-4</v>
      </c>
      <c r="G242" s="76">
        <v>1.74E-4</v>
      </c>
      <c r="H242" s="81">
        <v>6.4400000000000004E-4</v>
      </c>
      <c r="I242" s="76">
        <v>9.6599999999999995E-4</v>
      </c>
      <c r="J242" s="76">
        <v>7.9100000000000004E-4</v>
      </c>
      <c r="K242" s="76">
        <v>1.3600000000000001E-3</v>
      </c>
      <c r="L242" s="81">
        <v>1.01E-3</v>
      </c>
      <c r="M242" s="76">
        <v>9.6400000000000001E-4</v>
      </c>
      <c r="N242" s="81"/>
      <c r="T242" s="81"/>
      <c r="W242" s="81"/>
      <c r="AF242" s="81"/>
      <c r="AG242" s="81"/>
      <c r="AT242" s="81"/>
    </row>
    <row r="243" spans="3:56" x14ac:dyDescent="0.15">
      <c r="C243" s="81">
        <v>398</v>
      </c>
      <c r="D243" s="76">
        <v>1.3200000000000001E-4</v>
      </c>
      <c r="E243" s="76">
        <v>2.04E-4</v>
      </c>
      <c r="F243" s="76">
        <v>4.3100000000000001E-4</v>
      </c>
      <c r="G243" s="76">
        <v>3.48E-4</v>
      </c>
      <c r="H243" s="81">
        <v>4.4000000000000002E-4</v>
      </c>
      <c r="I243" s="76">
        <v>8.8199999999999997E-4</v>
      </c>
      <c r="J243" s="76">
        <v>8.7100000000000003E-4</v>
      </c>
      <c r="K243" s="76">
        <v>1.24E-3</v>
      </c>
      <c r="L243" s="81">
        <v>1.01E-3</v>
      </c>
      <c r="M243" s="76">
        <v>8.52E-4</v>
      </c>
      <c r="N243" s="81"/>
      <c r="T243" s="81"/>
      <c r="W243" s="81"/>
      <c r="AF243" s="81"/>
      <c r="AG243" s="81"/>
      <c r="AT243" s="81"/>
    </row>
    <row r="244" spans="3:56" x14ac:dyDescent="0.15">
      <c r="C244" s="81">
        <v>400</v>
      </c>
      <c r="D244" s="76">
        <v>1.35E-4</v>
      </c>
      <c r="E244" s="76">
        <v>2.05E-4</v>
      </c>
      <c r="F244" s="76">
        <v>3.86E-4</v>
      </c>
      <c r="G244" s="76">
        <v>3.7199999999999999E-4</v>
      </c>
      <c r="H244" s="81">
        <v>4.9600000000000002E-4</v>
      </c>
      <c r="I244" s="76">
        <v>8.7000000000000001E-4</v>
      </c>
      <c r="J244" s="76">
        <v>1.08E-3</v>
      </c>
      <c r="K244" s="76">
        <v>1.2999999999999999E-3</v>
      </c>
      <c r="L244" s="81">
        <v>9.1200000000000005E-4</v>
      </c>
      <c r="M244" s="76">
        <v>1.1000000000000001E-3</v>
      </c>
      <c r="N244" s="81"/>
      <c r="T244" s="81"/>
      <c r="W244" s="81"/>
      <c r="AF244" s="81"/>
      <c r="AG244" s="81"/>
      <c r="AT244" s="81"/>
    </row>
    <row r="245" spans="3:56" x14ac:dyDescent="0.15">
      <c r="C245" s="81">
        <v>402</v>
      </c>
      <c r="D245" s="76">
        <v>1.4200000000000001E-4</v>
      </c>
      <c r="E245" s="76">
        <v>2.04E-4</v>
      </c>
      <c r="F245" s="76">
        <v>4.0499999999999998E-4</v>
      </c>
      <c r="G245" s="76">
        <v>3.9399999999999998E-4</v>
      </c>
      <c r="H245" s="81">
        <v>6.2500000000000001E-4</v>
      </c>
      <c r="I245" s="76">
        <v>8.9400000000000005E-4</v>
      </c>
      <c r="J245" s="76">
        <v>8.7900000000000001E-4</v>
      </c>
      <c r="K245" s="76">
        <v>1.3699999999999999E-3</v>
      </c>
      <c r="L245" s="81">
        <v>9.6400000000000001E-4</v>
      </c>
      <c r="M245" s="76">
        <v>1.3799999999999999E-3</v>
      </c>
      <c r="N245" s="81"/>
      <c r="T245" s="81"/>
      <c r="W245" s="81"/>
      <c r="AF245" s="81"/>
      <c r="AG245" s="81"/>
      <c r="AT245" s="81"/>
    </row>
    <row r="246" spans="3:56" x14ac:dyDescent="0.15">
      <c r="C246" s="81">
        <v>404</v>
      </c>
      <c r="D246" s="76">
        <v>1.37E-4</v>
      </c>
      <c r="E246" s="76">
        <v>2.33E-4</v>
      </c>
      <c r="F246" s="76">
        <v>3.7100000000000002E-4</v>
      </c>
      <c r="G246" s="76">
        <v>4.5600000000000003E-4</v>
      </c>
      <c r="H246" s="81">
        <v>5.8600000000000004E-4</v>
      </c>
      <c r="I246" s="76">
        <v>9.2400000000000002E-4</v>
      </c>
      <c r="J246" s="76">
        <v>8.9400000000000005E-4</v>
      </c>
      <c r="K246" s="76">
        <v>1.41E-3</v>
      </c>
      <c r="L246" s="81">
        <v>1.09E-3</v>
      </c>
      <c r="M246" s="76">
        <v>1.2600000000000001E-3</v>
      </c>
      <c r="N246" s="81"/>
      <c r="T246" s="81"/>
      <c r="W246" s="81"/>
      <c r="AF246" s="81"/>
      <c r="AG246" s="81"/>
      <c r="AT246" s="81"/>
    </row>
    <row r="247" spans="3:56" x14ac:dyDescent="0.15">
      <c r="C247" s="81">
        <v>406</v>
      </c>
      <c r="D247" s="76">
        <v>9.3800000000000003E-5</v>
      </c>
      <c r="E247" s="76">
        <v>2.6200000000000003E-4</v>
      </c>
      <c r="F247" s="76">
        <v>3.8999999999999999E-4</v>
      </c>
      <c r="G247" s="76">
        <v>5.31E-4</v>
      </c>
      <c r="H247" s="81">
        <v>6.4599999999999998E-4</v>
      </c>
      <c r="I247" s="76">
        <v>9.9400000000000009E-4</v>
      </c>
      <c r="J247" s="76">
        <v>1E-3</v>
      </c>
      <c r="K247" s="76">
        <v>1.4499999999999999E-3</v>
      </c>
      <c r="L247" s="81">
        <v>1.17E-3</v>
      </c>
      <c r="M247" s="76">
        <v>1.41E-3</v>
      </c>
      <c r="N247" s="81"/>
      <c r="T247" s="81"/>
      <c r="W247" s="81"/>
      <c r="AF247" s="81"/>
      <c r="AG247" s="81"/>
      <c r="AT247" s="81"/>
    </row>
    <row r="248" spans="3:56" x14ac:dyDescent="0.15">
      <c r="C248" s="81">
        <v>408</v>
      </c>
      <c r="D248" s="76">
        <v>1.9000000000000001E-4</v>
      </c>
      <c r="E248" s="76">
        <v>2.81E-4</v>
      </c>
      <c r="F248" s="76">
        <v>3.9500000000000001E-4</v>
      </c>
      <c r="G248" s="76">
        <v>5.53E-4</v>
      </c>
      <c r="H248" s="81">
        <v>7.2000000000000005E-4</v>
      </c>
      <c r="I248" s="76">
        <v>1.0200000000000001E-3</v>
      </c>
      <c r="J248" s="76">
        <v>1.01E-3</v>
      </c>
      <c r="K248" s="76">
        <v>1.3699999999999999E-3</v>
      </c>
      <c r="L248" s="81">
        <v>1.25E-3</v>
      </c>
      <c r="M248" s="76">
        <v>1.49E-3</v>
      </c>
      <c r="N248" s="81"/>
      <c r="T248" s="81"/>
      <c r="W248" s="81"/>
      <c r="AF248" s="81"/>
      <c r="AG248" s="81"/>
      <c r="AT248" s="81"/>
    </row>
    <row r="249" spans="3:56" x14ac:dyDescent="0.15">
      <c r="C249" s="81">
        <v>410</v>
      </c>
      <c r="D249" s="81">
        <v>1.6699999999999999E-4</v>
      </c>
      <c r="E249" s="81">
        <v>3.2000000000000003E-4</v>
      </c>
      <c r="F249" s="81">
        <v>4.7600000000000002E-4</v>
      </c>
      <c r="G249" s="81">
        <v>6.5300000000000004E-4</v>
      </c>
      <c r="H249" s="81">
        <v>8.3600000000000005E-4</v>
      </c>
      <c r="I249" s="81">
        <v>1.31E-3</v>
      </c>
      <c r="J249" s="81">
        <v>1.1800000000000001E-3</v>
      </c>
      <c r="K249" s="81">
        <v>1.4499999999999999E-3</v>
      </c>
      <c r="L249" s="81">
        <v>1.5399999999999999E-3</v>
      </c>
      <c r="M249" s="81">
        <v>1.65E-3</v>
      </c>
      <c r="N249" s="81"/>
      <c r="O249" s="81"/>
      <c r="P249" s="81"/>
      <c r="Q249" s="81"/>
      <c r="R249" s="81"/>
      <c r="S249" s="81"/>
      <c r="T249" s="81"/>
      <c r="U249" s="81"/>
      <c r="V249" s="81"/>
      <c r="W249" s="81"/>
      <c r="X249" s="81"/>
      <c r="Y249" s="81"/>
      <c r="Z249" s="81"/>
      <c r="AA249" s="81"/>
      <c r="AB249" s="81"/>
      <c r="AC249" s="81"/>
      <c r="AD249" s="81"/>
      <c r="AF249" s="81"/>
      <c r="AG249" s="81"/>
      <c r="AH249" s="81"/>
      <c r="AI249" s="81"/>
      <c r="AJ249" s="81"/>
      <c r="AK249" s="81"/>
      <c r="AL249" s="81"/>
      <c r="AM249" s="81"/>
      <c r="AN249" s="81"/>
      <c r="AO249" s="81"/>
      <c r="AP249" s="81"/>
      <c r="AQ249" s="81"/>
      <c r="AT249" s="81"/>
      <c r="AU249" s="81"/>
      <c r="AV249" s="81"/>
      <c r="AW249" s="81"/>
      <c r="AX249" s="81"/>
      <c r="AY249" s="81"/>
      <c r="AZ249" s="81"/>
      <c r="BA249" s="81"/>
      <c r="BB249" s="81"/>
      <c r="BC249" s="81"/>
      <c r="BD249" s="81"/>
    </row>
    <row r="250" spans="3:56" x14ac:dyDescent="0.15">
      <c r="C250" s="81">
        <v>412</v>
      </c>
      <c r="D250" s="76">
        <v>2.03E-4</v>
      </c>
      <c r="E250" s="76">
        <v>3.8099999999999999E-4</v>
      </c>
      <c r="F250" s="76">
        <v>5.1000000000000004E-4</v>
      </c>
      <c r="G250" s="76">
        <v>7.6000000000000004E-4</v>
      </c>
      <c r="H250" s="81">
        <v>1.01E-3</v>
      </c>
      <c r="I250" s="76">
        <v>1.3600000000000001E-3</v>
      </c>
      <c r="J250" s="76">
        <v>1.23E-3</v>
      </c>
      <c r="K250" s="76">
        <v>1.73E-3</v>
      </c>
      <c r="L250" s="81">
        <v>1.7799999999999999E-3</v>
      </c>
      <c r="M250" s="76">
        <v>1.8699999999999999E-3</v>
      </c>
      <c r="N250" s="81"/>
      <c r="T250" s="81"/>
      <c r="W250" s="81"/>
      <c r="AF250" s="81"/>
      <c r="AG250" s="81"/>
      <c r="AT250" s="81"/>
    </row>
    <row r="251" spans="3:56" x14ac:dyDescent="0.15">
      <c r="C251" s="81">
        <v>414</v>
      </c>
      <c r="D251" s="81">
        <v>2.33E-4</v>
      </c>
      <c r="E251" s="81">
        <v>4.5800000000000002E-4</v>
      </c>
      <c r="F251" s="81">
        <v>6.2100000000000002E-4</v>
      </c>
      <c r="G251" s="81">
        <v>8.9800000000000004E-4</v>
      </c>
      <c r="H251" s="81">
        <v>1.1000000000000001E-3</v>
      </c>
      <c r="I251" s="81">
        <v>1.5900000000000001E-3</v>
      </c>
      <c r="J251" s="81">
        <v>1.6999999999999999E-3</v>
      </c>
      <c r="K251" s="81">
        <v>1.9400000000000001E-3</v>
      </c>
      <c r="L251" s="81">
        <v>1.97E-3</v>
      </c>
      <c r="M251" s="81">
        <v>2.3E-3</v>
      </c>
      <c r="N251" s="81"/>
      <c r="O251" s="81"/>
      <c r="P251" s="81"/>
      <c r="Q251" s="81"/>
      <c r="R251" s="81"/>
      <c r="S251" s="81"/>
      <c r="T251" s="81"/>
      <c r="U251" s="81"/>
      <c r="V251" s="81"/>
      <c r="W251" s="81"/>
      <c r="X251" s="81"/>
      <c r="Y251" s="81"/>
      <c r="Z251" s="81"/>
      <c r="AA251" s="81"/>
      <c r="AB251" s="81"/>
      <c r="AC251" s="81"/>
      <c r="AF251" s="81"/>
      <c r="AG251" s="81"/>
      <c r="AH251" s="81"/>
      <c r="AI251" s="81"/>
      <c r="AJ251" s="81"/>
      <c r="AK251" s="81"/>
      <c r="AL251" s="81"/>
      <c r="AM251" s="81"/>
      <c r="AN251" s="81"/>
      <c r="AO251" s="81"/>
      <c r="AP251" s="81"/>
    </row>
    <row r="252" spans="3:56" x14ac:dyDescent="0.15">
      <c r="C252" s="81">
        <v>416</v>
      </c>
      <c r="D252" s="76">
        <v>2.6400000000000002E-4</v>
      </c>
      <c r="E252" s="76">
        <v>5.3700000000000004E-4</v>
      </c>
      <c r="F252" s="76">
        <v>7.3499999999999998E-4</v>
      </c>
      <c r="G252" s="76">
        <v>1.07E-3</v>
      </c>
      <c r="H252" s="76">
        <v>1.33E-3</v>
      </c>
      <c r="I252" s="76">
        <v>1.75E-3</v>
      </c>
      <c r="J252" s="76">
        <v>1.9300000000000001E-3</v>
      </c>
      <c r="K252" s="76">
        <v>2.2799999999999999E-3</v>
      </c>
      <c r="L252" s="76">
        <v>2.3500000000000001E-3</v>
      </c>
      <c r="M252" s="76">
        <v>3.1099999999999999E-3</v>
      </c>
      <c r="AF252" s="81"/>
    </row>
    <row r="253" spans="3:56" x14ac:dyDescent="0.15">
      <c r="C253" s="76">
        <v>418</v>
      </c>
      <c r="D253" s="76">
        <v>3.1199999999999999E-4</v>
      </c>
      <c r="E253" s="76">
        <v>6.3000000000000003E-4</v>
      </c>
      <c r="F253" s="76">
        <v>8.9899999999999995E-4</v>
      </c>
      <c r="G253" s="76">
        <v>1.2800000000000001E-3</v>
      </c>
      <c r="H253" s="76">
        <v>1.5900000000000001E-3</v>
      </c>
      <c r="I253" s="76">
        <v>1.92E-3</v>
      </c>
      <c r="J253" s="76">
        <v>2.2399999999999998E-3</v>
      </c>
      <c r="K253" s="76">
        <v>2.64E-3</v>
      </c>
      <c r="L253" s="76">
        <v>2.8E-3</v>
      </c>
      <c r="M253" s="76">
        <v>3.3300000000000001E-3</v>
      </c>
    </row>
    <row r="254" spans="3:56" x14ac:dyDescent="0.15">
      <c r="C254" s="76">
        <v>420</v>
      </c>
      <c r="D254" s="76">
        <v>3.8000000000000002E-4</v>
      </c>
      <c r="E254" s="76">
        <v>7.4799999999999997E-4</v>
      </c>
      <c r="F254" s="76">
        <v>1.09E-3</v>
      </c>
      <c r="G254" s="76">
        <v>1.5299999999999999E-3</v>
      </c>
      <c r="H254" s="76">
        <v>1.9E-3</v>
      </c>
      <c r="I254" s="76">
        <v>2.4099999999999998E-3</v>
      </c>
      <c r="J254" s="76">
        <v>2.7000000000000001E-3</v>
      </c>
      <c r="K254" s="76">
        <v>3.16E-3</v>
      </c>
      <c r="L254" s="76">
        <v>3.4199999999999999E-3</v>
      </c>
      <c r="M254" s="76">
        <v>3.8700000000000002E-3</v>
      </c>
    </row>
    <row r="255" spans="3:56" x14ac:dyDescent="0.15">
      <c r="C255" s="76">
        <v>422</v>
      </c>
      <c r="D255" s="76">
        <v>4.5399999999999998E-4</v>
      </c>
      <c r="E255" s="76">
        <v>9.3800000000000003E-4</v>
      </c>
      <c r="F255" s="76">
        <v>1.33E-3</v>
      </c>
      <c r="G255" s="76">
        <v>1.8699999999999999E-3</v>
      </c>
      <c r="H255" s="76">
        <v>2.3600000000000001E-3</v>
      </c>
      <c r="I255" s="76">
        <v>2.9299999999999999E-3</v>
      </c>
      <c r="J255" s="76">
        <v>3.2699999999999999E-3</v>
      </c>
      <c r="K255" s="76">
        <v>3.8600000000000001E-3</v>
      </c>
      <c r="L255" s="76">
        <v>4.1799999999999997E-3</v>
      </c>
      <c r="M255" s="76">
        <v>4.7499999999999999E-3</v>
      </c>
    </row>
    <row r="256" spans="3:56" x14ac:dyDescent="0.15">
      <c r="C256" s="76">
        <v>424</v>
      </c>
      <c r="D256" s="76">
        <v>5.6899999999999995E-4</v>
      </c>
      <c r="E256" s="76">
        <v>1.15E-3</v>
      </c>
      <c r="F256" s="76">
        <v>1.6900000000000001E-3</v>
      </c>
      <c r="G256" s="76">
        <v>2.4199999999999998E-3</v>
      </c>
      <c r="H256" s="76">
        <v>2.97E-3</v>
      </c>
      <c r="I256" s="76">
        <v>3.5000000000000001E-3</v>
      </c>
      <c r="J256" s="76">
        <v>4.0699999999999998E-3</v>
      </c>
      <c r="K256" s="76">
        <v>4.7699999999999999E-3</v>
      </c>
      <c r="L256" s="76">
        <v>5.0600000000000003E-3</v>
      </c>
      <c r="M256" s="76">
        <v>5.9699999999999996E-3</v>
      </c>
    </row>
    <row r="257" spans="3:13" x14ac:dyDescent="0.15">
      <c r="C257" s="76">
        <v>426</v>
      </c>
      <c r="D257" s="76">
        <v>7.1699999999999997E-4</v>
      </c>
      <c r="E257" s="76">
        <v>1.4499999999999999E-3</v>
      </c>
      <c r="F257" s="76">
        <v>2.16E-3</v>
      </c>
      <c r="G257" s="76">
        <v>3.0100000000000001E-3</v>
      </c>
      <c r="H257" s="76">
        <v>3.7000000000000002E-3</v>
      </c>
      <c r="I257" s="76">
        <v>4.45E-3</v>
      </c>
      <c r="J257" s="76">
        <v>5.2500000000000003E-3</v>
      </c>
      <c r="K257" s="76">
        <v>6.1399999999999996E-3</v>
      </c>
      <c r="L257" s="76">
        <v>6.7299999999999999E-3</v>
      </c>
      <c r="M257" s="76">
        <v>7.5700000000000003E-3</v>
      </c>
    </row>
    <row r="258" spans="3:13" x14ac:dyDescent="0.15">
      <c r="C258" s="76">
        <v>428</v>
      </c>
      <c r="D258" s="76">
        <v>9.2800000000000001E-4</v>
      </c>
      <c r="E258" s="76">
        <v>1.8799999999999999E-3</v>
      </c>
      <c r="F258" s="76">
        <v>2.8800000000000002E-3</v>
      </c>
      <c r="G258" s="76">
        <v>3.8800000000000002E-3</v>
      </c>
      <c r="H258" s="76">
        <v>4.8500000000000001E-3</v>
      </c>
      <c r="I258" s="76">
        <v>5.8999999999999999E-3</v>
      </c>
      <c r="J258" s="76">
        <v>6.8500000000000002E-3</v>
      </c>
      <c r="K258" s="76">
        <v>7.7799999999999996E-3</v>
      </c>
      <c r="L258" s="76">
        <v>8.6899999999999998E-3</v>
      </c>
      <c r="M258" s="76">
        <v>9.6799999999999994E-3</v>
      </c>
    </row>
    <row r="259" spans="3:13" x14ac:dyDescent="0.15">
      <c r="C259" s="76">
        <v>430</v>
      </c>
      <c r="D259" s="76">
        <v>1.2600000000000001E-3</v>
      </c>
      <c r="E259" s="76">
        <v>2.5600000000000002E-3</v>
      </c>
      <c r="F259" s="76">
        <v>3.7699999999999999E-3</v>
      </c>
      <c r="G259" s="76">
        <v>5.2300000000000003E-3</v>
      </c>
      <c r="H259" s="76">
        <v>6.5399999999999998E-3</v>
      </c>
      <c r="I259" s="76">
        <v>7.8499999999999993E-3</v>
      </c>
      <c r="J259" s="76">
        <v>9.1999999999999998E-3</v>
      </c>
      <c r="K259" s="76">
        <v>1.04E-2</v>
      </c>
      <c r="L259" s="76">
        <v>1.17E-2</v>
      </c>
      <c r="M259" s="76">
        <v>1.2999999999999999E-2</v>
      </c>
    </row>
    <row r="260" spans="3:13" x14ac:dyDescent="0.15">
      <c r="C260" s="76">
        <v>432</v>
      </c>
      <c r="D260" s="76">
        <v>1.72E-3</v>
      </c>
      <c r="E260" s="76">
        <v>3.5100000000000001E-3</v>
      </c>
      <c r="F260" s="76">
        <v>5.2399999999999999E-3</v>
      </c>
      <c r="G260" s="76">
        <v>7.1599999999999997E-3</v>
      </c>
      <c r="H260" s="76">
        <v>8.9099999999999995E-3</v>
      </c>
      <c r="I260" s="76">
        <v>1.0699999999999999E-2</v>
      </c>
      <c r="J260" s="76">
        <v>1.26E-2</v>
      </c>
      <c r="K260" s="76">
        <v>1.43E-2</v>
      </c>
      <c r="L260" s="76">
        <v>1.61E-2</v>
      </c>
      <c r="M260" s="76">
        <v>1.7899999999999999E-2</v>
      </c>
    </row>
    <row r="261" spans="3:13" x14ac:dyDescent="0.15">
      <c r="C261" s="76">
        <v>434</v>
      </c>
      <c r="D261" s="76">
        <v>2.3900000000000002E-3</v>
      </c>
      <c r="E261" s="76">
        <v>4.8700000000000002E-3</v>
      </c>
      <c r="F261" s="76">
        <v>7.3499999999999998E-3</v>
      </c>
      <c r="G261" s="76">
        <v>9.92E-3</v>
      </c>
      <c r="H261" s="76">
        <v>1.24E-2</v>
      </c>
      <c r="I261" s="76">
        <v>1.49E-2</v>
      </c>
      <c r="J261" s="76">
        <v>1.7399999999999999E-2</v>
      </c>
      <c r="K261" s="76">
        <v>1.9800000000000002E-2</v>
      </c>
      <c r="L261" s="76">
        <v>2.23E-2</v>
      </c>
      <c r="M261" s="76">
        <v>2.4899999999999999E-2</v>
      </c>
    </row>
    <row r="262" spans="3:13" x14ac:dyDescent="0.15">
      <c r="C262" s="76">
        <v>436</v>
      </c>
      <c r="D262" s="76">
        <v>3.4099999999999998E-3</v>
      </c>
      <c r="E262" s="76">
        <v>6.96E-3</v>
      </c>
      <c r="F262" s="76">
        <v>1.0500000000000001E-2</v>
      </c>
      <c r="G262" s="76">
        <v>1.41E-2</v>
      </c>
      <c r="H262" s="76">
        <v>1.7600000000000001E-2</v>
      </c>
      <c r="I262" s="76">
        <v>2.12E-2</v>
      </c>
      <c r="J262" s="76">
        <v>2.4899999999999999E-2</v>
      </c>
      <c r="K262" s="76">
        <v>2.8199999999999999E-2</v>
      </c>
      <c r="L262" s="76">
        <v>3.1899999999999998E-2</v>
      </c>
      <c r="M262" s="76">
        <v>3.5400000000000001E-2</v>
      </c>
    </row>
    <row r="263" spans="3:13" x14ac:dyDescent="0.15">
      <c r="C263" s="76">
        <v>438</v>
      </c>
      <c r="D263" s="76">
        <v>4.8599999999999997E-3</v>
      </c>
      <c r="E263" s="76">
        <v>9.9600000000000001E-3</v>
      </c>
      <c r="F263" s="76">
        <v>1.4999999999999999E-2</v>
      </c>
      <c r="G263" s="76">
        <v>2.01E-2</v>
      </c>
      <c r="H263" s="76">
        <v>2.5100000000000001E-2</v>
      </c>
      <c r="I263" s="76">
        <v>3.0200000000000001E-2</v>
      </c>
      <c r="J263" s="76">
        <v>3.5200000000000002E-2</v>
      </c>
      <c r="K263" s="76">
        <v>0.04</v>
      </c>
      <c r="L263" s="76">
        <v>4.5199999999999997E-2</v>
      </c>
      <c r="M263" s="76">
        <v>5.0299999999999997E-2</v>
      </c>
    </row>
    <row r="264" spans="3:13" x14ac:dyDescent="0.15">
      <c r="C264" s="76">
        <v>440</v>
      </c>
      <c r="D264" s="76">
        <v>6.7099999999999998E-3</v>
      </c>
      <c r="E264" s="76">
        <v>1.37E-2</v>
      </c>
      <c r="F264" s="76">
        <v>2.07E-2</v>
      </c>
      <c r="G264" s="76">
        <v>2.7699999999999999E-2</v>
      </c>
      <c r="H264" s="76">
        <v>3.4599999999999999E-2</v>
      </c>
      <c r="I264" s="76">
        <v>4.1500000000000002E-2</v>
      </c>
      <c r="J264" s="76">
        <v>4.8500000000000001E-2</v>
      </c>
      <c r="K264" s="76">
        <v>5.5199999999999999E-2</v>
      </c>
      <c r="L264" s="76">
        <v>6.2100000000000002E-2</v>
      </c>
      <c r="M264" s="76">
        <v>6.9199999999999998E-2</v>
      </c>
    </row>
    <row r="265" spans="3:13" x14ac:dyDescent="0.15">
      <c r="C265" s="76">
        <v>442</v>
      </c>
      <c r="D265" s="76">
        <v>8.9700000000000005E-3</v>
      </c>
      <c r="E265" s="76">
        <v>1.83E-2</v>
      </c>
      <c r="F265" s="76">
        <v>2.7699999999999999E-2</v>
      </c>
      <c r="G265" s="76">
        <v>3.6999999999999998E-2</v>
      </c>
      <c r="H265" s="76">
        <v>4.6199999999999998E-2</v>
      </c>
      <c r="I265" s="76">
        <v>5.5399999999999998E-2</v>
      </c>
      <c r="J265" s="76">
        <v>6.4699999999999994E-2</v>
      </c>
      <c r="K265" s="76">
        <v>7.3700000000000002E-2</v>
      </c>
      <c r="L265" s="76">
        <v>8.2900000000000001E-2</v>
      </c>
      <c r="M265" s="76">
        <v>9.2100000000000001E-2</v>
      </c>
    </row>
    <row r="266" spans="3:13" x14ac:dyDescent="0.15">
      <c r="C266" s="76">
        <v>444</v>
      </c>
      <c r="D266" s="76">
        <v>1.17E-2</v>
      </c>
      <c r="E266" s="76">
        <v>2.3900000000000001E-2</v>
      </c>
      <c r="F266" s="76">
        <v>3.5999999999999997E-2</v>
      </c>
      <c r="G266" s="76">
        <v>4.8099999999999997E-2</v>
      </c>
      <c r="H266" s="76">
        <v>0.06</v>
      </c>
      <c r="I266" s="76">
        <v>7.1900000000000006E-2</v>
      </c>
      <c r="J266" s="76">
        <v>8.4000000000000005E-2</v>
      </c>
      <c r="K266" s="76">
        <v>9.5699999999999993E-2</v>
      </c>
      <c r="L266" s="76">
        <v>0.108</v>
      </c>
      <c r="M266" s="76">
        <v>0.11899999999999999</v>
      </c>
    </row>
    <row r="267" spans="3:13" x14ac:dyDescent="0.15">
      <c r="C267" s="76">
        <v>446</v>
      </c>
      <c r="D267" s="76">
        <v>1.47E-2</v>
      </c>
      <c r="E267" s="76">
        <v>3.0099999999999998E-2</v>
      </c>
      <c r="F267" s="76">
        <v>4.5400000000000003E-2</v>
      </c>
      <c r="G267" s="76">
        <v>6.0499999999999998E-2</v>
      </c>
      <c r="H267" s="76">
        <v>7.5600000000000001E-2</v>
      </c>
      <c r="I267" s="76">
        <v>9.0499999999999997E-2</v>
      </c>
      <c r="J267" s="76">
        <v>0.106</v>
      </c>
      <c r="K267" s="76">
        <v>0.12</v>
      </c>
      <c r="L267" s="76">
        <v>0.13500000000000001</v>
      </c>
      <c r="M267" s="76">
        <v>0.15</v>
      </c>
    </row>
    <row r="268" spans="3:13" x14ac:dyDescent="0.15">
      <c r="C268" s="76">
        <v>448</v>
      </c>
      <c r="D268" s="76">
        <v>1.7899999999999999E-2</v>
      </c>
      <c r="E268" s="76">
        <v>3.6700000000000003E-2</v>
      </c>
      <c r="F268" s="76">
        <v>5.5300000000000002E-2</v>
      </c>
      <c r="G268" s="76">
        <v>7.3700000000000002E-2</v>
      </c>
      <c r="H268" s="76">
        <v>9.1999999999999998E-2</v>
      </c>
      <c r="I268" s="76">
        <v>0.11</v>
      </c>
      <c r="J268" s="76">
        <v>0.128</v>
      </c>
      <c r="K268" s="76">
        <v>0.14599999999999999</v>
      </c>
      <c r="L268" s="76">
        <v>0.16500000000000001</v>
      </c>
      <c r="M268" s="76">
        <v>0.183</v>
      </c>
    </row>
    <row r="269" spans="3:13" x14ac:dyDescent="0.15">
      <c r="C269" s="76">
        <v>450</v>
      </c>
      <c r="D269" s="76">
        <v>2.1299999999999999E-2</v>
      </c>
      <c r="E269" s="76">
        <v>4.36E-2</v>
      </c>
      <c r="F269" s="76">
        <v>6.5799999999999997E-2</v>
      </c>
      <c r="G269" s="76">
        <v>8.7599999999999997E-2</v>
      </c>
      <c r="H269" s="76">
        <v>0.109</v>
      </c>
      <c r="I269" s="76">
        <v>0.13100000000000001</v>
      </c>
      <c r="J269" s="76">
        <v>0.153</v>
      </c>
      <c r="K269" s="76">
        <v>0.17399999999999999</v>
      </c>
      <c r="L269" s="76">
        <v>0.19500000000000001</v>
      </c>
      <c r="M269" s="76">
        <v>0.217</v>
      </c>
    </row>
    <row r="270" spans="3:13" x14ac:dyDescent="0.15">
      <c r="C270" s="76">
        <v>452</v>
      </c>
      <c r="D270" s="76">
        <v>2.4199999999999999E-2</v>
      </c>
      <c r="E270" s="76">
        <v>4.9500000000000002E-2</v>
      </c>
      <c r="F270" s="76">
        <v>7.4700000000000003E-2</v>
      </c>
      <c r="G270" s="76">
        <v>9.9500000000000005E-2</v>
      </c>
      <c r="H270" s="76">
        <v>0.124</v>
      </c>
      <c r="I270" s="76">
        <v>0.14899999999999999</v>
      </c>
      <c r="J270" s="76">
        <v>0.17299999999999999</v>
      </c>
      <c r="K270" s="76">
        <v>0.19700000000000001</v>
      </c>
      <c r="L270" s="76">
        <v>0.222</v>
      </c>
      <c r="M270" s="76">
        <v>0.246</v>
      </c>
    </row>
    <row r="271" spans="3:13" x14ac:dyDescent="0.15">
      <c r="C271" s="76">
        <v>454</v>
      </c>
      <c r="D271" s="76">
        <v>2.6499999999999999E-2</v>
      </c>
      <c r="E271" s="76">
        <v>5.4199999999999998E-2</v>
      </c>
      <c r="F271" s="76">
        <v>8.1699999999999995E-2</v>
      </c>
      <c r="G271" s="76">
        <v>0.109</v>
      </c>
      <c r="H271" s="76">
        <v>0.13600000000000001</v>
      </c>
      <c r="I271" s="76">
        <v>0.16200000000000001</v>
      </c>
      <c r="J271" s="76">
        <v>0.189</v>
      </c>
      <c r="K271" s="76">
        <v>0.216</v>
      </c>
      <c r="L271" s="76">
        <v>0.24199999999999999</v>
      </c>
      <c r="M271" s="76">
        <v>0.26800000000000002</v>
      </c>
    </row>
    <row r="272" spans="3:13" x14ac:dyDescent="0.15">
      <c r="C272" s="76">
        <v>456</v>
      </c>
      <c r="D272" s="76">
        <v>2.81E-2</v>
      </c>
      <c r="E272" s="76">
        <v>5.7500000000000002E-2</v>
      </c>
      <c r="F272" s="76">
        <v>8.6499999999999994E-2</v>
      </c>
      <c r="G272" s="76">
        <v>0.115</v>
      </c>
      <c r="H272" s="76">
        <v>0.14399999999999999</v>
      </c>
      <c r="I272" s="76">
        <v>0.17199999999999999</v>
      </c>
      <c r="J272" s="76">
        <v>0.2</v>
      </c>
      <c r="K272" s="76">
        <v>0.22800000000000001</v>
      </c>
      <c r="L272" s="76">
        <v>0.25600000000000001</v>
      </c>
      <c r="M272" s="76">
        <v>0.28399999999999997</v>
      </c>
    </row>
    <row r="273" spans="3:13" x14ac:dyDescent="0.15">
      <c r="C273" s="76">
        <v>458</v>
      </c>
      <c r="D273" s="76">
        <v>2.8799999999999999E-2</v>
      </c>
      <c r="E273" s="76">
        <v>5.91E-2</v>
      </c>
      <c r="F273" s="76">
        <v>8.8900000000000007E-2</v>
      </c>
      <c r="G273" s="76">
        <v>0.11799999999999999</v>
      </c>
      <c r="H273" s="76">
        <v>0.14799999999999999</v>
      </c>
      <c r="I273" s="76">
        <v>0.17699999999999999</v>
      </c>
      <c r="J273" s="76">
        <v>0.20599999999999999</v>
      </c>
      <c r="K273" s="76">
        <v>0.23400000000000001</v>
      </c>
      <c r="L273" s="76">
        <v>0.26300000000000001</v>
      </c>
      <c r="M273" s="76">
        <v>0.29199999999999998</v>
      </c>
    </row>
    <row r="274" spans="3:13" x14ac:dyDescent="0.15">
      <c r="C274" s="76">
        <v>460</v>
      </c>
      <c r="D274" s="76">
        <v>2.8899999999999999E-2</v>
      </c>
      <c r="E274" s="76">
        <v>5.9200000000000003E-2</v>
      </c>
      <c r="F274" s="76">
        <v>8.9099999999999999E-2</v>
      </c>
      <c r="G274" s="76">
        <v>0.11899999999999999</v>
      </c>
      <c r="H274" s="76">
        <v>0.14799999999999999</v>
      </c>
      <c r="I274" s="76">
        <v>0.17699999999999999</v>
      </c>
      <c r="J274" s="76">
        <v>0.20599999999999999</v>
      </c>
      <c r="K274" s="76">
        <v>0.23499999999999999</v>
      </c>
      <c r="L274" s="76">
        <v>0.26400000000000001</v>
      </c>
      <c r="M274" s="76">
        <v>0.29199999999999998</v>
      </c>
    </row>
    <row r="275" spans="3:13" x14ac:dyDescent="0.15">
      <c r="C275" s="76">
        <v>462</v>
      </c>
      <c r="D275" s="76">
        <v>2.8299999999999999E-2</v>
      </c>
      <c r="E275" s="76">
        <v>5.79E-2</v>
      </c>
      <c r="F275" s="76">
        <v>8.7099999999999997E-2</v>
      </c>
      <c r="G275" s="76">
        <v>0.11600000000000001</v>
      </c>
      <c r="H275" s="76">
        <v>0.14499999999999999</v>
      </c>
      <c r="I275" s="76">
        <v>0.17299999999999999</v>
      </c>
      <c r="J275" s="76">
        <v>0.20200000000000001</v>
      </c>
      <c r="K275" s="76">
        <v>0.23</v>
      </c>
      <c r="L275" s="76">
        <v>0.25800000000000001</v>
      </c>
      <c r="M275" s="76">
        <v>0.28599999999999998</v>
      </c>
    </row>
    <row r="276" spans="3:13" x14ac:dyDescent="0.15">
      <c r="C276" s="76">
        <v>464</v>
      </c>
      <c r="D276" s="76">
        <v>2.69E-2</v>
      </c>
      <c r="E276" s="76">
        <v>5.5199999999999999E-2</v>
      </c>
      <c r="F276" s="76">
        <v>8.3000000000000004E-2</v>
      </c>
      <c r="G276" s="76">
        <v>0.11</v>
      </c>
      <c r="H276" s="76">
        <v>0.13800000000000001</v>
      </c>
      <c r="I276" s="76">
        <v>0.16500000000000001</v>
      </c>
      <c r="J276" s="76">
        <v>0.192</v>
      </c>
      <c r="K276" s="76">
        <v>0.219</v>
      </c>
      <c r="L276" s="76">
        <v>0.246</v>
      </c>
      <c r="M276" s="76">
        <v>0.27200000000000002</v>
      </c>
    </row>
    <row r="277" spans="3:13" x14ac:dyDescent="0.15">
      <c r="C277" s="76">
        <v>466</v>
      </c>
      <c r="D277" s="76">
        <v>2.5499999999999998E-2</v>
      </c>
      <c r="E277" s="76">
        <v>5.2200000000000003E-2</v>
      </c>
      <c r="F277" s="76">
        <v>7.85E-2</v>
      </c>
      <c r="G277" s="76">
        <v>0.104</v>
      </c>
      <c r="H277" s="76">
        <v>0.13</v>
      </c>
      <c r="I277" s="76">
        <v>0.156</v>
      </c>
      <c r="J277" s="76">
        <v>0.18099999999999999</v>
      </c>
      <c r="K277" s="76">
        <v>0.20699999999999999</v>
      </c>
      <c r="L277" s="76">
        <v>0.23200000000000001</v>
      </c>
      <c r="M277" s="76">
        <v>0.25800000000000001</v>
      </c>
    </row>
    <row r="278" spans="3:13" x14ac:dyDescent="0.15">
      <c r="C278" s="76">
        <v>468</v>
      </c>
      <c r="D278" s="76">
        <v>2.3900000000000001E-2</v>
      </c>
      <c r="E278" s="76">
        <v>4.9000000000000002E-2</v>
      </c>
      <c r="F278" s="76">
        <v>7.3700000000000002E-2</v>
      </c>
      <c r="G278" s="76">
        <v>9.8100000000000007E-2</v>
      </c>
      <c r="H278" s="76">
        <v>0.123</v>
      </c>
      <c r="I278" s="76">
        <v>0.14699999999999999</v>
      </c>
      <c r="J278" s="76">
        <v>0.17100000000000001</v>
      </c>
      <c r="K278" s="76">
        <v>0.19500000000000001</v>
      </c>
      <c r="L278" s="76">
        <v>0.219</v>
      </c>
      <c r="M278" s="76">
        <v>0.24199999999999999</v>
      </c>
    </row>
    <row r="279" spans="3:13" x14ac:dyDescent="0.15">
      <c r="C279" s="76">
        <v>470</v>
      </c>
      <c r="D279" s="76">
        <v>2.24E-2</v>
      </c>
      <c r="E279" s="76">
        <v>4.58E-2</v>
      </c>
      <c r="F279" s="76">
        <v>6.9000000000000006E-2</v>
      </c>
      <c r="G279" s="76">
        <v>9.1800000000000007E-2</v>
      </c>
      <c r="H279" s="76">
        <v>0.115</v>
      </c>
      <c r="I279" s="76">
        <v>0.13700000000000001</v>
      </c>
      <c r="J279" s="76">
        <v>0.16</v>
      </c>
      <c r="K279" s="76">
        <v>0.182</v>
      </c>
      <c r="L279" s="76">
        <v>0.20399999999999999</v>
      </c>
      <c r="M279" s="76">
        <v>0.22700000000000001</v>
      </c>
    </row>
    <row r="280" spans="3:13" x14ac:dyDescent="0.15">
      <c r="C280" s="76">
        <v>472</v>
      </c>
      <c r="D280" s="76">
        <v>2.1000000000000001E-2</v>
      </c>
      <c r="E280" s="76">
        <v>4.2999999999999997E-2</v>
      </c>
      <c r="F280" s="76">
        <v>6.4600000000000005E-2</v>
      </c>
      <c r="G280" s="76">
        <v>8.5999999999999993E-2</v>
      </c>
      <c r="H280" s="76">
        <v>0.107</v>
      </c>
      <c r="I280" s="76">
        <v>0.129</v>
      </c>
      <c r="J280" s="76">
        <v>0.15</v>
      </c>
      <c r="K280" s="76">
        <v>0.17100000000000001</v>
      </c>
      <c r="L280" s="76">
        <v>0.192</v>
      </c>
      <c r="M280" s="76">
        <v>0.21199999999999999</v>
      </c>
    </row>
    <row r="281" spans="3:13" x14ac:dyDescent="0.15">
      <c r="C281" s="76">
        <v>474</v>
      </c>
      <c r="D281" s="76">
        <v>1.9800000000000002E-2</v>
      </c>
      <c r="E281" s="76">
        <v>4.0500000000000001E-2</v>
      </c>
      <c r="F281" s="76">
        <v>6.0999999999999999E-2</v>
      </c>
      <c r="G281" s="76">
        <v>8.1000000000000003E-2</v>
      </c>
      <c r="H281" s="76">
        <v>0.10100000000000001</v>
      </c>
      <c r="I281" s="76">
        <v>0.121</v>
      </c>
      <c r="J281" s="76">
        <v>0.14099999999999999</v>
      </c>
      <c r="K281" s="76">
        <v>0.161</v>
      </c>
      <c r="L281" s="76">
        <v>0.18099999999999999</v>
      </c>
      <c r="M281" s="76">
        <v>0.2</v>
      </c>
    </row>
    <row r="282" spans="3:13" x14ac:dyDescent="0.15">
      <c r="C282" s="76">
        <v>476</v>
      </c>
      <c r="D282" s="76">
        <v>1.8599999999999998E-2</v>
      </c>
      <c r="E282" s="76">
        <v>3.8100000000000002E-2</v>
      </c>
      <c r="F282" s="76">
        <v>5.7299999999999997E-2</v>
      </c>
      <c r="G282" s="76">
        <v>7.6300000000000007E-2</v>
      </c>
      <c r="H282" s="76">
        <v>9.5399999999999999E-2</v>
      </c>
      <c r="I282" s="76">
        <v>0.114</v>
      </c>
      <c r="J282" s="76">
        <v>0.13300000000000001</v>
      </c>
      <c r="K282" s="76">
        <v>0.152</v>
      </c>
      <c r="L282" s="76">
        <v>0.17</v>
      </c>
      <c r="M282" s="76">
        <v>0.189</v>
      </c>
    </row>
    <row r="283" spans="3:13" x14ac:dyDescent="0.15">
      <c r="C283" s="76">
        <v>478</v>
      </c>
      <c r="D283" s="76">
        <v>1.78E-2</v>
      </c>
      <c r="E283" s="76">
        <v>3.6400000000000002E-2</v>
      </c>
      <c r="F283" s="76">
        <v>5.4800000000000001E-2</v>
      </c>
      <c r="G283" s="76">
        <v>7.2900000000000006E-2</v>
      </c>
      <c r="H283" s="76">
        <v>9.1200000000000003E-2</v>
      </c>
      <c r="I283" s="76">
        <v>0.109</v>
      </c>
      <c r="J283" s="76">
        <v>0.127</v>
      </c>
      <c r="K283" s="76">
        <v>0.14499999999999999</v>
      </c>
      <c r="L283" s="76">
        <v>0.16300000000000001</v>
      </c>
      <c r="M283" s="76">
        <v>0.18</v>
      </c>
    </row>
    <row r="284" spans="3:13" x14ac:dyDescent="0.15">
      <c r="C284" s="76">
        <v>480</v>
      </c>
      <c r="D284" s="76">
        <v>1.7100000000000001E-2</v>
      </c>
      <c r="E284" s="76">
        <v>3.5000000000000003E-2</v>
      </c>
      <c r="F284" s="76">
        <v>5.2699999999999997E-2</v>
      </c>
      <c r="G284" s="76">
        <v>7.0099999999999996E-2</v>
      </c>
      <c r="H284" s="76">
        <v>8.77E-2</v>
      </c>
      <c r="I284" s="76">
        <v>0.105</v>
      </c>
      <c r="J284" s="76">
        <v>0.122</v>
      </c>
      <c r="K284" s="76">
        <v>0.13900000000000001</v>
      </c>
      <c r="L284" s="76">
        <v>0.156</v>
      </c>
      <c r="M284" s="76">
        <v>0.17299999999999999</v>
      </c>
    </row>
    <row r="285" spans="3:13" x14ac:dyDescent="0.15">
      <c r="C285" s="76">
        <v>482</v>
      </c>
      <c r="D285" s="76">
        <v>1.6500000000000001E-2</v>
      </c>
      <c r="E285" s="76">
        <v>3.3799999999999997E-2</v>
      </c>
      <c r="F285" s="76">
        <v>5.0799999999999998E-2</v>
      </c>
      <c r="G285" s="76">
        <v>6.7699999999999996E-2</v>
      </c>
      <c r="H285" s="76">
        <v>8.4500000000000006E-2</v>
      </c>
      <c r="I285" s="76">
        <v>0.10100000000000001</v>
      </c>
      <c r="J285" s="76">
        <v>0.11799999999999999</v>
      </c>
      <c r="K285" s="76">
        <v>0.13400000000000001</v>
      </c>
      <c r="L285" s="76">
        <v>0.151</v>
      </c>
      <c r="M285" s="76">
        <v>0.16700000000000001</v>
      </c>
    </row>
    <row r="286" spans="3:13" x14ac:dyDescent="0.15">
      <c r="C286" s="76">
        <v>484</v>
      </c>
      <c r="D286" s="76">
        <v>1.5900000000000001E-2</v>
      </c>
      <c r="E286" s="76">
        <v>3.2599999999999997E-2</v>
      </c>
      <c r="F286" s="76">
        <v>4.8899999999999999E-2</v>
      </c>
      <c r="G286" s="76">
        <v>6.5100000000000005E-2</v>
      </c>
      <c r="H286" s="76">
        <v>8.14E-2</v>
      </c>
      <c r="I286" s="76">
        <v>9.74E-2</v>
      </c>
      <c r="J286" s="76">
        <v>0.113</v>
      </c>
      <c r="K286" s="76">
        <v>0.129</v>
      </c>
      <c r="L286" s="76">
        <v>0.14499999999999999</v>
      </c>
      <c r="M286" s="76">
        <v>0.161</v>
      </c>
    </row>
    <row r="287" spans="3:13" x14ac:dyDescent="0.15">
      <c r="C287" s="76">
        <v>486</v>
      </c>
      <c r="D287" s="76">
        <v>1.5299999999999999E-2</v>
      </c>
      <c r="E287" s="76">
        <v>3.1300000000000001E-2</v>
      </c>
      <c r="F287" s="76">
        <v>4.6899999999999997E-2</v>
      </c>
      <c r="G287" s="76">
        <v>6.25E-2</v>
      </c>
      <c r="H287" s="76">
        <v>7.8100000000000003E-2</v>
      </c>
      <c r="I287" s="76">
        <v>9.35E-2</v>
      </c>
      <c r="J287" s="76">
        <v>0.109</v>
      </c>
      <c r="K287" s="76">
        <v>0.124</v>
      </c>
      <c r="L287" s="76">
        <v>0.13900000000000001</v>
      </c>
      <c r="M287" s="76">
        <v>0.154</v>
      </c>
    </row>
    <row r="288" spans="3:13" x14ac:dyDescent="0.15">
      <c r="C288" s="76">
        <v>488</v>
      </c>
      <c r="D288" s="76">
        <v>1.44E-2</v>
      </c>
      <c r="E288" s="76">
        <v>2.9600000000000001E-2</v>
      </c>
      <c r="F288" s="76">
        <v>4.4400000000000002E-2</v>
      </c>
      <c r="G288" s="76">
        <v>5.91E-2</v>
      </c>
      <c r="H288" s="76">
        <v>7.3899999999999993E-2</v>
      </c>
      <c r="I288" s="76">
        <v>8.8499999999999995E-2</v>
      </c>
      <c r="J288" s="76">
        <v>0.10299999999999999</v>
      </c>
      <c r="K288" s="76">
        <v>0.11700000000000001</v>
      </c>
      <c r="L288" s="76">
        <v>0.13200000000000001</v>
      </c>
      <c r="M288" s="76">
        <v>0.14599999999999999</v>
      </c>
    </row>
    <row r="289" spans="3:13" x14ac:dyDescent="0.15">
      <c r="C289" s="76">
        <v>490</v>
      </c>
      <c r="D289" s="76">
        <v>1.3599999999999999E-2</v>
      </c>
      <c r="E289" s="76">
        <v>2.7900000000000001E-2</v>
      </c>
      <c r="F289" s="76">
        <v>4.19E-2</v>
      </c>
      <c r="G289" s="76">
        <v>5.5800000000000002E-2</v>
      </c>
      <c r="H289" s="76">
        <v>6.9800000000000001E-2</v>
      </c>
      <c r="I289" s="76">
        <v>8.3500000000000005E-2</v>
      </c>
      <c r="J289" s="76">
        <v>9.7000000000000003E-2</v>
      </c>
      <c r="K289" s="76">
        <v>0.111</v>
      </c>
      <c r="L289" s="76">
        <v>0.124</v>
      </c>
      <c r="M289" s="76">
        <v>0.13800000000000001</v>
      </c>
    </row>
    <row r="290" spans="3:13" x14ac:dyDescent="0.15">
      <c r="C290" s="76">
        <v>492</v>
      </c>
      <c r="D290" s="76">
        <v>1.2800000000000001E-2</v>
      </c>
      <c r="E290" s="76">
        <v>2.6200000000000001E-2</v>
      </c>
      <c r="F290" s="76">
        <v>3.9300000000000002E-2</v>
      </c>
      <c r="G290" s="76">
        <v>5.2400000000000002E-2</v>
      </c>
      <c r="H290" s="76">
        <v>6.54E-2</v>
      </c>
      <c r="I290" s="76">
        <v>7.8299999999999995E-2</v>
      </c>
      <c r="J290" s="76">
        <v>9.11E-2</v>
      </c>
      <c r="K290" s="76">
        <v>0.104</v>
      </c>
      <c r="L290" s="76">
        <v>0.11700000000000001</v>
      </c>
      <c r="M290" s="76">
        <v>0.129</v>
      </c>
    </row>
    <row r="291" spans="3:13" x14ac:dyDescent="0.15">
      <c r="C291" s="76">
        <v>494</v>
      </c>
      <c r="D291" s="76">
        <v>1.1900000000000001E-2</v>
      </c>
      <c r="E291" s="76">
        <v>2.4400000000000002E-2</v>
      </c>
      <c r="F291" s="76">
        <v>3.6499999999999998E-2</v>
      </c>
      <c r="G291" s="76">
        <v>4.87E-2</v>
      </c>
      <c r="H291" s="76">
        <v>6.08E-2</v>
      </c>
      <c r="I291" s="76">
        <v>7.2800000000000004E-2</v>
      </c>
      <c r="J291" s="76">
        <v>8.4699999999999998E-2</v>
      </c>
      <c r="K291" s="76">
        <v>9.6500000000000002E-2</v>
      </c>
      <c r="L291" s="76">
        <v>0.108</v>
      </c>
      <c r="M291" s="76">
        <v>0.12</v>
      </c>
    </row>
    <row r="292" spans="3:13" x14ac:dyDescent="0.15">
      <c r="C292" s="76">
        <v>496</v>
      </c>
      <c r="D292" s="76">
        <v>1.0999999999999999E-2</v>
      </c>
      <c r="E292" s="76">
        <v>2.2599999999999999E-2</v>
      </c>
      <c r="F292" s="76">
        <v>3.3799999999999997E-2</v>
      </c>
      <c r="G292" s="76">
        <v>4.5199999999999997E-2</v>
      </c>
      <c r="H292" s="76">
        <v>5.6300000000000003E-2</v>
      </c>
      <c r="I292" s="76">
        <v>6.7400000000000002E-2</v>
      </c>
      <c r="J292" s="76">
        <v>7.85E-2</v>
      </c>
      <c r="K292" s="76">
        <v>8.9399999999999993E-2</v>
      </c>
      <c r="L292" s="76">
        <v>0.1</v>
      </c>
      <c r="M292" s="76">
        <v>0.111</v>
      </c>
    </row>
    <row r="293" spans="3:13" x14ac:dyDescent="0.15">
      <c r="C293" s="76">
        <v>498</v>
      </c>
      <c r="D293" s="76">
        <v>1.01E-2</v>
      </c>
      <c r="E293" s="76">
        <v>2.07E-2</v>
      </c>
      <c r="F293" s="76">
        <v>3.1099999999999999E-2</v>
      </c>
      <c r="G293" s="76">
        <v>4.1399999999999999E-2</v>
      </c>
      <c r="H293" s="76">
        <v>5.1700000000000003E-2</v>
      </c>
      <c r="I293" s="76">
        <v>6.1899999999999997E-2</v>
      </c>
      <c r="J293" s="76">
        <v>7.1900000000000006E-2</v>
      </c>
      <c r="K293" s="76">
        <v>8.2000000000000003E-2</v>
      </c>
      <c r="L293" s="76">
        <v>9.2100000000000001E-2</v>
      </c>
      <c r="M293" s="76">
        <v>0.10199999999999999</v>
      </c>
    </row>
    <row r="294" spans="3:13" x14ac:dyDescent="0.15">
      <c r="C294" s="76">
        <v>500</v>
      </c>
      <c r="D294" s="76">
        <v>9.1699999999999993E-3</v>
      </c>
      <c r="E294" s="76">
        <v>1.8800000000000001E-2</v>
      </c>
      <c r="F294" s="76">
        <v>2.8199999999999999E-2</v>
      </c>
      <c r="G294" s="76">
        <v>3.7499999999999999E-2</v>
      </c>
      <c r="H294" s="76">
        <v>4.6899999999999997E-2</v>
      </c>
      <c r="I294" s="76">
        <v>5.62E-2</v>
      </c>
      <c r="J294" s="76">
        <v>6.54E-2</v>
      </c>
      <c r="K294" s="76">
        <v>7.4300000000000005E-2</v>
      </c>
      <c r="L294" s="76">
        <v>8.3599999999999994E-2</v>
      </c>
      <c r="M294" s="76">
        <v>9.2499999999999999E-2</v>
      </c>
    </row>
    <row r="295" spans="3:13" x14ac:dyDescent="0.15">
      <c r="C295" s="76">
        <v>502</v>
      </c>
      <c r="D295" s="76">
        <v>8.2799999999999992E-3</v>
      </c>
      <c r="E295" s="76">
        <v>1.7000000000000001E-2</v>
      </c>
      <c r="F295" s="76">
        <v>2.5399999999999999E-2</v>
      </c>
      <c r="G295" s="76">
        <v>3.39E-2</v>
      </c>
      <c r="H295" s="76">
        <v>4.2299999999999997E-2</v>
      </c>
      <c r="I295" s="76">
        <v>5.0599999999999999E-2</v>
      </c>
      <c r="J295" s="76">
        <v>5.8999999999999997E-2</v>
      </c>
      <c r="K295" s="76">
        <v>6.7299999999999999E-2</v>
      </c>
      <c r="L295" s="76">
        <v>7.5399999999999995E-2</v>
      </c>
      <c r="M295" s="76">
        <v>8.3400000000000002E-2</v>
      </c>
    </row>
    <row r="296" spans="3:13" x14ac:dyDescent="0.15">
      <c r="C296" s="76">
        <v>504</v>
      </c>
      <c r="D296" s="76">
        <v>7.4999999999999997E-3</v>
      </c>
      <c r="E296" s="76">
        <v>1.54E-2</v>
      </c>
      <c r="F296" s="76">
        <v>2.3E-2</v>
      </c>
      <c r="G296" s="76">
        <v>3.0700000000000002E-2</v>
      </c>
      <c r="H296" s="76">
        <v>3.8300000000000001E-2</v>
      </c>
      <c r="I296" s="76">
        <v>4.5999999999999999E-2</v>
      </c>
      <c r="J296" s="76">
        <v>5.3499999999999999E-2</v>
      </c>
      <c r="K296" s="76">
        <v>6.08E-2</v>
      </c>
      <c r="L296" s="76">
        <v>6.83E-2</v>
      </c>
      <c r="M296" s="76">
        <v>7.5600000000000001E-2</v>
      </c>
    </row>
    <row r="297" spans="3:13" x14ac:dyDescent="0.15">
      <c r="C297" s="76">
        <v>506</v>
      </c>
      <c r="D297" s="76">
        <v>6.79E-3</v>
      </c>
      <c r="E297" s="76">
        <v>1.3899999999999999E-2</v>
      </c>
      <c r="F297" s="76">
        <v>2.0799999999999999E-2</v>
      </c>
      <c r="G297" s="76">
        <v>2.7799999999999998E-2</v>
      </c>
      <c r="H297" s="76">
        <v>3.4700000000000002E-2</v>
      </c>
      <c r="I297" s="76">
        <v>4.1599999999999998E-2</v>
      </c>
      <c r="J297" s="76">
        <v>4.8500000000000001E-2</v>
      </c>
      <c r="K297" s="76">
        <v>5.5E-2</v>
      </c>
      <c r="L297" s="76">
        <v>6.1800000000000001E-2</v>
      </c>
      <c r="M297" s="76">
        <v>6.8500000000000005E-2</v>
      </c>
    </row>
    <row r="298" spans="3:13" x14ac:dyDescent="0.15">
      <c r="C298" s="76">
        <v>508</v>
      </c>
      <c r="D298" s="76">
        <v>6.1500000000000001E-3</v>
      </c>
      <c r="E298" s="76">
        <v>1.26E-2</v>
      </c>
      <c r="F298" s="76">
        <v>1.89E-2</v>
      </c>
      <c r="G298" s="76">
        <v>2.52E-2</v>
      </c>
      <c r="H298" s="76">
        <v>3.1399999999999997E-2</v>
      </c>
      <c r="I298" s="76">
        <v>3.7600000000000001E-2</v>
      </c>
      <c r="J298" s="76">
        <v>4.3900000000000002E-2</v>
      </c>
      <c r="K298" s="76">
        <v>4.9799999999999997E-2</v>
      </c>
      <c r="L298" s="76">
        <v>5.5899999999999998E-2</v>
      </c>
      <c r="M298" s="76">
        <v>6.2E-2</v>
      </c>
    </row>
    <row r="299" spans="3:13" x14ac:dyDescent="0.15">
      <c r="C299" s="76">
        <v>510</v>
      </c>
      <c r="D299" s="76">
        <v>5.5900000000000004E-3</v>
      </c>
      <c r="E299" s="76">
        <v>1.14E-2</v>
      </c>
      <c r="F299" s="76">
        <v>1.7100000000000001E-2</v>
      </c>
      <c r="G299" s="76">
        <v>2.29E-2</v>
      </c>
      <c r="H299" s="76">
        <v>2.8500000000000001E-2</v>
      </c>
      <c r="I299" s="76">
        <v>3.4200000000000001E-2</v>
      </c>
      <c r="J299" s="76">
        <v>3.9800000000000002E-2</v>
      </c>
      <c r="K299" s="76">
        <v>4.5199999999999997E-2</v>
      </c>
      <c r="L299" s="76">
        <v>5.0599999999999999E-2</v>
      </c>
      <c r="M299" s="76">
        <v>5.6300000000000003E-2</v>
      </c>
    </row>
    <row r="300" spans="3:13" x14ac:dyDescent="0.15">
      <c r="C300" s="76">
        <v>512</v>
      </c>
      <c r="D300" s="76">
        <v>5.0299999999999997E-3</v>
      </c>
      <c r="E300" s="76">
        <v>1.03E-2</v>
      </c>
      <c r="F300" s="76">
        <v>1.54E-2</v>
      </c>
      <c r="G300" s="76">
        <v>2.06E-2</v>
      </c>
      <c r="H300" s="76">
        <v>2.5600000000000001E-2</v>
      </c>
      <c r="I300" s="76">
        <v>3.0800000000000001E-2</v>
      </c>
      <c r="J300" s="76">
        <v>3.5900000000000001E-2</v>
      </c>
      <c r="K300" s="76">
        <v>4.0899999999999999E-2</v>
      </c>
      <c r="L300" s="76">
        <v>4.58E-2</v>
      </c>
      <c r="M300" s="76">
        <v>5.0799999999999998E-2</v>
      </c>
    </row>
    <row r="301" spans="3:13" x14ac:dyDescent="0.15">
      <c r="C301" s="76">
        <v>514</v>
      </c>
      <c r="D301" s="76">
        <v>4.5900000000000003E-3</v>
      </c>
      <c r="E301" s="76">
        <v>9.3799999999999994E-3</v>
      </c>
      <c r="F301" s="76">
        <v>1.41E-2</v>
      </c>
      <c r="G301" s="76">
        <v>1.8800000000000001E-2</v>
      </c>
      <c r="H301" s="76">
        <v>2.3400000000000001E-2</v>
      </c>
      <c r="I301" s="76">
        <v>2.8199999999999999E-2</v>
      </c>
      <c r="J301" s="76">
        <v>3.2800000000000003E-2</v>
      </c>
      <c r="K301" s="76">
        <v>3.7199999999999997E-2</v>
      </c>
      <c r="L301" s="76">
        <v>4.1799999999999997E-2</v>
      </c>
      <c r="M301" s="76">
        <v>4.6199999999999998E-2</v>
      </c>
    </row>
    <row r="302" spans="3:13" x14ac:dyDescent="0.15">
      <c r="C302" s="76">
        <v>516</v>
      </c>
      <c r="D302" s="76">
        <v>4.2199999999999998E-3</v>
      </c>
      <c r="E302" s="76">
        <v>8.6199999999999992E-3</v>
      </c>
      <c r="F302" s="76">
        <v>1.29E-2</v>
      </c>
      <c r="G302" s="76">
        <v>1.7299999999999999E-2</v>
      </c>
      <c r="H302" s="76">
        <v>2.1499999999999998E-2</v>
      </c>
      <c r="I302" s="76">
        <v>2.58E-2</v>
      </c>
      <c r="J302" s="76">
        <v>3.0099999999999998E-2</v>
      </c>
      <c r="K302" s="76">
        <v>3.4200000000000001E-2</v>
      </c>
      <c r="L302" s="76">
        <v>3.8399999999999997E-2</v>
      </c>
      <c r="M302" s="76">
        <v>4.2500000000000003E-2</v>
      </c>
    </row>
    <row r="303" spans="3:13" x14ac:dyDescent="0.15">
      <c r="C303" s="76">
        <v>518</v>
      </c>
      <c r="D303" s="76">
        <v>3.8999999999999998E-3</v>
      </c>
      <c r="E303" s="76">
        <v>7.9799999999999992E-3</v>
      </c>
      <c r="F303" s="76">
        <v>1.2E-2</v>
      </c>
      <c r="G303" s="76">
        <v>1.6E-2</v>
      </c>
      <c r="H303" s="76">
        <v>1.9900000000000001E-2</v>
      </c>
      <c r="I303" s="76">
        <v>2.3800000000000002E-2</v>
      </c>
      <c r="J303" s="76">
        <v>2.7799999999999998E-2</v>
      </c>
      <c r="K303" s="76">
        <v>3.1600000000000003E-2</v>
      </c>
      <c r="L303" s="76">
        <v>3.5499999999999997E-2</v>
      </c>
      <c r="M303" s="76">
        <v>3.9199999999999999E-2</v>
      </c>
    </row>
    <row r="304" spans="3:13" x14ac:dyDescent="0.15">
      <c r="C304" s="76">
        <v>520</v>
      </c>
      <c r="D304" s="76">
        <v>3.62E-3</v>
      </c>
      <c r="E304" s="76">
        <v>7.3600000000000002E-3</v>
      </c>
      <c r="F304" s="76">
        <v>1.11E-2</v>
      </c>
      <c r="G304" s="76">
        <v>1.4800000000000001E-2</v>
      </c>
      <c r="H304" s="76">
        <v>1.84E-2</v>
      </c>
      <c r="I304" s="76">
        <v>2.1999999999999999E-2</v>
      </c>
      <c r="J304" s="76">
        <v>2.5700000000000001E-2</v>
      </c>
      <c r="K304" s="76">
        <v>2.92E-2</v>
      </c>
      <c r="L304" s="76">
        <v>3.2899999999999999E-2</v>
      </c>
      <c r="M304" s="76">
        <v>3.6400000000000002E-2</v>
      </c>
    </row>
    <row r="305" spans="3:13" x14ac:dyDescent="0.15">
      <c r="C305" s="76">
        <v>522</v>
      </c>
      <c r="D305" s="76">
        <v>3.3500000000000001E-3</v>
      </c>
      <c r="E305" s="76">
        <v>6.8199999999999997E-3</v>
      </c>
      <c r="F305" s="76">
        <v>1.03E-2</v>
      </c>
      <c r="G305" s="76">
        <v>1.37E-2</v>
      </c>
      <c r="H305" s="76">
        <v>1.7000000000000001E-2</v>
      </c>
      <c r="I305" s="76">
        <v>2.0400000000000001E-2</v>
      </c>
      <c r="J305" s="76">
        <v>2.3800000000000002E-2</v>
      </c>
      <c r="K305" s="76">
        <v>2.7E-2</v>
      </c>
      <c r="L305" s="76">
        <v>3.0300000000000001E-2</v>
      </c>
      <c r="M305" s="76">
        <v>3.3700000000000001E-2</v>
      </c>
    </row>
    <row r="306" spans="3:13" x14ac:dyDescent="0.15">
      <c r="C306" s="76">
        <v>524</v>
      </c>
      <c r="D306" s="76">
        <v>3.0699999999999998E-3</v>
      </c>
      <c r="E306" s="76">
        <v>6.2500000000000003E-3</v>
      </c>
      <c r="F306" s="76">
        <v>9.3799999999999994E-3</v>
      </c>
      <c r="G306" s="76">
        <v>1.2500000000000001E-2</v>
      </c>
      <c r="H306" s="76">
        <v>1.5599999999999999E-2</v>
      </c>
      <c r="I306" s="76">
        <v>1.8700000000000001E-2</v>
      </c>
      <c r="J306" s="76">
        <v>2.1899999999999999E-2</v>
      </c>
      <c r="K306" s="76">
        <v>2.4899999999999999E-2</v>
      </c>
      <c r="L306" s="76">
        <v>2.7799999999999998E-2</v>
      </c>
      <c r="M306" s="76">
        <v>3.0800000000000001E-2</v>
      </c>
    </row>
    <row r="307" spans="3:13" x14ac:dyDescent="0.15">
      <c r="C307" s="76">
        <v>526</v>
      </c>
      <c r="D307" s="76">
        <v>2.8300000000000001E-3</v>
      </c>
      <c r="E307" s="76">
        <v>5.77E-3</v>
      </c>
      <c r="F307" s="76">
        <v>8.6599999999999993E-3</v>
      </c>
      <c r="G307" s="76">
        <v>1.1599999999999999E-2</v>
      </c>
      <c r="H307" s="76">
        <v>1.44E-2</v>
      </c>
      <c r="I307" s="76">
        <v>1.72E-2</v>
      </c>
      <c r="J307" s="76">
        <v>2.01E-2</v>
      </c>
      <c r="K307" s="76">
        <v>2.29E-2</v>
      </c>
      <c r="L307" s="76">
        <v>2.5700000000000001E-2</v>
      </c>
      <c r="M307" s="76">
        <v>2.8500000000000001E-2</v>
      </c>
    </row>
    <row r="308" spans="3:13" x14ac:dyDescent="0.15">
      <c r="C308" s="76">
        <v>528</v>
      </c>
      <c r="D308" s="76">
        <v>2.6199999999999999E-3</v>
      </c>
      <c r="E308" s="76">
        <v>5.3299999999999997E-3</v>
      </c>
      <c r="F308" s="76">
        <v>8.0199999999999994E-3</v>
      </c>
      <c r="G308" s="76">
        <v>1.0699999999999999E-2</v>
      </c>
      <c r="H308" s="76">
        <v>1.3299999999999999E-2</v>
      </c>
      <c r="I308" s="76">
        <v>1.5900000000000001E-2</v>
      </c>
      <c r="J308" s="76">
        <v>1.8599999999999998E-2</v>
      </c>
      <c r="K308" s="76">
        <v>2.1100000000000001E-2</v>
      </c>
      <c r="L308" s="76">
        <v>2.3699999999999999E-2</v>
      </c>
      <c r="M308" s="76">
        <v>2.63E-2</v>
      </c>
    </row>
    <row r="309" spans="3:13" x14ac:dyDescent="0.15">
      <c r="C309" s="76">
        <v>530</v>
      </c>
      <c r="D309" s="76">
        <v>2.4099999999999998E-3</v>
      </c>
      <c r="E309" s="76">
        <v>4.8999999999999998E-3</v>
      </c>
      <c r="F309" s="76">
        <v>7.3899999999999999E-3</v>
      </c>
      <c r="G309" s="76">
        <v>9.8499999999999994E-3</v>
      </c>
      <c r="H309" s="76">
        <v>1.2200000000000001E-2</v>
      </c>
      <c r="I309" s="76">
        <v>1.46E-2</v>
      </c>
      <c r="J309" s="76">
        <v>1.7100000000000001E-2</v>
      </c>
      <c r="K309" s="76">
        <v>1.9400000000000001E-2</v>
      </c>
      <c r="L309" s="76">
        <v>2.18E-2</v>
      </c>
      <c r="M309" s="76">
        <v>2.4199999999999999E-2</v>
      </c>
    </row>
    <row r="310" spans="3:13" x14ac:dyDescent="0.15">
      <c r="C310" s="76">
        <v>532</v>
      </c>
      <c r="D310" s="76">
        <v>2.2000000000000001E-3</v>
      </c>
      <c r="E310" s="76">
        <v>4.4900000000000001E-3</v>
      </c>
      <c r="F310" s="76">
        <v>6.77E-3</v>
      </c>
      <c r="G310" s="76">
        <v>9.0200000000000002E-3</v>
      </c>
      <c r="H310" s="76">
        <v>1.1299999999999999E-2</v>
      </c>
      <c r="I310" s="76">
        <v>1.34E-2</v>
      </c>
      <c r="J310" s="76">
        <v>1.5699999999999999E-2</v>
      </c>
      <c r="K310" s="76">
        <v>1.7899999999999999E-2</v>
      </c>
      <c r="L310" s="76">
        <v>1.9900000000000001E-2</v>
      </c>
      <c r="M310" s="76">
        <v>2.2200000000000001E-2</v>
      </c>
    </row>
    <row r="311" spans="3:13" x14ac:dyDescent="0.15">
      <c r="C311" s="76">
        <v>534</v>
      </c>
      <c r="D311" s="76">
        <v>2.0200000000000001E-3</v>
      </c>
      <c r="E311" s="76">
        <v>4.1099999999999999E-3</v>
      </c>
      <c r="F311" s="76">
        <v>6.1700000000000001E-3</v>
      </c>
      <c r="G311" s="76">
        <v>8.2100000000000003E-3</v>
      </c>
      <c r="H311" s="76">
        <v>1.0200000000000001E-2</v>
      </c>
      <c r="I311" s="76">
        <v>1.2200000000000001E-2</v>
      </c>
      <c r="J311" s="76">
        <v>1.43E-2</v>
      </c>
      <c r="K311" s="76">
        <v>1.6299999999999999E-2</v>
      </c>
      <c r="L311" s="76">
        <v>1.8200000000000001E-2</v>
      </c>
      <c r="M311" s="76">
        <v>2.0299999999999999E-2</v>
      </c>
    </row>
    <row r="312" spans="3:13" x14ac:dyDescent="0.15">
      <c r="C312" s="76">
        <v>536</v>
      </c>
      <c r="D312" s="76">
        <v>1.81E-3</v>
      </c>
      <c r="E312" s="76">
        <v>3.7100000000000002E-3</v>
      </c>
      <c r="F312" s="76">
        <v>5.5799999999999999E-3</v>
      </c>
      <c r="G312" s="76">
        <v>7.4099999999999999E-3</v>
      </c>
      <c r="H312" s="76">
        <v>9.2200000000000008E-3</v>
      </c>
      <c r="I312" s="76">
        <v>1.0999999999999999E-2</v>
      </c>
      <c r="J312" s="76">
        <v>1.29E-2</v>
      </c>
      <c r="K312" s="76">
        <v>1.47E-2</v>
      </c>
      <c r="L312" s="76">
        <v>1.6400000000000001E-2</v>
      </c>
      <c r="M312" s="76">
        <v>1.83E-2</v>
      </c>
    </row>
    <row r="313" spans="3:13" x14ac:dyDescent="0.15">
      <c r="C313" s="76">
        <v>538</v>
      </c>
      <c r="D313" s="76">
        <v>1.67E-3</v>
      </c>
      <c r="E313" s="76">
        <v>3.3600000000000001E-3</v>
      </c>
      <c r="F313" s="76">
        <v>5.0699999999999999E-3</v>
      </c>
      <c r="G313" s="76">
        <v>6.7499999999999999E-3</v>
      </c>
      <c r="H313" s="76">
        <v>8.3999999999999995E-3</v>
      </c>
      <c r="I313" s="76">
        <v>9.9799999999999993E-3</v>
      </c>
      <c r="J313" s="76">
        <v>1.17E-2</v>
      </c>
      <c r="K313" s="76">
        <v>1.3299999999999999E-2</v>
      </c>
      <c r="L313" s="76">
        <v>1.4999999999999999E-2</v>
      </c>
      <c r="M313" s="76">
        <v>1.66E-2</v>
      </c>
    </row>
    <row r="314" spans="3:13" x14ac:dyDescent="0.15">
      <c r="C314" s="76">
        <v>540</v>
      </c>
      <c r="D314" s="76">
        <v>1.5100000000000001E-3</v>
      </c>
      <c r="E314" s="76">
        <v>3.0400000000000002E-3</v>
      </c>
      <c r="F314" s="76">
        <v>4.5999999999999999E-3</v>
      </c>
      <c r="G314" s="76">
        <v>6.1500000000000001E-3</v>
      </c>
      <c r="H314" s="76">
        <v>7.6400000000000001E-3</v>
      </c>
      <c r="I314" s="76">
        <v>9.0699999999999999E-3</v>
      </c>
      <c r="J314" s="76">
        <v>1.0699999999999999E-2</v>
      </c>
      <c r="K314" s="76">
        <v>1.21E-2</v>
      </c>
      <c r="L314" s="76">
        <v>1.3599999999999999E-2</v>
      </c>
      <c r="M314" s="76">
        <v>1.5100000000000001E-2</v>
      </c>
    </row>
    <row r="315" spans="3:13" x14ac:dyDescent="0.15">
      <c r="C315" s="76">
        <v>542</v>
      </c>
      <c r="D315" s="76">
        <v>1.3699999999999999E-3</v>
      </c>
      <c r="E315" s="76">
        <v>2.7699999999999999E-3</v>
      </c>
      <c r="F315" s="76">
        <v>4.1900000000000001E-3</v>
      </c>
      <c r="G315" s="76">
        <v>5.5999999999999999E-3</v>
      </c>
      <c r="H315" s="76">
        <v>6.94E-3</v>
      </c>
      <c r="I315" s="76">
        <v>8.2699999999999996E-3</v>
      </c>
      <c r="J315" s="76">
        <v>9.7199999999999995E-3</v>
      </c>
      <c r="K315" s="76">
        <v>1.11E-2</v>
      </c>
      <c r="L315" s="76">
        <v>1.24E-2</v>
      </c>
      <c r="M315" s="76">
        <v>1.37E-2</v>
      </c>
    </row>
    <row r="316" spans="3:13" x14ac:dyDescent="0.15">
      <c r="C316" s="76">
        <v>544</v>
      </c>
      <c r="D316" s="76">
        <v>1.25E-3</v>
      </c>
      <c r="E316" s="76">
        <v>2.5300000000000001E-3</v>
      </c>
      <c r="F316" s="76">
        <v>3.8300000000000001E-3</v>
      </c>
      <c r="G316" s="76">
        <v>5.0699999999999999E-3</v>
      </c>
      <c r="H316" s="76">
        <v>6.3499999999999997E-3</v>
      </c>
      <c r="I316" s="76">
        <v>7.6E-3</v>
      </c>
      <c r="J316" s="76">
        <v>8.8199999999999997E-3</v>
      </c>
      <c r="K316" s="76">
        <v>0.01</v>
      </c>
      <c r="L316" s="76">
        <v>1.1299999999999999E-2</v>
      </c>
      <c r="M316" s="76">
        <v>1.2500000000000001E-2</v>
      </c>
    </row>
    <row r="317" spans="3:13" x14ac:dyDescent="0.15">
      <c r="C317" s="76">
        <v>546</v>
      </c>
      <c r="D317" s="76">
        <v>1.1299999999999999E-3</v>
      </c>
      <c r="E317" s="76">
        <v>2.2799999999999999E-3</v>
      </c>
      <c r="F317" s="76">
        <v>3.4399999999999999E-3</v>
      </c>
      <c r="G317" s="76">
        <v>4.5999999999999999E-3</v>
      </c>
      <c r="H317" s="76">
        <v>5.7200000000000003E-3</v>
      </c>
      <c r="I317" s="76">
        <v>6.7200000000000003E-3</v>
      </c>
      <c r="J317" s="76">
        <v>8.0000000000000002E-3</v>
      </c>
      <c r="K317" s="76">
        <v>9.0900000000000009E-3</v>
      </c>
      <c r="L317" s="76">
        <v>1.01E-2</v>
      </c>
      <c r="M317" s="76">
        <v>1.1299999999999999E-2</v>
      </c>
    </row>
    <row r="318" spans="3:13" x14ac:dyDescent="0.15">
      <c r="C318" s="76">
        <v>548</v>
      </c>
      <c r="D318" s="76">
        <v>1.0300000000000001E-3</v>
      </c>
      <c r="E318" s="76">
        <v>2.0500000000000002E-3</v>
      </c>
      <c r="F318" s="76">
        <v>3.13E-3</v>
      </c>
      <c r="G318" s="76">
        <v>4.1700000000000001E-3</v>
      </c>
      <c r="H318" s="76">
        <v>5.1900000000000002E-3</v>
      </c>
      <c r="I318" s="76">
        <v>6.1700000000000001E-3</v>
      </c>
      <c r="J318" s="76">
        <v>7.1999999999999998E-3</v>
      </c>
      <c r="K318" s="76">
        <v>8.2000000000000007E-3</v>
      </c>
      <c r="L318" s="76">
        <v>9.2200000000000008E-3</v>
      </c>
      <c r="M318" s="76">
        <v>1.0200000000000001E-2</v>
      </c>
    </row>
    <row r="319" spans="3:13" x14ac:dyDescent="0.15">
      <c r="C319" s="76">
        <v>550</v>
      </c>
      <c r="D319" s="76">
        <v>9.3999999999999997E-4</v>
      </c>
      <c r="E319" s="76">
        <v>1.8699999999999999E-3</v>
      </c>
      <c r="F319" s="76">
        <v>2.8400000000000001E-3</v>
      </c>
      <c r="G319" s="76">
        <v>3.7799999999999999E-3</v>
      </c>
      <c r="H319" s="76">
        <v>4.7400000000000003E-3</v>
      </c>
      <c r="I319" s="76">
        <v>5.62E-3</v>
      </c>
      <c r="J319" s="76">
        <v>6.5500000000000003E-3</v>
      </c>
      <c r="K319" s="76">
        <v>7.5100000000000002E-3</v>
      </c>
      <c r="L319" s="76">
        <v>8.4200000000000004E-3</v>
      </c>
      <c r="M319" s="76">
        <v>9.3299999999999998E-3</v>
      </c>
    </row>
    <row r="320" spans="3:13" x14ac:dyDescent="0.15">
      <c r="C320" s="76">
        <v>552</v>
      </c>
      <c r="D320" s="76">
        <v>8.5999999999999998E-4</v>
      </c>
      <c r="E320" s="76">
        <v>1.72E-3</v>
      </c>
      <c r="F320" s="76">
        <v>2.5699999999999998E-3</v>
      </c>
      <c r="G320" s="76">
        <v>3.4299999999999999E-3</v>
      </c>
      <c r="H320" s="76">
        <v>4.3499999999999997E-3</v>
      </c>
      <c r="I320" s="76">
        <v>5.1200000000000004E-3</v>
      </c>
      <c r="J320" s="76">
        <v>5.9699999999999996E-3</v>
      </c>
      <c r="K320" s="76">
        <v>6.8399999999999997E-3</v>
      </c>
      <c r="L320" s="76">
        <v>7.7000000000000002E-3</v>
      </c>
      <c r="M320" s="76">
        <v>8.4899999999999993E-3</v>
      </c>
    </row>
    <row r="321" spans="3:13" x14ac:dyDescent="0.15">
      <c r="C321" s="76">
        <v>554</v>
      </c>
      <c r="D321" s="76">
        <v>7.8399999999999997E-4</v>
      </c>
      <c r="E321" s="76">
        <v>1.57E-3</v>
      </c>
      <c r="F321" s="76">
        <v>2.3500000000000001E-3</v>
      </c>
      <c r="G321" s="76">
        <v>3.15E-3</v>
      </c>
      <c r="H321" s="76">
        <v>3.96E-3</v>
      </c>
      <c r="I321" s="76">
        <v>4.6800000000000001E-3</v>
      </c>
      <c r="J321" s="76">
        <v>5.4400000000000004E-3</v>
      </c>
      <c r="K321" s="76">
        <v>6.3E-3</v>
      </c>
      <c r="L321" s="76">
        <v>6.94E-3</v>
      </c>
      <c r="M321" s="76">
        <v>7.7999999999999996E-3</v>
      </c>
    </row>
    <row r="322" spans="3:13" x14ac:dyDescent="0.15">
      <c r="C322" s="76">
        <v>556</v>
      </c>
      <c r="D322" s="76">
        <v>6.9399999999999996E-4</v>
      </c>
      <c r="E322" s="76">
        <v>1.4300000000000001E-3</v>
      </c>
      <c r="F322" s="76">
        <v>2.1199999999999999E-3</v>
      </c>
      <c r="G322" s="76">
        <v>2.8500000000000001E-3</v>
      </c>
      <c r="H322" s="76">
        <v>3.63E-3</v>
      </c>
      <c r="I322" s="76">
        <v>4.2900000000000004E-3</v>
      </c>
      <c r="J322" s="76">
        <v>4.9800000000000001E-3</v>
      </c>
      <c r="K322" s="76">
        <v>5.6699999999999997E-3</v>
      </c>
      <c r="L322" s="76">
        <v>6.3800000000000003E-3</v>
      </c>
      <c r="M322" s="76">
        <v>7.0200000000000002E-3</v>
      </c>
    </row>
    <row r="323" spans="3:13" x14ac:dyDescent="0.15">
      <c r="C323" s="76">
        <v>558</v>
      </c>
      <c r="D323" s="76">
        <v>6.4199999999999999E-4</v>
      </c>
      <c r="E323" s="76">
        <v>1.2999999999999999E-3</v>
      </c>
      <c r="F323" s="76">
        <v>1.9499999999999999E-3</v>
      </c>
      <c r="G323" s="76">
        <v>2.5799999999999998E-3</v>
      </c>
      <c r="H323" s="76">
        <v>3.2799999999999999E-3</v>
      </c>
      <c r="I323" s="76">
        <v>3.8600000000000001E-3</v>
      </c>
      <c r="J323" s="76">
        <v>4.5100000000000001E-3</v>
      </c>
      <c r="K323" s="76">
        <v>5.1999999999999998E-3</v>
      </c>
      <c r="L323" s="76">
        <v>5.7999999999999996E-3</v>
      </c>
      <c r="M323" s="76">
        <v>6.45E-3</v>
      </c>
    </row>
    <row r="324" spans="3:13" x14ac:dyDescent="0.15">
      <c r="C324" s="76">
        <v>560</v>
      </c>
      <c r="D324" s="76">
        <v>5.8699999999999996E-4</v>
      </c>
      <c r="E324" s="76">
        <v>1.2099999999999999E-3</v>
      </c>
      <c r="F324" s="76">
        <v>1.83E-3</v>
      </c>
      <c r="G324" s="76">
        <v>2.3700000000000001E-3</v>
      </c>
      <c r="H324" s="76">
        <v>3.0000000000000001E-3</v>
      </c>
      <c r="I324" s="76">
        <v>3.5699999999999998E-3</v>
      </c>
      <c r="J324" s="76">
        <v>4.13E-3</v>
      </c>
      <c r="K324" s="76">
        <v>4.7400000000000003E-3</v>
      </c>
      <c r="L324" s="76">
        <v>5.3E-3</v>
      </c>
      <c r="M324" s="76">
        <v>5.9800000000000001E-3</v>
      </c>
    </row>
    <row r="325" spans="3:13" x14ac:dyDescent="0.15">
      <c r="C325" s="76">
        <v>562</v>
      </c>
      <c r="D325" s="76">
        <v>5.4100000000000003E-4</v>
      </c>
      <c r="E325" s="76">
        <v>1.1100000000000001E-3</v>
      </c>
      <c r="F325" s="76">
        <v>1.66E-3</v>
      </c>
      <c r="G325" s="76">
        <v>2.16E-3</v>
      </c>
      <c r="H325" s="76">
        <v>2.7699999999999999E-3</v>
      </c>
      <c r="I325" s="76">
        <v>3.3E-3</v>
      </c>
      <c r="J325" s="76">
        <v>3.7599999999999999E-3</v>
      </c>
      <c r="K325" s="76">
        <v>4.3099999999999996E-3</v>
      </c>
      <c r="L325" s="76">
        <v>4.8799999999999998E-3</v>
      </c>
      <c r="M325" s="76">
        <v>5.4299999999999999E-3</v>
      </c>
    </row>
    <row r="326" spans="3:13" x14ac:dyDescent="0.15">
      <c r="C326" s="76">
        <v>564</v>
      </c>
      <c r="D326" s="76">
        <v>4.9399999999999997E-4</v>
      </c>
      <c r="E326" s="76">
        <v>1.01E-3</v>
      </c>
      <c r="F326" s="76">
        <v>1.5200000000000001E-3</v>
      </c>
      <c r="G326" s="76">
        <v>1.98E-3</v>
      </c>
      <c r="H326" s="76">
        <v>2.5200000000000001E-3</v>
      </c>
      <c r="I326" s="76">
        <v>3.0100000000000001E-3</v>
      </c>
      <c r="J326" s="76">
        <v>3.46E-3</v>
      </c>
      <c r="K326" s="76">
        <v>3.9899999999999996E-3</v>
      </c>
      <c r="L326" s="76">
        <v>4.4299999999999999E-3</v>
      </c>
      <c r="M326" s="76">
        <v>4.9899999999999996E-3</v>
      </c>
    </row>
    <row r="327" spans="3:13" x14ac:dyDescent="0.15">
      <c r="C327" s="76">
        <v>566</v>
      </c>
      <c r="D327" s="76">
        <v>4.6000000000000001E-4</v>
      </c>
      <c r="E327" s="76">
        <v>9.3999999999999997E-4</v>
      </c>
      <c r="F327" s="76">
        <v>1.39E-3</v>
      </c>
      <c r="G327" s="76">
        <v>1.8400000000000001E-3</v>
      </c>
      <c r="H327" s="76">
        <v>2.33E-3</v>
      </c>
      <c r="I327" s="76">
        <v>2.8E-3</v>
      </c>
      <c r="J327" s="76">
        <v>3.2100000000000002E-3</v>
      </c>
      <c r="K327" s="76">
        <v>3.7100000000000002E-3</v>
      </c>
      <c r="L327" s="76">
        <v>4.0800000000000003E-3</v>
      </c>
      <c r="M327" s="76">
        <v>4.5700000000000003E-3</v>
      </c>
    </row>
    <row r="328" spans="3:13" x14ac:dyDescent="0.15">
      <c r="C328" s="76">
        <v>568</v>
      </c>
      <c r="D328" s="76">
        <v>4.2099999999999999E-4</v>
      </c>
      <c r="E328" s="76">
        <v>8.6799999999999996E-4</v>
      </c>
      <c r="F328" s="76">
        <v>1.2800000000000001E-3</v>
      </c>
      <c r="G328" s="76">
        <v>1.6800000000000001E-3</v>
      </c>
      <c r="H328" s="76">
        <v>2.1700000000000001E-3</v>
      </c>
      <c r="I328" s="76">
        <v>2.5600000000000002E-3</v>
      </c>
      <c r="J328" s="76">
        <v>2.97E-3</v>
      </c>
      <c r="K328" s="76">
        <v>3.3500000000000001E-3</v>
      </c>
      <c r="L328" s="76">
        <v>3.7200000000000002E-3</v>
      </c>
      <c r="M328" s="76">
        <v>4.1399999999999996E-3</v>
      </c>
    </row>
    <row r="329" spans="3:13" x14ac:dyDescent="0.15">
      <c r="C329" s="76">
        <v>570</v>
      </c>
      <c r="D329" s="76">
        <v>3.8200000000000002E-4</v>
      </c>
      <c r="E329" s="76">
        <v>8.1700000000000002E-4</v>
      </c>
      <c r="F329" s="76">
        <v>1.1800000000000001E-3</v>
      </c>
      <c r="G329" s="76">
        <v>1.5499999999999999E-3</v>
      </c>
      <c r="H329" s="76">
        <v>2E-3</v>
      </c>
      <c r="I329" s="76">
        <v>2.3900000000000002E-3</v>
      </c>
      <c r="J329" s="76">
        <v>2.7299999999999998E-3</v>
      </c>
      <c r="K329" s="76">
        <v>3.0699999999999998E-3</v>
      </c>
      <c r="L329" s="76">
        <v>3.46E-3</v>
      </c>
      <c r="M329" s="76">
        <v>3.8700000000000002E-3</v>
      </c>
    </row>
    <row r="330" spans="3:13" x14ac:dyDescent="0.15">
      <c r="C330" s="76">
        <v>572</v>
      </c>
      <c r="D330" s="76">
        <v>3.59E-4</v>
      </c>
      <c r="E330" s="76">
        <v>7.5900000000000002E-4</v>
      </c>
      <c r="F330" s="76">
        <v>1.1000000000000001E-3</v>
      </c>
      <c r="G330" s="76">
        <v>1.4499999999999999E-3</v>
      </c>
      <c r="H330" s="76">
        <v>1.8400000000000001E-3</v>
      </c>
      <c r="I330" s="76">
        <v>2.2100000000000002E-3</v>
      </c>
      <c r="J330" s="76">
        <v>2.5500000000000002E-3</v>
      </c>
      <c r="K330" s="76">
        <v>2.8999999999999998E-3</v>
      </c>
      <c r="L330" s="76">
        <v>3.2200000000000002E-3</v>
      </c>
      <c r="M330" s="76">
        <v>3.63E-3</v>
      </c>
    </row>
    <row r="331" spans="3:13" x14ac:dyDescent="0.15">
      <c r="C331" s="76">
        <v>574</v>
      </c>
      <c r="D331" s="76">
        <v>3.3300000000000002E-4</v>
      </c>
      <c r="E331" s="76">
        <v>6.96E-4</v>
      </c>
      <c r="F331" s="76">
        <v>1E-3</v>
      </c>
      <c r="G331" s="76">
        <v>1.3500000000000001E-3</v>
      </c>
      <c r="H331" s="76">
        <v>1.7700000000000001E-3</v>
      </c>
      <c r="I331" s="76">
        <v>2.0500000000000002E-3</v>
      </c>
      <c r="J331" s="76">
        <v>2.33E-3</v>
      </c>
      <c r="K331" s="76">
        <v>2.7000000000000001E-3</v>
      </c>
      <c r="L331" s="76">
        <v>2.99E-3</v>
      </c>
      <c r="M331" s="76">
        <v>3.3300000000000001E-3</v>
      </c>
    </row>
    <row r="332" spans="3:13" x14ac:dyDescent="0.15">
      <c r="C332" s="76">
        <v>576</v>
      </c>
      <c r="D332" s="76">
        <v>3.0899999999999998E-4</v>
      </c>
      <c r="E332" s="76">
        <v>6.3299999999999999E-4</v>
      </c>
      <c r="F332" s="76">
        <v>9.3599999999999998E-4</v>
      </c>
      <c r="G332" s="76">
        <v>1.24E-3</v>
      </c>
      <c r="H332" s="76">
        <v>1.6000000000000001E-3</v>
      </c>
      <c r="I332" s="76">
        <v>1.9E-3</v>
      </c>
      <c r="J332" s="76">
        <v>2.2100000000000002E-3</v>
      </c>
      <c r="K332" s="76">
        <v>2.5000000000000001E-3</v>
      </c>
      <c r="L332" s="76">
        <v>2.7899999999999999E-3</v>
      </c>
      <c r="M332" s="76">
        <v>3.0999999999999999E-3</v>
      </c>
    </row>
    <row r="333" spans="3:13" x14ac:dyDescent="0.15">
      <c r="C333" s="76">
        <v>578</v>
      </c>
      <c r="D333" s="76">
        <v>2.9300000000000002E-4</v>
      </c>
      <c r="E333" s="76">
        <v>5.9000000000000003E-4</v>
      </c>
      <c r="F333" s="76">
        <v>8.5099999999999998E-4</v>
      </c>
      <c r="G333" s="76">
        <v>1.14E-3</v>
      </c>
      <c r="H333" s="76">
        <v>1.4400000000000001E-3</v>
      </c>
      <c r="I333" s="76">
        <v>1.73E-3</v>
      </c>
      <c r="J333" s="76">
        <v>2.0200000000000001E-3</v>
      </c>
      <c r="K333" s="76">
        <v>2.2899999999999999E-3</v>
      </c>
      <c r="L333" s="76">
        <v>2.5500000000000002E-3</v>
      </c>
      <c r="M333" s="76">
        <v>2.7799999999999999E-3</v>
      </c>
    </row>
    <row r="334" spans="3:13" x14ac:dyDescent="0.15">
      <c r="C334" s="76">
        <v>580</v>
      </c>
      <c r="D334" s="76">
        <v>2.5500000000000002E-4</v>
      </c>
      <c r="E334" s="76">
        <v>5.5199999999999997E-4</v>
      </c>
      <c r="F334" s="76">
        <v>7.8799999999999996E-4</v>
      </c>
      <c r="G334" s="76">
        <v>1.07E-3</v>
      </c>
      <c r="H334" s="76">
        <v>1.33E-3</v>
      </c>
      <c r="I334" s="76">
        <v>1.6000000000000001E-3</v>
      </c>
      <c r="J334" s="76">
        <v>1.8500000000000001E-3</v>
      </c>
      <c r="K334" s="76">
        <v>2.0899999999999998E-3</v>
      </c>
      <c r="L334" s="76">
        <v>2.4099999999999998E-3</v>
      </c>
      <c r="M334" s="76">
        <v>2.65E-3</v>
      </c>
    </row>
    <row r="335" spans="3:13" x14ac:dyDescent="0.15">
      <c r="C335" s="76">
        <v>582</v>
      </c>
      <c r="D335" s="76">
        <v>2.4600000000000002E-4</v>
      </c>
      <c r="E335" s="76">
        <v>5.0500000000000002E-4</v>
      </c>
      <c r="F335" s="76">
        <v>7.2199999999999999E-4</v>
      </c>
      <c r="G335" s="76">
        <v>1.01E-3</v>
      </c>
      <c r="H335" s="76">
        <v>1.25E-3</v>
      </c>
      <c r="I335" s="76">
        <v>1.4400000000000001E-3</v>
      </c>
      <c r="J335" s="76">
        <v>1.72E-3</v>
      </c>
      <c r="K335" s="76">
        <v>1.9599999999999999E-3</v>
      </c>
      <c r="L335" s="76">
        <v>2.1900000000000001E-3</v>
      </c>
      <c r="M335" s="76">
        <v>2.4399999999999999E-3</v>
      </c>
    </row>
    <row r="336" spans="3:13" x14ac:dyDescent="0.15">
      <c r="C336" s="76">
        <v>584</v>
      </c>
      <c r="D336" s="76">
        <v>2.2599999999999999E-4</v>
      </c>
      <c r="E336" s="76">
        <v>4.6500000000000003E-4</v>
      </c>
      <c r="F336" s="76">
        <v>6.6399999999999999E-4</v>
      </c>
      <c r="G336" s="76">
        <v>9.1399999999999999E-4</v>
      </c>
      <c r="H336" s="76">
        <v>1.1199999999999999E-3</v>
      </c>
      <c r="I336" s="76">
        <v>1.31E-3</v>
      </c>
      <c r="J336" s="76">
        <v>1.64E-3</v>
      </c>
      <c r="K336" s="76">
        <v>1.82E-3</v>
      </c>
      <c r="L336" s="76">
        <v>2.0200000000000001E-3</v>
      </c>
      <c r="M336" s="76">
        <v>2.0699999999999998E-3</v>
      </c>
    </row>
    <row r="337" spans="3:46" x14ac:dyDescent="0.15">
      <c r="C337" s="76">
        <v>586</v>
      </c>
      <c r="D337" s="76">
        <v>1.94E-4</v>
      </c>
      <c r="E337" s="76">
        <v>4.2999999999999999E-4</v>
      </c>
      <c r="F337" s="76">
        <v>5.8E-4</v>
      </c>
      <c r="G337" s="76">
        <v>8.4199999999999998E-4</v>
      </c>
      <c r="H337" s="76">
        <v>1.01E-3</v>
      </c>
      <c r="I337" s="76">
        <v>1.14E-3</v>
      </c>
      <c r="J337" s="76">
        <v>1.4499999999999999E-3</v>
      </c>
      <c r="K337" s="76">
        <v>1.7600000000000001E-3</v>
      </c>
      <c r="L337" s="76">
        <v>1.89E-3</v>
      </c>
      <c r="M337" s="76">
        <v>2.1099999999999999E-3</v>
      </c>
    </row>
    <row r="338" spans="3:46" x14ac:dyDescent="0.15">
      <c r="C338" s="76">
        <v>588</v>
      </c>
      <c r="D338" s="76">
        <v>1.8100000000000001E-4</v>
      </c>
      <c r="E338" s="76">
        <v>3.86E-4</v>
      </c>
      <c r="F338" s="76">
        <v>5.3499999999999999E-4</v>
      </c>
      <c r="G338" s="76">
        <v>7.7800000000000005E-4</v>
      </c>
      <c r="H338" s="76">
        <v>9.3300000000000002E-4</v>
      </c>
      <c r="I338" s="76">
        <v>1.23E-3</v>
      </c>
      <c r="J338" s="76">
        <v>1.2700000000000001E-3</v>
      </c>
      <c r="K338" s="76">
        <v>1.5100000000000001E-3</v>
      </c>
      <c r="L338" s="76">
        <v>1.6800000000000001E-3</v>
      </c>
      <c r="M338" s="76">
        <v>1.8400000000000001E-3</v>
      </c>
    </row>
    <row r="339" spans="3:46" x14ac:dyDescent="0.15">
      <c r="C339" s="76">
        <v>590</v>
      </c>
      <c r="D339" s="76">
        <v>1.6000000000000001E-4</v>
      </c>
      <c r="E339" s="76">
        <v>3.4900000000000003E-4</v>
      </c>
      <c r="F339" s="76">
        <v>4.7800000000000002E-4</v>
      </c>
      <c r="G339" s="76">
        <v>6.6799999999999997E-4</v>
      </c>
      <c r="H339" s="76">
        <v>8.34E-4</v>
      </c>
      <c r="I339" s="76">
        <v>9.9799999999999997E-4</v>
      </c>
      <c r="J339" s="76">
        <v>1.1800000000000001E-3</v>
      </c>
      <c r="K339" s="76">
        <v>1.33E-3</v>
      </c>
      <c r="L339" s="76">
        <v>1.6000000000000001E-3</v>
      </c>
      <c r="M339" s="76">
        <v>1.6800000000000001E-3</v>
      </c>
    </row>
    <row r="340" spans="3:46" x14ac:dyDescent="0.15">
      <c r="C340" s="76">
        <v>592</v>
      </c>
      <c r="D340" s="76">
        <v>1.45E-4</v>
      </c>
      <c r="E340" s="76">
        <v>3.1199999999999999E-4</v>
      </c>
      <c r="F340" s="76">
        <v>4.3399999999999998E-4</v>
      </c>
      <c r="G340" s="76">
        <v>6.3400000000000001E-4</v>
      </c>
      <c r="H340" s="76">
        <v>7.5100000000000004E-4</v>
      </c>
      <c r="I340" s="76">
        <v>9.3099999999999997E-4</v>
      </c>
      <c r="J340" s="76">
        <v>1.1000000000000001E-3</v>
      </c>
      <c r="K340" s="76">
        <v>1.2099999999999999E-3</v>
      </c>
      <c r="L340" s="76">
        <v>1.4300000000000001E-3</v>
      </c>
      <c r="M340" s="76">
        <v>1.48E-3</v>
      </c>
    </row>
    <row r="341" spans="3:46" x14ac:dyDescent="0.15">
      <c r="C341" s="76">
        <v>594</v>
      </c>
      <c r="D341" s="76">
        <v>1.37E-4</v>
      </c>
      <c r="E341" s="76">
        <v>2.8699999999999998E-4</v>
      </c>
      <c r="F341" s="76">
        <v>4.0999999999999999E-4</v>
      </c>
      <c r="G341" s="76">
        <v>5.8699999999999996E-4</v>
      </c>
      <c r="H341" s="76">
        <v>7.0200000000000004E-4</v>
      </c>
      <c r="I341" s="76">
        <v>8.4500000000000005E-4</v>
      </c>
      <c r="J341" s="76">
        <v>9.9299999999999996E-4</v>
      </c>
      <c r="K341" s="76">
        <v>1.1199999999999999E-3</v>
      </c>
      <c r="L341" s="76">
        <v>1.25E-3</v>
      </c>
      <c r="M341" s="76">
        <v>1.39E-3</v>
      </c>
    </row>
    <row r="342" spans="3:46" x14ac:dyDescent="0.15">
      <c r="C342" s="76">
        <v>596</v>
      </c>
      <c r="D342" s="76">
        <v>1.2400000000000001E-4</v>
      </c>
      <c r="E342" s="76">
        <v>2.7300000000000002E-4</v>
      </c>
      <c r="F342" s="76">
        <v>3.7800000000000003E-4</v>
      </c>
      <c r="G342" s="76">
        <v>5.1500000000000005E-4</v>
      </c>
      <c r="H342" s="76">
        <v>6.1600000000000001E-4</v>
      </c>
      <c r="I342" s="76">
        <v>7.3800000000000005E-4</v>
      </c>
      <c r="J342" s="76">
        <v>9.3700000000000001E-4</v>
      </c>
      <c r="K342" s="76">
        <v>1.1299999999999999E-3</v>
      </c>
      <c r="L342" s="76">
        <v>1.24E-3</v>
      </c>
      <c r="M342" s="76">
        <v>1.2999999999999999E-3</v>
      </c>
    </row>
    <row r="343" spans="3:46" x14ac:dyDescent="0.15">
      <c r="C343" s="76">
        <v>598</v>
      </c>
      <c r="D343" s="76">
        <v>1.27E-4</v>
      </c>
      <c r="E343" s="76">
        <v>2.3900000000000001E-4</v>
      </c>
      <c r="F343" s="76">
        <v>3.0899999999999998E-4</v>
      </c>
      <c r="G343" s="76">
        <v>4.8299999999999998E-4</v>
      </c>
      <c r="H343" s="76">
        <v>5.2300000000000003E-4</v>
      </c>
      <c r="I343" s="76">
        <v>6.6299999999999996E-4</v>
      </c>
      <c r="J343" s="76">
        <v>8.3299999999999997E-4</v>
      </c>
      <c r="K343" s="76">
        <v>9.6000000000000002E-4</v>
      </c>
      <c r="L343" s="76">
        <v>1.14E-3</v>
      </c>
      <c r="M343" s="76">
        <v>1.1199999999999999E-3</v>
      </c>
    </row>
    <row r="344" spans="3:46" x14ac:dyDescent="0.15">
      <c r="C344" s="76">
        <v>600</v>
      </c>
      <c r="D344" s="76">
        <v>9.8800000000000003E-5</v>
      </c>
      <c r="E344" s="76">
        <v>2.1699999999999999E-4</v>
      </c>
      <c r="F344" s="76">
        <v>2.6800000000000001E-4</v>
      </c>
      <c r="G344" s="76">
        <v>4.26E-4</v>
      </c>
      <c r="H344" s="76">
        <v>5.1400000000000003E-4</v>
      </c>
      <c r="I344" s="76">
        <v>6.4300000000000002E-4</v>
      </c>
      <c r="J344" s="76">
        <v>7.6900000000000004E-4</v>
      </c>
      <c r="K344" s="76">
        <v>8.8699999999999998E-4</v>
      </c>
      <c r="L344" s="76">
        <v>9.7300000000000002E-4</v>
      </c>
      <c r="M344" s="76">
        <v>1.0200000000000001E-3</v>
      </c>
    </row>
    <row r="345" spans="3:46" x14ac:dyDescent="0.15">
      <c r="C345" s="76">
        <v>602</v>
      </c>
      <c r="D345" s="76">
        <v>9.0000000000000006E-5</v>
      </c>
      <c r="E345" s="76">
        <v>1.9100000000000001E-4</v>
      </c>
      <c r="F345" s="76">
        <v>2.03E-4</v>
      </c>
      <c r="G345" s="76">
        <v>3.8499999999999998E-4</v>
      </c>
      <c r="H345" s="76">
        <v>4.4900000000000002E-4</v>
      </c>
      <c r="I345" s="76">
        <v>5.6599999999999999E-4</v>
      </c>
      <c r="J345" s="76">
        <v>7.2400000000000003E-4</v>
      </c>
      <c r="K345" s="76">
        <v>8.3699999999999996E-4</v>
      </c>
      <c r="L345" s="76">
        <v>8.9999999999999998E-4</v>
      </c>
      <c r="M345" s="76">
        <v>9.6100000000000005E-4</v>
      </c>
    </row>
    <row r="346" spans="3:46" x14ac:dyDescent="0.15">
      <c r="C346" s="76">
        <v>604</v>
      </c>
      <c r="D346" s="76">
        <v>8.9099999999999997E-5</v>
      </c>
      <c r="E346" s="76">
        <v>1.7200000000000001E-4</v>
      </c>
      <c r="F346" s="76">
        <v>2.3000000000000001E-4</v>
      </c>
      <c r="G346" s="76">
        <v>3.5300000000000002E-4</v>
      </c>
      <c r="H346" s="76">
        <v>4.6099999999999998E-4</v>
      </c>
      <c r="I346" s="76">
        <v>5.1800000000000001E-4</v>
      </c>
      <c r="J346" s="76">
        <v>6.29E-4</v>
      </c>
      <c r="K346" s="76">
        <v>7.7200000000000001E-4</v>
      </c>
      <c r="L346" s="76">
        <v>8.5400000000000005E-4</v>
      </c>
      <c r="M346" s="76">
        <v>9.1699999999999995E-4</v>
      </c>
    </row>
    <row r="347" spans="3:46" x14ac:dyDescent="0.15">
      <c r="C347" s="76">
        <v>606</v>
      </c>
      <c r="D347" s="76">
        <v>9.0199999999999997E-5</v>
      </c>
      <c r="E347" s="76">
        <v>1.54E-4</v>
      </c>
      <c r="F347" s="76">
        <v>2.04E-4</v>
      </c>
      <c r="G347" s="76">
        <v>3.2600000000000001E-4</v>
      </c>
      <c r="H347" s="76">
        <v>4.3600000000000003E-4</v>
      </c>
      <c r="I347" s="76">
        <v>4.4900000000000002E-4</v>
      </c>
      <c r="J347" s="76">
        <v>5.9800000000000001E-4</v>
      </c>
      <c r="K347" s="76">
        <v>7.1500000000000003E-4</v>
      </c>
      <c r="L347" s="76">
        <v>7.5799999999999999E-4</v>
      </c>
      <c r="M347" s="76">
        <v>8.2299999999999995E-4</v>
      </c>
    </row>
    <row r="348" spans="3:46" x14ac:dyDescent="0.15">
      <c r="C348" s="76">
        <v>608</v>
      </c>
      <c r="D348" s="76">
        <v>8.3200000000000003E-5</v>
      </c>
      <c r="E348" s="76">
        <v>1.4200000000000001E-4</v>
      </c>
      <c r="F348" s="76">
        <v>1.8799999999999999E-4</v>
      </c>
      <c r="G348" s="76">
        <v>3.1100000000000002E-4</v>
      </c>
      <c r="H348" s="76">
        <v>2.7999999999999998E-4</v>
      </c>
      <c r="I348" s="76">
        <v>4.2900000000000002E-4</v>
      </c>
      <c r="J348" s="76">
        <v>5.3700000000000004E-4</v>
      </c>
      <c r="K348" s="76">
        <v>8.1599999999999999E-4</v>
      </c>
      <c r="L348" s="76">
        <v>6.8000000000000005E-4</v>
      </c>
      <c r="M348" s="76">
        <v>7.9100000000000004E-4</v>
      </c>
    </row>
    <row r="349" spans="3:46" x14ac:dyDescent="0.15">
      <c r="C349" s="76">
        <v>610</v>
      </c>
      <c r="D349" s="76">
        <v>8.0400000000000003E-5</v>
      </c>
      <c r="E349" s="76">
        <v>1.34E-4</v>
      </c>
      <c r="F349" s="76">
        <v>1.7799999999999999E-4</v>
      </c>
      <c r="G349" s="76">
        <v>2.7700000000000001E-4</v>
      </c>
      <c r="H349" s="76">
        <v>3.1599999999999998E-4</v>
      </c>
      <c r="I349" s="76">
        <v>3.6099999999999999E-4</v>
      </c>
      <c r="J349" s="76">
        <v>4.9899999999999999E-4</v>
      </c>
      <c r="K349" s="76">
        <v>5.9400000000000002E-4</v>
      </c>
      <c r="L349" s="76">
        <v>6.5200000000000002E-4</v>
      </c>
      <c r="M349" s="76">
        <v>7.3499999999999998E-4</v>
      </c>
    </row>
    <row r="350" spans="3:46" x14ac:dyDescent="0.15">
      <c r="C350" s="76">
        <v>612</v>
      </c>
      <c r="D350" s="76">
        <v>6.9499999999999995E-5</v>
      </c>
      <c r="E350" s="76">
        <v>1.17E-4</v>
      </c>
      <c r="F350" s="76">
        <v>1.64E-4</v>
      </c>
      <c r="G350" s="76">
        <v>2.9399999999999999E-4</v>
      </c>
      <c r="H350" s="76">
        <v>2.81E-4</v>
      </c>
      <c r="I350" s="76">
        <v>3.2499999999999999E-4</v>
      </c>
      <c r="J350" s="76">
        <v>4.5600000000000003E-4</v>
      </c>
      <c r="K350" s="76">
        <v>5.0500000000000002E-4</v>
      </c>
      <c r="L350" s="76">
        <v>6.3900000000000003E-4</v>
      </c>
      <c r="M350" s="76">
        <v>7.54E-4</v>
      </c>
    </row>
    <row r="351" spans="3:46" x14ac:dyDescent="0.15">
      <c r="C351" s="76">
        <v>614</v>
      </c>
      <c r="D351" s="76">
        <v>7.47E-5</v>
      </c>
      <c r="E351" s="76">
        <v>1.02E-4</v>
      </c>
      <c r="F351" s="76">
        <v>1.6100000000000001E-4</v>
      </c>
      <c r="G351" s="76">
        <v>2.4499999999999999E-4</v>
      </c>
      <c r="H351" s="76">
        <v>2.9E-4</v>
      </c>
      <c r="I351" s="76">
        <v>3.2000000000000003E-4</v>
      </c>
      <c r="J351" s="76">
        <v>3.88E-4</v>
      </c>
      <c r="K351" s="76">
        <v>5.04E-4</v>
      </c>
      <c r="L351" s="76">
        <v>5.9199999999999997E-4</v>
      </c>
      <c r="M351" s="76">
        <v>6.8999999999999997E-4</v>
      </c>
    </row>
    <row r="352" spans="3:46" x14ac:dyDescent="0.15">
      <c r="C352" s="81">
        <v>616</v>
      </c>
      <c r="D352" s="76">
        <v>6.8300000000000007E-5</v>
      </c>
      <c r="E352" s="76">
        <v>1.01E-4</v>
      </c>
      <c r="F352" s="76">
        <v>1.56E-4</v>
      </c>
      <c r="G352" s="76">
        <v>2.2800000000000001E-4</v>
      </c>
      <c r="H352" s="81">
        <v>2.5999999999999998E-4</v>
      </c>
      <c r="I352" s="76">
        <v>3.1399999999999999E-4</v>
      </c>
      <c r="J352" s="76">
        <v>2.6400000000000002E-4</v>
      </c>
      <c r="K352" s="76">
        <v>4.55E-4</v>
      </c>
      <c r="L352" s="81">
        <v>5.0000000000000001E-4</v>
      </c>
      <c r="M352" s="76">
        <v>5.9900000000000003E-4</v>
      </c>
      <c r="N352" s="81"/>
      <c r="T352" s="81"/>
      <c r="W352" s="81"/>
      <c r="AF352" s="81"/>
      <c r="AG352" s="81"/>
      <c r="AT352" s="81"/>
    </row>
    <row r="353" spans="3:56" x14ac:dyDescent="0.15">
      <c r="C353" s="81">
        <v>618</v>
      </c>
      <c r="D353" s="76">
        <v>6.7799999999999995E-5</v>
      </c>
      <c r="E353" s="76">
        <v>8.5400000000000002E-5</v>
      </c>
      <c r="F353" s="76">
        <v>1.3999999999999999E-4</v>
      </c>
      <c r="G353" s="76">
        <v>2.05E-4</v>
      </c>
      <c r="H353" s="81">
        <v>2.8200000000000002E-4</v>
      </c>
      <c r="I353" s="76">
        <v>2.4699999999999999E-4</v>
      </c>
      <c r="J353" s="76">
        <v>3.3599999999999998E-4</v>
      </c>
      <c r="K353" s="76">
        <v>4.35E-4</v>
      </c>
      <c r="L353" s="81">
        <v>4.4299999999999998E-4</v>
      </c>
      <c r="M353" s="76">
        <v>6.38E-4</v>
      </c>
      <c r="N353" s="81"/>
      <c r="T353" s="81"/>
      <c r="W353" s="81"/>
      <c r="AF353" s="81"/>
      <c r="AG353" s="81"/>
      <c r="AT353" s="81"/>
    </row>
    <row r="354" spans="3:56" x14ac:dyDescent="0.15">
      <c r="C354" s="81">
        <v>620</v>
      </c>
      <c r="D354" s="76">
        <v>6.5500000000000006E-5</v>
      </c>
      <c r="E354" s="76">
        <v>8.4099999999999998E-5</v>
      </c>
      <c r="F354" s="76">
        <v>1.2899999999999999E-4</v>
      </c>
      <c r="G354" s="76">
        <v>1.74E-4</v>
      </c>
      <c r="H354" s="81">
        <v>2.52E-4</v>
      </c>
      <c r="I354" s="76">
        <v>2.6800000000000001E-4</v>
      </c>
      <c r="J354" s="76">
        <v>2.8899999999999998E-4</v>
      </c>
      <c r="K354" s="76">
        <v>4.06E-4</v>
      </c>
      <c r="L354" s="81">
        <v>4.7199999999999998E-4</v>
      </c>
      <c r="M354" s="76">
        <v>5.1099999999999995E-4</v>
      </c>
      <c r="N354" s="81"/>
      <c r="T354" s="81"/>
      <c r="W354" s="81"/>
      <c r="AF354" s="81"/>
      <c r="AG354" s="81"/>
      <c r="AT354" s="81"/>
    </row>
    <row r="355" spans="3:56" x14ac:dyDescent="0.15">
      <c r="C355" s="81">
        <v>622</v>
      </c>
      <c r="D355" s="76">
        <v>5.4599999999999999E-5</v>
      </c>
      <c r="E355" s="76">
        <v>7.1699999999999995E-5</v>
      </c>
      <c r="F355" s="76">
        <v>1.11E-4</v>
      </c>
      <c r="G355" s="76">
        <v>1.6100000000000001E-4</v>
      </c>
      <c r="H355" s="81">
        <v>2.5000000000000001E-4</v>
      </c>
      <c r="I355" s="76">
        <v>1.95E-4</v>
      </c>
      <c r="J355" s="76">
        <v>2.5999999999999998E-4</v>
      </c>
      <c r="K355" s="76">
        <v>3.7599999999999998E-4</v>
      </c>
      <c r="L355" s="81">
        <v>4.0299999999999998E-4</v>
      </c>
      <c r="M355" s="76">
        <v>5.2400000000000005E-4</v>
      </c>
      <c r="N355" s="81"/>
      <c r="T355" s="81"/>
      <c r="W355" s="81"/>
      <c r="AF355" s="81"/>
      <c r="AG355" s="81"/>
      <c r="AT355" s="81"/>
    </row>
    <row r="356" spans="3:56" x14ac:dyDescent="0.15">
      <c r="C356" s="81">
        <v>624</v>
      </c>
      <c r="D356" s="76">
        <v>5.3900000000000002E-5</v>
      </c>
      <c r="E356" s="76">
        <v>7.4800000000000002E-5</v>
      </c>
      <c r="F356" s="76">
        <v>1.08E-4</v>
      </c>
      <c r="G356" s="76">
        <v>1.4100000000000001E-4</v>
      </c>
      <c r="H356" s="81">
        <v>2.4699999999999999E-4</v>
      </c>
      <c r="I356" s="76">
        <v>1.7799999999999999E-4</v>
      </c>
      <c r="J356" s="76">
        <v>1.83E-4</v>
      </c>
      <c r="K356" s="76">
        <v>3.2899999999999997E-4</v>
      </c>
      <c r="L356" s="81">
        <v>3.5599999999999998E-4</v>
      </c>
      <c r="M356" s="76">
        <v>5.2499999999999997E-4</v>
      </c>
      <c r="N356" s="81"/>
      <c r="T356" s="81"/>
      <c r="W356" s="81"/>
      <c r="AF356" s="81"/>
      <c r="AG356" s="81"/>
      <c r="AT356" s="81"/>
    </row>
    <row r="357" spans="3:56" x14ac:dyDescent="0.15">
      <c r="C357" s="81">
        <v>626</v>
      </c>
      <c r="D357" s="76">
        <v>4.9799999999999998E-5</v>
      </c>
      <c r="E357" s="76">
        <v>7.5699999999999997E-5</v>
      </c>
      <c r="F357" s="76">
        <v>1.34E-4</v>
      </c>
      <c r="G357" s="76">
        <v>1.26E-4</v>
      </c>
      <c r="H357" s="81">
        <v>2.1599999999999999E-4</v>
      </c>
      <c r="I357" s="76">
        <v>2.14E-4</v>
      </c>
      <c r="J357" s="76">
        <v>2.8499999999999999E-4</v>
      </c>
      <c r="K357" s="76">
        <v>3.4099999999999999E-4</v>
      </c>
      <c r="L357" s="81">
        <v>3.2299999999999999E-4</v>
      </c>
      <c r="M357" s="76">
        <v>6.5099999999999999E-4</v>
      </c>
      <c r="N357" s="81"/>
      <c r="T357" s="81"/>
      <c r="W357" s="81"/>
      <c r="AF357" s="81"/>
      <c r="AG357" s="81"/>
      <c r="AT357" s="81"/>
    </row>
    <row r="358" spans="3:56" x14ac:dyDescent="0.15">
      <c r="C358" s="81">
        <v>628</v>
      </c>
      <c r="D358" s="76">
        <v>4.7500000000000003E-5</v>
      </c>
      <c r="E358" s="76">
        <v>8.1100000000000006E-5</v>
      </c>
      <c r="F358" s="76">
        <v>1.06E-4</v>
      </c>
      <c r="G358" s="76">
        <v>1.15E-4</v>
      </c>
      <c r="H358" s="81">
        <v>2.1599999999999999E-4</v>
      </c>
      <c r="I358" s="76">
        <v>1.2999999999999999E-4</v>
      </c>
      <c r="J358" s="76">
        <v>2.2000000000000001E-4</v>
      </c>
      <c r="K358" s="76">
        <v>3.68E-4</v>
      </c>
      <c r="L358" s="81">
        <v>3.6699999999999998E-4</v>
      </c>
      <c r="M358" s="76">
        <v>3.4499999999999998E-4</v>
      </c>
      <c r="N358" s="81"/>
      <c r="T358" s="81"/>
      <c r="W358" s="81"/>
      <c r="AF358" s="81"/>
      <c r="AG358" s="81"/>
      <c r="AT358" s="81"/>
    </row>
    <row r="359" spans="3:56" x14ac:dyDescent="0.15">
      <c r="C359" s="81">
        <v>630</v>
      </c>
      <c r="D359" s="76">
        <v>4.6799999999999999E-5</v>
      </c>
      <c r="E359" s="76">
        <v>6.5900000000000003E-5</v>
      </c>
      <c r="F359" s="76">
        <v>1.26E-4</v>
      </c>
      <c r="G359" s="76">
        <v>1.3300000000000001E-4</v>
      </c>
      <c r="H359" s="81">
        <v>2.0699999999999999E-4</v>
      </c>
      <c r="I359" s="76">
        <v>3.3E-4</v>
      </c>
      <c r="J359" s="76">
        <v>2.04E-4</v>
      </c>
      <c r="K359" s="76">
        <v>2.9599999999999998E-4</v>
      </c>
      <c r="L359" s="81">
        <v>2.9599999999999998E-4</v>
      </c>
      <c r="M359" s="76">
        <v>4.66E-4</v>
      </c>
      <c r="N359" s="81"/>
      <c r="T359" s="81"/>
      <c r="W359" s="81"/>
      <c r="AF359" s="81"/>
      <c r="AG359" s="81"/>
      <c r="AT359" s="81"/>
    </row>
    <row r="360" spans="3:56" x14ac:dyDescent="0.15">
      <c r="C360" s="81">
        <v>632</v>
      </c>
      <c r="D360" s="76">
        <v>4.9100000000000001E-5</v>
      </c>
      <c r="E360" s="76">
        <v>7.4499999999999995E-5</v>
      </c>
      <c r="F360" s="76">
        <v>1.18E-4</v>
      </c>
      <c r="G360" s="76">
        <v>1.4300000000000001E-4</v>
      </c>
      <c r="H360" s="81">
        <v>2.0000000000000001E-4</v>
      </c>
      <c r="I360" s="76">
        <v>2.2699999999999999E-4</v>
      </c>
      <c r="J360" s="76">
        <v>2.3000000000000001E-4</v>
      </c>
      <c r="K360" s="76">
        <v>3.0600000000000001E-4</v>
      </c>
      <c r="L360" s="81">
        <v>3.19E-4</v>
      </c>
      <c r="M360" s="76">
        <v>4.6799999999999999E-4</v>
      </c>
      <c r="N360" s="81"/>
      <c r="T360" s="81"/>
      <c r="W360" s="81"/>
      <c r="AF360" s="81"/>
      <c r="AG360" s="81"/>
      <c r="AT360" s="81"/>
    </row>
    <row r="361" spans="3:56" x14ac:dyDescent="0.15">
      <c r="C361" s="81">
        <v>634</v>
      </c>
      <c r="D361" s="76">
        <v>5.27E-5</v>
      </c>
      <c r="E361" s="76">
        <v>6.7600000000000003E-5</v>
      </c>
      <c r="F361" s="76">
        <v>1.22E-4</v>
      </c>
      <c r="G361" s="76">
        <v>1.4200000000000001E-4</v>
      </c>
      <c r="H361" s="81">
        <v>1.9699999999999999E-4</v>
      </c>
      <c r="I361" s="76">
        <v>1.6899999999999999E-4</v>
      </c>
      <c r="J361" s="76">
        <v>2.1900000000000001E-4</v>
      </c>
      <c r="K361" s="76">
        <v>3.01E-4</v>
      </c>
      <c r="L361" s="81">
        <v>3.1599999999999998E-4</v>
      </c>
      <c r="M361" s="76">
        <v>4.64E-4</v>
      </c>
      <c r="N361" s="81"/>
      <c r="T361" s="81"/>
      <c r="W361" s="81"/>
      <c r="AF361" s="81"/>
      <c r="AG361" s="81"/>
      <c r="AT361" s="81"/>
    </row>
    <row r="362" spans="3:56" x14ac:dyDescent="0.15">
      <c r="C362" s="81">
        <v>636</v>
      </c>
      <c r="D362" s="76">
        <v>4.6300000000000001E-5</v>
      </c>
      <c r="E362" s="76">
        <v>5.4700000000000001E-5</v>
      </c>
      <c r="F362" s="76">
        <v>1.4300000000000001E-4</v>
      </c>
      <c r="G362" s="76">
        <v>1.3899999999999999E-4</v>
      </c>
      <c r="H362" s="81">
        <v>1.95E-4</v>
      </c>
      <c r="I362" s="76">
        <v>2.1800000000000001E-4</v>
      </c>
      <c r="J362" s="76">
        <v>2.52E-4</v>
      </c>
      <c r="K362" s="76">
        <v>2.2000000000000001E-4</v>
      </c>
      <c r="L362" s="81">
        <v>3.6200000000000002E-4</v>
      </c>
      <c r="M362" s="76">
        <v>4.6000000000000001E-4</v>
      </c>
      <c r="N362" s="81"/>
      <c r="T362" s="81"/>
      <c r="W362" s="81"/>
      <c r="AF362" s="81"/>
      <c r="AG362" s="81"/>
      <c r="AT362" s="81"/>
    </row>
    <row r="363" spans="3:56" x14ac:dyDescent="0.15">
      <c r="C363" s="81">
        <v>638</v>
      </c>
      <c r="D363" s="76">
        <v>3.54E-5</v>
      </c>
      <c r="E363" s="76">
        <v>5.0599999999999997E-5</v>
      </c>
      <c r="F363" s="76">
        <v>1.1900000000000001E-4</v>
      </c>
      <c r="G363" s="76">
        <v>1.2799999999999999E-4</v>
      </c>
      <c r="H363" s="81">
        <v>2.0699999999999999E-4</v>
      </c>
      <c r="I363" s="76">
        <v>1.73E-4</v>
      </c>
      <c r="J363" s="76">
        <v>2.1499999999999999E-4</v>
      </c>
      <c r="K363" s="76">
        <v>2.7099999999999997E-4</v>
      </c>
      <c r="L363" s="81">
        <v>2.4800000000000001E-4</v>
      </c>
      <c r="M363" s="76">
        <v>3.2299999999999999E-4</v>
      </c>
      <c r="N363" s="81"/>
      <c r="T363" s="81"/>
      <c r="W363" s="81"/>
      <c r="AF363" s="81"/>
      <c r="AG363" s="81"/>
      <c r="AT363" s="81"/>
    </row>
    <row r="364" spans="3:56" x14ac:dyDescent="0.15">
      <c r="C364" s="81">
        <v>640</v>
      </c>
      <c r="D364" s="76">
        <v>2.34E-5</v>
      </c>
      <c r="E364" s="76">
        <v>3.4499999999999998E-5</v>
      </c>
      <c r="F364" s="76">
        <v>1.25E-4</v>
      </c>
      <c r="G364" s="76">
        <v>1.34E-4</v>
      </c>
      <c r="H364" s="81">
        <v>2.1000000000000001E-4</v>
      </c>
      <c r="I364" s="76">
        <v>1.73E-4</v>
      </c>
      <c r="J364" s="76">
        <v>2.22E-4</v>
      </c>
      <c r="K364" s="76">
        <v>2.7900000000000001E-4</v>
      </c>
      <c r="L364" s="81">
        <v>2.8499999999999999E-4</v>
      </c>
      <c r="M364" s="76">
        <v>4.9899999999999999E-4</v>
      </c>
      <c r="N364" s="81"/>
      <c r="T364" s="81"/>
      <c r="W364" s="81"/>
      <c r="AF364" s="81"/>
      <c r="AG364" s="81"/>
      <c r="AT364" s="81"/>
    </row>
    <row r="365" spans="3:56" x14ac:dyDescent="0.15">
      <c r="C365" s="81">
        <v>642</v>
      </c>
      <c r="D365" s="76">
        <v>3.1099999999999997E-5</v>
      </c>
      <c r="E365" s="76">
        <v>5.1799999999999999E-5</v>
      </c>
      <c r="F365" s="76">
        <v>1.02E-4</v>
      </c>
      <c r="G365" s="76">
        <v>1.2300000000000001E-4</v>
      </c>
      <c r="H365" s="81">
        <v>1.63E-4</v>
      </c>
      <c r="I365" s="76">
        <v>2.0699999999999999E-4</v>
      </c>
      <c r="J365" s="76">
        <v>2.9799999999999998E-4</v>
      </c>
      <c r="K365" s="76">
        <v>2.9300000000000002E-4</v>
      </c>
      <c r="L365" s="81">
        <v>2.8299999999999999E-4</v>
      </c>
      <c r="M365" s="76">
        <v>3.8299999999999999E-4</v>
      </c>
      <c r="N365" s="81"/>
      <c r="T365" s="81"/>
      <c r="W365" s="81"/>
      <c r="AF365" s="81"/>
      <c r="AG365" s="81"/>
      <c r="AT365" s="81"/>
    </row>
    <row r="366" spans="3:56" x14ac:dyDescent="0.15">
      <c r="C366" s="81">
        <v>644</v>
      </c>
      <c r="D366" s="81">
        <v>3.82E-5</v>
      </c>
      <c r="E366" s="81">
        <v>5.3300000000000001E-5</v>
      </c>
      <c r="F366" s="81">
        <v>1.2799999999999999E-4</v>
      </c>
      <c r="G366" s="81">
        <v>1.21E-4</v>
      </c>
      <c r="H366" s="81">
        <v>1.65E-4</v>
      </c>
      <c r="I366" s="81">
        <v>2.24E-4</v>
      </c>
      <c r="J366" s="81">
        <v>2.9399999999999999E-4</v>
      </c>
      <c r="K366" s="81">
        <v>2.3699999999999999E-4</v>
      </c>
      <c r="L366" s="81">
        <v>2.63E-4</v>
      </c>
      <c r="M366" s="81">
        <v>3.3599999999999998E-4</v>
      </c>
      <c r="N366" s="81"/>
      <c r="O366" s="81"/>
      <c r="P366" s="81"/>
      <c r="Q366" s="81"/>
      <c r="R366" s="81"/>
      <c r="S366" s="81"/>
      <c r="T366" s="81"/>
      <c r="U366" s="81"/>
      <c r="V366" s="81"/>
      <c r="W366" s="81"/>
      <c r="X366" s="81"/>
      <c r="Y366" s="81"/>
      <c r="Z366" s="81"/>
      <c r="AA366" s="81"/>
      <c r="AB366" s="81"/>
      <c r="AC366" s="81"/>
      <c r="AD366" s="81"/>
      <c r="AF366" s="81"/>
      <c r="AG366" s="81"/>
      <c r="AH366" s="81"/>
      <c r="AI366" s="81"/>
      <c r="AJ366" s="81"/>
      <c r="AK366" s="81"/>
      <c r="AL366" s="81"/>
      <c r="AM366" s="81"/>
      <c r="AN366" s="81"/>
      <c r="AO366" s="81"/>
      <c r="AP366" s="81"/>
      <c r="AQ366" s="81"/>
      <c r="AT366" s="81"/>
      <c r="AU366" s="81"/>
      <c r="AV366" s="81"/>
      <c r="AW366" s="81"/>
      <c r="AX366" s="81"/>
      <c r="AY366" s="81"/>
      <c r="AZ366" s="81"/>
      <c r="BA366" s="81"/>
      <c r="BB366" s="81"/>
      <c r="BC366" s="81"/>
      <c r="BD366" s="81"/>
    </row>
    <row r="367" spans="3:56" x14ac:dyDescent="0.15">
      <c r="C367" s="81">
        <v>646</v>
      </c>
      <c r="D367" s="76">
        <v>3.96E-5</v>
      </c>
      <c r="E367" s="76">
        <v>5.1400000000000003E-5</v>
      </c>
      <c r="F367" s="76">
        <v>1.0900000000000001E-4</v>
      </c>
      <c r="G367" s="76">
        <v>1.3999999999999999E-4</v>
      </c>
      <c r="H367" s="81">
        <v>1.5200000000000001E-4</v>
      </c>
      <c r="I367" s="76">
        <v>2.1100000000000001E-4</v>
      </c>
      <c r="J367" s="76">
        <v>2.99E-4</v>
      </c>
      <c r="K367" s="76">
        <v>2.3800000000000001E-4</v>
      </c>
      <c r="L367" s="81">
        <v>2.5300000000000002E-4</v>
      </c>
      <c r="M367" s="76">
        <v>3.2699999999999998E-4</v>
      </c>
      <c r="N367" s="81"/>
      <c r="T367" s="81"/>
      <c r="W367" s="81"/>
      <c r="AF367" s="81"/>
      <c r="AG367" s="81"/>
      <c r="AT367" s="81"/>
    </row>
    <row r="368" spans="3:56" x14ac:dyDescent="0.15">
      <c r="C368" s="81">
        <v>648</v>
      </c>
      <c r="D368" s="81">
        <v>3.6399999999999997E-5</v>
      </c>
      <c r="E368" s="81">
        <v>4.0200000000000001E-5</v>
      </c>
      <c r="F368" s="81">
        <v>1.2400000000000001E-4</v>
      </c>
      <c r="G368" s="81">
        <v>1.27E-4</v>
      </c>
      <c r="H368" s="81">
        <v>1.56E-4</v>
      </c>
      <c r="I368" s="81">
        <v>2.4399999999999999E-4</v>
      </c>
      <c r="J368" s="81">
        <v>3.2400000000000001E-4</v>
      </c>
      <c r="K368" s="81">
        <v>3.0200000000000002E-4</v>
      </c>
      <c r="L368" s="81">
        <v>1.8100000000000001E-4</v>
      </c>
      <c r="M368" s="81">
        <v>2.7799999999999998E-4</v>
      </c>
      <c r="N368" s="81"/>
      <c r="O368" s="81"/>
      <c r="P368" s="81"/>
      <c r="Q368" s="81"/>
      <c r="R368" s="81"/>
      <c r="S368" s="81"/>
      <c r="T368" s="81"/>
      <c r="U368" s="81"/>
      <c r="V368" s="81"/>
      <c r="W368" s="81"/>
      <c r="X368" s="81"/>
      <c r="Y368" s="81"/>
      <c r="Z368" s="81"/>
      <c r="AA368" s="81"/>
      <c r="AB368" s="81"/>
      <c r="AC368" s="81"/>
      <c r="AF368" s="81"/>
      <c r="AG368" s="81"/>
      <c r="AH368" s="81"/>
      <c r="AI368" s="81"/>
      <c r="AJ368" s="81"/>
      <c r="AK368" s="81"/>
      <c r="AL368" s="81"/>
      <c r="AM368" s="81"/>
      <c r="AN368" s="81"/>
      <c r="AO368" s="81"/>
      <c r="AP368" s="81"/>
    </row>
    <row r="369" spans="3:32" x14ac:dyDescent="0.15">
      <c r="C369" s="81">
        <v>650</v>
      </c>
      <c r="D369" s="76">
        <v>3.1699999999999998E-5</v>
      </c>
      <c r="E369" s="76">
        <v>4.7800000000000003E-5</v>
      </c>
      <c r="F369" s="76">
        <v>1.27E-4</v>
      </c>
      <c r="G369" s="76">
        <v>1.3999999999999999E-4</v>
      </c>
      <c r="H369" s="76">
        <v>1.36E-4</v>
      </c>
      <c r="I369" s="76">
        <v>2.1699999999999999E-4</v>
      </c>
      <c r="J369" s="76">
        <v>3.0899999999999998E-4</v>
      </c>
      <c r="K369" s="76">
        <v>2.81E-4</v>
      </c>
      <c r="L369" s="76">
        <v>2.1800000000000001E-4</v>
      </c>
      <c r="M369" s="76">
        <v>2.7799999999999998E-4</v>
      </c>
      <c r="AF369" s="81"/>
    </row>
    <row r="370" spans="3:32" x14ac:dyDescent="0.15">
      <c r="C370" s="76">
        <v>652</v>
      </c>
      <c r="D370" s="76">
        <v>2.6800000000000001E-5</v>
      </c>
      <c r="E370" s="76">
        <v>5.0399999999999999E-5</v>
      </c>
      <c r="F370" s="76">
        <v>1.2E-4</v>
      </c>
      <c r="G370" s="76">
        <v>1.6000000000000001E-4</v>
      </c>
      <c r="H370" s="76">
        <v>1.2799999999999999E-4</v>
      </c>
      <c r="I370" s="76">
        <v>2.2699999999999999E-4</v>
      </c>
      <c r="J370" s="76">
        <v>2.6899999999999998E-4</v>
      </c>
      <c r="K370" s="76">
        <v>2.5399999999999999E-4</v>
      </c>
      <c r="L370" s="76">
        <v>2.5099999999999998E-4</v>
      </c>
      <c r="M370" s="76">
        <v>2.4600000000000002E-4</v>
      </c>
    </row>
    <row r="371" spans="3:32" x14ac:dyDescent="0.15">
      <c r="C371" s="76">
        <v>654</v>
      </c>
      <c r="D371" s="76">
        <v>2.6699999999999998E-5</v>
      </c>
      <c r="E371" s="76">
        <v>4.4100000000000001E-5</v>
      </c>
      <c r="F371" s="76">
        <v>1.01E-4</v>
      </c>
      <c r="G371" s="76">
        <v>1.84E-4</v>
      </c>
      <c r="H371" s="76">
        <v>1.06E-4</v>
      </c>
      <c r="I371" s="76">
        <v>2.4000000000000001E-4</v>
      </c>
      <c r="J371" s="76">
        <v>2.5700000000000001E-4</v>
      </c>
      <c r="K371" s="76">
        <v>2.22E-4</v>
      </c>
      <c r="L371" s="76">
        <v>2.3499999999999999E-4</v>
      </c>
      <c r="M371" s="76">
        <v>2.2000000000000001E-4</v>
      </c>
    </row>
    <row r="372" spans="3:32" x14ac:dyDescent="0.15">
      <c r="C372" s="76">
        <v>656</v>
      </c>
      <c r="D372" s="76">
        <v>2.7500000000000001E-5</v>
      </c>
      <c r="E372" s="76">
        <v>4.5899999999999998E-5</v>
      </c>
      <c r="F372" s="76">
        <v>9.2899999999999995E-5</v>
      </c>
      <c r="G372" s="76">
        <v>1.22E-4</v>
      </c>
      <c r="H372" s="76">
        <v>8.2299999999999995E-5</v>
      </c>
      <c r="I372" s="76">
        <v>2.7999999999999998E-4</v>
      </c>
      <c r="J372" s="76">
        <v>2.7700000000000001E-4</v>
      </c>
      <c r="K372" s="76">
        <v>2.2699999999999999E-4</v>
      </c>
      <c r="L372" s="76">
        <v>2.6800000000000001E-4</v>
      </c>
      <c r="M372" s="76">
        <v>3.28E-4</v>
      </c>
    </row>
    <row r="373" spans="3:32" x14ac:dyDescent="0.15">
      <c r="C373" s="76">
        <v>658</v>
      </c>
      <c r="D373" s="76">
        <v>2.58E-5</v>
      </c>
      <c r="E373" s="76">
        <v>5.7500000000000002E-5</v>
      </c>
      <c r="F373" s="76">
        <v>9.1899999999999998E-5</v>
      </c>
      <c r="G373" s="76">
        <v>1.4300000000000001E-4</v>
      </c>
      <c r="H373" s="76">
        <v>1.03E-4</v>
      </c>
      <c r="I373" s="76">
        <v>2.3599999999999999E-4</v>
      </c>
      <c r="J373" s="76">
        <v>3.2600000000000001E-4</v>
      </c>
      <c r="K373" s="76">
        <v>2.3800000000000001E-4</v>
      </c>
      <c r="L373" s="76">
        <v>2.5099999999999998E-4</v>
      </c>
      <c r="M373" s="76">
        <v>2.1900000000000001E-4</v>
      </c>
    </row>
    <row r="374" spans="3:32" x14ac:dyDescent="0.15">
      <c r="C374" s="76">
        <v>660</v>
      </c>
      <c r="D374" s="76">
        <v>2.5999999999999998E-5</v>
      </c>
      <c r="E374" s="76">
        <v>5.9700000000000001E-5</v>
      </c>
      <c r="F374" s="76">
        <v>9.5400000000000001E-5</v>
      </c>
      <c r="G374" s="76">
        <v>1.26E-4</v>
      </c>
      <c r="H374" s="76">
        <v>1.18E-4</v>
      </c>
      <c r="I374" s="76">
        <v>2.4600000000000002E-4</v>
      </c>
      <c r="J374" s="76">
        <v>2.8499999999999999E-4</v>
      </c>
      <c r="K374" s="76">
        <v>2.1599999999999999E-4</v>
      </c>
      <c r="L374" s="76">
        <v>2.42E-4</v>
      </c>
      <c r="M374" s="76">
        <v>2.7099999999999997E-4</v>
      </c>
    </row>
    <row r="375" spans="3:32" x14ac:dyDescent="0.15">
      <c r="C375" s="76">
        <v>662</v>
      </c>
      <c r="D375" s="76">
        <v>1.6099999999999998E-5</v>
      </c>
      <c r="E375" s="76">
        <v>5.7599999999999997E-5</v>
      </c>
      <c r="F375" s="76">
        <v>9.6100000000000005E-5</v>
      </c>
      <c r="G375" s="76">
        <v>1.6200000000000001E-4</v>
      </c>
      <c r="H375" s="76">
        <v>8.14E-5</v>
      </c>
      <c r="I375" s="76">
        <v>2.7700000000000001E-4</v>
      </c>
      <c r="J375" s="76">
        <v>2.4600000000000002E-4</v>
      </c>
      <c r="K375" s="76">
        <v>1.9799999999999999E-4</v>
      </c>
      <c r="L375" s="76">
        <v>2.1699999999999999E-4</v>
      </c>
      <c r="M375" s="76">
        <v>1.92E-4</v>
      </c>
    </row>
    <row r="376" spans="3:32" x14ac:dyDescent="0.15">
      <c r="C376" s="76">
        <v>664</v>
      </c>
      <c r="D376" s="76">
        <v>1.7200000000000001E-5</v>
      </c>
      <c r="E376" s="76">
        <v>4.85E-5</v>
      </c>
      <c r="F376" s="76">
        <v>8.4800000000000001E-5</v>
      </c>
      <c r="G376" s="76">
        <v>1.35E-4</v>
      </c>
      <c r="H376" s="76">
        <v>9.4099999999999997E-5</v>
      </c>
      <c r="I376" s="76">
        <v>2.7300000000000002E-4</v>
      </c>
      <c r="J376" s="76">
        <v>2.1800000000000001E-4</v>
      </c>
      <c r="K376" s="76">
        <v>2.1800000000000001E-4</v>
      </c>
      <c r="L376" s="76">
        <v>2.6499999999999999E-4</v>
      </c>
      <c r="M376" s="76">
        <v>2.7E-4</v>
      </c>
    </row>
    <row r="377" spans="3:32" x14ac:dyDescent="0.15">
      <c r="C377" s="76">
        <v>666</v>
      </c>
      <c r="D377" s="76">
        <v>1.0699999999999999E-5</v>
      </c>
      <c r="E377" s="76">
        <v>4.7599999999999998E-5</v>
      </c>
      <c r="F377" s="76">
        <v>7.6100000000000007E-5</v>
      </c>
      <c r="G377" s="76">
        <v>1.5100000000000001E-4</v>
      </c>
      <c r="H377" s="76">
        <v>6.9300000000000004E-5</v>
      </c>
      <c r="I377" s="76">
        <v>2.4899999999999998E-4</v>
      </c>
      <c r="J377" s="76">
        <v>2.3499999999999999E-4</v>
      </c>
      <c r="K377" s="76">
        <v>2.1100000000000001E-4</v>
      </c>
      <c r="L377" s="76">
        <v>2.5500000000000002E-4</v>
      </c>
      <c r="M377" s="76">
        <v>1.8100000000000001E-4</v>
      </c>
    </row>
    <row r="378" spans="3:32" x14ac:dyDescent="0.15">
      <c r="C378" s="76">
        <v>668</v>
      </c>
      <c r="D378" s="76">
        <v>1.8E-5</v>
      </c>
      <c r="E378" s="76">
        <v>6.0399999999999998E-5</v>
      </c>
      <c r="F378" s="76">
        <v>7.0099999999999996E-5</v>
      </c>
      <c r="G378" s="76">
        <v>1.2899999999999999E-4</v>
      </c>
      <c r="H378" s="76">
        <v>2.5700000000000001E-5</v>
      </c>
      <c r="I378" s="76">
        <v>2.6800000000000001E-4</v>
      </c>
      <c r="J378" s="76">
        <v>1.83E-4</v>
      </c>
      <c r="K378" s="76">
        <v>1.2999999999999999E-4</v>
      </c>
      <c r="L378" s="76">
        <v>1.9799999999999999E-4</v>
      </c>
      <c r="M378" s="76">
        <v>2.2900000000000001E-4</v>
      </c>
    </row>
    <row r="379" spans="3:32" x14ac:dyDescent="0.15">
      <c r="C379" s="76">
        <v>670</v>
      </c>
      <c r="D379" s="76">
        <v>1.9199999999999999E-5</v>
      </c>
      <c r="E379" s="76">
        <v>5.9700000000000001E-5</v>
      </c>
      <c r="F379" s="76">
        <v>7.1000000000000005E-5</v>
      </c>
      <c r="G379" s="76">
        <v>1.2799999999999999E-4</v>
      </c>
      <c r="H379" s="76">
        <v>3.1600000000000002E-5</v>
      </c>
      <c r="I379" s="76">
        <v>1.5300000000000001E-4</v>
      </c>
      <c r="J379" s="76">
        <v>1.5899999999999999E-4</v>
      </c>
      <c r="K379" s="76">
        <v>1.21E-4</v>
      </c>
      <c r="L379" s="76">
        <v>2.2900000000000001E-4</v>
      </c>
      <c r="M379" s="76">
        <v>2.52E-4</v>
      </c>
    </row>
    <row r="380" spans="3:32" x14ac:dyDescent="0.15">
      <c r="C380" s="76">
        <v>672</v>
      </c>
      <c r="D380" s="76">
        <v>1.5099999999999999E-5</v>
      </c>
      <c r="E380" s="76">
        <v>7.3300000000000006E-5</v>
      </c>
      <c r="F380" s="76">
        <v>5.5500000000000001E-5</v>
      </c>
      <c r="G380" s="76">
        <v>1.35E-4</v>
      </c>
      <c r="H380" s="76">
        <v>1.52E-5</v>
      </c>
      <c r="I380" s="76">
        <v>1.5899999999999999E-4</v>
      </c>
      <c r="J380" s="76">
        <v>1.85E-4</v>
      </c>
      <c r="K380" s="76">
        <v>2.2900000000000001E-4</v>
      </c>
      <c r="L380" s="76">
        <v>2.6600000000000001E-4</v>
      </c>
      <c r="M380" s="76">
        <v>1.46E-4</v>
      </c>
    </row>
    <row r="381" spans="3:32" x14ac:dyDescent="0.15">
      <c r="C381" s="76">
        <v>674</v>
      </c>
      <c r="D381" s="76">
        <v>1.47E-5</v>
      </c>
      <c r="E381" s="76">
        <v>6.6500000000000004E-5</v>
      </c>
      <c r="F381" s="76">
        <v>5.2099999999999999E-5</v>
      </c>
      <c r="G381" s="76">
        <v>1.01E-4</v>
      </c>
      <c r="H381" s="76">
        <v>8.7700000000000004E-5</v>
      </c>
      <c r="I381" s="76">
        <v>1.6799999999999999E-4</v>
      </c>
      <c r="J381" s="76">
        <v>1.4100000000000001E-4</v>
      </c>
      <c r="K381" s="76">
        <v>1.6000000000000001E-4</v>
      </c>
      <c r="L381" s="76">
        <v>2.7999999999999998E-4</v>
      </c>
      <c r="M381" s="76">
        <v>2.0699999999999999E-4</v>
      </c>
    </row>
    <row r="382" spans="3:32" x14ac:dyDescent="0.15">
      <c r="C382" s="76">
        <v>676</v>
      </c>
      <c r="D382" s="76">
        <v>9.0399999999999998E-6</v>
      </c>
      <c r="E382" s="76">
        <v>6.4700000000000001E-5</v>
      </c>
      <c r="F382" s="76">
        <v>4.3399999999999998E-5</v>
      </c>
      <c r="G382" s="76">
        <v>9.9400000000000004E-5</v>
      </c>
      <c r="H382" s="76">
        <v>3.7200000000000003E-5</v>
      </c>
      <c r="I382" s="76">
        <v>1.02E-4</v>
      </c>
      <c r="J382" s="76">
        <v>1.0399999999999999E-4</v>
      </c>
      <c r="K382" s="76">
        <v>2.05E-4</v>
      </c>
      <c r="L382" s="76">
        <v>3.2899999999999997E-4</v>
      </c>
      <c r="M382" s="76">
        <v>1.7899999999999999E-4</v>
      </c>
    </row>
    <row r="383" spans="3:32" x14ac:dyDescent="0.15">
      <c r="C383" s="76">
        <v>678</v>
      </c>
      <c r="D383" s="76">
        <v>1.6500000000000001E-5</v>
      </c>
      <c r="E383" s="76">
        <v>6.3299999999999994E-5</v>
      </c>
      <c r="F383" s="76">
        <v>5.0300000000000003E-5</v>
      </c>
      <c r="G383" s="76">
        <v>1.01E-4</v>
      </c>
      <c r="H383" s="76">
        <v>1.0200000000000001E-5</v>
      </c>
      <c r="I383" s="76">
        <v>1.05E-4</v>
      </c>
      <c r="J383" s="76">
        <v>1.27E-4</v>
      </c>
      <c r="K383" s="76">
        <v>2.2000000000000001E-4</v>
      </c>
      <c r="L383" s="76">
        <v>1.65E-4</v>
      </c>
      <c r="M383" s="76">
        <v>1.5699999999999999E-4</v>
      </c>
    </row>
    <row r="384" spans="3:32" x14ac:dyDescent="0.15">
      <c r="C384" s="76">
        <v>680</v>
      </c>
      <c r="D384" s="76">
        <v>2.76E-5</v>
      </c>
      <c r="E384" s="76">
        <v>5.38E-5</v>
      </c>
      <c r="F384" s="76">
        <v>1.0499999999999999E-5</v>
      </c>
      <c r="G384" s="76">
        <v>7.3399999999999995E-5</v>
      </c>
      <c r="H384" s="76">
        <v>3.4600000000000001E-5</v>
      </c>
      <c r="I384" s="76">
        <v>1.11E-4</v>
      </c>
      <c r="J384" s="76">
        <v>1.1400000000000001E-4</v>
      </c>
      <c r="K384" s="76">
        <v>1.8000000000000001E-4</v>
      </c>
      <c r="L384" s="76">
        <v>1.9699999999999999E-4</v>
      </c>
      <c r="M384" s="76">
        <v>9.48E-5</v>
      </c>
    </row>
    <row r="385" spans="3:13" x14ac:dyDescent="0.15">
      <c r="C385" s="76">
        <v>682</v>
      </c>
      <c r="D385" s="76">
        <v>1.22E-5</v>
      </c>
      <c r="E385" s="76">
        <v>5.0599999999999997E-5</v>
      </c>
      <c r="F385" s="76">
        <v>3.7799999999999997E-5</v>
      </c>
      <c r="G385" s="76">
        <v>7.2600000000000003E-5</v>
      </c>
      <c r="H385" s="76">
        <v>7.1400000000000002E-6</v>
      </c>
      <c r="I385" s="76">
        <v>8.9499999999999994E-5</v>
      </c>
      <c r="J385" s="76">
        <v>9.0199999999999997E-5</v>
      </c>
      <c r="K385" s="76">
        <v>8.6000000000000003E-5</v>
      </c>
      <c r="L385" s="76">
        <v>2.05E-4</v>
      </c>
      <c r="M385" s="76">
        <v>1.5699999999999999E-4</v>
      </c>
    </row>
    <row r="386" spans="3:13" x14ac:dyDescent="0.15">
      <c r="C386" s="76">
        <v>684</v>
      </c>
      <c r="D386" s="76">
        <v>6.8000000000000001E-6</v>
      </c>
      <c r="E386" s="76">
        <v>1.05E-4</v>
      </c>
      <c r="F386" s="76">
        <v>7.1400000000000002E-6</v>
      </c>
      <c r="G386" s="76">
        <v>6.2100000000000005E-5</v>
      </c>
      <c r="H386" s="76">
        <v>3.8300000000000003E-5</v>
      </c>
      <c r="I386" s="76">
        <v>8.4400000000000005E-5</v>
      </c>
      <c r="J386" s="76">
        <v>6.1600000000000007E-5</v>
      </c>
      <c r="K386" s="76">
        <v>1.2999999999999999E-4</v>
      </c>
      <c r="L386" s="76">
        <v>2.5399999999999999E-4</v>
      </c>
      <c r="M386" s="76">
        <v>1.45E-4</v>
      </c>
    </row>
    <row r="387" spans="3:13" x14ac:dyDescent="0.15">
      <c r="C387" s="76">
        <v>686</v>
      </c>
      <c r="D387" s="76">
        <v>1.3699999999999999E-5</v>
      </c>
      <c r="E387" s="76">
        <v>6.3499999999999999E-5</v>
      </c>
      <c r="F387" s="76">
        <v>2.4300000000000001E-5</v>
      </c>
      <c r="G387" s="76">
        <v>5.7800000000000002E-5</v>
      </c>
      <c r="H387" s="76">
        <v>5.3100000000000003E-5</v>
      </c>
      <c r="I387" s="76">
        <v>9.8900000000000005E-5</v>
      </c>
      <c r="J387" s="76">
        <v>7.2299999999999996E-5</v>
      </c>
      <c r="K387" s="76">
        <v>1.4899999999999999E-4</v>
      </c>
      <c r="L387" s="76">
        <v>1.6000000000000001E-4</v>
      </c>
      <c r="M387" s="76">
        <v>1.73E-4</v>
      </c>
    </row>
    <row r="388" spans="3:13" x14ac:dyDescent="0.15">
      <c r="C388" s="76">
        <v>688</v>
      </c>
      <c r="D388" s="76">
        <v>1.66E-5</v>
      </c>
      <c r="E388" s="76">
        <v>6.3700000000000003E-5</v>
      </c>
      <c r="F388" s="76">
        <v>4.7500000000000003E-5</v>
      </c>
      <c r="G388" s="76">
        <v>5.0500000000000001E-5</v>
      </c>
      <c r="H388" s="76">
        <v>5.7200000000000001E-5</v>
      </c>
      <c r="I388" s="76">
        <v>5.5300000000000002E-5</v>
      </c>
      <c r="J388" s="76">
        <v>2.5899999999999999E-5</v>
      </c>
      <c r="K388" s="76">
        <v>9.9300000000000001E-5</v>
      </c>
      <c r="L388" s="76">
        <v>2.31E-4</v>
      </c>
      <c r="M388" s="76">
        <v>1.36E-4</v>
      </c>
    </row>
    <row r="389" spans="3:13" x14ac:dyDescent="0.15">
      <c r="C389" s="76">
        <v>690</v>
      </c>
      <c r="D389" s="76">
        <v>2.34E-5</v>
      </c>
      <c r="E389" s="76">
        <v>5.4799999999999997E-5</v>
      </c>
      <c r="F389" s="76">
        <v>3.7400000000000001E-5</v>
      </c>
      <c r="G389" s="76">
        <v>2.51E-5</v>
      </c>
      <c r="H389" s="76">
        <v>9.3599999999999998E-5</v>
      </c>
      <c r="I389" s="76">
        <v>5.7099999999999999E-5</v>
      </c>
      <c r="J389" s="76">
        <v>2.5700000000000001E-5</v>
      </c>
      <c r="K389" s="76">
        <v>3.5800000000000003E-5</v>
      </c>
      <c r="L389" s="76">
        <v>1.6000000000000001E-4</v>
      </c>
      <c r="M389" s="76">
        <v>1.2999999999999999E-4</v>
      </c>
    </row>
    <row r="390" spans="3:13" x14ac:dyDescent="0.15">
      <c r="C390" s="76">
        <v>692</v>
      </c>
      <c r="D390" s="76">
        <v>1.9899999999999999E-5</v>
      </c>
      <c r="E390" s="76">
        <v>5.2500000000000002E-5</v>
      </c>
      <c r="F390" s="76">
        <v>2.3099999999999999E-5</v>
      </c>
      <c r="G390" s="76">
        <v>4.5500000000000001E-5</v>
      </c>
      <c r="H390" s="76">
        <v>7.1099999999999994E-5</v>
      </c>
      <c r="I390" s="76">
        <v>7.3999999999999996E-5</v>
      </c>
      <c r="J390" s="76">
        <v>2.0100000000000001E-5</v>
      </c>
      <c r="K390" s="76">
        <v>8.4499999999999994E-5</v>
      </c>
      <c r="L390" s="76">
        <v>1.92E-4</v>
      </c>
      <c r="M390" s="76">
        <v>1.6100000000000001E-4</v>
      </c>
    </row>
    <row r="391" spans="3:13" x14ac:dyDescent="0.15">
      <c r="C391" s="76">
        <v>694</v>
      </c>
      <c r="D391" s="76">
        <v>1.49E-5</v>
      </c>
      <c r="E391" s="76">
        <v>3.8000000000000002E-5</v>
      </c>
      <c r="F391" s="76">
        <v>2.5000000000000001E-5</v>
      </c>
      <c r="G391" s="76">
        <v>5.13E-5</v>
      </c>
      <c r="H391" s="76">
        <v>6.5300000000000002E-5</v>
      </c>
      <c r="I391" s="76">
        <v>3.68E-5</v>
      </c>
      <c r="J391" s="76">
        <v>2.16E-5</v>
      </c>
      <c r="K391" s="76">
        <v>8.4599999999999996E-5</v>
      </c>
      <c r="L391" s="76">
        <v>2.0900000000000001E-4</v>
      </c>
      <c r="M391" s="76">
        <v>1.6200000000000001E-4</v>
      </c>
    </row>
    <row r="392" spans="3:13" x14ac:dyDescent="0.15">
      <c r="C392" s="76">
        <v>696</v>
      </c>
      <c r="D392" s="76">
        <v>1.9199999999999999E-5</v>
      </c>
      <c r="E392" s="76">
        <v>6.1699999999999995E-5</v>
      </c>
      <c r="F392" s="76">
        <v>1.88E-5</v>
      </c>
      <c r="G392" s="76">
        <v>4.6300000000000001E-5</v>
      </c>
      <c r="H392" s="76">
        <v>6.1299999999999999E-5</v>
      </c>
      <c r="I392" s="76">
        <v>2.7500000000000001E-5</v>
      </c>
      <c r="J392" s="76">
        <v>1.9300000000000002E-6</v>
      </c>
      <c r="K392" s="76">
        <v>1.13E-4</v>
      </c>
      <c r="L392" s="76">
        <v>1.6699999999999999E-4</v>
      </c>
      <c r="M392" s="76">
        <v>1.7000000000000001E-4</v>
      </c>
    </row>
    <row r="393" spans="3:13" x14ac:dyDescent="0.15">
      <c r="C393" s="76">
        <v>698</v>
      </c>
      <c r="D393" s="76">
        <v>1.73E-5</v>
      </c>
      <c r="E393" s="76">
        <v>4.8300000000000002E-5</v>
      </c>
      <c r="F393" s="76">
        <v>2.5000000000000001E-5</v>
      </c>
      <c r="G393" s="76">
        <v>1.5800000000000001E-5</v>
      </c>
      <c r="H393" s="76">
        <v>7.5300000000000001E-5</v>
      </c>
      <c r="I393" s="76">
        <v>2.2399999999999999E-5</v>
      </c>
      <c r="J393" s="76">
        <v>0</v>
      </c>
      <c r="K393" s="76">
        <v>1.18E-4</v>
      </c>
      <c r="L393" s="76">
        <v>1.92E-4</v>
      </c>
      <c r="M393" s="76">
        <v>1.4200000000000001E-4</v>
      </c>
    </row>
    <row r="394" spans="3:13" x14ac:dyDescent="0.15">
      <c r="C394" s="76">
        <v>700</v>
      </c>
      <c r="D394" s="76">
        <v>2.0000000000000002E-5</v>
      </c>
      <c r="E394" s="76">
        <v>3.2100000000000001E-5</v>
      </c>
      <c r="F394" s="76">
        <v>2.05E-5</v>
      </c>
      <c r="G394" s="76">
        <v>9.9799999999999993E-6</v>
      </c>
      <c r="H394" s="76">
        <v>1.3100000000000001E-4</v>
      </c>
      <c r="I394" s="76">
        <v>1.0699999999999999E-5</v>
      </c>
      <c r="J394" s="76">
        <v>8.1200000000000002E-6</v>
      </c>
      <c r="K394" s="76">
        <v>9.87E-5</v>
      </c>
      <c r="L394" s="76">
        <v>2.2699999999999999E-4</v>
      </c>
      <c r="M394" s="76">
        <v>1.2400000000000001E-4</v>
      </c>
    </row>
    <row r="395" spans="3:13" x14ac:dyDescent="0.15">
      <c r="C395" s="76">
        <v>702</v>
      </c>
      <c r="D395" s="76">
        <v>9.5400000000000001E-6</v>
      </c>
      <c r="E395" s="76">
        <v>2.37E-5</v>
      </c>
      <c r="F395" s="76">
        <v>2.7699999999999999E-5</v>
      </c>
      <c r="G395" s="76">
        <v>0</v>
      </c>
      <c r="H395" s="76">
        <v>1.2799999999999999E-4</v>
      </c>
      <c r="I395" s="76">
        <v>5.4200000000000003E-5</v>
      </c>
      <c r="J395" s="76">
        <v>1.6799999999999998E-5</v>
      </c>
      <c r="K395" s="76">
        <v>1.11E-4</v>
      </c>
      <c r="L395" s="76">
        <v>1.6799999999999999E-4</v>
      </c>
      <c r="M395" s="76">
        <v>1.06E-4</v>
      </c>
    </row>
    <row r="396" spans="3:13" x14ac:dyDescent="0.15">
      <c r="C396" s="76">
        <v>704</v>
      </c>
      <c r="D396" s="76">
        <v>1.7900000000000001E-5</v>
      </c>
      <c r="E396" s="76">
        <v>2.16E-5</v>
      </c>
      <c r="F396" s="76">
        <v>1.47E-5</v>
      </c>
      <c r="G396" s="76">
        <v>1.9599999999999999E-5</v>
      </c>
      <c r="H396" s="76">
        <v>1.47E-4</v>
      </c>
      <c r="I396" s="76">
        <v>5.8999999999999998E-5</v>
      </c>
      <c r="J396" s="76">
        <v>5.5699999999999999E-5</v>
      </c>
      <c r="K396" s="76">
        <v>7.7899999999999996E-5</v>
      </c>
      <c r="L396" s="76">
        <v>1.4999999999999999E-4</v>
      </c>
      <c r="M396" s="76">
        <v>8.3900000000000006E-5</v>
      </c>
    </row>
    <row r="397" spans="3:13" x14ac:dyDescent="0.15">
      <c r="C397" s="76">
        <v>706</v>
      </c>
      <c r="D397" s="76">
        <v>1.59E-5</v>
      </c>
      <c r="E397" s="76">
        <v>1.3200000000000001E-5</v>
      </c>
      <c r="F397" s="76">
        <v>1.31E-5</v>
      </c>
      <c r="G397" s="76">
        <v>5.9200000000000001E-6</v>
      </c>
      <c r="H397" s="76">
        <v>9.7700000000000003E-5</v>
      </c>
      <c r="I397" s="76">
        <v>6.2100000000000005E-5</v>
      </c>
      <c r="J397" s="76">
        <v>4.5800000000000002E-5</v>
      </c>
      <c r="K397" s="76">
        <v>1.1900000000000001E-4</v>
      </c>
      <c r="L397" s="76">
        <v>1.1900000000000001E-4</v>
      </c>
      <c r="M397" s="76">
        <v>1.66E-4</v>
      </c>
    </row>
    <row r="398" spans="3:13" x14ac:dyDescent="0.15">
      <c r="C398" s="76">
        <v>708</v>
      </c>
      <c r="D398" s="76">
        <v>1.56E-5</v>
      </c>
      <c r="E398" s="76">
        <v>7.6699999999999994E-6</v>
      </c>
      <c r="F398" s="76">
        <v>1.1399999999999999E-5</v>
      </c>
      <c r="G398" s="76">
        <v>3.4999999999999997E-5</v>
      </c>
      <c r="H398" s="76">
        <v>1.1400000000000001E-4</v>
      </c>
      <c r="I398" s="76">
        <v>4.3699999999999998E-5</v>
      </c>
      <c r="J398" s="76">
        <v>9.3599999999999998E-5</v>
      </c>
      <c r="K398" s="76">
        <v>1.4200000000000001E-4</v>
      </c>
      <c r="L398" s="76">
        <v>1.46E-4</v>
      </c>
      <c r="M398" s="76">
        <v>1.92E-4</v>
      </c>
    </row>
    <row r="399" spans="3:13" x14ac:dyDescent="0.15">
      <c r="C399" s="76">
        <v>710</v>
      </c>
      <c r="D399" s="76">
        <v>1.5299999999999999E-5</v>
      </c>
      <c r="E399" s="76">
        <v>1.6399999999999999E-5</v>
      </c>
      <c r="F399" s="76">
        <v>1.73E-5</v>
      </c>
      <c r="G399" s="76">
        <v>1.45E-5</v>
      </c>
      <c r="H399" s="76">
        <v>1.18E-4</v>
      </c>
      <c r="I399" s="76">
        <v>1.7799999999999999E-4</v>
      </c>
      <c r="J399" s="76">
        <v>4.6600000000000001E-5</v>
      </c>
      <c r="K399" s="76">
        <v>1.4899999999999999E-4</v>
      </c>
      <c r="L399" s="76">
        <v>1.2899999999999999E-4</v>
      </c>
      <c r="M399" s="76">
        <v>6.8999999999999997E-5</v>
      </c>
    </row>
    <row r="400" spans="3:13" x14ac:dyDescent="0.15">
      <c r="C400" s="76">
        <v>712</v>
      </c>
      <c r="D400" s="76">
        <v>1.1399999999999999E-5</v>
      </c>
      <c r="E400" s="76">
        <v>1.5200000000000001E-6</v>
      </c>
      <c r="F400" s="76">
        <v>2.0400000000000001E-5</v>
      </c>
      <c r="G400" s="76">
        <v>6.1199999999999997E-5</v>
      </c>
      <c r="H400" s="76">
        <v>1.4100000000000001E-4</v>
      </c>
      <c r="I400" s="76">
        <v>1.6000000000000001E-4</v>
      </c>
      <c r="J400" s="76">
        <v>1.55E-4</v>
      </c>
      <c r="K400" s="76">
        <v>5.91E-5</v>
      </c>
      <c r="L400" s="76">
        <v>1.54E-4</v>
      </c>
      <c r="M400" s="76">
        <v>1.8799999999999999E-4</v>
      </c>
    </row>
    <row r="401" spans="3:13" x14ac:dyDescent="0.15">
      <c r="C401" s="76">
        <v>714</v>
      </c>
      <c r="D401" s="76">
        <v>1.4E-5</v>
      </c>
      <c r="E401" s="76">
        <v>0</v>
      </c>
      <c r="F401" s="76">
        <v>3.1699999999999998E-5</v>
      </c>
      <c r="G401" s="76">
        <v>3.6999999999999998E-5</v>
      </c>
      <c r="H401" s="76">
        <v>1.3300000000000001E-4</v>
      </c>
      <c r="I401" s="76">
        <v>6.9400000000000006E-5</v>
      </c>
      <c r="J401" s="76">
        <v>1.18E-4</v>
      </c>
      <c r="K401" s="76">
        <v>5.8600000000000001E-5</v>
      </c>
      <c r="L401" s="76">
        <v>2.4499999999999999E-4</v>
      </c>
      <c r="M401" s="76">
        <v>2.1599999999999999E-4</v>
      </c>
    </row>
    <row r="402" spans="3:13" x14ac:dyDescent="0.15">
      <c r="C402" s="76">
        <v>716</v>
      </c>
      <c r="D402" s="76">
        <v>8.2199999999999992E-6</v>
      </c>
      <c r="E402" s="76">
        <v>0</v>
      </c>
      <c r="F402" s="76">
        <v>5.1199999999999998E-5</v>
      </c>
      <c r="G402" s="76">
        <v>2.02E-5</v>
      </c>
      <c r="H402" s="76">
        <v>1.1900000000000001E-4</v>
      </c>
      <c r="I402" s="76">
        <v>1.16E-4</v>
      </c>
      <c r="J402" s="76">
        <v>1.44E-4</v>
      </c>
      <c r="K402" s="76">
        <v>1.7000000000000001E-4</v>
      </c>
      <c r="L402" s="76">
        <v>1.8200000000000001E-4</v>
      </c>
      <c r="M402" s="76">
        <v>2.6600000000000001E-4</v>
      </c>
    </row>
    <row r="403" spans="3:13" x14ac:dyDescent="0.15">
      <c r="C403" s="76">
        <v>718</v>
      </c>
      <c r="D403" s="76">
        <v>9.8500000000000006E-6</v>
      </c>
      <c r="E403" s="76">
        <v>3.8500000000000004E-6</v>
      </c>
      <c r="F403" s="76">
        <v>3.26E-5</v>
      </c>
      <c r="G403" s="76">
        <v>3.8999999999999999E-5</v>
      </c>
      <c r="H403" s="76">
        <v>1.25E-4</v>
      </c>
      <c r="I403" s="76">
        <v>9.7299999999999993E-5</v>
      </c>
      <c r="J403" s="76">
        <v>1.8799999999999999E-4</v>
      </c>
      <c r="K403" s="76">
        <v>2.7099999999999997E-4</v>
      </c>
      <c r="L403" s="76">
        <v>1.8699999999999999E-4</v>
      </c>
      <c r="M403" s="76">
        <v>2.5799999999999998E-4</v>
      </c>
    </row>
    <row r="404" spans="3:13" x14ac:dyDescent="0.15">
      <c r="C404" s="76">
        <v>720</v>
      </c>
      <c r="D404" s="76">
        <v>1.19E-6</v>
      </c>
      <c r="E404" s="76">
        <v>2.3300000000000001E-7</v>
      </c>
      <c r="F404" s="76">
        <v>7.1300000000000003E-6</v>
      </c>
      <c r="G404" s="76">
        <v>7.1000000000000005E-5</v>
      </c>
      <c r="H404" s="76">
        <v>1.34E-4</v>
      </c>
      <c r="I404" s="76">
        <v>1.34E-4</v>
      </c>
      <c r="J404" s="76">
        <v>1.74E-4</v>
      </c>
      <c r="K404" s="76">
        <v>1.11E-4</v>
      </c>
      <c r="L404" s="76">
        <v>1.46E-4</v>
      </c>
      <c r="M404" s="76">
        <v>2.05E-4</v>
      </c>
    </row>
    <row r="405" spans="3:13" x14ac:dyDescent="0.15">
      <c r="C405" s="76">
        <v>722</v>
      </c>
      <c r="D405" s="76">
        <v>3.4599999999999999E-6</v>
      </c>
      <c r="E405" s="76">
        <v>0</v>
      </c>
      <c r="F405" s="76">
        <v>6.2299999999999996E-5</v>
      </c>
      <c r="G405" s="76">
        <v>6.6799999999999997E-5</v>
      </c>
      <c r="H405" s="76">
        <v>1.05E-4</v>
      </c>
      <c r="I405" s="76">
        <v>1.12E-4</v>
      </c>
      <c r="J405" s="76">
        <v>1.3999999999999999E-4</v>
      </c>
      <c r="K405" s="76">
        <v>1.46E-4</v>
      </c>
      <c r="L405" s="76">
        <v>1.3100000000000001E-4</v>
      </c>
      <c r="M405" s="76">
        <v>1.9100000000000001E-4</v>
      </c>
    </row>
    <row r="406" spans="3:13" x14ac:dyDescent="0.15">
      <c r="C406" s="76">
        <v>724</v>
      </c>
      <c r="D406" s="76">
        <v>8.8000000000000004E-6</v>
      </c>
      <c r="E406" s="76">
        <v>0</v>
      </c>
      <c r="F406" s="76">
        <v>4.2500000000000003E-5</v>
      </c>
      <c r="G406" s="76">
        <v>6.4900000000000005E-5</v>
      </c>
      <c r="H406" s="76">
        <v>8.4900000000000004E-5</v>
      </c>
      <c r="I406" s="76">
        <v>1.25E-4</v>
      </c>
      <c r="J406" s="76">
        <v>1.8599999999999999E-4</v>
      </c>
      <c r="K406" s="76">
        <v>1.26E-4</v>
      </c>
      <c r="L406" s="76">
        <v>1.2300000000000001E-4</v>
      </c>
      <c r="M406" s="76">
        <v>1.73E-4</v>
      </c>
    </row>
    <row r="407" spans="3:13" x14ac:dyDescent="0.15">
      <c r="C407" s="76">
        <v>726</v>
      </c>
      <c r="D407" s="76">
        <v>1.63E-5</v>
      </c>
      <c r="E407" s="76">
        <v>0</v>
      </c>
      <c r="F407" s="76">
        <v>3.0199999999999999E-5</v>
      </c>
      <c r="G407" s="76">
        <v>6.2700000000000006E-5</v>
      </c>
      <c r="H407" s="76">
        <v>1.37E-4</v>
      </c>
      <c r="I407" s="76">
        <v>1.3999999999999999E-4</v>
      </c>
      <c r="J407" s="76">
        <v>1.3899999999999999E-4</v>
      </c>
      <c r="K407" s="76">
        <v>1.22E-4</v>
      </c>
      <c r="L407" s="76">
        <v>1.3899999999999999E-4</v>
      </c>
      <c r="M407" s="76">
        <v>1.11E-4</v>
      </c>
    </row>
    <row r="408" spans="3:13" x14ac:dyDescent="0.15">
      <c r="C408" s="76">
        <v>728</v>
      </c>
      <c r="D408" s="76">
        <v>2.1699999999999999E-5</v>
      </c>
      <c r="E408" s="76">
        <v>0</v>
      </c>
      <c r="F408" s="76">
        <v>3.1600000000000002E-5</v>
      </c>
      <c r="G408" s="76">
        <v>1.0900000000000001E-4</v>
      </c>
      <c r="H408" s="76">
        <v>1.0900000000000001E-4</v>
      </c>
      <c r="I408" s="76">
        <v>1.6100000000000001E-4</v>
      </c>
      <c r="J408" s="76">
        <v>1.4999999999999999E-4</v>
      </c>
      <c r="K408" s="76">
        <v>1.5100000000000001E-4</v>
      </c>
      <c r="L408" s="76">
        <v>3.54E-5</v>
      </c>
      <c r="M408" s="76">
        <v>2.1599999999999999E-4</v>
      </c>
    </row>
    <row r="409" spans="3:13" x14ac:dyDescent="0.15">
      <c r="C409" s="76">
        <v>730</v>
      </c>
      <c r="D409" s="76">
        <v>1.7399999999999999E-5</v>
      </c>
      <c r="E409" s="76">
        <v>0</v>
      </c>
      <c r="F409" s="76">
        <v>2.7699999999999999E-5</v>
      </c>
      <c r="G409" s="76">
        <v>9.0099999999999995E-5</v>
      </c>
      <c r="H409" s="76">
        <v>9.3900000000000006E-5</v>
      </c>
      <c r="I409" s="76">
        <v>1.2300000000000001E-4</v>
      </c>
      <c r="J409" s="76">
        <v>1.6699999999999999E-4</v>
      </c>
      <c r="K409" s="76">
        <v>1.92E-4</v>
      </c>
      <c r="L409" s="76">
        <v>1.06E-4</v>
      </c>
      <c r="M409" s="76">
        <v>2.3900000000000001E-4</v>
      </c>
    </row>
    <row r="410" spans="3:13" x14ac:dyDescent="0.15">
      <c r="C410" s="76">
        <v>732</v>
      </c>
      <c r="D410" s="76">
        <v>1.5299999999999999E-5</v>
      </c>
      <c r="E410" s="76">
        <v>5.0200000000000002E-6</v>
      </c>
      <c r="F410" s="76">
        <v>3.9100000000000002E-5</v>
      </c>
      <c r="G410" s="76">
        <v>8.0199999999999998E-5</v>
      </c>
      <c r="H410" s="76">
        <v>1.02E-4</v>
      </c>
      <c r="I410" s="76">
        <v>1.44E-4</v>
      </c>
      <c r="J410" s="76">
        <v>1.7799999999999999E-4</v>
      </c>
      <c r="K410" s="76">
        <v>2.2499999999999999E-4</v>
      </c>
      <c r="L410" s="76">
        <v>1.02E-4</v>
      </c>
      <c r="M410" s="76">
        <v>2.4800000000000001E-4</v>
      </c>
    </row>
    <row r="411" spans="3:13" x14ac:dyDescent="0.15">
      <c r="C411" s="76">
        <v>734</v>
      </c>
      <c r="D411" s="76">
        <v>2.73E-5</v>
      </c>
      <c r="E411" s="76">
        <v>1.4500000000000001E-6</v>
      </c>
      <c r="F411" s="76">
        <v>2.69E-5</v>
      </c>
      <c r="G411" s="76">
        <v>9.9099999999999996E-5</v>
      </c>
      <c r="H411" s="76">
        <v>1.01E-4</v>
      </c>
      <c r="I411" s="76">
        <v>1.37E-4</v>
      </c>
      <c r="J411" s="76">
        <v>1.44E-4</v>
      </c>
      <c r="K411" s="76">
        <v>2.1699999999999999E-4</v>
      </c>
      <c r="L411" s="76">
        <v>5.63E-5</v>
      </c>
      <c r="M411" s="76">
        <v>1.84E-4</v>
      </c>
    </row>
    <row r="412" spans="3:13" x14ac:dyDescent="0.15">
      <c r="C412" s="76">
        <v>736</v>
      </c>
      <c r="D412" s="76">
        <v>2.0000000000000002E-5</v>
      </c>
      <c r="E412" s="76">
        <v>9.7799999999999995E-6</v>
      </c>
      <c r="F412" s="76">
        <v>3.8600000000000003E-5</v>
      </c>
      <c r="G412" s="76">
        <v>1.03E-4</v>
      </c>
      <c r="H412" s="76">
        <v>9.9400000000000004E-5</v>
      </c>
      <c r="I412" s="76">
        <v>1.55E-4</v>
      </c>
      <c r="J412" s="76">
        <v>1.8599999999999999E-4</v>
      </c>
      <c r="K412" s="76">
        <v>1.4799999999999999E-4</v>
      </c>
      <c r="L412" s="76">
        <v>7.8300000000000006E-5</v>
      </c>
      <c r="M412" s="76">
        <v>2.8499999999999999E-4</v>
      </c>
    </row>
    <row r="413" spans="3:13" x14ac:dyDescent="0.15">
      <c r="C413" s="76">
        <v>738</v>
      </c>
      <c r="D413" s="76">
        <v>2.05E-5</v>
      </c>
      <c r="E413" s="76">
        <v>1.01E-5</v>
      </c>
      <c r="F413" s="76">
        <v>3.8600000000000003E-5</v>
      </c>
      <c r="G413" s="76">
        <v>9.4099999999999997E-5</v>
      </c>
      <c r="H413" s="76">
        <v>4.4400000000000002E-5</v>
      </c>
      <c r="I413" s="76">
        <v>1.4300000000000001E-4</v>
      </c>
      <c r="J413" s="76">
        <v>1.4300000000000001E-4</v>
      </c>
      <c r="K413" s="76">
        <v>1.2E-4</v>
      </c>
      <c r="L413" s="76">
        <v>8.9800000000000001E-5</v>
      </c>
      <c r="M413" s="76">
        <v>2.41E-4</v>
      </c>
    </row>
    <row r="414" spans="3:13" x14ac:dyDescent="0.15">
      <c r="C414" s="76">
        <v>740</v>
      </c>
      <c r="D414" s="76">
        <v>3.01E-5</v>
      </c>
      <c r="E414" s="76">
        <v>1.5299999999999999E-5</v>
      </c>
      <c r="F414" s="76">
        <v>3.5099999999999999E-5</v>
      </c>
      <c r="G414" s="76">
        <v>8.4699999999999999E-5</v>
      </c>
      <c r="H414" s="76">
        <v>8.8200000000000003E-5</v>
      </c>
      <c r="I414" s="76">
        <v>1.5100000000000001E-4</v>
      </c>
      <c r="J414" s="76">
        <v>1.15E-4</v>
      </c>
      <c r="K414" s="76">
        <v>9.6299999999999996E-5</v>
      </c>
      <c r="L414" s="76">
        <v>1.07E-4</v>
      </c>
      <c r="M414" s="76">
        <v>2.4000000000000001E-4</v>
      </c>
    </row>
    <row r="415" spans="3:13" x14ac:dyDescent="0.15">
      <c r="C415" s="76">
        <v>742</v>
      </c>
      <c r="D415" s="76">
        <v>1.8E-5</v>
      </c>
      <c r="E415" s="76">
        <v>2.41E-5</v>
      </c>
      <c r="F415" s="76">
        <v>5.3600000000000002E-5</v>
      </c>
      <c r="G415" s="76">
        <v>1.2300000000000001E-4</v>
      </c>
      <c r="H415" s="76">
        <v>7.1500000000000003E-5</v>
      </c>
      <c r="I415" s="76">
        <v>1.46E-4</v>
      </c>
      <c r="J415" s="76">
        <v>1.8100000000000001E-4</v>
      </c>
      <c r="K415" s="76">
        <v>1.2799999999999999E-4</v>
      </c>
      <c r="L415" s="76">
        <v>1.21E-4</v>
      </c>
      <c r="M415" s="76">
        <v>2.33E-4</v>
      </c>
    </row>
    <row r="416" spans="3:13" x14ac:dyDescent="0.15">
      <c r="C416" s="76">
        <v>744</v>
      </c>
      <c r="D416" s="76">
        <v>3.6900000000000002E-5</v>
      </c>
      <c r="E416" s="76">
        <v>3.1999999999999999E-5</v>
      </c>
      <c r="F416" s="76">
        <v>5.2299999999999997E-5</v>
      </c>
      <c r="G416" s="76">
        <v>9.6399999999999999E-5</v>
      </c>
      <c r="H416" s="76">
        <v>3.18E-5</v>
      </c>
      <c r="I416" s="76">
        <v>1.2300000000000001E-4</v>
      </c>
      <c r="J416" s="76">
        <v>1.6699999999999999E-4</v>
      </c>
      <c r="K416" s="76">
        <v>1.2300000000000001E-4</v>
      </c>
      <c r="L416" s="76">
        <v>1.05E-4</v>
      </c>
      <c r="M416" s="76">
        <v>2.14E-4</v>
      </c>
    </row>
    <row r="417" spans="3:13" x14ac:dyDescent="0.15">
      <c r="C417" s="76">
        <v>746</v>
      </c>
      <c r="D417" s="76">
        <v>2.5599999999999999E-5</v>
      </c>
      <c r="E417" s="76">
        <v>3.2400000000000001E-5</v>
      </c>
      <c r="F417" s="76">
        <v>5.7800000000000002E-5</v>
      </c>
      <c r="G417" s="76">
        <v>1.27E-4</v>
      </c>
      <c r="H417" s="76">
        <v>8.8599999999999999E-5</v>
      </c>
      <c r="I417" s="76">
        <v>1.2400000000000001E-4</v>
      </c>
      <c r="J417" s="76">
        <v>1.5200000000000001E-4</v>
      </c>
      <c r="K417" s="76">
        <v>1.3100000000000001E-4</v>
      </c>
      <c r="L417" s="76">
        <v>1.4899999999999999E-4</v>
      </c>
      <c r="M417" s="76">
        <v>3.97E-4</v>
      </c>
    </row>
    <row r="418" spans="3:13" x14ac:dyDescent="0.15">
      <c r="C418" s="76">
        <v>748</v>
      </c>
      <c r="D418" s="76">
        <v>2.8200000000000001E-5</v>
      </c>
      <c r="E418" s="76">
        <v>4.4400000000000002E-5</v>
      </c>
      <c r="F418" s="76">
        <v>5.6400000000000002E-5</v>
      </c>
      <c r="G418" s="76">
        <v>1.01E-4</v>
      </c>
      <c r="H418" s="76">
        <v>4.1999999999999998E-5</v>
      </c>
      <c r="I418" s="76">
        <v>3.5099999999999999E-5</v>
      </c>
      <c r="J418" s="76">
        <v>1.6200000000000001E-4</v>
      </c>
      <c r="K418" s="76">
        <v>3.4900000000000003E-4</v>
      </c>
      <c r="L418" s="76">
        <v>1.75E-4</v>
      </c>
      <c r="M418" s="76">
        <v>9.6799999999999995E-5</v>
      </c>
    </row>
    <row r="419" spans="3:13" x14ac:dyDescent="0.15">
      <c r="C419" s="76">
        <v>750</v>
      </c>
      <c r="D419" s="76">
        <v>2.8900000000000001E-5</v>
      </c>
      <c r="E419" s="76">
        <v>2.6299999999999999E-5</v>
      </c>
      <c r="F419" s="76">
        <v>3.2100000000000001E-5</v>
      </c>
      <c r="G419" s="76">
        <v>7.7899999999999996E-5</v>
      </c>
      <c r="H419" s="76">
        <v>7.9900000000000004E-5</v>
      </c>
      <c r="I419" s="76">
        <v>1.7100000000000001E-4</v>
      </c>
      <c r="J419" s="76">
        <v>1.13E-4</v>
      </c>
      <c r="K419" s="76">
        <v>1.21E-4</v>
      </c>
      <c r="L419" s="76">
        <v>1.2300000000000001E-4</v>
      </c>
      <c r="M419" s="76">
        <v>1.8200000000000001E-4</v>
      </c>
    </row>
    <row r="420" spans="3:13" x14ac:dyDescent="0.15">
      <c r="C420" s="76">
        <v>752</v>
      </c>
      <c r="D420" s="76">
        <v>2.41E-5</v>
      </c>
      <c r="E420" s="76">
        <v>3.8500000000000001E-5</v>
      </c>
      <c r="F420" s="76">
        <v>5.27E-5</v>
      </c>
      <c r="G420" s="76">
        <v>9.7800000000000006E-5</v>
      </c>
      <c r="H420" s="76">
        <v>5.8999999999999998E-5</v>
      </c>
      <c r="I420" s="76">
        <v>1.2400000000000001E-4</v>
      </c>
      <c r="J420" s="76">
        <v>1.2E-4</v>
      </c>
      <c r="K420" s="76">
        <v>1.8000000000000001E-4</v>
      </c>
      <c r="L420" s="76">
        <v>1.64E-4</v>
      </c>
      <c r="M420" s="76">
        <v>1.9000000000000001E-4</v>
      </c>
    </row>
    <row r="421" spans="3:13" x14ac:dyDescent="0.15">
      <c r="C421" s="76">
        <v>754</v>
      </c>
      <c r="D421" s="76">
        <v>2.0100000000000001E-5</v>
      </c>
      <c r="E421" s="76">
        <v>2.8099999999999999E-5</v>
      </c>
      <c r="F421" s="76">
        <v>5.2200000000000002E-5</v>
      </c>
      <c r="G421" s="76">
        <v>6.8899999999999994E-5</v>
      </c>
      <c r="H421" s="76">
        <v>6.2700000000000006E-5</v>
      </c>
      <c r="I421" s="76">
        <v>1.4200000000000001E-4</v>
      </c>
      <c r="J421" s="76">
        <v>4.9599999999999999E-5</v>
      </c>
      <c r="K421" s="76">
        <v>1.13E-4</v>
      </c>
      <c r="L421" s="76">
        <v>1.9900000000000001E-4</v>
      </c>
      <c r="M421" s="76">
        <v>1.9900000000000001E-4</v>
      </c>
    </row>
    <row r="422" spans="3:13" x14ac:dyDescent="0.15">
      <c r="C422" s="76">
        <v>756</v>
      </c>
      <c r="D422" s="76">
        <v>2.27E-5</v>
      </c>
      <c r="E422" s="76">
        <v>3.4499999999999998E-5</v>
      </c>
      <c r="F422" s="76">
        <v>7.0300000000000001E-5</v>
      </c>
      <c r="G422" s="76">
        <v>9.8400000000000007E-5</v>
      </c>
      <c r="H422" s="76">
        <v>3.3699999999999999E-5</v>
      </c>
      <c r="I422" s="76">
        <v>6.2199999999999994E-5</v>
      </c>
      <c r="J422" s="76">
        <v>7.2200000000000007E-5</v>
      </c>
      <c r="K422" s="76">
        <v>1.02E-4</v>
      </c>
      <c r="L422" s="76">
        <v>3.4299999999999999E-4</v>
      </c>
      <c r="M422" s="76">
        <v>1.73E-4</v>
      </c>
    </row>
    <row r="423" spans="3:13" x14ac:dyDescent="0.15">
      <c r="C423" s="76">
        <v>758</v>
      </c>
      <c r="D423" s="76">
        <v>2.44E-5</v>
      </c>
      <c r="E423" s="76">
        <v>3.4499999999999998E-5</v>
      </c>
      <c r="F423" s="76">
        <v>2.87E-5</v>
      </c>
      <c r="G423" s="76">
        <v>8.2999999999999998E-5</v>
      </c>
      <c r="H423" s="76">
        <v>2.9600000000000001E-5</v>
      </c>
      <c r="I423" s="76">
        <v>1.12E-4</v>
      </c>
      <c r="J423" s="76">
        <v>9.7899999999999994E-5</v>
      </c>
      <c r="K423" s="76">
        <v>2.42E-4</v>
      </c>
      <c r="L423" s="76">
        <v>1.7000000000000001E-4</v>
      </c>
      <c r="M423" s="76">
        <v>1.7699999999999999E-4</v>
      </c>
    </row>
    <row r="424" spans="3:13" x14ac:dyDescent="0.15">
      <c r="C424" s="76">
        <v>760</v>
      </c>
      <c r="D424" s="76">
        <v>3.2400000000000001E-5</v>
      </c>
      <c r="E424" s="76">
        <v>1.4E-5</v>
      </c>
      <c r="F424" s="76">
        <v>6.3600000000000001E-5</v>
      </c>
      <c r="G424" s="76">
        <v>9.5799999999999998E-5</v>
      </c>
      <c r="H424" s="76">
        <v>4.0099999999999999E-5</v>
      </c>
      <c r="I424" s="76">
        <v>8.7000000000000001E-5</v>
      </c>
      <c r="J424" s="76">
        <v>1.06E-4</v>
      </c>
      <c r="K424" s="76">
        <v>1.18E-4</v>
      </c>
      <c r="L424" s="76">
        <v>2.03E-4</v>
      </c>
      <c r="M424" s="76">
        <v>2.5700000000000001E-4</v>
      </c>
    </row>
    <row r="425" spans="3:13" x14ac:dyDescent="0.15">
      <c r="C425" s="76">
        <v>762</v>
      </c>
      <c r="D425" s="76">
        <v>2.4899999999999999E-5</v>
      </c>
      <c r="E425" s="76">
        <v>7.0699999999999997E-5</v>
      </c>
      <c r="F425" s="76">
        <v>1.5300000000000001E-4</v>
      </c>
      <c r="G425" s="76">
        <v>9.8300000000000004E-5</v>
      </c>
      <c r="H425" s="76">
        <v>5.0500000000000001E-5</v>
      </c>
      <c r="I425" s="76">
        <v>2.1399999999999998E-5</v>
      </c>
      <c r="J425" s="76">
        <v>1.15E-4</v>
      </c>
      <c r="K425" s="76">
        <v>1.0399999999999999E-4</v>
      </c>
      <c r="L425" s="76">
        <v>2.0699999999999999E-4</v>
      </c>
      <c r="M425" s="76">
        <v>2.6200000000000003E-4</v>
      </c>
    </row>
    <row r="426" spans="3:13" x14ac:dyDescent="0.15">
      <c r="C426" s="76">
        <v>764</v>
      </c>
      <c r="D426" s="76">
        <v>2.23E-5</v>
      </c>
      <c r="E426" s="76">
        <v>6.2399999999999999E-5</v>
      </c>
      <c r="F426" s="76">
        <v>8.5199999999999997E-5</v>
      </c>
      <c r="G426" s="76">
        <v>9.31E-5</v>
      </c>
      <c r="H426" s="76">
        <v>4.0099999999999999E-5</v>
      </c>
      <c r="I426" s="76">
        <v>2.7699999999999999E-5</v>
      </c>
      <c r="J426" s="76">
        <v>6.7100000000000005E-5</v>
      </c>
      <c r="K426" s="76">
        <v>1.1E-4</v>
      </c>
      <c r="L426" s="76">
        <v>2.3599999999999999E-4</v>
      </c>
      <c r="M426" s="76">
        <v>1.7699999999999999E-4</v>
      </c>
    </row>
    <row r="427" spans="3:13" x14ac:dyDescent="0.15">
      <c r="C427" s="76">
        <v>766</v>
      </c>
      <c r="D427" s="76">
        <v>2.1500000000000001E-5</v>
      </c>
      <c r="E427" s="76">
        <v>4.6999999999999997E-5</v>
      </c>
      <c r="F427" s="76">
        <v>5.5999999999999999E-5</v>
      </c>
      <c r="G427" s="76">
        <v>1.0399999999999999E-4</v>
      </c>
      <c r="H427" s="76">
        <v>8.7399999999999997E-5</v>
      </c>
      <c r="I427" s="76">
        <v>1.31E-5</v>
      </c>
      <c r="J427" s="76">
        <v>5.2200000000000002E-5</v>
      </c>
      <c r="K427" s="76">
        <v>1.3200000000000001E-5</v>
      </c>
      <c r="L427" s="76">
        <v>2.92E-4</v>
      </c>
      <c r="M427" s="76">
        <v>1.44E-4</v>
      </c>
    </row>
    <row r="428" spans="3:13" x14ac:dyDescent="0.15">
      <c r="C428" s="76">
        <v>768</v>
      </c>
      <c r="D428" s="76">
        <v>1.15E-5</v>
      </c>
      <c r="E428" s="76">
        <v>4.6499999999999999E-5</v>
      </c>
      <c r="F428" s="76">
        <v>6.4399999999999993E-5</v>
      </c>
      <c r="G428" s="76">
        <v>3.8800000000000001E-5</v>
      </c>
      <c r="H428" s="76">
        <v>3.5500000000000002E-5</v>
      </c>
      <c r="I428" s="76">
        <v>0</v>
      </c>
      <c r="J428" s="76">
        <v>4.8600000000000002E-5</v>
      </c>
      <c r="K428" s="76">
        <v>1.21E-4</v>
      </c>
      <c r="L428" s="76">
        <v>3.3500000000000001E-4</v>
      </c>
      <c r="M428" s="76">
        <v>1.2400000000000001E-4</v>
      </c>
    </row>
    <row r="429" spans="3:13" x14ac:dyDescent="0.15">
      <c r="C429" s="76">
        <v>770</v>
      </c>
      <c r="D429" s="76">
        <v>1.0900000000000001E-5</v>
      </c>
      <c r="E429" s="76">
        <v>3.8699999999999999E-5</v>
      </c>
      <c r="F429" s="76">
        <v>7.4800000000000002E-5</v>
      </c>
      <c r="G429" s="76">
        <v>1.16E-4</v>
      </c>
      <c r="H429" s="76">
        <v>9.2399999999999996E-6</v>
      </c>
      <c r="I429" s="76">
        <v>0</v>
      </c>
      <c r="J429" s="76">
        <v>2.27E-5</v>
      </c>
      <c r="K429" s="76">
        <v>2.37E-5</v>
      </c>
      <c r="L429" s="76">
        <v>3.1500000000000001E-4</v>
      </c>
      <c r="M429" s="76">
        <v>4.9700000000000002E-5</v>
      </c>
    </row>
    <row r="430" spans="3:13" x14ac:dyDescent="0.15">
      <c r="C430" s="76">
        <v>772</v>
      </c>
      <c r="D430" s="76">
        <v>9.7499999999999998E-6</v>
      </c>
      <c r="E430" s="76">
        <v>3.0000000000000001E-5</v>
      </c>
      <c r="F430" s="76">
        <v>6.1799999999999998E-5</v>
      </c>
      <c r="G430" s="76">
        <v>7.0199999999999999E-5</v>
      </c>
      <c r="H430" s="76">
        <v>4.0599999999999998E-5</v>
      </c>
      <c r="I430" s="76">
        <v>0</v>
      </c>
      <c r="J430" s="76">
        <v>5.4799999999999997E-5</v>
      </c>
      <c r="K430" s="76">
        <v>7.3100000000000001E-5</v>
      </c>
      <c r="L430" s="76">
        <v>2.72E-4</v>
      </c>
      <c r="M430" s="76">
        <v>9.6600000000000003E-5</v>
      </c>
    </row>
    <row r="431" spans="3:13" x14ac:dyDescent="0.15">
      <c r="C431" s="76">
        <v>774</v>
      </c>
      <c r="D431" s="76">
        <v>1.5999999999999999E-6</v>
      </c>
      <c r="E431" s="76">
        <v>2.6400000000000001E-5</v>
      </c>
      <c r="F431" s="76">
        <v>4.2599999999999999E-5</v>
      </c>
      <c r="G431" s="76">
        <v>1.01E-4</v>
      </c>
      <c r="H431" s="76">
        <v>2.4000000000000001E-5</v>
      </c>
      <c r="I431" s="76">
        <v>0</v>
      </c>
      <c r="J431" s="76">
        <v>1.56E-5</v>
      </c>
      <c r="K431" s="76">
        <v>1.2E-5</v>
      </c>
      <c r="L431" s="76">
        <v>2.5900000000000001E-4</v>
      </c>
      <c r="M431" s="76">
        <v>1.13E-4</v>
      </c>
    </row>
    <row r="432" spans="3:13" x14ac:dyDescent="0.15">
      <c r="C432" s="76">
        <v>776</v>
      </c>
      <c r="D432" s="76">
        <v>6.6800000000000004E-6</v>
      </c>
      <c r="E432" s="76">
        <v>2.2099999999999998E-5</v>
      </c>
      <c r="F432" s="76">
        <v>3.1399999999999998E-5</v>
      </c>
      <c r="G432" s="76">
        <v>6.7799999999999995E-5</v>
      </c>
      <c r="H432" s="76">
        <v>6.2600000000000004E-5</v>
      </c>
      <c r="I432" s="76">
        <v>6.1800000000000001E-6</v>
      </c>
      <c r="J432" s="76">
        <v>4.5899999999999998E-5</v>
      </c>
      <c r="K432" s="76">
        <v>1.0000000000000001E-5</v>
      </c>
      <c r="L432" s="76">
        <v>2.6600000000000001E-4</v>
      </c>
      <c r="M432" s="76">
        <v>7.0199999999999999E-5</v>
      </c>
    </row>
    <row r="433" spans="2:13" x14ac:dyDescent="0.15">
      <c r="C433" s="76">
        <v>778</v>
      </c>
      <c r="D433" s="76">
        <v>8.32E-6</v>
      </c>
      <c r="E433" s="76">
        <v>3.0700000000000001E-5</v>
      </c>
      <c r="F433" s="76">
        <v>5.3900000000000002E-5</v>
      </c>
      <c r="G433" s="76">
        <v>4.8999999999999998E-5</v>
      </c>
      <c r="H433" s="76">
        <v>9.2999999999999997E-5</v>
      </c>
      <c r="I433" s="76">
        <v>2.44E-5</v>
      </c>
      <c r="J433" s="76">
        <v>5.3699999999999997E-5</v>
      </c>
      <c r="K433" s="76">
        <v>1.04E-5</v>
      </c>
      <c r="L433" s="76">
        <v>1.65E-4</v>
      </c>
      <c r="M433" s="76">
        <v>1.4799999999999999E-4</v>
      </c>
    </row>
    <row r="434" spans="2:13" x14ac:dyDescent="0.15">
      <c r="C434" s="76">
        <v>780</v>
      </c>
      <c r="D434" s="76">
        <v>8.1000000000000004E-6</v>
      </c>
      <c r="E434" s="120">
        <v>1.8600000000000001E-5</v>
      </c>
      <c r="F434" s="120">
        <v>4.7599999999999998E-5</v>
      </c>
      <c r="G434" s="120">
        <v>8.9300000000000002E-5</v>
      </c>
      <c r="H434" s="120">
        <v>4.7200000000000002E-5</v>
      </c>
      <c r="I434" s="120">
        <v>0</v>
      </c>
      <c r="J434" s="76">
        <v>1.7799999999999999E-5</v>
      </c>
      <c r="K434" s="120">
        <v>1.01E-5</v>
      </c>
      <c r="L434" s="76">
        <v>1.7699999999999999E-4</v>
      </c>
      <c r="M434" s="76">
        <v>1.2E-4</v>
      </c>
    </row>
    <row r="435" spans="2:13" x14ac:dyDescent="0.15">
      <c r="B435" s="76">
        <v>13</v>
      </c>
      <c r="C435" s="76" t="s">
        <v>561</v>
      </c>
      <c r="D435" s="76">
        <v>1</v>
      </c>
      <c r="E435" s="76">
        <v>2</v>
      </c>
      <c r="F435" s="76">
        <v>3</v>
      </c>
      <c r="G435" s="76">
        <v>4</v>
      </c>
      <c r="H435" s="76">
        <v>5</v>
      </c>
      <c r="I435" s="76">
        <v>6</v>
      </c>
      <c r="J435" s="76">
        <v>7</v>
      </c>
      <c r="K435" s="76">
        <v>8</v>
      </c>
      <c r="L435" s="76">
        <v>9</v>
      </c>
      <c r="M435" s="76">
        <v>10</v>
      </c>
    </row>
    <row r="436" spans="2:13" x14ac:dyDescent="0.15">
      <c r="C436" s="76" t="s">
        <v>556</v>
      </c>
      <c r="D436" s="76">
        <v>3.569</v>
      </c>
      <c r="E436" s="76">
        <v>3.706</v>
      </c>
      <c r="F436" s="76">
        <v>3.8039999999999998</v>
      </c>
      <c r="G436" s="76">
        <v>3.883</v>
      </c>
      <c r="H436" s="76">
        <v>3.9529999999999998</v>
      </c>
      <c r="I436" s="76">
        <v>4.0149999999999997</v>
      </c>
      <c r="J436" s="76">
        <v>4.0720000000000001</v>
      </c>
      <c r="K436" s="76">
        <v>4.1239999999999997</v>
      </c>
      <c r="L436" s="76">
        <v>4.1719999999999997</v>
      </c>
      <c r="M436" s="76">
        <v>4.218</v>
      </c>
    </row>
    <row r="437" spans="2:13" x14ac:dyDescent="0.15">
      <c r="C437" s="76" t="s">
        <v>562</v>
      </c>
      <c r="D437" s="76">
        <v>0.08</v>
      </c>
      <c r="E437" s="76">
        <v>0.16</v>
      </c>
      <c r="F437" s="76">
        <v>0.24</v>
      </c>
      <c r="G437" s="76">
        <v>0.32</v>
      </c>
      <c r="H437" s="76">
        <v>0.4</v>
      </c>
      <c r="I437" s="76">
        <v>0.48</v>
      </c>
      <c r="J437" s="76">
        <v>0.56000000000000005</v>
      </c>
      <c r="K437" s="76">
        <v>0.64</v>
      </c>
      <c r="L437" s="76">
        <v>0.72</v>
      </c>
      <c r="M437" s="76">
        <v>0.8</v>
      </c>
    </row>
    <row r="438" spans="2:13" x14ac:dyDescent="0.15">
      <c r="C438" s="76" t="s">
        <v>557</v>
      </c>
      <c r="D438" s="76">
        <v>2</v>
      </c>
      <c r="E438" s="76">
        <v>4</v>
      </c>
      <c r="F438" s="76">
        <v>6</v>
      </c>
      <c r="G438" s="76">
        <v>8</v>
      </c>
      <c r="H438" s="76">
        <v>10</v>
      </c>
      <c r="I438" s="76">
        <v>12</v>
      </c>
      <c r="J438" s="76">
        <v>14</v>
      </c>
      <c r="K438" s="76">
        <v>16</v>
      </c>
      <c r="L438" s="76">
        <v>18</v>
      </c>
      <c r="M438" s="76">
        <v>20</v>
      </c>
    </row>
    <row r="439" spans="2:13" x14ac:dyDescent="0.15">
      <c r="C439" s="76" t="s">
        <v>560</v>
      </c>
      <c r="D439" s="76">
        <v>8.2750000000000004</v>
      </c>
      <c r="E439" s="76">
        <v>8.4489999999999998</v>
      </c>
      <c r="F439" s="76">
        <v>8.4600000000000009</v>
      </c>
      <c r="G439" s="76">
        <v>8.4570000000000007</v>
      </c>
      <c r="H439" s="76">
        <v>8.4429999999999996</v>
      </c>
      <c r="I439" s="76">
        <v>8.4329999999999998</v>
      </c>
      <c r="J439" s="76">
        <v>8.407</v>
      </c>
      <c r="K439" s="76">
        <v>8.3930000000000007</v>
      </c>
      <c r="L439" s="76">
        <v>8.3719999999999999</v>
      </c>
      <c r="M439" s="76">
        <v>8.3550000000000004</v>
      </c>
    </row>
    <row r="440" spans="2:13" x14ac:dyDescent="0.15">
      <c r="C440" s="76" t="s">
        <v>563</v>
      </c>
      <c r="D440" s="76">
        <v>7.284624</v>
      </c>
      <c r="E440" s="76">
        <v>7.1622729999999999</v>
      </c>
      <c r="F440" s="76">
        <v>6.9874000000000001</v>
      </c>
      <c r="G440" s="76">
        <v>6.8418229999999998</v>
      </c>
      <c r="H440" s="76">
        <v>6.7103120000000001</v>
      </c>
      <c r="I440" s="76">
        <v>6.5983039999999997</v>
      </c>
      <c r="J440" s="76">
        <v>6.486389</v>
      </c>
      <c r="K440" s="76">
        <v>6.394228</v>
      </c>
      <c r="L440" s="76">
        <v>6.304163</v>
      </c>
      <c r="M440" s="76">
        <v>6.223395</v>
      </c>
    </row>
    <row r="441" spans="2:13" x14ac:dyDescent="0.15">
      <c r="C441" s="76" t="s">
        <v>564</v>
      </c>
      <c r="D441" s="76">
        <v>165.5</v>
      </c>
      <c r="E441" s="76">
        <v>338</v>
      </c>
      <c r="F441" s="76">
        <v>507.6</v>
      </c>
      <c r="G441" s="76">
        <v>676.6</v>
      </c>
      <c r="H441" s="76">
        <v>844.4</v>
      </c>
      <c r="I441" s="76">
        <v>1012</v>
      </c>
      <c r="J441" s="76">
        <v>1177</v>
      </c>
      <c r="K441" s="76">
        <v>1343</v>
      </c>
      <c r="L441" s="76">
        <v>1507</v>
      </c>
      <c r="M441" s="76">
        <v>1671</v>
      </c>
    </row>
    <row r="442" spans="2:13" x14ac:dyDescent="0.15">
      <c r="C442" s="76" t="s">
        <v>565</v>
      </c>
      <c r="D442" s="76">
        <v>165.5</v>
      </c>
      <c r="E442" s="76">
        <v>338</v>
      </c>
      <c r="F442" s="76">
        <v>507.6</v>
      </c>
      <c r="G442" s="76">
        <v>676.6</v>
      </c>
      <c r="H442" s="76">
        <v>844.4</v>
      </c>
      <c r="I442" s="76">
        <v>1012</v>
      </c>
      <c r="J442" s="76">
        <v>1177</v>
      </c>
      <c r="K442" s="76">
        <v>1343</v>
      </c>
      <c r="L442" s="76">
        <v>1507</v>
      </c>
      <c r="M442" s="76">
        <v>1671</v>
      </c>
    </row>
    <row r="443" spans="2:13" x14ac:dyDescent="0.15">
      <c r="C443" s="76" t="s">
        <v>566</v>
      </c>
      <c r="D443" s="76">
        <v>0.13550000000000001</v>
      </c>
      <c r="E443" s="76">
        <v>0.13539999999999999</v>
      </c>
      <c r="F443" s="76">
        <v>0.1353</v>
      </c>
      <c r="G443" s="76">
        <v>0.13539999999999999</v>
      </c>
      <c r="H443" s="76">
        <v>0.1353</v>
      </c>
      <c r="I443" s="76">
        <v>0.13539999999999999</v>
      </c>
      <c r="J443" s="76">
        <v>0.1353</v>
      </c>
      <c r="K443" s="76">
        <v>0.13539999999999999</v>
      </c>
      <c r="L443" s="76">
        <v>0.13539999999999999</v>
      </c>
      <c r="M443" s="76">
        <v>0.13550000000000001</v>
      </c>
    </row>
    <row r="444" spans="2:13" x14ac:dyDescent="0.15">
      <c r="C444" s="76" t="s">
        <v>567</v>
      </c>
      <c r="D444" s="76">
        <v>0.11799999999999999</v>
      </c>
      <c r="E444" s="76">
        <v>0.1178</v>
      </c>
      <c r="F444" s="76">
        <v>0.1176</v>
      </c>
      <c r="G444" s="76">
        <v>0.11749999999999999</v>
      </c>
      <c r="H444" s="76">
        <v>0.11749999999999999</v>
      </c>
      <c r="I444" s="76">
        <v>0.11749999999999999</v>
      </c>
      <c r="J444" s="76">
        <v>0.1174</v>
      </c>
      <c r="K444" s="76">
        <v>0.11749999999999999</v>
      </c>
      <c r="L444" s="76">
        <v>0.1174</v>
      </c>
      <c r="M444" s="76">
        <v>0.1174</v>
      </c>
    </row>
    <row r="445" spans="2:13" x14ac:dyDescent="0.15">
      <c r="C445" s="76" t="s">
        <v>568</v>
      </c>
      <c r="D445" s="76">
        <v>9.1515000000000004</v>
      </c>
      <c r="E445" s="76">
        <v>9.3617000000000008</v>
      </c>
      <c r="F445" s="76">
        <v>9.3832000000000004</v>
      </c>
      <c r="G445" s="76">
        <v>9.3859999999999992</v>
      </c>
      <c r="H445" s="76">
        <v>9.3725000000000005</v>
      </c>
      <c r="I445" s="76">
        <v>9.3575999999999997</v>
      </c>
      <c r="J445" s="76">
        <v>9.3367000000000004</v>
      </c>
      <c r="K445" s="76">
        <v>9.3196999999999992</v>
      </c>
      <c r="L445" s="76">
        <v>9.3009000000000004</v>
      </c>
      <c r="M445" s="76">
        <v>9.2768999999999995</v>
      </c>
    </row>
    <row r="446" spans="2:13" x14ac:dyDescent="0.15">
      <c r="C446" s="76" t="s">
        <v>569</v>
      </c>
    </row>
    <row r="447" spans="2:13" x14ac:dyDescent="0.15">
      <c r="C447" s="76" t="s">
        <v>570</v>
      </c>
      <c r="D447" s="76">
        <v>4</v>
      </c>
      <c r="E447" s="76">
        <v>4</v>
      </c>
      <c r="F447" s="76">
        <v>4</v>
      </c>
      <c r="G447" s="76">
        <v>4</v>
      </c>
      <c r="H447" s="76">
        <v>4</v>
      </c>
      <c r="I447" s="76">
        <v>4</v>
      </c>
      <c r="J447" s="76">
        <v>4</v>
      </c>
      <c r="K447" s="76">
        <v>4</v>
      </c>
      <c r="L447" s="76">
        <v>4</v>
      </c>
      <c r="M447" s="76">
        <v>4</v>
      </c>
    </row>
    <row r="448" spans="2:13" x14ac:dyDescent="0.15">
      <c r="C448" s="76" t="s">
        <v>571</v>
      </c>
      <c r="D448" s="76">
        <v>100</v>
      </c>
      <c r="E448" s="76">
        <v>100</v>
      </c>
      <c r="F448" s="76">
        <v>100</v>
      </c>
      <c r="G448" s="76">
        <v>100</v>
      </c>
      <c r="H448" s="76">
        <v>100</v>
      </c>
      <c r="I448" s="76">
        <v>100</v>
      </c>
      <c r="J448" s="76">
        <v>100</v>
      </c>
      <c r="K448" s="76">
        <v>100</v>
      </c>
      <c r="L448" s="76">
        <v>100</v>
      </c>
      <c r="M448" s="76">
        <v>100</v>
      </c>
    </row>
    <row r="449" spans="3:13" x14ac:dyDescent="0.15">
      <c r="C449" s="76" t="s">
        <v>572</v>
      </c>
      <c r="D449" s="76" t="s">
        <v>574</v>
      </c>
      <c r="E449" s="76" t="s">
        <v>574</v>
      </c>
      <c r="F449" s="76" t="s">
        <v>574</v>
      </c>
      <c r="G449" s="76" t="s">
        <v>574</v>
      </c>
      <c r="H449" s="76" t="s">
        <v>574</v>
      </c>
      <c r="I449" s="76" t="s">
        <v>574</v>
      </c>
      <c r="J449" s="76" t="s">
        <v>574</v>
      </c>
      <c r="K449" s="76" t="s">
        <v>574</v>
      </c>
      <c r="L449" s="76" t="s">
        <v>574</v>
      </c>
      <c r="M449" s="76" t="s">
        <v>574</v>
      </c>
    </row>
    <row r="450" spans="3:13" x14ac:dyDescent="0.15">
      <c r="C450" s="76" t="s">
        <v>573</v>
      </c>
      <c r="D450" s="76">
        <v>1</v>
      </c>
      <c r="E450" s="76">
        <v>2</v>
      </c>
      <c r="F450" s="76">
        <v>3</v>
      </c>
      <c r="G450" s="76">
        <v>4</v>
      </c>
      <c r="H450" s="76">
        <v>5</v>
      </c>
      <c r="I450" s="76">
        <v>6</v>
      </c>
      <c r="J450" s="76">
        <v>7</v>
      </c>
      <c r="K450" s="76">
        <v>8</v>
      </c>
      <c r="L450" s="76">
        <v>9</v>
      </c>
      <c r="M450" s="76">
        <v>10</v>
      </c>
    </row>
    <row r="451" spans="3:13" x14ac:dyDescent="0.15">
      <c r="C451" s="76">
        <v>380</v>
      </c>
      <c r="D451" s="76">
        <v>7.5599999999999994E-5</v>
      </c>
      <c r="E451" s="76">
        <v>2.92E-4</v>
      </c>
      <c r="F451" s="76">
        <v>2.52E-4</v>
      </c>
      <c r="G451" s="76">
        <v>5.5699999999999999E-4</v>
      </c>
      <c r="H451" s="76">
        <v>8.6899999999999998E-4</v>
      </c>
      <c r="I451" s="76">
        <v>1.0399999999999999E-3</v>
      </c>
      <c r="J451" s="76">
        <v>1.25E-3</v>
      </c>
      <c r="K451" s="76">
        <v>1.31E-3</v>
      </c>
      <c r="L451" s="76">
        <v>1.3500000000000001E-3</v>
      </c>
      <c r="M451" s="76">
        <v>1.39E-3</v>
      </c>
    </row>
    <row r="452" spans="3:13" x14ac:dyDescent="0.15">
      <c r="C452" s="76">
        <v>382</v>
      </c>
      <c r="D452" s="76">
        <v>6.9400000000000006E-5</v>
      </c>
      <c r="E452" s="76">
        <v>3.2400000000000001E-4</v>
      </c>
      <c r="F452" s="76">
        <v>2.22E-4</v>
      </c>
      <c r="G452" s="76">
        <v>6.29E-4</v>
      </c>
      <c r="H452" s="76">
        <v>9.7799999999999992E-4</v>
      </c>
      <c r="I452" s="76">
        <v>8.2899999999999998E-4</v>
      </c>
      <c r="J452" s="76">
        <v>1.06E-3</v>
      </c>
      <c r="K452" s="76">
        <v>1.1299999999999999E-3</v>
      </c>
      <c r="L452" s="76">
        <v>1.24E-3</v>
      </c>
      <c r="M452" s="76">
        <v>1.0200000000000001E-3</v>
      </c>
    </row>
    <row r="453" spans="3:13" x14ac:dyDescent="0.15">
      <c r="C453" s="76">
        <v>384</v>
      </c>
      <c r="D453" s="76">
        <v>9.3700000000000001E-5</v>
      </c>
      <c r="E453" s="76">
        <v>3.1700000000000001E-4</v>
      </c>
      <c r="F453" s="76">
        <v>2.6400000000000002E-4</v>
      </c>
      <c r="G453" s="76">
        <v>6.4599999999999998E-4</v>
      </c>
      <c r="H453" s="76">
        <v>7.85E-4</v>
      </c>
      <c r="I453" s="76">
        <v>9.7300000000000002E-4</v>
      </c>
      <c r="J453" s="76">
        <v>9.0600000000000001E-4</v>
      </c>
      <c r="K453" s="76">
        <v>8.3900000000000001E-4</v>
      </c>
      <c r="L453" s="76">
        <v>1.3699999999999999E-3</v>
      </c>
      <c r="M453" s="76">
        <v>1.41E-3</v>
      </c>
    </row>
    <row r="454" spans="3:13" x14ac:dyDescent="0.15">
      <c r="C454" s="76">
        <v>386</v>
      </c>
      <c r="D454" s="76">
        <v>1.3100000000000001E-4</v>
      </c>
      <c r="E454" s="76">
        <v>2.6699999999999998E-4</v>
      </c>
      <c r="F454" s="76">
        <v>2.7099999999999997E-4</v>
      </c>
      <c r="G454" s="76">
        <v>5.7399999999999997E-4</v>
      </c>
      <c r="H454" s="76">
        <v>7.3700000000000002E-4</v>
      </c>
      <c r="I454" s="76">
        <v>8.7500000000000002E-4</v>
      </c>
      <c r="J454" s="76">
        <v>8.9300000000000002E-4</v>
      </c>
      <c r="K454" s="76">
        <v>9.2599999999999996E-4</v>
      </c>
      <c r="L454" s="76">
        <v>1.33E-3</v>
      </c>
      <c r="M454" s="76">
        <v>9.0399999999999996E-4</v>
      </c>
    </row>
    <row r="455" spans="3:13" x14ac:dyDescent="0.15">
      <c r="C455" s="76">
        <v>388</v>
      </c>
      <c r="D455" s="76">
        <v>1.1900000000000001E-4</v>
      </c>
      <c r="E455" s="76">
        <v>2.5999999999999998E-4</v>
      </c>
      <c r="F455" s="76">
        <v>3.01E-4</v>
      </c>
      <c r="G455" s="76">
        <v>4.5800000000000002E-4</v>
      </c>
      <c r="H455" s="76">
        <v>8.1400000000000005E-4</v>
      </c>
      <c r="I455" s="76">
        <v>8.7299999999999997E-4</v>
      </c>
      <c r="J455" s="76">
        <v>8.9800000000000004E-4</v>
      </c>
      <c r="K455" s="76">
        <v>8.3699999999999996E-4</v>
      </c>
      <c r="L455" s="76">
        <v>1.6000000000000001E-3</v>
      </c>
      <c r="M455" s="76">
        <v>1.1999999999999999E-3</v>
      </c>
    </row>
    <row r="456" spans="3:13" x14ac:dyDescent="0.15">
      <c r="C456" s="76">
        <v>390</v>
      </c>
      <c r="D456" s="76">
        <v>1.05E-4</v>
      </c>
      <c r="E456" s="76">
        <v>2.3800000000000001E-4</v>
      </c>
      <c r="F456" s="76">
        <v>2.9100000000000003E-4</v>
      </c>
      <c r="G456" s="76">
        <v>5.53E-4</v>
      </c>
      <c r="H456" s="76">
        <v>6.9300000000000004E-4</v>
      </c>
      <c r="I456" s="76">
        <v>7.5699999999999997E-4</v>
      </c>
      <c r="J456" s="76">
        <v>7.4200000000000004E-4</v>
      </c>
      <c r="K456" s="76">
        <v>9.0700000000000004E-4</v>
      </c>
      <c r="L456" s="76">
        <v>1.4400000000000001E-3</v>
      </c>
      <c r="M456" s="76">
        <v>1.0300000000000001E-3</v>
      </c>
    </row>
    <row r="457" spans="3:13" x14ac:dyDescent="0.15">
      <c r="C457" s="76">
        <v>392</v>
      </c>
      <c r="D457" s="76">
        <v>8.4800000000000001E-5</v>
      </c>
      <c r="E457" s="76">
        <v>2.3599999999999999E-4</v>
      </c>
      <c r="F457" s="76">
        <v>3.3700000000000001E-4</v>
      </c>
      <c r="G457" s="76">
        <v>6.6500000000000001E-4</v>
      </c>
      <c r="H457" s="76">
        <v>5.2400000000000005E-4</v>
      </c>
      <c r="I457" s="76">
        <v>9.2699999999999998E-4</v>
      </c>
      <c r="J457" s="76">
        <v>9.0899999999999998E-4</v>
      </c>
      <c r="K457" s="76">
        <v>9.0499999999999999E-4</v>
      </c>
      <c r="L457" s="76">
        <v>1.16E-3</v>
      </c>
      <c r="M457" s="76">
        <v>9.4499999999999998E-4</v>
      </c>
    </row>
    <row r="458" spans="3:13" x14ac:dyDescent="0.15">
      <c r="C458" s="76">
        <v>394</v>
      </c>
      <c r="D458" s="76">
        <v>1.13E-4</v>
      </c>
      <c r="E458" s="76">
        <v>1.83E-4</v>
      </c>
      <c r="F458" s="76">
        <v>3.8299999999999999E-4</v>
      </c>
      <c r="G458" s="76">
        <v>4.2700000000000002E-4</v>
      </c>
      <c r="H458" s="76">
        <v>5.2499999999999997E-4</v>
      </c>
      <c r="I458" s="76">
        <v>8.1599999999999999E-4</v>
      </c>
      <c r="J458" s="76">
        <v>8.61E-4</v>
      </c>
      <c r="K458" s="76">
        <v>8.2200000000000003E-4</v>
      </c>
      <c r="L458" s="76">
        <v>1.14E-3</v>
      </c>
      <c r="M458" s="76">
        <v>1.0399999999999999E-3</v>
      </c>
    </row>
    <row r="459" spans="3:13" x14ac:dyDescent="0.15">
      <c r="C459" s="76">
        <v>396</v>
      </c>
      <c r="D459" s="76">
        <v>9.5600000000000006E-5</v>
      </c>
      <c r="E459" s="76">
        <v>1.9599999999999999E-4</v>
      </c>
      <c r="F459" s="76">
        <v>4.17E-4</v>
      </c>
      <c r="G459" s="76">
        <v>4.6799999999999999E-4</v>
      </c>
      <c r="H459" s="76">
        <v>7.1299999999999998E-4</v>
      </c>
      <c r="I459" s="76">
        <v>7.3099999999999999E-4</v>
      </c>
      <c r="J459" s="76">
        <v>8.0199999999999998E-4</v>
      </c>
      <c r="K459" s="76">
        <v>8.92E-4</v>
      </c>
      <c r="L459" s="76">
        <v>1.1100000000000001E-3</v>
      </c>
      <c r="M459" s="76">
        <v>1.0200000000000001E-3</v>
      </c>
    </row>
    <row r="460" spans="3:13" x14ac:dyDescent="0.15">
      <c r="C460" s="76">
        <v>398</v>
      </c>
      <c r="D460" s="76">
        <v>1.0900000000000001E-4</v>
      </c>
      <c r="E460" s="76">
        <v>2.1900000000000001E-4</v>
      </c>
      <c r="F460" s="76">
        <v>3.6900000000000002E-4</v>
      </c>
      <c r="G460" s="76">
        <v>3.6200000000000002E-4</v>
      </c>
      <c r="H460" s="76">
        <v>5.7700000000000004E-4</v>
      </c>
      <c r="I460" s="76">
        <v>6.5399999999999996E-4</v>
      </c>
      <c r="J460" s="76">
        <v>9.7999999999999997E-4</v>
      </c>
      <c r="K460" s="76">
        <v>8.8500000000000004E-4</v>
      </c>
      <c r="L460" s="76">
        <v>1.0300000000000001E-3</v>
      </c>
      <c r="M460" s="76">
        <v>1.01E-3</v>
      </c>
    </row>
    <row r="461" spans="3:13" x14ac:dyDescent="0.15">
      <c r="C461" s="76">
        <v>400</v>
      </c>
      <c r="D461" s="76">
        <v>1.03E-4</v>
      </c>
      <c r="E461" s="76">
        <v>2.0599999999999999E-4</v>
      </c>
      <c r="F461" s="76">
        <v>3.6699999999999998E-4</v>
      </c>
      <c r="G461" s="76">
        <v>3.88E-4</v>
      </c>
      <c r="H461" s="76">
        <v>5.6599999999999999E-4</v>
      </c>
      <c r="I461" s="76">
        <v>6.8099999999999996E-4</v>
      </c>
      <c r="J461" s="76">
        <v>8.9099999999999997E-4</v>
      </c>
      <c r="K461" s="76">
        <v>1.14E-3</v>
      </c>
      <c r="L461" s="76">
        <v>1.06E-3</v>
      </c>
      <c r="M461" s="76">
        <v>1.1299999999999999E-3</v>
      </c>
    </row>
    <row r="462" spans="3:13" x14ac:dyDescent="0.15">
      <c r="C462" s="76">
        <v>402</v>
      </c>
      <c r="D462" s="76">
        <v>1.18E-4</v>
      </c>
      <c r="E462" s="76">
        <v>2.43E-4</v>
      </c>
      <c r="F462" s="76">
        <v>3.4099999999999999E-4</v>
      </c>
      <c r="G462" s="76">
        <v>3.88E-4</v>
      </c>
      <c r="H462" s="76">
        <v>6.6200000000000005E-4</v>
      </c>
      <c r="I462" s="76">
        <v>7.4299999999999995E-4</v>
      </c>
      <c r="J462" s="76">
        <v>8.2200000000000003E-4</v>
      </c>
      <c r="K462" s="76">
        <v>1.1299999999999999E-3</v>
      </c>
      <c r="L462" s="76">
        <v>1.3600000000000001E-3</v>
      </c>
      <c r="M462" s="76">
        <v>9.9299999999999996E-4</v>
      </c>
    </row>
    <row r="463" spans="3:13" x14ac:dyDescent="0.15">
      <c r="C463" s="76">
        <v>404</v>
      </c>
      <c r="D463" s="76">
        <v>1.27E-4</v>
      </c>
      <c r="E463" s="76">
        <v>2.6699999999999998E-4</v>
      </c>
      <c r="F463" s="76">
        <v>3.97E-4</v>
      </c>
      <c r="G463" s="76">
        <v>4.6799999999999999E-4</v>
      </c>
      <c r="H463" s="76">
        <v>6.5600000000000001E-4</v>
      </c>
      <c r="I463" s="76">
        <v>7.7300000000000003E-4</v>
      </c>
      <c r="J463" s="76">
        <v>9.2900000000000003E-4</v>
      </c>
      <c r="K463" s="76">
        <v>8.9800000000000004E-4</v>
      </c>
      <c r="L463" s="76">
        <v>1.15E-3</v>
      </c>
      <c r="M463" s="76">
        <v>1.25E-3</v>
      </c>
    </row>
    <row r="464" spans="3:13" x14ac:dyDescent="0.15">
      <c r="C464" s="76">
        <v>406</v>
      </c>
      <c r="D464" s="76">
        <v>1.3899999999999999E-4</v>
      </c>
      <c r="E464" s="76">
        <v>2.8800000000000001E-4</v>
      </c>
      <c r="F464" s="76">
        <v>3.9899999999999999E-4</v>
      </c>
      <c r="G464" s="76">
        <v>5.6700000000000001E-4</v>
      </c>
      <c r="H464" s="76">
        <v>6.7599999999999995E-4</v>
      </c>
      <c r="I464" s="76">
        <v>8.5700000000000001E-4</v>
      </c>
      <c r="J464" s="76">
        <v>1.06E-3</v>
      </c>
      <c r="K464" s="76">
        <v>1.1100000000000001E-3</v>
      </c>
      <c r="L464" s="76">
        <v>1.34E-3</v>
      </c>
      <c r="M464" s="76">
        <v>1.4599999999999999E-3</v>
      </c>
    </row>
    <row r="465" spans="3:46" x14ac:dyDescent="0.15">
      <c r="C465" s="76">
        <v>408</v>
      </c>
      <c r="D465" s="76">
        <v>1.3999999999999999E-4</v>
      </c>
      <c r="E465" s="76">
        <v>2.7500000000000002E-4</v>
      </c>
      <c r="F465" s="76">
        <v>5.31E-4</v>
      </c>
      <c r="G465" s="76">
        <v>6.5799999999999995E-4</v>
      </c>
      <c r="H465" s="76">
        <v>7.0600000000000003E-4</v>
      </c>
      <c r="I465" s="76">
        <v>8.8000000000000003E-4</v>
      </c>
      <c r="J465" s="76">
        <v>9.5100000000000002E-4</v>
      </c>
      <c r="K465" s="76">
        <v>1.0200000000000001E-3</v>
      </c>
      <c r="L465" s="76">
        <v>1.56E-3</v>
      </c>
      <c r="M465" s="76">
        <v>1.5399999999999999E-3</v>
      </c>
    </row>
    <row r="466" spans="3:46" x14ac:dyDescent="0.15">
      <c r="C466" s="76">
        <v>410</v>
      </c>
      <c r="D466" s="76">
        <v>1.8000000000000001E-4</v>
      </c>
      <c r="E466" s="76">
        <v>2.9E-4</v>
      </c>
      <c r="F466" s="76">
        <v>5.5500000000000005E-4</v>
      </c>
      <c r="G466" s="76">
        <v>6.2600000000000004E-4</v>
      </c>
      <c r="H466" s="76">
        <v>6.2399999999999999E-4</v>
      </c>
      <c r="I466" s="76">
        <v>1.1199999999999999E-3</v>
      </c>
      <c r="J466" s="76">
        <v>1.1900000000000001E-3</v>
      </c>
      <c r="K466" s="76">
        <v>1.31E-3</v>
      </c>
      <c r="L466" s="76">
        <v>1.5900000000000001E-3</v>
      </c>
      <c r="M466" s="76">
        <v>1.6900000000000001E-3</v>
      </c>
    </row>
    <row r="467" spans="3:46" x14ac:dyDescent="0.15">
      <c r="C467" s="76">
        <v>412</v>
      </c>
      <c r="D467" s="76">
        <v>1.8699999999999999E-4</v>
      </c>
      <c r="E467" s="76">
        <v>3.6699999999999998E-4</v>
      </c>
      <c r="F467" s="76">
        <v>5.9999999999999995E-4</v>
      </c>
      <c r="G467" s="76">
        <v>7.6599999999999997E-4</v>
      </c>
      <c r="H467" s="76">
        <v>9.5500000000000001E-4</v>
      </c>
      <c r="I467" s="76">
        <v>1.16E-3</v>
      </c>
      <c r="J467" s="76">
        <v>1.2600000000000001E-3</v>
      </c>
      <c r="K467" s="76">
        <v>1.5200000000000001E-3</v>
      </c>
      <c r="L467" s="76">
        <v>1.81E-3</v>
      </c>
      <c r="M467" s="76">
        <v>2.0600000000000002E-3</v>
      </c>
    </row>
    <row r="468" spans="3:46" x14ac:dyDescent="0.15">
      <c r="C468" s="76">
        <v>414</v>
      </c>
      <c r="D468" s="76">
        <v>2.3800000000000001E-4</v>
      </c>
      <c r="E468" s="76">
        <v>4.1300000000000001E-4</v>
      </c>
      <c r="F468" s="76">
        <v>7.0100000000000002E-4</v>
      </c>
      <c r="G468" s="76">
        <v>8.9700000000000001E-4</v>
      </c>
      <c r="H468" s="76">
        <v>1.0399999999999999E-3</v>
      </c>
      <c r="I468" s="76">
        <v>1.34E-3</v>
      </c>
      <c r="J468" s="76">
        <v>1.56E-3</v>
      </c>
      <c r="K468" s="76">
        <v>1.82E-3</v>
      </c>
      <c r="L468" s="76">
        <v>2.0899999999999998E-3</v>
      </c>
      <c r="M468" s="76">
        <v>2.3500000000000001E-3</v>
      </c>
    </row>
    <row r="469" spans="3:46" x14ac:dyDescent="0.15">
      <c r="C469" s="81">
        <v>416</v>
      </c>
      <c r="D469" s="76">
        <v>2.6400000000000002E-4</v>
      </c>
      <c r="E469" s="76">
        <v>5.0799999999999999E-4</v>
      </c>
      <c r="F469" s="76">
        <v>8.5599999999999999E-4</v>
      </c>
      <c r="G469" s="76">
        <v>1.06E-3</v>
      </c>
      <c r="H469" s="81">
        <v>1.2700000000000001E-3</v>
      </c>
      <c r="I469" s="76">
        <v>1.5900000000000001E-3</v>
      </c>
      <c r="J469" s="76">
        <v>1.9E-3</v>
      </c>
      <c r="K469" s="76">
        <v>2.0999999999999999E-3</v>
      </c>
      <c r="L469" s="81">
        <v>2.4099999999999998E-3</v>
      </c>
      <c r="M469" s="76">
        <v>2.81E-3</v>
      </c>
      <c r="N469" s="81"/>
      <c r="T469" s="81"/>
      <c r="W469" s="81"/>
      <c r="AF469" s="81"/>
      <c r="AG469" s="81"/>
      <c r="AT469" s="81"/>
    </row>
    <row r="470" spans="3:46" x14ac:dyDescent="0.15">
      <c r="C470" s="81">
        <v>418</v>
      </c>
      <c r="D470" s="76">
        <v>3.1100000000000002E-4</v>
      </c>
      <c r="E470" s="76">
        <v>5.9599999999999996E-4</v>
      </c>
      <c r="F470" s="76">
        <v>1.0300000000000001E-3</v>
      </c>
      <c r="G470" s="76">
        <v>1.23E-3</v>
      </c>
      <c r="H470" s="81">
        <v>1.5200000000000001E-3</v>
      </c>
      <c r="I470" s="76">
        <v>1.9400000000000001E-3</v>
      </c>
      <c r="J470" s="76">
        <v>2.32E-3</v>
      </c>
      <c r="K470" s="76">
        <v>2.5600000000000002E-3</v>
      </c>
      <c r="L470" s="81">
        <v>2.8999999999999998E-3</v>
      </c>
      <c r="M470" s="76">
        <v>3.29E-3</v>
      </c>
      <c r="N470" s="81"/>
      <c r="T470" s="81"/>
      <c r="W470" s="81"/>
      <c r="AF470" s="81"/>
      <c r="AG470" s="81"/>
      <c r="AT470" s="81"/>
    </row>
    <row r="471" spans="3:46" x14ac:dyDescent="0.15">
      <c r="C471" s="81">
        <v>420</v>
      </c>
      <c r="D471" s="76">
        <v>3.7300000000000001E-4</v>
      </c>
      <c r="E471" s="76">
        <v>7.2300000000000001E-4</v>
      </c>
      <c r="F471" s="76">
        <v>1.1800000000000001E-3</v>
      </c>
      <c r="G471" s="76">
        <v>1.5E-3</v>
      </c>
      <c r="H471" s="81">
        <v>1.82E-3</v>
      </c>
      <c r="I471" s="76">
        <v>2.3400000000000001E-3</v>
      </c>
      <c r="J471" s="76">
        <v>2.7100000000000002E-3</v>
      </c>
      <c r="K471" s="76">
        <v>3.0200000000000001E-3</v>
      </c>
      <c r="L471" s="81">
        <v>3.49E-3</v>
      </c>
      <c r="M471" s="76">
        <v>3.9199999999999999E-3</v>
      </c>
      <c r="N471" s="81"/>
      <c r="T471" s="81"/>
      <c r="W471" s="81"/>
      <c r="AF471" s="81"/>
      <c r="AG471" s="81"/>
      <c r="AT471" s="81"/>
    </row>
    <row r="472" spans="3:46" x14ac:dyDescent="0.15">
      <c r="C472" s="81">
        <v>422</v>
      </c>
      <c r="D472" s="76">
        <v>4.6099999999999998E-4</v>
      </c>
      <c r="E472" s="76">
        <v>9.1E-4</v>
      </c>
      <c r="F472" s="76">
        <v>1.48E-3</v>
      </c>
      <c r="G472" s="76">
        <v>1.81E-3</v>
      </c>
      <c r="H472" s="81">
        <v>2.3400000000000001E-3</v>
      </c>
      <c r="I472" s="76">
        <v>2.7399999999999998E-3</v>
      </c>
      <c r="J472" s="76">
        <v>3.2799999999999999E-3</v>
      </c>
      <c r="K472" s="76">
        <v>3.8E-3</v>
      </c>
      <c r="L472" s="81">
        <v>4.15E-3</v>
      </c>
      <c r="M472" s="76">
        <v>4.79E-3</v>
      </c>
      <c r="N472" s="81"/>
      <c r="T472" s="81"/>
      <c r="W472" s="81"/>
      <c r="AF472" s="81"/>
      <c r="AG472" s="81"/>
      <c r="AT472" s="81"/>
    </row>
    <row r="473" spans="3:46" x14ac:dyDescent="0.15">
      <c r="C473" s="81">
        <v>424</v>
      </c>
      <c r="D473" s="76">
        <v>5.8200000000000005E-4</v>
      </c>
      <c r="E473" s="76">
        <v>1.14E-3</v>
      </c>
      <c r="F473" s="76">
        <v>1.8500000000000001E-3</v>
      </c>
      <c r="G473" s="76">
        <v>2.32E-3</v>
      </c>
      <c r="H473" s="81">
        <v>2.8700000000000002E-3</v>
      </c>
      <c r="I473" s="76">
        <v>3.5599999999999998E-3</v>
      </c>
      <c r="J473" s="76">
        <v>4.1000000000000003E-3</v>
      </c>
      <c r="K473" s="76">
        <v>4.7099999999999998E-3</v>
      </c>
      <c r="L473" s="81">
        <v>5.28E-3</v>
      </c>
      <c r="M473" s="76">
        <v>6.0000000000000001E-3</v>
      </c>
      <c r="N473" s="81"/>
      <c r="T473" s="81"/>
      <c r="W473" s="81"/>
      <c r="AF473" s="81"/>
      <c r="AG473" s="81"/>
      <c r="AT473" s="81"/>
    </row>
    <row r="474" spans="3:46" x14ac:dyDescent="0.15">
      <c r="C474" s="81">
        <v>426</v>
      </c>
      <c r="D474" s="76">
        <v>7.1699999999999997E-4</v>
      </c>
      <c r="E474" s="76">
        <v>1.47E-3</v>
      </c>
      <c r="F474" s="76">
        <v>2.3E-3</v>
      </c>
      <c r="G474" s="76">
        <v>3.0000000000000001E-3</v>
      </c>
      <c r="H474" s="81">
        <v>3.6600000000000001E-3</v>
      </c>
      <c r="I474" s="76">
        <v>4.5500000000000002E-3</v>
      </c>
      <c r="J474" s="76">
        <v>5.2900000000000004E-3</v>
      </c>
      <c r="K474" s="76">
        <v>6.0499999999999998E-3</v>
      </c>
      <c r="L474" s="81">
        <v>6.8300000000000001E-3</v>
      </c>
      <c r="M474" s="76">
        <v>7.5700000000000003E-3</v>
      </c>
      <c r="N474" s="81"/>
      <c r="T474" s="81"/>
      <c r="W474" s="81"/>
      <c r="AF474" s="81"/>
      <c r="AG474" s="81"/>
      <c r="AT474" s="81"/>
    </row>
    <row r="475" spans="3:46" x14ac:dyDescent="0.15">
      <c r="C475" s="81">
        <v>428</v>
      </c>
      <c r="D475" s="76">
        <v>9.4600000000000001E-4</v>
      </c>
      <c r="E475" s="76">
        <v>1.9300000000000001E-3</v>
      </c>
      <c r="F475" s="76">
        <v>2.97E-3</v>
      </c>
      <c r="G475" s="76">
        <v>3.9100000000000003E-3</v>
      </c>
      <c r="H475" s="81">
        <v>4.8199999999999996E-3</v>
      </c>
      <c r="I475" s="76">
        <v>5.8599999999999998E-3</v>
      </c>
      <c r="J475" s="76">
        <v>6.9499999999999996E-3</v>
      </c>
      <c r="K475" s="76">
        <v>7.9399999999999991E-3</v>
      </c>
      <c r="L475" s="81">
        <v>8.8699999999999994E-3</v>
      </c>
      <c r="M475" s="76">
        <v>9.9699999999999997E-3</v>
      </c>
      <c r="N475" s="81"/>
      <c r="T475" s="81"/>
      <c r="W475" s="81"/>
      <c r="AF475" s="81"/>
      <c r="AG475" s="81"/>
      <c r="AT475" s="81"/>
    </row>
    <row r="476" spans="3:46" x14ac:dyDescent="0.15">
      <c r="C476" s="81">
        <v>430</v>
      </c>
      <c r="D476" s="76">
        <v>1.2700000000000001E-3</v>
      </c>
      <c r="E476" s="76">
        <v>2.5699999999999998E-3</v>
      </c>
      <c r="F476" s="76">
        <v>3.9399999999999999E-3</v>
      </c>
      <c r="G476" s="76">
        <v>5.2500000000000003E-3</v>
      </c>
      <c r="H476" s="81">
        <v>6.5300000000000002E-3</v>
      </c>
      <c r="I476" s="76">
        <v>7.8799999999999999E-3</v>
      </c>
      <c r="J476" s="76">
        <v>9.3299999999999998E-3</v>
      </c>
      <c r="K476" s="76">
        <v>1.06E-2</v>
      </c>
      <c r="L476" s="81">
        <v>1.18E-2</v>
      </c>
      <c r="M476" s="76">
        <v>1.35E-2</v>
      </c>
      <c r="N476" s="81"/>
      <c r="T476" s="81"/>
      <c r="W476" s="81"/>
      <c r="AF476" s="81"/>
      <c r="AG476" s="81"/>
      <c r="AT476" s="81"/>
    </row>
    <row r="477" spans="3:46" x14ac:dyDescent="0.15">
      <c r="C477" s="81">
        <v>432</v>
      </c>
      <c r="D477" s="76">
        <v>1.73E-3</v>
      </c>
      <c r="E477" s="76">
        <v>3.5200000000000001E-3</v>
      </c>
      <c r="F477" s="76">
        <v>5.3899999999999998E-3</v>
      </c>
      <c r="G477" s="76">
        <v>7.1799999999999998E-3</v>
      </c>
      <c r="H477" s="81">
        <v>8.9300000000000004E-3</v>
      </c>
      <c r="I477" s="76">
        <v>1.0800000000000001E-2</v>
      </c>
      <c r="J477" s="76">
        <v>1.2699999999999999E-2</v>
      </c>
      <c r="K477" s="76">
        <v>1.4500000000000001E-2</v>
      </c>
      <c r="L477" s="81">
        <v>1.6199999999999999E-2</v>
      </c>
      <c r="M477" s="76">
        <v>1.8200000000000001E-2</v>
      </c>
      <c r="N477" s="81"/>
      <c r="T477" s="81"/>
      <c r="W477" s="81"/>
      <c r="AF477" s="81"/>
      <c r="AG477" s="81"/>
      <c r="AT477" s="81"/>
    </row>
    <row r="478" spans="3:46" x14ac:dyDescent="0.15">
      <c r="C478" s="81">
        <v>434</v>
      </c>
      <c r="D478" s="76">
        <v>2.4099999999999998E-3</v>
      </c>
      <c r="E478" s="76">
        <v>4.9199999999999999E-3</v>
      </c>
      <c r="F478" s="76">
        <v>7.4900000000000001E-3</v>
      </c>
      <c r="G478" s="76">
        <v>0.01</v>
      </c>
      <c r="H478" s="81">
        <v>1.2500000000000001E-2</v>
      </c>
      <c r="I478" s="76">
        <v>1.4999999999999999E-2</v>
      </c>
      <c r="J478" s="76">
        <v>1.7600000000000001E-2</v>
      </c>
      <c r="K478" s="76">
        <v>2.01E-2</v>
      </c>
      <c r="L478" s="81">
        <v>2.2599999999999999E-2</v>
      </c>
      <c r="M478" s="76">
        <v>2.52E-2</v>
      </c>
      <c r="N478" s="81"/>
      <c r="T478" s="81"/>
      <c r="W478" s="81"/>
      <c r="AF478" s="81"/>
      <c r="AG478" s="81"/>
      <c r="AT478" s="81"/>
    </row>
    <row r="479" spans="3:46" x14ac:dyDescent="0.15">
      <c r="C479" s="81">
        <v>436</v>
      </c>
      <c r="D479" s="76">
        <v>3.4399999999999999E-3</v>
      </c>
      <c r="E479" s="76">
        <v>7.0299999999999998E-3</v>
      </c>
      <c r="F479" s="76">
        <v>1.0699999999999999E-2</v>
      </c>
      <c r="G479" s="76">
        <v>1.43E-2</v>
      </c>
      <c r="H479" s="81">
        <v>1.78E-2</v>
      </c>
      <c r="I479" s="76">
        <v>2.1399999999999999E-2</v>
      </c>
      <c r="J479" s="76">
        <v>2.5000000000000001E-2</v>
      </c>
      <c r="K479" s="76">
        <v>2.86E-2</v>
      </c>
      <c r="L479" s="81">
        <v>3.2199999999999999E-2</v>
      </c>
      <c r="M479" s="76">
        <v>3.5900000000000001E-2</v>
      </c>
      <c r="N479" s="81"/>
      <c r="T479" s="81"/>
      <c r="W479" s="81"/>
      <c r="AF479" s="81"/>
      <c r="AG479" s="81"/>
      <c r="AT479" s="81"/>
    </row>
    <row r="480" spans="3:46" x14ac:dyDescent="0.15">
      <c r="C480" s="81">
        <v>438</v>
      </c>
      <c r="D480" s="76">
        <v>4.9199999999999999E-3</v>
      </c>
      <c r="E480" s="76">
        <v>1.01E-2</v>
      </c>
      <c r="F480" s="76">
        <v>1.5299999999999999E-2</v>
      </c>
      <c r="G480" s="76">
        <v>2.0299999999999999E-2</v>
      </c>
      <c r="H480" s="81">
        <v>2.53E-2</v>
      </c>
      <c r="I480" s="76">
        <v>3.0499999999999999E-2</v>
      </c>
      <c r="J480" s="76">
        <v>3.5700000000000003E-2</v>
      </c>
      <c r="K480" s="76">
        <v>4.07E-2</v>
      </c>
      <c r="L480" s="81">
        <v>4.58E-2</v>
      </c>
      <c r="M480" s="76">
        <v>5.0900000000000001E-2</v>
      </c>
      <c r="N480" s="81"/>
      <c r="T480" s="81"/>
      <c r="W480" s="81"/>
      <c r="AF480" s="81"/>
      <c r="AG480" s="81"/>
      <c r="AT480" s="81"/>
    </row>
    <row r="481" spans="3:56" x14ac:dyDescent="0.15">
      <c r="C481" s="81">
        <v>440</v>
      </c>
      <c r="D481" s="76">
        <v>6.7799999999999996E-3</v>
      </c>
      <c r="E481" s="76">
        <v>1.38E-2</v>
      </c>
      <c r="F481" s="76">
        <v>2.1000000000000001E-2</v>
      </c>
      <c r="G481" s="76">
        <v>2.8000000000000001E-2</v>
      </c>
      <c r="H481" s="81">
        <v>3.4799999999999998E-2</v>
      </c>
      <c r="I481" s="76">
        <v>4.2000000000000003E-2</v>
      </c>
      <c r="J481" s="76">
        <v>4.9000000000000002E-2</v>
      </c>
      <c r="K481" s="76">
        <v>5.5899999999999998E-2</v>
      </c>
      <c r="L481" s="81">
        <v>6.2899999999999998E-2</v>
      </c>
      <c r="M481" s="76">
        <v>6.9900000000000004E-2</v>
      </c>
      <c r="N481" s="81"/>
      <c r="T481" s="81"/>
      <c r="W481" s="81"/>
      <c r="AF481" s="81"/>
      <c r="AG481" s="81"/>
      <c r="AT481" s="81"/>
    </row>
    <row r="482" spans="3:56" x14ac:dyDescent="0.15">
      <c r="C482" s="81">
        <v>442</v>
      </c>
      <c r="D482" s="76">
        <v>9.0500000000000008E-3</v>
      </c>
      <c r="E482" s="76">
        <v>1.8599999999999998E-2</v>
      </c>
      <c r="F482" s="76">
        <v>2.8000000000000001E-2</v>
      </c>
      <c r="G482" s="76">
        <v>3.7400000000000003E-2</v>
      </c>
      <c r="H482" s="81">
        <v>4.6699999999999998E-2</v>
      </c>
      <c r="I482" s="76">
        <v>5.6099999999999997E-2</v>
      </c>
      <c r="J482" s="76">
        <v>6.54E-2</v>
      </c>
      <c r="K482" s="76">
        <v>7.46E-2</v>
      </c>
      <c r="L482" s="81">
        <v>8.3900000000000002E-2</v>
      </c>
      <c r="M482" s="76">
        <v>9.3100000000000002E-2</v>
      </c>
      <c r="N482" s="81"/>
      <c r="T482" s="81"/>
      <c r="W482" s="81"/>
      <c r="AF482" s="81"/>
      <c r="AG482" s="81"/>
      <c r="AT482" s="81"/>
    </row>
    <row r="483" spans="3:56" x14ac:dyDescent="0.15">
      <c r="C483" s="81">
        <v>444</v>
      </c>
      <c r="D483" s="81">
        <v>1.18E-2</v>
      </c>
      <c r="E483" s="81">
        <v>2.41E-2</v>
      </c>
      <c r="F483" s="81">
        <v>3.6400000000000002E-2</v>
      </c>
      <c r="G483" s="81">
        <v>4.8500000000000001E-2</v>
      </c>
      <c r="H483" s="81">
        <v>6.0600000000000001E-2</v>
      </c>
      <c r="I483" s="81">
        <v>7.2800000000000004E-2</v>
      </c>
      <c r="J483" s="81">
        <v>8.48E-2</v>
      </c>
      <c r="K483" s="81">
        <v>9.6799999999999997E-2</v>
      </c>
      <c r="L483" s="81">
        <v>0.109</v>
      </c>
      <c r="M483" s="81">
        <v>0.121</v>
      </c>
      <c r="N483" s="81"/>
      <c r="O483" s="81"/>
      <c r="P483" s="81"/>
      <c r="Q483" s="81"/>
      <c r="R483" s="81"/>
      <c r="S483" s="81"/>
      <c r="T483" s="81"/>
      <c r="U483" s="81"/>
      <c r="V483" s="81"/>
      <c r="W483" s="81"/>
      <c r="X483" s="81"/>
      <c r="Y483" s="81"/>
      <c r="Z483" s="81"/>
      <c r="AA483" s="81"/>
      <c r="AB483" s="81"/>
      <c r="AC483" s="81"/>
      <c r="AD483" s="81"/>
      <c r="AF483" s="81"/>
      <c r="AG483" s="81"/>
      <c r="AH483" s="81"/>
      <c r="AI483" s="81"/>
      <c r="AJ483" s="81"/>
      <c r="AK483" s="81"/>
      <c r="AL483" s="81"/>
      <c r="AM483" s="81"/>
      <c r="AN483" s="81"/>
      <c r="AO483" s="81"/>
      <c r="AP483" s="81"/>
      <c r="AQ483" s="81"/>
      <c r="AT483" s="81"/>
      <c r="AU483" s="81"/>
      <c r="AV483" s="81"/>
      <c r="AW483" s="81"/>
      <c r="AX483" s="81"/>
      <c r="AY483" s="81"/>
      <c r="AZ483" s="81"/>
      <c r="BA483" s="81"/>
      <c r="BB483" s="81"/>
      <c r="BC483" s="81"/>
      <c r="BD483" s="81"/>
    </row>
    <row r="484" spans="3:56" x14ac:dyDescent="0.15">
      <c r="C484" s="81">
        <v>446</v>
      </c>
      <c r="D484" s="76">
        <v>1.4800000000000001E-2</v>
      </c>
      <c r="E484" s="76">
        <v>3.04E-2</v>
      </c>
      <c r="F484" s="76">
        <v>4.58E-2</v>
      </c>
      <c r="G484" s="76">
        <v>6.0999999999999999E-2</v>
      </c>
      <c r="H484" s="81">
        <v>7.6200000000000004E-2</v>
      </c>
      <c r="I484" s="76">
        <v>9.1499999999999998E-2</v>
      </c>
      <c r="J484" s="76">
        <v>0.107</v>
      </c>
      <c r="K484" s="76">
        <v>0.122</v>
      </c>
      <c r="L484" s="81">
        <v>0.13700000000000001</v>
      </c>
      <c r="M484" s="76">
        <v>0.151</v>
      </c>
      <c r="N484" s="81"/>
      <c r="T484" s="81"/>
      <c r="W484" s="81"/>
      <c r="AF484" s="81"/>
      <c r="AG484" s="81"/>
      <c r="AT484" s="81"/>
    </row>
    <row r="485" spans="3:56" x14ac:dyDescent="0.15">
      <c r="C485" s="81">
        <v>448</v>
      </c>
      <c r="D485" s="81">
        <v>1.8100000000000002E-2</v>
      </c>
      <c r="E485" s="81">
        <v>3.6999999999999998E-2</v>
      </c>
      <c r="F485" s="81">
        <v>5.57E-2</v>
      </c>
      <c r="G485" s="81">
        <v>7.4300000000000005E-2</v>
      </c>
      <c r="H485" s="81">
        <v>9.2700000000000005E-2</v>
      </c>
      <c r="I485" s="81">
        <v>0.111</v>
      </c>
      <c r="J485" s="81">
        <v>0.13</v>
      </c>
      <c r="K485" s="81">
        <v>0.14799999999999999</v>
      </c>
      <c r="L485" s="81">
        <v>0.16600000000000001</v>
      </c>
      <c r="M485" s="81">
        <v>0.184</v>
      </c>
      <c r="N485" s="81"/>
      <c r="O485" s="81"/>
      <c r="P485" s="81"/>
      <c r="Q485" s="81"/>
      <c r="R485" s="81"/>
      <c r="S485" s="81"/>
      <c r="T485" s="81"/>
      <c r="U485" s="81"/>
      <c r="V485" s="81"/>
      <c r="W485" s="81"/>
      <c r="X485" s="81"/>
      <c r="Y485" s="81"/>
      <c r="Z485" s="81"/>
      <c r="AA485" s="81"/>
      <c r="AB485" s="81"/>
      <c r="AC485" s="81"/>
    </row>
    <row r="486" spans="3:56" x14ac:dyDescent="0.15">
      <c r="C486" s="81">
        <v>450</v>
      </c>
      <c r="D486" s="76">
        <v>2.1499999999999998E-2</v>
      </c>
      <c r="E486" s="76">
        <v>4.3999999999999997E-2</v>
      </c>
      <c r="F486" s="76">
        <v>6.6199999999999995E-2</v>
      </c>
      <c r="G486" s="76">
        <v>8.8400000000000006E-2</v>
      </c>
      <c r="H486" s="76">
        <v>0.11</v>
      </c>
      <c r="I486" s="76">
        <v>0.13200000000000001</v>
      </c>
      <c r="J486" s="76">
        <v>0.154</v>
      </c>
      <c r="K486" s="76">
        <v>0.17499999999999999</v>
      </c>
      <c r="L486" s="76">
        <v>0.19700000000000001</v>
      </c>
      <c r="M486" s="76">
        <v>0.218</v>
      </c>
    </row>
    <row r="487" spans="3:56" x14ac:dyDescent="0.15">
      <c r="C487" s="76">
        <v>452</v>
      </c>
      <c r="D487" s="76">
        <v>2.4400000000000002E-2</v>
      </c>
      <c r="E487" s="76">
        <v>0.05</v>
      </c>
      <c r="F487" s="76">
        <v>7.5200000000000003E-2</v>
      </c>
      <c r="G487" s="76">
        <v>0.1</v>
      </c>
      <c r="H487" s="76">
        <v>0.125</v>
      </c>
      <c r="I487" s="76">
        <v>0.15</v>
      </c>
      <c r="J487" s="76">
        <v>0.17499999999999999</v>
      </c>
      <c r="K487" s="76">
        <v>0.19900000000000001</v>
      </c>
      <c r="L487" s="76">
        <v>0.223</v>
      </c>
      <c r="M487" s="76">
        <v>0.248</v>
      </c>
    </row>
    <row r="488" spans="3:56" x14ac:dyDescent="0.15">
      <c r="C488" s="76">
        <v>454</v>
      </c>
      <c r="D488" s="76">
        <v>2.6700000000000002E-2</v>
      </c>
      <c r="E488" s="76">
        <v>5.4600000000000003E-2</v>
      </c>
      <c r="F488" s="76">
        <v>8.2100000000000006E-2</v>
      </c>
      <c r="G488" s="76">
        <v>0.11</v>
      </c>
      <c r="H488" s="76">
        <v>0.13700000000000001</v>
      </c>
      <c r="I488" s="76">
        <v>0.16400000000000001</v>
      </c>
      <c r="J488" s="76">
        <v>0.191</v>
      </c>
      <c r="K488" s="76">
        <v>0.217</v>
      </c>
      <c r="L488" s="76">
        <v>0.24399999999999999</v>
      </c>
      <c r="M488" s="76">
        <v>0.27</v>
      </c>
    </row>
    <row r="489" spans="3:56" x14ac:dyDescent="0.15">
      <c r="C489" s="76">
        <v>456</v>
      </c>
      <c r="D489" s="76">
        <v>2.8199999999999999E-2</v>
      </c>
      <c r="E489" s="76">
        <v>5.7799999999999997E-2</v>
      </c>
      <c r="F489" s="76">
        <v>8.6999999999999994E-2</v>
      </c>
      <c r="G489" s="76">
        <v>0.11600000000000001</v>
      </c>
      <c r="H489" s="76">
        <v>0.14499999999999999</v>
      </c>
      <c r="I489" s="76">
        <v>0.17299999999999999</v>
      </c>
      <c r="J489" s="76">
        <v>0.20200000000000001</v>
      </c>
      <c r="K489" s="76">
        <v>0.23</v>
      </c>
      <c r="L489" s="76">
        <v>0.25800000000000001</v>
      </c>
      <c r="M489" s="76">
        <v>0.28599999999999998</v>
      </c>
    </row>
    <row r="490" spans="3:56" x14ac:dyDescent="0.15">
      <c r="C490" s="76">
        <v>458</v>
      </c>
      <c r="D490" s="76">
        <v>2.9000000000000001E-2</v>
      </c>
      <c r="E490" s="76">
        <v>5.9400000000000001E-2</v>
      </c>
      <c r="F490" s="76">
        <v>8.9300000000000004E-2</v>
      </c>
      <c r="G490" s="76">
        <v>0.11899999999999999</v>
      </c>
      <c r="H490" s="76">
        <v>0.14899999999999999</v>
      </c>
      <c r="I490" s="76">
        <v>0.17799999999999999</v>
      </c>
      <c r="J490" s="76">
        <v>0.20699999999999999</v>
      </c>
      <c r="K490" s="76">
        <v>0.23599999999999999</v>
      </c>
      <c r="L490" s="76">
        <v>0.26500000000000001</v>
      </c>
      <c r="M490" s="76">
        <v>0.29399999999999998</v>
      </c>
    </row>
    <row r="491" spans="3:56" x14ac:dyDescent="0.15">
      <c r="C491" s="76">
        <v>460</v>
      </c>
      <c r="D491" s="76">
        <v>2.9100000000000001E-2</v>
      </c>
      <c r="E491" s="76">
        <v>5.9499999999999997E-2</v>
      </c>
      <c r="F491" s="76">
        <v>8.9499999999999996E-2</v>
      </c>
      <c r="G491" s="76">
        <v>0.11899999999999999</v>
      </c>
      <c r="H491" s="76">
        <v>0.14899999999999999</v>
      </c>
      <c r="I491" s="76">
        <v>0.17799999999999999</v>
      </c>
      <c r="J491" s="76">
        <v>0.20799999999999999</v>
      </c>
      <c r="K491" s="76">
        <v>0.23699999999999999</v>
      </c>
      <c r="L491" s="76">
        <v>0.26600000000000001</v>
      </c>
      <c r="M491" s="76">
        <v>0.29399999999999998</v>
      </c>
    </row>
    <row r="492" spans="3:56" x14ac:dyDescent="0.15">
      <c r="C492" s="76">
        <v>462</v>
      </c>
      <c r="D492" s="76">
        <v>2.8400000000000002E-2</v>
      </c>
      <c r="E492" s="76">
        <v>5.8200000000000002E-2</v>
      </c>
      <c r="F492" s="76">
        <v>8.7400000000000005E-2</v>
      </c>
      <c r="G492" s="76">
        <v>0.11700000000000001</v>
      </c>
      <c r="H492" s="76">
        <v>0.14499999999999999</v>
      </c>
      <c r="I492" s="76">
        <v>0.17399999999999999</v>
      </c>
      <c r="J492" s="76">
        <v>0.20300000000000001</v>
      </c>
      <c r="K492" s="76">
        <v>0.23100000000000001</v>
      </c>
      <c r="L492" s="76">
        <v>0.25900000000000001</v>
      </c>
      <c r="M492" s="76">
        <v>0.28699999999999998</v>
      </c>
    </row>
    <row r="493" spans="3:56" x14ac:dyDescent="0.15">
      <c r="C493" s="76">
        <v>464</v>
      </c>
      <c r="D493" s="76">
        <v>2.7E-2</v>
      </c>
      <c r="E493" s="76">
        <v>5.5399999999999998E-2</v>
      </c>
      <c r="F493" s="76">
        <v>8.3199999999999996E-2</v>
      </c>
      <c r="G493" s="76">
        <v>0.111</v>
      </c>
      <c r="H493" s="76">
        <v>0.13900000000000001</v>
      </c>
      <c r="I493" s="76">
        <v>0.16600000000000001</v>
      </c>
      <c r="J493" s="76">
        <v>0.193</v>
      </c>
      <c r="K493" s="76">
        <v>0.22</v>
      </c>
      <c r="L493" s="76">
        <v>0.247</v>
      </c>
      <c r="M493" s="76">
        <v>0.27400000000000002</v>
      </c>
    </row>
    <row r="494" spans="3:56" x14ac:dyDescent="0.15">
      <c r="C494" s="76">
        <v>466</v>
      </c>
      <c r="D494" s="76">
        <v>2.5499999999999998E-2</v>
      </c>
      <c r="E494" s="76">
        <v>5.2299999999999999E-2</v>
      </c>
      <c r="F494" s="76">
        <v>7.8700000000000006E-2</v>
      </c>
      <c r="G494" s="76">
        <v>0.105</v>
      </c>
      <c r="H494" s="76">
        <v>0.13100000000000001</v>
      </c>
      <c r="I494" s="76">
        <v>0.157</v>
      </c>
      <c r="J494" s="76">
        <v>0.182</v>
      </c>
      <c r="K494" s="76">
        <v>0.20799999999999999</v>
      </c>
      <c r="L494" s="76">
        <v>0.23300000000000001</v>
      </c>
      <c r="M494" s="76">
        <v>0.25900000000000001</v>
      </c>
    </row>
    <row r="495" spans="3:56" x14ac:dyDescent="0.15">
      <c r="C495" s="76">
        <v>468</v>
      </c>
      <c r="D495" s="76">
        <v>2.4E-2</v>
      </c>
      <c r="E495" s="76">
        <v>4.9099999999999998E-2</v>
      </c>
      <c r="F495" s="76">
        <v>7.3800000000000004E-2</v>
      </c>
      <c r="G495" s="76">
        <v>9.8500000000000004E-2</v>
      </c>
      <c r="H495" s="76">
        <v>0.123</v>
      </c>
      <c r="I495" s="76">
        <v>0.14699999999999999</v>
      </c>
      <c r="J495" s="76">
        <v>0.17100000000000001</v>
      </c>
      <c r="K495" s="76">
        <v>0.19500000000000001</v>
      </c>
      <c r="L495" s="76">
        <v>0.219</v>
      </c>
      <c r="M495" s="76">
        <v>0.24299999999999999</v>
      </c>
    </row>
    <row r="496" spans="3:56" x14ac:dyDescent="0.15">
      <c r="C496" s="76">
        <v>470</v>
      </c>
      <c r="D496" s="76">
        <v>2.24E-2</v>
      </c>
      <c r="E496" s="76">
        <v>4.5900000000000003E-2</v>
      </c>
      <c r="F496" s="76">
        <v>6.9000000000000006E-2</v>
      </c>
      <c r="G496" s="76">
        <v>9.2100000000000001E-2</v>
      </c>
      <c r="H496" s="76">
        <v>0.115</v>
      </c>
      <c r="I496" s="76">
        <v>0.13800000000000001</v>
      </c>
      <c r="J496" s="76">
        <v>0.16</v>
      </c>
      <c r="K496" s="76">
        <v>0.183</v>
      </c>
      <c r="L496" s="76">
        <v>0.20499999999999999</v>
      </c>
      <c r="M496" s="76">
        <v>0.22700000000000001</v>
      </c>
    </row>
    <row r="497" spans="3:13" x14ac:dyDescent="0.15">
      <c r="C497" s="76">
        <v>472</v>
      </c>
      <c r="D497" s="76">
        <v>2.1000000000000001E-2</v>
      </c>
      <c r="E497" s="76">
        <v>4.2999999999999997E-2</v>
      </c>
      <c r="F497" s="76">
        <v>6.4699999999999994E-2</v>
      </c>
      <c r="G497" s="76">
        <v>8.6300000000000002E-2</v>
      </c>
      <c r="H497" s="76">
        <v>0.108</v>
      </c>
      <c r="I497" s="76">
        <v>0.129</v>
      </c>
      <c r="J497" s="76">
        <v>0.15</v>
      </c>
      <c r="K497" s="76">
        <v>0.17100000000000001</v>
      </c>
      <c r="L497" s="76">
        <v>0.192</v>
      </c>
      <c r="M497" s="76">
        <v>0.21299999999999999</v>
      </c>
    </row>
    <row r="498" spans="3:13" x14ac:dyDescent="0.15">
      <c r="C498" s="76">
        <v>474</v>
      </c>
      <c r="D498" s="76">
        <v>1.9800000000000002E-2</v>
      </c>
      <c r="E498" s="76">
        <v>4.0599999999999997E-2</v>
      </c>
      <c r="F498" s="76">
        <v>6.0900000000000003E-2</v>
      </c>
      <c r="G498" s="76">
        <v>8.1299999999999997E-2</v>
      </c>
      <c r="H498" s="76">
        <v>0.10199999999999999</v>
      </c>
      <c r="I498" s="76">
        <v>0.122</v>
      </c>
      <c r="J498" s="76">
        <v>0.14099999999999999</v>
      </c>
      <c r="K498" s="76">
        <v>0.161</v>
      </c>
      <c r="L498" s="76">
        <v>0.18099999999999999</v>
      </c>
      <c r="M498" s="76">
        <v>0.20100000000000001</v>
      </c>
    </row>
    <row r="499" spans="3:13" x14ac:dyDescent="0.15">
      <c r="C499" s="76">
        <v>476</v>
      </c>
      <c r="D499" s="76">
        <v>1.8599999999999998E-2</v>
      </c>
      <c r="E499" s="76">
        <v>3.8199999999999998E-2</v>
      </c>
      <c r="F499" s="76">
        <v>5.7299999999999997E-2</v>
      </c>
      <c r="G499" s="76">
        <v>7.6600000000000001E-2</v>
      </c>
      <c r="H499" s="76">
        <v>9.5600000000000004E-2</v>
      </c>
      <c r="I499" s="76">
        <v>0.115</v>
      </c>
      <c r="J499" s="76">
        <v>0.13300000000000001</v>
      </c>
      <c r="K499" s="76">
        <v>0.152</v>
      </c>
      <c r="L499" s="76">
        <v>0.17100000000000001</v>
      </c>
      <c r="M499" s="76">
        <v>0.189</v>
      </c>
    </row>
    <row r="500" spans="3:13" x14ac:dyDescent="0.15">
      <c r="C500" s="76">
        <v>478</v>
      </c>
      <c r="D500" s="76">
        <v>1.78E-2</v>
      </c>
      <c r="E500" s="76">
        <v>3.6499999999999998E-2</v>
      </c>
      <c r="F500" s="76">
        <v>5.4800000000000001E-2</v>
      </c>
      <c r="G500" s="76">
        <v>7.3099999999999998E-2</v>
      </c>
      <c r="H500" s="76">
        <v>9.1399999999999995E-2</v>
      </c>
      <c r="I500" s="76">
        <v>0.109</v>
      </c>
      <c r="J500" s="76">
        <v>0.127</v>
      </c>
      <c r="K500" s="76">
        <v>0.14499999999999999</v>
      </c>
      <c r="L500" s="76">
        <v>0.16300000000000001</v>
      </c>
      <c r="M500" s="76">
        <v>0.18099999999999999</v>
      </c>
    </row>
    <row r="501" spans="3:13" x14ac:dyDescent="0.15">
      <c r="C501" s="76">
        <v>480</v>
      </c>
      <c r="D501" s="76">
        <v>1.7100000000000001E-2</v>
      </c>
      <c r="E501" s="76">
        <v>3.5000000000000003E-2</v>
      </c>
      <c r="F501" s="76">
        <v>5.2699999999999997E-2</v>
      </c>
      <c r="G501" s="76">
        <v>7.0300000000000001E-2</v>
      </c>
      <c r="H501" s="76">
        <v>8.7800000000000003E-2</v>
      </c>
      <c r="I501" s="76">
        <v>0.105</v>
      </c>
      <c r="J501" s="76">
        <v>0.122</v>
      </c>
      <c r="K501" s="76">
        <v>0.14000000000000001</v>
      </c>
      <c r="L501" s="76">
        <v>0.157</v>
      </c>
      <c r="M501" s="76">
        <v>0.17299999999999999</v>
      </c>
    </row>
    <row r="502" spans="3:13" x14ac:dyDescent="0.15">
      <c r="C502" s="76">
        <v>482</v>
      </c>
      <c r="D502" s="76">
        <v>1.6500000000000001E-2</v>
      </c>
      <c r="E502" s="76">
        <v>3.3799999999999997E-2</v>
      </c>
      <c r="F502" s="76">
        <v>5.0799999999999998E-2</v>
      </c>
      <c r="G502" s="76">
        <v>6.7799999999999999E-2</v>
      </c>
      <c r="H502" s="76">
        <v>8.4699999999999998E-2</v>
      </c>
      <c r="I502" s="76">
        <v>0.10100000000000001</v>
      </c>
      <c r="J502" s="76">
        <v>0.11799999999999999</v>
      </c>
      <c r="K502" s="76">
        <v>0.13500000000000001</v>
      </c>
      <c r="L502" s="76">
        <v>0.151</v>
      </c>
      <c r="M502" s="76">
        <v>0.16700000000000001</v>
      </c>
    </row>
    <row r="503" spans="3:13" x14ac:dyDescent="0.15">
      <c r="C503" s="76">
        <v>484</v>
      </c>
      <c r="D503" s="76">
        <v>1.5900000000000001E-2</v>
      </c>
      <c r="E503" s="76">
        <v>3.2500000000000001E-2</v>
      </c>
      <c r="F503" s="76">
        <v>4.8800000000000003E-2</v>
      </c>
      <c r="G503" s="76">
        <v>6.5199999999999994E-2</v>
      </c>
      <c r="H503" s="76">
        <v>8.14E-2</v>
      </c>
      <c r="I503" s="76">
        <v>9.7500000000000003E-2</v>
      </c>
      <c r="J503" s="76">
        <v>0.113</v>
      </c>
      <c r="K503" s="76">
        <v>0.129</v>
      </c>
      <c r="L503" s="76">
        <v>0.14499999999999999</v>
      </c>
      <c r="M503" s="76">
        <v>0.161</v>
      </c>
    </row>
    <row r="504" spans="3:13" x14ac:dyDescent="0.15">
      <c r="C504" s="76">
        <v>486</v>
      </c>
      <c r="D504" s="76">
        <v>1.5299999999999999E-2</v>
      </c>
      <c r="E504" s="76">
        <v>3.1199999999999999E-2</v>
      </c>
      <c r="F504" s="76">
        <v>4.6899999999999997E-2</v>
      </c>
      <c r="G504" s="76">
        <v>6.2600000000000003E-2</v>
      </c>
      <c r="H504" s="76">
        <v>7.8100000000000003E-2</v>
      </c>
      <c r="I504" s="76">
        <v>9.35E-2</v>
      </c>
      <c r="J504" s="76">
        <v>0.109</v>
      </c>
      <c r="K504" s="76">
        <v>0.124</v>
      </c>
      <c r="L504" s="76">
        <v>0.13900000000000001</v>
      </c>
      <c r="M504" s="76">
        <v>0.154</v>
      </c>
    </row>
    <row r="505" spans="3:13" x14ac:dyDescent="0.15">
      <c r="C505" s="76">
        <v>488</v>
      </c>
      <c r="D505" s="76">
        <v>1.44E-2</v>
      </c>
      <c r="E505" s="76">
        <v>2.9600000000000001E-2</v>
      </c>
      <c r="F505" s="76">
        <v>4.4299999999999999E-2</v>
      </c>
      <c r="G505" s="76">
        <v>5.9200000000000003E-2</v>
      </c>
      <c r="H505" s="76">
        <v>7.3899999999999993E-2</v>
      </c>
      <c r="I505" s="76">
        <v>8.8400000000000006E-2</v>
      </c>
      <c r="J505" s="76">
        <v>0.10299999999999999</v>
      </c>
      <c r="K505" s="76">
        <v>0.11700000000000001</v>
      </c>
      <c r="L505" s="76">
        <v>0.13200000000000001</v>
      </c>
      <c r="M505" s="76">
        <v>0.14599999999999999</v>
      </c>
    </row>
    <row r="506" spans="3:13" x14ac:dyDescent="0.15">
      <c r="C506" s="76">
        <v>490</v>
      </c>
      <c r="D506" s="76">
        <v>1.3599999999999999E-2</v>
      </c>
      <c r="E506" s="76">
        <v>2.7900000000000001E-2</v>
      </c>
      <c r="F506" s="76">
        <v>4.19E-2</v>
      </c>
      <c r="G506" s="76">
        <v>5.5899999999999998E-2</v>
      </c>
      <c r="H506" s="76">
        <v>6.9800000000000001E-2</v>
      </c>
      <c r="I506" s="76">
        <v>8.3400000000000002E-2</v>
      </c>
      <c r="J506" s="76">
        <v>9.7100000000000006E-2</v>
      </c>
      <c r="K506" s="76">
        <v>0.111</v>
      </c>
      <c r="L506" s="76">
        <v>0.124</v>
      </c>
      <c r="M506" s="76">
        <v>0.13800000000000001</v>
      </c>
    </row>
    <row r="507" spans="3:13" x14ac:dyDescent="0.15">
      <c r="C507" s="76">
        <v>492</v>
      </c>
      <c r="D507" s="76">
        <v>1.2800000000000001E-2</v>
      </c>
      <c r="E507" s="76">
        <v>2.6200000000000001E-2</v>
      </c>
      <c r="F507" s="76">
        <v>3.9300000000000002E-2</v>
      </c>
      <c r="G507" s="76">
        <v>5.2400000000000002E-2</v>
      </c>
      <c r="H507" s="76">
        <v>6.54E-2</v>
      </c>
      <c r="I507" s="76">
        <v>7.8200000000000006E-2</v>
      </c>
      <c r="J507" s="76">
        <v>9.1200000000000003E-2</v>
      </c>
      <c r="K507" s="76">
        <v>0.104</v>
      </c>
      <c r="L507" s="76">
        <v>0.11600000000000001</v>
      </c>
      <c r="M507" s="76">
        <v>0.129</v>
      </c>
    </row>
    <row r="508" spans="3:13" x14ac:dyDescent="0.15">
      <c r="C508" s="76">
        <v>494</v>
      </c>
      <c r="D508" s="76">
        <v>1.1900000000000001E-2</v>
      </c>
      <c r="E508" s="76">
        <v>2.4299999999999999E-2</v>
      </c>
      <c r="F508" s="76">
        <v>3.6499999999999998E-2</v>
      </c>
      <c r="G508" s="76">
        <v>4.87E-2</v>
      </c>
      <c r="H508" s="76">
        <v>6.08E-2</v>
      </c>
      <c r="I508" s="76">
        <v>7.2700000000000001E-2</v>
      </c>
      <c r="J508" s="76">
        <v>8.4699999999999998E-2</v>
      </c>
      <c r="K508" s="76">
        <v>9.6500000000000002E-2</v>
      </c>
      <c r="L508" s="76">
        <v>0.108</v>
      </c>
      <c r="M508" s="76">
        <v>0.12</v>
      </c>
    </row>
    <row r="509" spans="3:13" x14ac:dyDescent="0.15">
      <c r="C509" s="76">
        <v>496</v>
      </c>
      <c r="D509" s="76">
        <v>1.0999999999999999E-2</v>
      </c>
      <c r="E509" s="76">
        <v>2.2499999999999999E-2</v>
      </c>
      <c r="F509" s="76">
        <v>3.3799999999999997E-2</v>
      </c>
      <c r="G509" s="76">
        <v>4.5100000000000001E-2</v>
      </c>
      <c r="H509" s="76">
        <v>5.6399999999999999E-2</v>
      </c>
      <c r="I509" s="76">
        <v>6.7400000000000002E-2</v>
      </c>
      <c r="J509" s="76">
        <v>7.85E-2</v>
      </c>
      <c r="K509" s="76">
        <v>8.9399999999999993E-2</v>
      </c>
      <c r="L509" s="76">
        <v>0.1</v>
      </c>
      <c r="M509" s="76">
        <v>0.111</v>
      </c>
    </row>
    <row r="510" spans="3:13" x14ac:dyDescent="0.15">
      <c r="C510" s="76">
        <v>498</v>
      </c>
      <c r="D510" s="76">
        <v>1.01E-2</v>
      </c>
      <c r="E510" s="76">
        <v>2.07E-2</v>
      </c>
      <c r="F510" s="76">
        <v>3.1099999999999999E-2</v>
      </c>
      <c r="G510" s="76">
        <v>4.1399999999999999E-2</v>
      </c>
      <c r="H510" s="76">
        <v>5.1700000000000003E-2</v>
      </c>
      <c r="I510" s="76">
        <v>6.1800000000000001E-2</v>
      </c>
      <c r="J510" s="76">
        <v>7.2099999999999997E-2</v>
      </c>
      <c r="K510" s="76">
        <v>8.2199999999999995E-2</v>
      </c>
      <c r="L510" s="76">
        <v>9.2100000000000001E-2</v>
      </c>
      <c r="M510" s="76">
        <v>0.10199999999999999</v>
      </c>
    </row>
    <row r="511" spans="3:13" x14ac:dyDescent="0.15">
      <c r="C511" s="76">
        <v>500</v>
      </c>
      <c r="D511" s="76">
        <v>9.1599999999999997E-3</v>
      </c>
      <c r="E511" s="76">
        <v>1.8700000000000001E-2</v>
      </c>
      <c r="F511" s="76">
        <v>2.81E-2</v>
      </c>
      <c r="G511" s="76">
        <v>3.7600000000000001E-2</v>
      </c>
      <c r="H511" s="76">
        <v>4.6800000000000001E-2</v>
      </c>
      <c r="I511" s="76">
        <v>5.6099999999999997E-2</v>
      </c>
      <c r="J511" s="76">
        <v>6.54E-2</v>
      </c>
      <c r="K511" s="76">
        <v>7.4399999999999994E-2</v>
      </c>
      <c r="L511" s="76">
        <v>8.3599999999999994E-2</v>
      </c>
      <c r="M511" s="76">
        <v>9.2700000000000005E-2</v>
      </c>
    </row>
    <row r="512" spans="3:13" x14ac:dyDescent="0.15">
      <c r="C512" s="76">
        <v>502</v>
      </c>
      <c r="D512" s="76">
        <v>8.2900000000000005E-3</v>
      </c>
      <c r="E512" s="76">
        <v>1.6899999999999998E-2</v>
      </c>
      <c r="F512" s="76">
        <v>2.5399999999999999E-2</v>
      </c>
      <c r="G512" s="76">
        <v>3.39E-2</v>
      </c>
      <c r="H512" s="76">
        <v>4.2299999999999997E-2</v>
      </c>
      <c r="I512" s="76">
        <v>5.0599999999999999E-2</v>
      </c>
      <c r="J512" s="76">
        <v>5.91E-2</v>
      </c>
      <c r="K512" s="76">
        <v>6.7199999999999996E-2</v>
      </c>
      <c r="L512" s="76">
        <v>7.5499999999999998E-2</v>
      </c>
      <c r="M512" s="76">
        <v>8.3599999999999994E-2</v>
      </c>
    </row>
    <row r="513" spans="3:13" x14ac:dyDescent="0.15">
      <c r="C513" s="76">
        <v>504</v>
      </c>
      <c r="D513" s="76">
        <v>7.5100000000000002E-3</v>
      </c>
      <c r="E513" s="76">
        <v>1.5299999999999999E-2</v>
      </c>
      <c r="F513" s="76">
        <v>2.3099999999999999E-2</v>
      </c>
      <c r="G513" s="76">
        <v>3.0700000000000002E-2</v>
      </c>
      <c r="H513" s="76">
        <v>3.8300000000000001E-2</v>
      </c>
      <c r="I513" s="76">
        <v>4.58E-2</v>
      </c>
      <c r="J513" s="76">
        <v>5.3499999999999999E-2</v>
      </c>
      <c r="K513" s="76">
        <v>6.0900000000000003E-2</v>
      </c>
      <c r="L513" s="76">
        <v>6.83E-2</v>
      </c>
      <c r="M513" s="76">
        <v>7.5700000000000003E-2</v>
      </c>
    </row>
    <row r="514" spans="3:13" x14ac:dyDescent="0.15">
      <c r="C514" s="76">
        <v>506</v>
      </c>
      <c r="D514" s="76">
        <v>6.7999999999999996E-3</v>
      </c>
      <c r="E514" s="76">
        <v>1.3899999999999999E-2</v>
      </c>
      <c r="F514" s="76">
        <v>2.0899999999999998E-2</v>
      </c>
      <c r="G514" s="76">
        <v>2.7799999999999998E-2</v>
      </c>
      <c r="H514" s="76">
        <v>3.4700000000000002E-2</v>
      </c>
      <c r="I514" s="76">
        <v>4.1500000000000002E-2</v>
      </c>
      <c r="J514" s="76">
        <v>4.8500000000000001E-2</v>
      </c>
      <c r="K514" s="76">
        <v>5.5199999999999999E-2</v>
      </c>
      <c r="L514" s="76">
        <v>6.1899999999999997E-2</v>
      </c>
      <c r="M514" s="76">
        <v>6.8500000000000005E-2</v>
      </c>
    </row>
    <row r="515" spans="3:13" x14ac:dyDescent="0.15">
      <c r="C515" s="76">
        <v>508</v>
      </c>
      <c r="D515" s="76">
        <v>6.1500000000000001E-3</v>
      </c>
      <c r="E515" s="76">
        <v>1.26E-2</v>
      </c>
      <c r="F515" s="76">
        <v>1.89E-2</v>
      </c>
      <c r="G515" s="76">
        <v>2.52E-2</v>
      </c>
      <c r="H515" s="76">
        <v>3.1399999999999997E-2</v>
      </c>
      <c r="I515" s="76">
        <v>3.7499999999999999E-2</v>
      </c>
      <c r="J515" s="76">
        <v>4.3900000000000002E-2</v>
      </c>
      <c r="K515" s="76">
        <v>0.05</v>
      </c>
      <c r="L515" s="76">
        <v>5.6099999999999997E-2</v>
      </c>
      <c r="M515" s="76">
        <v>6.2100000000000002E-2</v>
      </c>
    </row>
    <row r="516" spans="3:13" x14ac:dyDescent="0.15">
      <c r="C516" s="76">
        <v>510</v>
      </c>
      <c r="D516" s="76">
        <v>5.5900000000000004E-3</v>
      </c>
      <c r="E516" s="76">
        <v>1.14E-2</v>
      </c>
      <c r="F516" s="76">
        <v>1.72E-2</v>
      </c>
      <c r="G516" s="76">
        <v>2.29E-2</v>
      </c>
      <c r="H516" s="76">
        <v>2.8500000000000001E-2</v>
      </c>
      <c r="I516" s="76">
        <v>3.4099999999999998E-2</v>
      </c>
      <c r="J516" s="76">
        <v>3.9899999999999998E-2</v>
      </c>
      <c r="K516" s="76">
        <v>4.53E-2</v>
      </c>
      <c r="L516" s="76">
        <v>5.0999999999999997E-2</v>
      </c>
      <c r="M516" s="76">
        <v>5.6500000000000002E-2</v>
      </c>
    </row>
    <row r="517" spans="3:13" x14ac:dyDescent="0.15">
      <c r="C517" s="76">
        <v>512</v>
      </c>
      <c r="D517" s="76">
        <v>5.0299999999999997E-3</v>
      </c>
      <c r="E517" s="76">
        <v>1.03E-2</v>
      </c>
      <c r="F517" s="76">
        <v>1.55E-2</v>
      </c>
      <c r="G517" s="76">
        <v>2.06E-2</v>
      </c>
      <c r="H517" s="76">
        <v>2.5700000000000001E-2</v>
      </c>
      <c r="I517" s="76">
        <v>3.0800000000000001E-2</v>
      </c>
      <c r="J517" s="76">
        <v>3.5999999999999997E-2</v>
      </c>
      <c r="K517" s="76">
        <v>4.1000000000000002E-2</v>
      </c>
      <c r="L517" s="76">
        <v>4.5999999999999999E-2</v>
      </c>
      <c r="M517" s="76">
        <v>5.0799999999999998E-2</v>
      </c>
    </row>
    <row r="518" spans="3:13" x14ac:dyDescent="0.15">
      <c r="C518" s="76">
        <v>514</v>
      </c>
      <c r="D518" s="76">
        <v>4.6100000000000004E-3</v>
      </c>
      <c r="E518" s="76">
        <v>9.4000000000000004E-3</v>
      </c>
      <c r="F518" s="76">
        <v>1.4200000000000001E-2</v>
      </c>
      <c r="G518" s="76">
        <v>1.8800000000000001E-2</v>
      </c>
      <c r="H518" s="76">
        <v>2.35E-2</v>
      </c>
      <c r="I518" s="76">
        <v>2.81E-2</v>
      </c>
      <c r="J518" s="76">
        <v>3.2800000000000003E-2</v>
      </c>
      <c r="K518" s="76">
        <v>3.7400000000000003E-2</v>
      </c>
      <c r="L518" s="76">
        <v>4.2000000000000003E-2</v>
      </c>
      <c r="M518" s="76">
        <v>4.6199999999999998E-2</v>
      </c>
    </row>
    <row r="519" spans="3:13" x14ac:dyDescent="0.15">
      <c r="C519" s="76">
        <v>516</v>
      </c>
      <c r="D519" s="76">
        <v>4.2399999999999998E-3</v>
      </c>
      <c r="E519" s="76">
        <v>8.6400000000000001E-3</v>
      </c>
      <c r="F519" s="76">
        <v>1.3100000000000001E-2</v>
      </c>
      <c r="G519" s="76">
        <v>1.7299999999999999E-2</v>
      </c>
      <c r="H519" s="76">
        <v>2.1600000000000001E-2</v>
      </c>
      <c r="I519" s="76">
        <v>2.58E-2</v>
      </c>
      <c r="J519" s="76">
        <v>3.0099999999999998E-2</v>
      </c>
      <c r="K519" s="76">
        <v>3.4299999999999997E-2</v>
      </c>
      <c r="L519" s="76">
        <v>3.8600000000000002E-2</v>
      </c>
      <c r="M519" s="76">
        <v>4.2799999999999998E-2</v>
      </c>
    </row>
    <row r="520" spans="3:13" x14ac:dyDescent="0.15">
      <c r="C520" s="76">
        <v>518</v>
      </c>
      <c r="D520" s="76">
        <v>3.9100000000000003E-3</v>
      </c>
      <c r="E520" s="76">
        <v>7.9799999999999992E-3</v>
      </c>
      <c r="F520" s="76">
        <v>1.2E-2</v>
      </c>
      <c r="G520" s="76">
        <v>1.5900000000000001E-2</v>
      </c>
      <c r="H520" s="76">
        <v>1.9900000000000001E-2</v>
      </c>
      <c r="I520" s="76">
        <v>2.3800000000000002E-2</v>
      </c>
      <c r="J520" s="76">
        <v>2.7799999999999998E-2</v>
      </c>
      <c r="K520" s="76">
        <v>3.1699999999999999E-2</v>
      </c>
      <c r="L520" s="76">
        <v>3.5700000000000003E-2</v>
      </c>
      <c r="M520" s="76">
        <v>3.9399999999999998E-2</v>
      </c>
    </row>
    <row r="521" spans="3:13" x14ac:dyDescent="0.15">
      <c r="C521" s="76">
        <v>520</v>
      </c>
      <c r="D521" s="76">
        <v>3.62E-3</v>
      </c>
      <c r="E521" s="76">
        <v>7.3899999999999999E-3</v>
      </c>
      <c r="F521" s="76">
        <v>1.12E-2</v>
      </c>
      <c r="G521" s="76">
        <v>1.4800000000000001E-2</v>
      </c>
      <c r="H521" s="76">
        <v>1.84E-2</v>
      </c>
      <c r="I521" s="76">
        <v>2.1999999999999999E-2</v>
      </c>
      <c r="J521" s="76">
        <v>2.58E-2</v>
      </c>
      <c r="K521" s="76">
        <v>2.9399999999999999E-2</v>
      </c>
      <c r="L521" s="76">
        <v>3.3099999999999997E-2</v>
      </c>
      <c r="M521" s="76">
        <v>3.6499999999999998E-2</v>
      </c>
    </row>
    <row r="522" spans="3:13" x14ac:dyDescent="0.15">
      <c r="C522" s="76">
        <v>522</v>
      </c>
      <c r="D522" s="76">
        <v>3.3500000000000001E-3</v>
      </c>
      <c r="E522" s="76">
        <v>6.8500000000000002E-3</v>
      </c>
      <c r="F522" s="76">
        <v>1.03E-2</v>
      </c>
      <c r="G522" s="76">
        <v>1.37E-2</v>
      </c>
      <c r="H522" s="76">
        <v>1.7000000000000001E-2</v>
      </c>
      <c r="I522" s="76">
        <v>2.0400000000000001E-2</v>
      </c>
      <c r="J522" s="76">
        <v>2.3900000000000001E-2</v>
      </c>
      <c r="K522" s="76">
        <v>2.7199999999999998E-2</v>
      </c>
      <c r="L522" s="76">
        <v>3.0599999999999999E-2</v>
      </c>
      <c r="M522" s="76">
        <v>3.3700000000000001E-2</v>
      </c>
    </row>
    <row r="523" spans="3:13" x14ac:dyDescent="0.15">
      <c r="C523" s="76">
        <v>524</v>
      </c>
      <c r="D523" s="76">
        <v>3.0699999999999998E-3</v>
      </c>
      <c r="E523" s="76">
        <v>6.2599999999999999E-3</v>
      </c>
      <c r="F523" s="76">
        <v>9.4900000000000002E-3</v>
      </c>
      <c r="G523" s="76">
        <v>1.26E-2</v>
      </c>
      <c r="H523" s="76">
        <v>1.5599999999999999E-2</v>
      </c>
      <c r="I523" s="76">
        <v>1.8700000000000001E-2</v>
      </c>
      <c r="J523" s="76">
        <v>2.1899999999999999E-2</v>
      </c>
      <c r="K523" s="76">
        <v>2.4899999999999999E-2</v>
      </c>
      <c r="L523" s="76">
        <v>2.8000000000000001E-2</v>
      </c>
      <c r="M523" s="76">
        <v>3.1E-2</v>
      </c>
    </row>
    <row r="524" spans="3:13" x14ac:dyDescent="0.15">
      <c r="C524" s="76">
        <v>526</v>
      </c>
      <c r="D524" s="76">
        <v>2.8400000000000001E-3</v>
      </c>
      <c r="E524" s="76">
        <v>5.79E-3</v>
      </c>
      <c r="F524" s="76">
        <v>8.7600000000000004E-3</v>
      </c>
      <c r="G524" s="76">
        <v>1.1599999999999999E-2</v>
      </c>
      <c r="H524" s="76">
        <v>1.44E-2</v>
      </c>
      <c r="I524" s="76">
        <v>1.7299999999999999E-2</v>
      </c>
      <c r="J524" s="76">
        <v>2.0299999999999999E-2</v>
      </c>
      <c r="K524" s="76">
        <v>2.3099999999999999E-2</v>
      </c>
      <c r="L524" s="76">
        <v>2.5899999999999999E-2</v>
      </c>
      <c r="M524" s="76">
        <v>2.86E-2</v>
      </c>
    </row>
    <row r="525" spans="3:13" x14ac:dyDescent="0.15">
      <c r="C525" s="76">
        <v>528</v>
      </c>
      <c r="D525" s="76">
        <v>2.6199999999999999E-3</v>
      </c>
      <c r="E525" s="76">
        <v>5.3499999999999997E-3</v>
      </c>
      <c r="F525" s="76">
        <v>8.09E-3</v>
      </c>
      <c r="G525" s="76">
        <v>1.0699999999999999E-2</v>
      </c>
      <c r="H525" s="76">
        <v>1.3299999999999999E-2</v>
      </c>
      <c r="I525" s="76">
        <v>1.6E-2</v>
      </c>
      <c r="J525" s="76">
        <v>1.8700000000000001E-2</v>
      </c>
      <c r="K525" s="76">
        <v>2.1299999999999999E-2</v>
      </c>
      <c r="L525" s="76">
        <v>2.4E-2</v>
      </c>
      <c r="M525" s="76">
        <v>2.64E-2</v>
      </c>
    </row>
    <row r="526" spans="3:13" x14ac:dyDescent="0.15">
      <c r="C526" s="76">
        <v>530</v>
      </c>
      <c r="D526" s="76">
        <v>2.4099999999999998E-3</v>
      </c>
      <c r="E526" s="76">
        <v>4.9399999999999999E-3</v>
      </c>
      <c r="F526" s="76">
        <v>7.4400000000000004E-3</v>
      </c>
      <c r="G526" s="76">
        <v>9.8499999999999994E-3</v>
      </c>
      <c r="H526" s="76">
        <v>1.23E-2</v>
      </c>
      <c r="I526" s="76">
        <v>1.47E-2</v>
      </c>
      <c r="J526" s="76">
        <v>1.72E-2</v>
      </c>
      <c r="K526" s="76">
        <v>1.9699999999999999E-2</v>
      </c>
      <c r="L526" s="76">
        <v>2.2100000000000002E-2</v>
      </c>
      <c r="M526" s="76">
        <v>2.4299999999999999E-2</v>
      </c>
    </row>
    <row r="527" spans="3:13" x14ac:dyDescent="0.15">
      <c r="C527" s="76">
        <v>532</v>
      </c>
      <c r="D527" s="76">
        <v>2.2100000000000002E-3</v>
      </c>
      <c r="E527" s="76">
        <v>4.4999999999999997E-3</v>
      </c>
      <c r="F527" s="76">
        <v>6.8300000000000001E-3</v>
      </c>
      <c r="G527" s="76">
        <v>9.0600000000000003E-3</v>
      </c>
      <c r="H527" s="76">
        <v>1.12E-2</v>
      </c>
      <c r="I527" s="76">
        <v>1.35E-2</v>
      </c>
      <c r="J527" s="76">
        <v>1.5800000000000002E-2</v>
      </c>
      <c r="K527" s="76">
        <v>1.7999999999999999E-2</v>
      </c>
      <c r="L527" s="76">
        <v>2.0199999999999999E-2</v>
      </c>
      <c r="M527" s="76">
        <v>2.23E-2</v>
      </c>
    </row>
    <row r="528" spans="3:13" x14ac:dyDescent="0.15">
      <c r="C528" s="76">
        <v>534</v>
      </c>
      <c r="D528" s="76">
        <v>2.0100000000000001E-3</v>
      </c>
      <c r="E528" s="76">
        <v>4.1099999999999999E-3</v>
      </c>
      <c r="F528" s="76">
        <v>6.2199999999999998E-3</v>
      </c>
      <c r="G528" s="76">
        <v>8.2500000000000004E-3</v>
      </c>
      <c r="H528" s="76">
        <v>1.03E-2</v>
      </c>
      <c r="I528" s="76">
        <v>1.23E-2</v>
      </c>
      <c r="J528" s="76">
        <v>1.44E-2</v>
      </c>
      <c r="K528" s="76">
        <v>1.6400000000000001E-2</v>
      </c>
      <c r="L528" s="76">
        <v>1.8499999999999999E-2</v>
      </c>
      <c r="M528" s="76">
        <v>2.0299999999999999E-2</v>
      </c>
    </row>
    <row r="529" spans="3:13" x14ac:dyDescent="0.15">
      <c r="C529" s="76">
        <v>536</v>
      </c>
      <c r="D529" s="76">
        <v>1.82E-3</v>
      </c>
      <c r="E529" s="76">
        <v>3.7000000000000002E-3</v>
      </c>
      <c r="F529" s="76">
        <v>5.5799999999999999E-3</v>
      </c>
      <c r="G529" s="76">
        <v>7.4099999999999999E-3</v>
      </c>
      <c r="H529" s="76">
        <v>9.2399999999999999E-3</v>
      </c>
      <c r="I529" s="76">
        <v>1.11E-2</v>
      </c>
      <c r="J529" s="76">
        <v>1.29E-2</v>
      </c>
      <c r="K529" s="76">
        <v>1.47E-2</v>
      </c>
      <c r="L529" s="76">
        <v>1.66E-2</v>
      </c>
      <c r="M529" s="76">
        <v>1.83E-2</v>
      </c>
    </row>
    <row r="530" spans="3:13" x14ac:dyDescent="0.15">
      <c r="C530" s="76">
        <v>538</v>
      </c>
      <c r="D530" s="76">
        <v>1.65E-3</v>
      </c>
      <c r="E530" s="76">
        <v>3.3600000000000001E-3</v>
      </c>
      <c r="F530" s="76">
        <v>5.0899999999999999E-3</v>
      </c>
      <c r="G530" s="76">
        <v>6.7299999999999999E-3</v>
      </c>
      <c r="H530" s="76">
        <v>8.4100000000000008E-3</v>
      </c>
      <c r="I530" s="76">
        <v>1.01E-2</v>
      </c>
      <c r="J530" s="76">
        <v>1.18E-2</v>
      </c>
      <c r="K530" s="76">
        <v>1.34E-2</v>
      </c>
      <c r="L530" s="76">
        <v>1.4999999999999999E-2</v>
      </c>
      <c r="M530" s="76">
        <v>1.67E-2</v>
      </c>
    </row>
    <row r="531" spans="3:13" x14ac:dyDescent="0.15">
      <c r="C531" s="76">
        <v>540</v>
      </c>
      <c r="D531" s="76">
        <v>1.5E-3</v>
      </c>
      <c r="E531" s="76">
        <v>3.0599999999999998E-3</v>
      </c>
      <c r="F531" s="76">
        <v>4.62E-3</v>
      </c>
      <c r="G531" s="76">
        <v>6.1399999999999996E-3</v>
      </c>
      <c r="H531" s="76">
        <v>7.6499999999999997E-3</v>
      </c>
      <c r="I531" s="76">
        <v>9.2099999999999994E-3</v>
      </c>
      <c r="J531" s="76">
        <v>1.0699999999999999E-2</v>
      </c>
      <c r="K531" s="76">
        <v>1.2200000000000001E-2</v>
      </c>
      <c r="L531" s="76">
        <v>1.37E-2</v>
      </c>
      <c r="M531" s="76">
        <v>1.52E-2</v>
      </c>
    </row>
    <row r="532" spans="3:13" x14ac:dyDescent="0.15">
      <c r="C532" s="76">
        <v>542</v>
      </c>
      <c r="D532" s="76">
        <v>1.3699999999999999E-3</v>
      </c>
      <c r="E532" s="76">
        <v>2.7799999999999999E-3</v>
      </c>
      <c r="F532" s="76">
        <v>4.2100000000000002E-3</v>
      </c>
      <c r="G532" s="76">
        <v>5.5900000000000004E-3</v>
      </c>
      <c r="H532" s="76">
        <v>6.9699999999999996E-3</v>
      </c>
      <c r="I532" s="76">
        <v>8.3800000000000003E-3</v>
      </c>
      <c r="J532" s="76">
        <v>9.7099999999999999E-3</v>
      </c>
      <c r="K532" s="76">
        <v>1.11E-2</v>
      </c>
      <c r="L532" s="76">
        <v>1.24E-2</v>
      </c>
      <c r="M532" s="76">
        <v>1.38E-2</v>
      </c>
    </row>
    <row r="533" spans="3:13" x14ac:dyDescent="0.15">
      <c r="C533" s="76">
        <v>544</v>
      </c>
      <c r="D533" s="76">
        <v>1.24E-3</v>
      </c>
      <c r="E533" s="76">
        <v>2.5300000000000001E-3</v>
      </c>
      <c r="F533" s="76">
        <v>3.8300000000000001E-3</v>
      </c>
      <c r="G533" s="76">
        <v>5.0699999999999999E-3</v>
      </c>
      <c r="H533" s="76">
        <v>6.3400000000000001E-3</v>
      </c>
      <c r="I533" s="76">
        <v>7.62E-3</v>
      </c>
      <c r="J533" s="76">
        <v>8.8500000000000002E-3</v>
      </c>
      <c r="K533" s="76">
        <v>1.01E-2</v>
      </c>
      <c r="L533" s="76">
        <v>1.1299999999999999E-2</v>
      </c>
      <c r="M533" s="76">
        <v>1.26E-2</v>
      </c>
    </row>
    <row r="534" spans="3:13" x14ac:dyDescent="0.15">
      <c r="C534" s="76">
        <v>546</v>
      </c>
      <c r="D534" s="76">
        <v>1.1299999999999999E-3</v>
      </c>
      <c r="E534" s="76">
        <v>2.2899999999999999E-3</v>
      </c>
      <c r="F534" s="76">
        <v>3.4399999999999999E-3</v>
      </c>
      <c r="G534" s="76">
        <v>4.5599999999999998E-3</v>
      </c>
      <c r="H534" s="76">
        <v>5.7400000000000003E-3</v>
      </c>
      <c r="I534" s="76">
        <v>6.9199999999999999E-3</v>
      </c>
      <c r="J534" s="76">
        <v>7.9799999999999992E-3</v>
      </c>
      <c r="K534" s="76">
        <v>9.0200000000000002E-3</v>
      </c>
      <c r="L534" s="76">
        <v>1.0200000000000001E-2</v>
      </c>
      <c r="M534" s="76">
        <v>1.1299999999999999E-2</v>
      </c>
    </row>
    <row r="535" spans="3:13" x14ac:dyDescent="0.15">
      <c r="C535" s="76">
        <v>548</v>
      </c>
      <c r="D535" s="76">
        <v>1.0200000000000001E-3</v>
      </c>
      <c r="E535" s="76">
        <v>2.0899999999999998E-3</v>
      </c>
      <c r="F535" s="76">
        <v>3.1099999999999999E-3</v>
      </c>
      <c r="G535" s="76">
        <v>4.1399999999999996E-3</v>
      </c>
      <c r="H535" s="76">
        <v>5.1999999999999998E-3</v>
      </c>
      <c r="I535" s="76">
        <v>6.28E-3</v>
      </c>
      <c r="J535" s="76">
        <v>7.1999999999999998E-3</v>
      </c>
      <c r="K535" s="76">
        <v>8.1700000000000002E-3</v>
      </c>
      <c r="L535" s="76">
        <v>9.2700000000000005E-3</v>
      </c>
      <c r="M535" s="76">
        <v>1.0200000000000001E-2</v>
      </c>
    </row>
    <row r="536" spans="3:13" x14ac:dyDescent="0.15">
      <c r="C536" s="76">
        <v>550</v>
      </c>
      <c r="D536" s="76">
        <v>9.2800000000000001E-4</v>
      </c>
      <c r="E536" s="76">
        <v>1.9E-3</v>
      </c>
      <c r="F536" s="76">
        <v>2.8500000000000001E-3</v>
      </c>
      <c r="G536" s="76">
        <v>3.7599999999999999E-3</v>
      </c>
      <c r="H536" s="76">
        <v>4.7400000000000003E-3</v>
      </c>
      <c r="I536" s="76">
        <v>5.7299999999999999E-3</v>
      </c>
      <c r="J536" s="76">
        <v>6.5700000000000003E-3</v>
      </c>
      <c r="K536" s="76">
        <v>7.4799999999999997E-3</v>
      </c>
      <c r="L536" s="76">
        <v>8.3999999999999995E-3</v>
      </c>
      <c r="M536" s="76">
        <v>9.3699999999999999E-3</v>
      </c>
    </row>
    <row r="537" spans="3:13" x14ac:dyDescent="0.15">
      <c r="C537" s="76">
        <v>552</v>
      </c>
      <c r="D537" s="76">
        <v>8.4699999999999999E-4</v>
      </c>
      <c r="E537" s="76">
        <v>1.73E-3</v>
      </c>
      <c r="F537" s="76">
        <v>2.5899999999999999E-3</v>
      </c>
      <c r="G537" s="76">
        <v>3.4199999999999999E-3</v>
      </c>
      <c r="H537" s="76">
        <v>4.3400000000000001E-3</v>
      </c>
      <c r="I537" s="76">
        <v>5.2399999999999999E-3</v>
      </c>
      <c r="J537" s="76">
        <v>5.9300000000000004E-3</v>
      </c>
      <c r="K537" s="76">
        <v>6.8300000000000001E-3</v>
      </c>
      <c r="L537" s="76">
        <v>7.62E-3</v>
      </c>
      <c r="M537" s="76">
        <v>8.5500000000000003E-3</v>
      </c>
    </row>
    <row r="538" spans="3:13" x14ac:dyDescent="0.15">
      <c r="C538" s="76">
        <v>554</v>
      </c>
      <c r="D538" s="76">
        <v>7.67E-4</v>
      </c>
      <c r="E538" s="76">
        <v>1.5900000000000001E-3</v>
      </c>
      <c r="F538" s="76">
        <v>2.3500000000000001E-3</v>
      </c>
      <c r="G538" s="76">
        <v>3.1199999999999999E-3</v>
      </c>
      <c r="H538" s="76">
        <v>3.96E-3</v>
      </c>
      <c r="I538" s="76">
        <v>4.79E-3</v>
      </c>
      <c r="J538" s="76">
        <v>5.4000000000000003E-3</v>
      </c>
      <c r="K538" s="76">
        <v>6.2300000000000003E-3</v>
      </c>
      <c r="L538" s="76">
        <v>6.9199999999999999E-3</v>
      </c>
      <c r="M538" s="76">
        <v>7.8300000000000002E-3</v>
      </c>
    </row>
    <row r="539" spans="3:13" x14ac:dyDescent="0.15">
      <c r="C539" s="76">
        <v>556</v>
      </c>
      <c r="D539" s="76">
        <v>7.0299999999999996E-4</v>
      </c>
      <c r="E539" s="76">
        <v>1.4400000000000001E-3</v>
      </c>
      <c r="F539" s="76">
        <v>2.1299999999999999E-3</v>
      </c>
      <c r="G539" s="76">
        <v>2.8400000000000001E-3</v>
      </c>
      <c r="H539" s="76">
        <v>3.62E-3</v>
      </c>
      <c r="I539" s="76">
        <v>4.3299999999999996E-3</v>
      </c>
      <c r="J539" s="76">
        <v>4.9300000000000004E-3</v>
      </c>
      <c r="K539" s="76">
        <v>5.6499999999999996E-3</v>
      </c>
      <c r="L539" s="76">
        <v>6.3600000000000002E-3</v>
      </c>
      <c r="M539" s="76">
        <v>7.1399999999999996E-3</v>
      </c>
    </row>
    <row r="540" spans="3:13" x14ac:dyDescent="0.15">
      <c r="C540" s="76">
        <v>558</v>
      </c>
      <c r="D540" s="76">
        <v>6.3699999999999998E-4</v>
      </c>
      <c r="E540" s="76">
        <v>1.2999999999999999E-3</v>
      </c>
      <c r="F540" s="76">
        <v>1.9400000000000001E-3</v>
      </c>
      <c r="G540" s="76">
        <v>2.5699999999999998E-3</v>
      </c>
      <c r="H540" s="76">
        <v>3.2699999999999999E-3</v>
      </c>
      <c r="I540" s="76">
        <v>3.9199999999999999E-3</v>
      </c>
      <c r="J540" s="76">
        <v>4.45E-3</v>
      </c>
      <c r="K540" s="76">
        <v>5.1599999999999997E-3</v>
      </c>
      <c r="L540" s="76">
        <v>5.7000000000000002E-3</v>
      </c>
      <c r="M540" s="76">
        <v>6.45E-3</v>
      </c>
    </row>
    <row r="541" spans="3:13" x14ac:dyDescent="0.15">
      <c r="C541" s="76">
        <v>560</v>
      </c>
      <c r="D541" s="76">
        <v>5.8E-4</v>
      </c>
      <c r="E541" s="76">
        <v>1.1900000000000001E-3</v>
      </c>
      <c r="F541" s="76">
        <v>1.7600000000000001E-3</v>
      </c>
      <c r="G541" s="76">
        <v>2.3600000000000001E-3</v>
      </c>
      <c r="H541" s="76">
        <v>3.0200000000000001E-3</v>
      </c>
      <c r="I541" s="76">
        <v>3.6099999999999999E-3</v>
      </c>
      <c r="J541" s="76">
        <v>4.0499999999999998E-3</v>
      </c>
      <c r="K541" s="76">
        <v>4.6899999999999997E-3</v>
      </c>
      <c r="L541" s="76">
        <v>5.2300000000000003E-3</v>
      </c>
      <c r="M541" s="76">
        <v>5.8999999999999999E-3</v>
      </c>
    </row>
    <row r="542" spans="3:13" x14ac:dyDescent="0.15">
      <c r="C542" s="76">
        <v>562</v>
      </c>
      <c r="D542" s="76">
        <v>5.3300000000000005E-4</v>
      </c>
      <c r="E542" s="76">
        <v>1.09E-3</v>
      </c>
      <c r="F542" s="76">
        <v>1.6100000000000001E-3</v>
      </c>
      <c r="G542" s="76">
        <v>2.1700000000000001E-3</v>
      </c>
      <c r="H542" s="76">
        <v>2.7899999999999999E-3</v>
      </c>
      <c r="I542" s="76">
        <v>3.3E-3</v>
      </c>
      <c r="J542" s="76">
        <v>3.7200000000000002E-3</v>
      </c>
      <c r="K542" s="76">
        <v>4.2900000000000004E-3</v>
      </c>
      <c r="L542" s="76">
        <v>4.7800000000000004E-3</v>
      </c>
      <c r="M542" s="76">
        <v>5.4000000000000003E-3</v>
      </c>
    </row>
    <row r="543" spans="3:13" x14ac:dyDescent="0.15">
      <c r="C543" s="76">
        <v>564</v>
      </c>
      <c r="D543" s="76">
        <v>4.9100000000000001E-4</v>
      </c>
      <c r="E543" s="76">
        <v>9.990000000000001E-4</v>
      </c>
      <c r="F543" s="76">
        <v>1.48E-3</v>
      </c>
      <c r="G543" s="76">
        <v>1.97E-3</v>
      </c>
      <c r="H543" s="76">
        <v>2.5500000000000002E-3</v>
      </c>
      <c r="I543" s="76">
        <v>3.0000000000000001E-3</v>
      </c>
      <c r="J543" s="76">
        <v>3.4099999999999998E-3</v>
      </c>
      <c r="K543" s="76">
        <v>3.9399999999999999E-3</v>
      </c>
      <c r="L543" s="76">
        <v>4.3499999999999997E-3</v>
      </c>
      <c r="M543" s="76">
        <v>5.0299999999999997E-3</v>
      </c>
    </row>
    <row r="544" spans="3:13" x14ac:dyDescent="0.15">
      <c r="C544" s="76">
        <v>566</v>
      </c>
      <c r="D544" s="76">
        <v>4.5399999999999998E-4</v>
      </c>
      <c r="E544" s="76">
        <v>9.1299999999999997E-4</v>
      </c>
      <c r="F544" s="76">
        <v>1.3500000000000001E-3</v>
      </c>
      <c r="G544" s="76">
        <v>1.8500000000000001E-3</v>
      </c>
      <c r="H544" s="76">
        <v>2.3900000000000002E-3</v>
      </c>
      <c r="I544" s="76">
        <v>2.7799999999999999E-3</v>
      </c>
      <c r="J544" s="76">
        <v>3.15E-3</v>
      </c>
      <c r="K544" s="76">
        <v>3.65E-3</v>
      </c>
      <c r="L544" s="76">
        <v>3.9699999999999996E-3</v>
      </c>
      <c r="M544" s="76">
        <v>4.62E-3</v>
      </c>
    </row>
    <row r="545" spans="3:13" x14ac:dyDescent="0.15">
      <c r="C545" s="76">
        <v>568</v>
      </c>
      <c r="D545" s="76">
        <v>4.2099999999999999E-4</v>
      </c>
      <c r="E545" s="76">
        <v>8.5599999999999999E-4</v>
      </c>
      <c r="F545" s="76">
        <v>1.2600000000000001E-3</v>
      </c>
      <c r="G545" s="76">
        <v>1.6900000000000001E-3</v>
      </c>
      <c r="H545" s="76">
        <v>2.1800000000000001E-3</v>
      </c>
      <c r="I545" s="76">
        <v>2.5500000000000002E-3</v>
      </c>
      <c r="J545" s="76">
        <v>2.8900000000000002E-3</v>
      </c>
      <c r="K545" s="76">
        <v>3.3700000000000002E-3</v>
      </c>
      <c r="L545" s="76">
        <v>3.6700000000000001E-3</v>
      </c>
      <c r="M545" s="76">
        <v>4.3299999999999996E-3</v>
      </c>
    </row>
    <row r="546" spans="3:13" x14ac:dyDescent="0.15">
      <c r="C546" s="76">
        <v>570</v>
      </c>
      <c r="D546" s="76">
        <v>3.8900000000000002E-4</v>
      </c>
      <c r="E546" s="76">
        <v>7.9000000000000001E-4</v>
      </c>
      <c r="F546" s="76">
        <v>1.15E-3</v>
      </c>
      <c r="G546" s="76">
        <v>1.57E-3</v>
      </c>
      <c r="H546" s="76">
        <v>2.0200000000000001E-3</v>
      </c>
      <c r="I546" s="76">
        <v>2.3700000000000001E-3</v>
      </c>
      <c r="J546" s="76">
        <v>2.6800000000000001E-3</v>
      </c>
      <c r="K546" s="76">
        <v>3.14E-3</v>
      </c>
      <c r="L546" s="76">
        <v>3.4199999999999999E-3</v>
      </c>
      <c r="M546" s="76">
        <v>3.8600000000000001E-3</v>
      </c>
    </row>
    <row r="547" spans="3:13" x14ac:dyDescent="0.15">
      <c r="C547" s="76">
        <v>572</v>
      </c>
      <c r="D547" s="76">
        <v>3.6200000000000002E-4</v>
      </c>
      <c r="E547" s="76">
        <v>7.2199999999999999E-4</v>
      </c>
      <c r="F547" s="76">
        <v>1.08E-3</v>
      </c>
      <c r="G547" s="76">
        <v>1.4400000000000001E-3</v>
      </c>
      <c r="H547" s="76">
        <v>1.89E-3</v>
      </c>
      <c r="I547" s="76">
        <v>2.2000000000000001E-3</v>
      </c>
      <c r="J547" s="76">
        <v>2.4499999999999999E-3</v>
      </c>
      <c r="K547" s="76">
        <v>2.9099999999999998E-3</v>
      </c>
      <c r="L547" s="76">
        <v>3.1700000000000001E-3</v>
      </c>
      <c r="M547" s="76">
        <v>3.5999999999999999E-3</v>
      </c>
    </row>
    <row r="548" spans="3:13" x14ac:dyDescent="0.15">
      <c r="C548" s="76">
        <v>574</v>
      </c>
      <c r="D548" s="76">
        <v>3.4099999999999999E-4</v>
      </c>
      <c r="E548" s="76">
        <v>6.9099999999999999E-4</v>
      </c>
      <c r="F548" s="76">
        <v>1E-3</v>
      </c>
      <c r="G548" s="76">
        <v>1.3500000000000001E-3</v>
      </c>
      <c r="H548" s="76">
        <v>1.74E-3</v>
      </c>
      <c r="I548" s="76">
        <v>2.0600000000000002E-3</v>
      </c>
      <c r="J548" s="76">
        <v>2.31E-3</v>
      </c>
      <c r="K548" s="76">
        <v>2.7200000000000002E-3</v>
      </c>
      <c r="L548" s="76">
        <v>2.8900000000000002E-3</v>
      </c>
      <c r="M548" s="76">
        <v>3.3400000000000001E-3</v>
      </c>
    </row>
    <row r="549" spans="3:13" x14ac:dyDescent="0.15">
      <c r="C549" s="76">
        <v>576</v>
      </c>
      <c r="D549" s="76">
        <v>3.1300000000000002E-4</v>
      </c>
      <c r="E549" s="76">
        <v>6.3599999999999996E-4</v>
      </c>
      <c r="F549" s="76">
        <v>9.1E-4</v>
      </c>
      <c r="G549" s="76">
        <v>1.2800000000000001E-3</v>
      </c>
      <c r="H549" s="76">
        <v>1.6199999999999999E-3</v>
      </c>
      <c r="I549" s="76">
        <v>1.9300000000000001E-3</v>
      </c>
      <c r="J549" s="76">
        <v>2.0999999999999999E-3</v>
      </c>
      <c r="K549" s="76">
        <v>2.5999999999999999E-3</v>
      </c>
      <c r="L549" s="76">
        <v>2.7499999999999998E-3</v>
      </c>
      <c r="M549" s="76">
        <v>3.16E-3</v>
      </c>
    </row>
    <row r="550" spans="3:13" x14ac:dyDescent="0.15">
      <c r="C550" s="76">
        <v>578</v>
      </c>
      <c r="D550" s="76">
        <v>2.9100000000000003E-4</v>
      </c>
      <c r="E550" s="76">
        <v>5.71E-4</v>
      </c>
      <c r="F550" s="76">
        <v>8.3100000000000003E-4</v>
      </c>
      <c r="G550" s="76">
        <v>1.17E-3</v>
      </c>
      <c r="H550" s="76">
        <v>1.4499999999999999E-3</v>
      </c>
      <c r="I550" s="76">
        <v>1.7600000000000001E-3</v>
      </c>
      <c r="J550" s="76">
        <v>1.9400000000000001E-3</v>
      </c>
      <c r="K550" s="76">
        <v>2.3900000000000002E-3</v>
      </c>
      <c r="L550" s="76">
        <v>2.5000000000000001E-3</v>
      </c>
      <c r="M550" s="76">
        <v>2.8999999999999998E-3</v>
      </c>
    </row>
    <row r="551" spans="3:13" x14ac:dyDescent="0.15">
      <c r="C551" s="76">
        <v>580</v>
      </c>
      <c r="D551" s="76">
        <v>2.7399999999999999E-4</v>
      </c>
      <c r="E551" s="76">
        <v>5.2300000000000003E-4</v>
      </c>
      <c r="F551" s="76">
        <v>7.6300000000000001E-4</v>
      </c>
      <c r="G551" s="76">
        <v>1.08E-3</v>
      </c>
      <c r="H551" s="76">
        <v>1.3500000000000001E-3</v>
      </c>
      <c r="I551" s="76">
        <v>1.6100000000000001E-3</v>
      </c>
      <c r="J551" s="76">
        <v>1.8E-3</v>
      </c>
      <c r="K551" s="76">
        <v>2.2000000000000001E-3</v>
      </c>
      <c r="L551" s="76">
        <v>2.3E-3</v>
      </c>
      <c r="M551" s="76">
        <v>2.66E-3</v>
      </c>
    </row>
    <row r="552" spans="3:13" x14ac:dyDescent="0.15">
      <c r="C552" s="76">
        <v>582</v>
      </c>
      <c r="D552" s="76">
        <v>2.5099999999999998E-4</v>
      </c>
      <c r="E552" s="76">
        <v>4.95E-4</v>
      </c>
      <c r="F552" s="76">
        <v>6.9999999999999999E-4</v>
      </c>
      <c r="G552" s="76">
        <v>9.9299999999999996E-4</v>
      </c>
      <c r="H552" s="76">
        <v>1.1999999999999999E-3</v>
      </c>
      <c r="I552" s="76">
        <v>1.49E-3</v>
      </c>
      <c r="J552" s="76">
        <v>1.74E-3</v>
      </c>
      <c r="K552" s="76">
        <v>2.0100000000000001E-3</v>
      </c>
      <c r="L552" s="76">
        <v>2.1199999999999999E-3</v>
      </c>
      <c r="M552" s="76">
        <v>2.48E-3</v>
      </c>
    </row>
    <row r="553" spans="3:13" x14ac:dyDescent="0.15">
      <c r="C553" s="76">
        <v>584</v>
      </c>
      <c r="D553" s="76">
        <v>2.2699999999999999E-4</v>
      </c>
      <c r="E553" s="76">
        <v>4.6000000000000001E-4</v>
      </c>
      <c r="F553" s="76">
        <v>6.3000000000000003E-4</v>
      </c>
      <c r="G553" s="76">
        <v>8.92E-4</v>
      </c>
      <c r="H553" s="76">
        <v>1.1299999999999999E-3</v>
      </c>
      <c r="I553" s="76">
        <v>1.3699999999999999E-3</v>
      </c>
      <c r="J553" s="76">
        <v>1.58E-3</v>
      </c>
      <c r="K553" s="76">
        <v>1.91E-3</v>
      </c>
      <c r="L553" s="76">
        <v>1.99E-3</v>
      </c>
      <c r="M553" s="76">
        <v>2.2899999999999999E-3</v>
      </c>
    </row>
    <row r="554" spans="3:13" x14ac:dyDescent="0.15">
      <c r="C554" s="76">
        <v>586</v>
      </c>
      <c r="D554" s="76">
        <v>2.1000000000000001E-4</v>
      </c>
      <c r="E554" s="76">
        <v>4.1899999999999999E-4</v>
      </c>
      <c r="F554" s="76">
        <v>5.9100000000000005E-4</v>
      </c>
      <c r="G554" s="76">
        <v>8.1499999999999997E-4</v>
      </c>
      <c r="H554" s="76">
        <v>1E-3</v>
      </c>
      <c r="I554" s="76">
        <v>1.2600000000000001E-3</v>
      </c>
      <c r="J554" s="76">
        <v>1.4499999999999999E-3</v>
      </c>
      <c r="K554" s="76">
        <v>1.7700000000000001E-3</v>
      </c>
      <c r="L554" s="76">
        <v>1.8699999999999999E-3</v>
      </c>
      <c r="M554" s="76">
        <v>2.15E-3</v>
      </c>
    </row>
    <row r="555" spans="3:13" x14ac:dyDescent="0.15">
      <c r="C555" s="76">
        <v>588</v>
      </c>
      <c r="D555" s="76">
        <v>2.0100000000000001E-4</v>
      </c>
      <c r="E555" s="76">
        <v>3.9199999999999999E-4</v>
      </c>
      <c r="F555" s="76">
        <v>5.3200000000000003E-4</v>
      </c>
      <c r="G555" s="76">
        <v>7.5000000000000002E-4</v>
      </c>
      <c r="H555" s="76">
        <v>8.5700000000000001E-4</v>
      </c>
      <c r="I555" s="76">
        <v>1.1199999999999999E-3</v>
      </c>
      <c r="J555" s="76">
        <v>1.33E-3</v>
      </c>
      <c r="K555" s="76">
        <v>1.5900000000000001E-3</v>
      </c>
      <c r="L555" s="76">
        <v>1.6999999999999999E-3</v>
      </c>
      <c r="M555" s="76">
        <v>1.9499999999999999E-3</v>
      </c>
    </row>
    <row r="556" spans="3:13" x14ac:dyDescent="0.15">
      <c r="C556" s="76">
        <v>590</v>
      </c>
      <c r="D556" s="76">
        <v>1.7799999999999999E-4</v>
      </c>
      <c r="E556" s="76">
        <v>3.5199999999999999E-4</v>
      </c>
      <c r="F556" s="76">
        <v>4.8200000000000001E-4</v>
      </c>
      <c r="G556" s="76">
        <v>6.5799999999999995E-4</v>
      </c>
      <c r="H556" s="76">
        <v>8.3100000000000003E-4</v>
      </c>
      <c r="I556" s="76">
        <v>1.0300000000000001E-3</v>
      </c>
      <c r="J556" s="76">
        <v>1.23E-3</v>
      </c>
      <c r="K556" s="76">
        <v>1.4599999999999999E-3</v>
      </c>
      <c r="L556" s="76">
        <v>1.5499999999999999E-3</v>
      </c>
      <c r="M556" s="76">
        <v>1.6999999999999999E-3</v>
      </c>
    </row>
    <row r="557" spans="3:13" x14ac:dyDescent="0.15">
      <c r="C557" s="76">
        <v>592</v>
      </c>
      <c r="D557" s="76">
        <v>1.66E-4</v>
      </c>
      <c r="E557" s="76">
        <v>3.2400000000000001E-4</v>
      </c>
      <c r="F557" s="76">
        <v>4.4200000000000001E-4</v>
      </c>
      <c r="G557" s="76">
        <v>6.2500000000000001E-4</v>
      </c>
      <c r="H557" s="76">
        <v>7.2499999999999995E-4</v>
      </c>
      <c r="I557" s="76">
        <v>9.59E-4</v>
      </c>
      <c r="J557" s="76">
        <v>1.1100000000000001E-3</v>
      </c>
      <c r="K557" s="76">
        <v>1.33E-3</v>
      </c>
      <c r="L557" s="76">
        <v>1.42E-3</v>
      </c>
      <c r="M557" s="76">
        <v>1.5499999999999999E-3</v>
      </c>
    </row>
    <row r="558" spans="3:13" x14ac:dyDescent="0.15">
      <c r="C558" s="76">
        <v>594</v>
      </c>
      <c r="D558" s="76">
        <v>1.6000000000000001E-4</v>
      </c>
      <c r="E558" s="76">
        <v>3.0400000000000002E-4</v>
      </c>
      <c r="F558" s="76">
        <v>4.2499999999999998E-4</v>
      </c>
      <c r="G558" s="76">
        <v>5.8299999999999997E-4</v>
      </c>
      <c r="H558" s="76">
        <v>6.69E-4</v>
      </c>
      <c r="I558" s="76">
        <v>8.5700000000000001E-4</v>
      </c>
      <c r="J558" s="76">
        <v>1.01E-3</v>
      </c>
      <c r="K558" s="76">
        <v>1.2199999999999999E-3</v>
      </c>
      <c r="L558" s="76">
        <v>1.31E-3</v>
      </c>
      <c r="M558" s="76">
        <v>1.41E-3</v>
      </c>
    </row>
    <row r="559" spans="3:13" x14ac:dyDescent="0.15">
      <c r="C559" s="76">
        <v>596</v>
      </c>
      <c r="D559" s="76">
        <v>1.45E-4</v>
      </c>
      <c r="E559" s="76">
        <v>2.72E-4</v>
      </c>
      <c r="F559" s="76">
        <v>3.9800000000000002E-4</v>
      </c>
      <c r="G559" s="76">
        <v>5.3200000000000003E-4</v>
      </c>
      <c r="H559" s="76">
        <v>6.2799999999999998E-4</v>
      </c>
      <c r="I559" s="76">
        <v>8.2200000000000003E-4</v>
      </c>
      <c r="J559" s="76">
        <v>9.19E-4</v>
      </c>
      <c r="K559" s="76">
        <v>1.1000000000000001E-3</v>
      </c>
      <c r="L559" s="76">
        <v>1.2800000000000001E-3</v>
      </c>
      <c r="M559" s="76">
        <v>1.31E-3</v>
      </c>
    </row>
    <row r="560" spans="3:13" x14ac:dyDescent="0.15">
      <c r="C560" s="76">
        <v>598</v>
      </c>
      <c r="D560" s="76">
        <v>1.2799999999999999E-4</v>
      </c>
      <c r="E560" s="76">
        <v>2.4399999999999999E-4</v>
      </c>
      <c r="F560" s="76">
        <v>3.5799999999999997E-4</v>
      </c>
      <c r="G560" s="76">
        <v>4.7399999999999997E-4</v>
      </c>
      <c r="H560" s="76">
        <v>5.71E-4</v>
      </c>
      <c r="I560" s="76">
        <v>6.9999999999999999E-4</v>
      </c>
      <c r="J560" s="76">
        <v>9.0899999999999998E-4</v>
      </c>
      <c r="K560" s="76">
        <v>1E-3</v>
      </c>
      <c r="L560" s="76">
        <v>1.14E-3</v>
      </c>
      <c r="M560" s="76">
        <v>1.14E-3</v>
      </c>
    </row>
    <row r="561" spans="3:13" x14ac:dyDescent="0.15">
      <c r="C561" s="76">
        <v>600</v>
      </c>
      <c r="D561" s="76">
        <v>1.22E-4</v>
      </c>
      <c r="E561" s="76">
        <v>2.3699999999999999E-4</v>
      </c>
      <c r="F561" s="76">
        <v>3.1500000000000001E-4</v>
      </c>
      <c r="G561" s="76">
        <v>4.4799999999999999E-4</v>
      </c>
      <c r="H561" s="76">
        <v>4.7699999999999999E-4</v>
      </c>
      <c r="I561" s="76">
        <v>6.6299999999999996E-4</v>
      </c>
      <c r="J561" s="76">
        <v>7.5799999999999999E-4</v>
      </c>
      <c r="K561" s="76">
        <v>9.7499999999999996E-4</v>
      </c>
      <c r="L561" s="76">
        <v>1.08E-3</v>
      </c>
      <c r="M561" s="76">
        <v>1.2999999999999999E-3</v>
      </c>
    </row>
    <row r="562" spans="3:13" x14ac:dyDescent="0.15">
      <c r="C562" s="76">
        <v>602</v>
      </c>
      <c r="D562" s="76">
        <v>1.1400000000000001E-4</v>
      </c>
      <c r="E562" s="76">
        <v>2.24E-4</v>
      </c>
      <c r="F562" s="76">
        <v>2.9700000000000001E-4</v>
      </c>
      <c r="G562" s="76">
        <v>3.8499999999999998E-4</v>
      </c>
      <c r="H562" s="76">
        <v>4.2900000000000002E-4</v>
      </c>
      <c r="I562" s="76">
        <v>6.0800000000000003E-4</v>
      </c>
      <c r="J562" s="76">
        <v>7.0299999999999996E-4</v>
      </c>
      <c r="K562" s="76">
        <v>8.7100000000000003E-4</v>
      </c>
      <c r="L562" s="76">
        <v>1.01E-3</v>
      </c>
      <c r="M562" s="76">
        <v>9.8900000000000008E-4</v>
      </c>
    </row>
    <row r="563" spans="3:13" x14ac:dyDescent="0.15">
      <c r="C563" s="76">
        <v>604</v>
      </c>
      <c r="D563" s="76">
        <v>1.01E-4</v>
      </c>
      <c r="E563" s="76">
        <v>2.14E-4</v>
      </c>
      <c r="F563" s="76">
        <v>2.7599999999999999E-4</v>
      </c>
      <c r="G563" s="76">
        <v>3.57E-4</v>
      </c>
      <c r="H563" s="76">
        <v>4.2999999999999999E-4</v>
      </c>
      <c r="I563" s="76">
        <v>5.5000000000000003E-4</v>
      </c>
      <c r="J563" s="76">
        <v>6.6799999999999997E-4</v>
      </c>
      <c r="K563" s="76">
        <v>7.8299999999999995E-4</v>
      </c>
      <c r="L563" s="76">
        <v>9.7400000000000004E-4</v>
      </c>
      <c r="M563" s="76">
        <v>8.6600000000000002E-4</v>
      </c>
    </row>
    <row r="564" spans="3:13" x14ac:dyDescent="0.15">
      <c r="C564" s="76">
        <v>606</v>
      </c>
      <c r="D564" s="76">
        <v>8.9800000000000001E-5</v>
      </c>
      <c r="E564" s="76">
        <v>1.9100000000000001E-4</v>
      </c>
      <c r="F564" s="76">
        <v>3.0600000000000001E-4</v>
      </c>
      <c r="G564" s="76">
        <v>3.6900000000000002E-4</v>
      </c>
      <c r="H564" s="76">
        <v>3.8499999999999998E-4</v>
      </c>
      <c r="I564" s="76">
        <v>5.0199999999999995E-4</v>
      </c>
      <c r="J564" s="76">
        <v>6.4300000000000002E-4</v>
      </c>
      <c r="K564" s="76">
        <v>7.5900000000000002E-4</v>
      </c>
      <c r="L564" s="76">
        <v>8.3799999999999999E-4</v>
      </c>
      <c r="M564" s="76">
        <v>8.1099999999999998E-4</v>
      </c>
    </row>
    <row r="565" spans="3:13" x14ac:dyDescent="0.15">
      <c r="C565" s="76">
        <v>608</v>
      </c>
      <c r="D565" s="76">
        <v>8.1299999999999997E-5</v>
      </c>
      <c r="E565" s="76">
        <v>1.6799999999999999E-4</v>
      </c>
      <c r="F565" s="76">
        <v>2.1499999999999999E-4</v>
      </c>
      <c r="G565" s="76">
        <v>3.4299999999999999E-4</v>
      </c>
      <c r="H565" s="76">
        <v>3.5300000000000002E-4</v>
      </c>
      <c r="I565" s="76">
        <v>5.0100000000000003E-4</v>
      </c>
      <c r="J565" s="76">
        <v>5.8200000000000005E-4</v>
      </c>
      <c r="K565" s="76">
        <v>6.0099999999999997E-4</v>
      </c>
      <c r="L565" s="76">
        <v>8.0400000000000003E-4</v>
      </c>
      <c r="M565" s="76">
        <v>7.7999999999999999E-4</v>
      </c>
    </row>
    <row r="566" spans="3:13" x14ac:dyDescent="0.15">
      <c r="C566" s="76">
        <v>610</v>
      </c>
      <c r="D566" s="76">
        <v>9.1000000000000003E-5</v>
      </c>
      <c r="E566" s="76">
        <v>1.5799999999999999E-4</v>
      </c>
      <c r="F566" s="76">
        <v>2.32E-4</v>
      </c>
      <c r="G566" s="76">
        <v>3.1199999999999999E-4</v>
      </c>
      <c r="H566" s="76">
        <v>3.3199999999999999E-4</v>
      </c>
      <c r="I566" s="76">
        <v>4.8500000000000003E-4</v>
      </c>
      <c r="J566" s="76">
        <v>5.4199999999999995E-4</v>
      </c>
      <c r="K566" s="76">
        <v>5.1500000000000005E-4</v>
      </c>
      <c r="L566" s="76">
        <v>6.6600000000000003E-4</v>
      </c>
      <c r="M566" s="76">
        <v>6.3400000000000001E-4</v>
      </c>
    </row>
    <row r="567" spans="3:13" x14ac:dyDescent="0.15">
      <c r="C567" s="76">
        <v>612</v>
      </c>
      <c r="D567" s="76">
        <v>7.5099999999999996E-5</v>
      </c>
      <c r="E567" s="76">
        <v>1.5899999999999999E-4</v>
      </c>
      <c r="F567" s="76">
        <v>2.0100000000000001E-4</v>
      </c>
      <c r="G567" s="76">
        <v>2.9799999999999998E-4</v>
      </c>
      <c r="H567" s="76">
        <v>3.0899999999999998E-4</v>
      </c>
      <c r="I567" s="76">
        <v>4.3100000000000001E-4</v>
      </c>
      <c r="J567" s="76">
        <v>4.9200000000000003E-4</v>
      </c>
      <c r="K567" s="76">
        <v>5.5099999999999995E-4</v>
      </c>
      <c r="L567" s="76">
        <v>6.5799999999999995E-4</v>
      </c>
      <c r="M567" s="76">
        <v>6.29E-4</v>
      </c>
    </row>
    <row r="568" spans="3:13" x14ac:dyDescent="0.15">
      <c r="C568" s="76">
        <v>614</v>
      </c>
      <c r="D568" s="76">
        <v>6.7299999999999996E-5</v>
      </c>
      <c r="E568" s="76">
        <v>1.44E-4</v>
      </c>
      <c r="F568" s="76">
        <v>2.0000000000000001E-4</v>
      </c>
      <c r="G568" s="76">
        <v>2.8200000000000002E-4</v>
      </c>
      <c r="H568" s="76">
        <v>2.8899999999999998E-4</v>
      </c>
      <c r="I568" s="76">
        <v>3.8900000000000002E-4</v>
      </c>
      <c r="J568" s="76">
        <v>4.5100000000000001E-4</v>
      </c>
      <c r="K568" s="76">
        <v>4.5199999999999998E-4</v>
      </c>
      <c r="L568" s="76">
        <v>6.3400000000000001E-4</v>
      </c>
      <c r="M568" s="76">
        <v>5.9599999999999996E-4</v>
      </c>
    </row>
    <row r="569" spans="3:13" x14ac:dyDescent="0.15">
      <c r="C569" s="76">
        <v>616</v>
      </c>
      <c r="D569" s="76">
        <v>6.4499999999999996E-5</v>
      </c>
      <c r="E569" s="76">
        <v>1.5799999999999999E-4</v>
      </c>
      <c r="F569" s="76">
        <v>1.9599999999999999E-4</v>
      </c>
      <c r="G569" s="76">
        <v>2.9E-4</v>
      </c>
      <c r="H569" s="76">
        <v>2.8499999999999999E-4</v>
      </c>
      <c r="I569" s="76">
        <v>3.6299999999999999E-4</v>
      </c>
      <c r="J569" s="76">
        <v>3.6900000000000002E-4</v>
      </c>
      <c r="K569" s="76">
        <v>3.7800000000000003E-4</v>
      </c>
      <c r="L569" s="76">
        <v>6.7500000000000004E-4</v>
      </c>
      <c r="M569" s="76">
        <v>6.2500000000000001E-4</v>
      </c>
    </row>
    <row r="570" spans="3:13" x14ac:dyDescent="0.15">
      <c r="C570" s="76">
        <v>618</v>
      </c>
      <c r="D570" s="76">
        <v>5.5399999999999998E-5</v>
      </c>
      <c r="E570" s="76">
        <v>1.2799999999999999E-4</v>
      </c>
      <c r="F570" s="76">
        <v>2.02E-4</v>
      </c>
      <c r="G570" s="76">
        <v>2.5500000000000002E-4</v>
      </c>
      <c r="H570" s="76">
        <v>2.5300000000000002E-4</v>
      </c>
      <c r="I570" s="76">
        <v>2.9799999999999998E-4</v>
      </c>
      <c r="J570" s="76">
        <v>4.44E-4</v>
      </c>
      <c r="K570" s="76">
        <v>3.1399999999999999E-4</v>
      </c>
      <c r="L570" s="76">
        <v>4.6500000000000003E-4</v>
      </c>
      <c r="M570" s="76">
        <v>6.3599999999999996E-4</v>
      </c>
    </row>
    <row r="571" spans="3:13" x14ac:dyDescent="0.15">
      <c r="C571" s="76">
        <v>620</v>
      </c>
      <c r="D571" s="76">
        <v>5.13E-5</v>
      </c>
      <c r="E571" s="76">
        <v>1.17E-4</v>
      </c>
      <c r="F571" s="76">
        <v>1.7899999999999999E-4</v>
      </c>
      <c r="G571" s="76">
        <v>2.32E-4</v>
      </c>
      <c r="H571" s="76">
        <v>2.42E-4</v>
      </c>
      <c r="I571" s="76">
        <v>3.1300000000000002E-4</v>
      </c>
      <c r="J571" s="76">
        <v>3.4099999999999999E-4</v>
      </c>
      <c r="K571" s="76">
        <v>2.9500000000000001E-4</v>
      </c>
      <c r="L571" s="76">
        <v>5.0000000000000001E-4</v>
      </c>
      <c r="M571" s="76">
        <v>4.8500000000000003E-4</v>
      </c>
    </row>
    <row r="572" spans="3:13" x14ac:dyDescent="0.15">
      <c r="C572" s="76">
        <v>622</v>
      </c>
      <c r="D572" s="76">
        <v>4.88E-5</v>
      </c>
      <c r="E572" s="76">
        <v>1.06E-4</v>
      </c>
      <c r="F572" s="76">
        <v>1.7100000000000001E-4</v>
      </c>
      <c r="G572" s="76">
        <v>2.2599999999999999E-4</v>
      </c>
      <c r="H572" s="76">
        <v>1.6799999999999999E-4</v>
      </c>
      <c r="I572" s="76">
        <v>2.7900000000000001E-4</v>
      </c>
      <c r="J572" s="76">
        <v>3.3399999999999999E-4</v>
      </c>
      <c r="K572" s="76">
        <v>2.7399999999999999E-4</v>
      </c>
      <c r="L572" s="76">
        <v>4.6700000000000002E-4</v>
      </c>
      <c r="M572" s="76">
        <v>4.1599999999999997E-4</v>
      </c>
    </row>
    <row r="573" spans="3:13" x14ac:dyDescent="0.15">
      <c r="C573" s="76">
        <v>624</v>
      </c>
      <c r="D573" s="76">
        <v>4.7500000000000003E-5</v>
      </c>
      <c r="E573" s="76">
        <v>1.02E-4</v>
      </c>
      <c r="F573" s="76">
        <v>1.56E-4</v>
      </c>
      <c r="G573" s="76">
        <v>2.0900000000000001E-4</v>
      </c>
      <c r="H573" s="76">
        <v>1.7699999999999999E-4</v>
      </c>
      <c r="I573" s="76">
        <v>2.5300000000000002E-4</v>
      </c>
      <c r="J573" s="76">
        <v>2.9599999999999998E-4</v>
      </c>
      <c r="K573" s="76">
        <v>2.0599999999999999E-4</v>
      </c>
      <c r="L573" s="76">
        <v>3.79E-4</v>
      </c>
      <c r="M573" s="76">
        <v>4.5399999999999998E-4</v>
      </c>
    </row>
    <row r="574" spans="3:13" x14ac:dyDescent="0.15">
      <c r="C574" s="76">
        <v>626</v>
      </c>
      <c r="D574" s="76">
        <v>3.9900000000000001E-5</v>
      </c>
      <c r="E574" s="76">
        <v>8.9699999999999998E-5</v>
      </c>
      <c r="F574" s="76">
        <v>1.54E-4</v>
      </c>
      <c r="G574" s="76">
        <v>2.2599999999999999E-4</v>
      </c>
      <c r="H574" s="76">
        <v>2.14E-4</v>
      </c>
      <c r="I574" s="76">
        <v>2.1100000000000001E-4</v>
      </c>
      <c r="J574" s="76">
        <v>3.1300000000000002E-4</v>
      </c>
      <c r="K574" s="76">
        <v>1.93E-4</v>
      </c>
      <c r="L574" s="76">
        <v>3.7199999999999999E-4</v>
      </c>
      <c r="M574" s="76">
        <v>4.5300000000000001E-4</v>
      </c>
    </row>
    <row r="575" spans="3:13" x14ac:dyDescent="0.15">
      <c r="C575" s="76">
        <v>628</v>
      </c>
      <c r="D575" s="76">
        <v>3.5200000000000002E-5</v>
      </c>
      <c r="E575" s="76">
        <v>8.2999999999999998E-5</v>
      </c>
      <c r="F575" s="76">
        <v>1.47E-4</v>
      </c>
      <c r="G575" s="76">
        <v>1.8599999999999999E-4</v>
      </c>
      <c r="H575" s="76">
        <v>1.9599999999999999E-4</v>
      </c>
      <c r="I575" s="76">
        <v>2.2900000000000001E-4</v>
      </c>
      <c r="J575" s="76">
        <v>3.1599999999999998E-4</v>
      </c>
      <c r="K575" s="76">
        <v>2.1599999999999999E-4</v>
      </c>
      <c r="L575" s="76">
        <v>3.2899999999999997E-4</v>
      </c>
      <c r="M575" s="76">
        <v>4.0900000000000002E-4</v>
      </c>
    </row>
    <row r="576" spans="3:13" x14ac:dyDescent="0.15">
      <c r="C576" s="76">
        <v>630</v>
      </c>
      <c r="D576" s="76">
        <v>3.4E-5</v>
      </c>
      <c r="E576" s="76">
        <v>8.5599999999999994E-5</v>
      </c>
      <c r="F576" s="76">
        <v>1.3799999999999999E-4</v>
      </c>
      <c r="G576" s="76">
        <v>1.66E-4</v>
      </c>
      <c r="H576" s="76">
        <v>1.76E-4</v>
      </c>
      <c r="I576" s="76">
        <v>2.02E-4</v>
      </c>
      <c r="J576" s="76">
        <v>3.0699999999999998E-4</v>
      </c>
      <c r="K576" s="76">
        <v>1.2899999999999999E-4</v>
      </c>
      <c r="L576" s="76">
        <v>2.7999999999999998E-4</v>
      </c>
      <c r="M576" s="76">
        <v>3.57E-4</v>
      </c>
    </row>
    <row r="577" spans="3:46" x14ac:dyDescent="0.15">
      <c r="C577" s="76">
        <v>632</v>
      </c>
      <c r="D577" s="76">
        <v>3.43E-5</v>
      </c>
      <c r="E577" s="76">
        <v>7.5799999999999999E-5</v>
      </c>
      <c r="F577" s="76">
        <v>1.2400000000000001E-4</v>
      </c>
      <c r="G577" s="76">
        <v>1.5100000000000001E-4</v>
      </c>
      <c r="H577" s="76">
        <v>2.02E-4</v>
      </c>
      <c r="I577" s="76">
        <v>1.7699999999999999E-4</v>
      </c>
      <c r="J577" s="76">
        <v>2.8299999999999999E-4</v>
      </c>
      <c r="K577" s="76">
        <v>1.75E-4</v>
      </c>
      <c r="L577" s="76">
        <v>2.8400000000000002E-4</v>
      </c>
      <c r="M577" s="76">
        <v>3.0899999999999998E-4</v>
      </c>
    </row>
    <row r="578" spans="3:46" x14ac:dyDescent="0.15">
      <c r="C578" s="76">
        <v>634</v>
      </c>
      <c r="D578" s="76">
        <v>3.7499999999999997E-5</v>
      </c>
      <c r="E578" s="76">
        <v>6.6500000000000004E-5</v>
      </c>
      <c r="F578" s="76">
        <v>1.01E-4</v>
      </c>
      <c r="G578" s="76">
        <v>1.76E-4</v>
      </c>
      <c r="H578" s="76">
        <v>2.1699999999999999E-4</v>
      </c>
      <c r="I578" s="76">
        <v>1.9799999999999999E-4</v>
      </c>
      <c r="J578" s="76">
        <v>2.6400000000000002E-4</v>
      </c>
      <c r="K578" s="76">
        <v>1.7799999999999999E-4</v>
      </c>
      <c r="L578" s="76">
        <v>3.0499999999999999E-4</v>
      </c>
      <c r="M578" s="76">
        <v>3.4900000000000003E-4</v>
      </c>
    </row>
    <row r="579" spans="3:46" x14ac:dyDescent="0.15">
      <c r="C579" s="76">
        <v>636</v>
      </c>
      <c r="D579" s="76">
        <v>3.9400000000000002E-5</v>
      </c>
      <c r="E579" s="76">
        <v>7.08E-5</v>
      </c>
      <c r="F579" s="76">
        <v>1.08E-4</v>
      </c>
      <c r="G579" s="76">
        <v>1.37E-4</v>
      </c>
      <c r="H579" s="76">
        <v>2.1699999999999999E-4</v>
      </c>
      <c r="I579" s="76">
        <v>2.1900000000000001E-4</v>
      </c>
      <c r="J579" s="76">
        <v>2.3599999999999999E-4</v>
      </c>
      <c r="K579" s="76">
        <v>1.8000000000000001E-4</v>
      </c>
      <c r="L579" s="76">
        <v>3.0200000000000002E-4</v>
      </c>
      <c r="M579" s="76">
        <v>3.2899999999999997E-4</v>
      </c>
    </row>
    <row r="580" spans="3:46" x14ac:dyDescent="0.15">
      <c r="C580" s="76">
        <v>638</v>
      </c>
      <c r="D580" s="76">
        <v>3.8699999999999999E-5</v>
      </c>
      <c r="E580" s="76">
        <v>5.6700000000000003E-5</v>
      </c>
      <c r="F580" s="76">
        <v>9.4099999999999997E-5</v>
      </c>
      <c r="G580" s="76">
        <v>1.54E-4</v>
      </c>
      <c r="H580" s="76">
        <v>2.2900000000000001E-4</v>
      </c>
      <c r="I580" s="76">
        <v>1.6100000000000001E-4</v>
      </c>
      <c r="J580" s="76">
        <v>2.6200000000000003E-4</v>
      </c>
      <c r="K580" s="76">
        <v>1.9100000000000001E-4</v>
      </c>
      <c r="L580" s="76">
        <v>3.21E-4</v>
      </c>
      <c r="M580" s="76">
        <v>2.6200000000000003E-4</v>
      </c>
    </row>
    <row r="581" spans="3:46" x14ac:dyDescent="0.15">
      <c r="C581" s="76">
        <v>640</v>
      </c>
      <c r="D581" s="76">
        <v>3.9700000000000003E-5</v>
      </c>
      <c r="E581" s="76">
        <v>4.9499999999999997E-5</v>
      </c>
      <c r="F581" s="76">
        <v>9.2700000000000004E-5</v>
      </c>
      <c r="G581" s="76">
        <v>1.2899999999999999E-4</v>
      </c>
      <c r="H581" s="76">
        <v>2.3000000000000001E-4</v>
      </c>
      <c r="I581" s="76">
        <v>2.1699999999999999E-4</v>
      </c>
      <c r="J581" s="76">
        <v>2.4699999999999999E-4</v>
      </c>
      <c r="K581" s="76">
        <v>1.94E-4</v>
      </c>
      <c r="L581" s="76">
        <v>2.7900000000000001E-4</v>
      </c>
      <c r="M581" s="76">
        <v>2.63E-4</v>
      </c>
    </row>
    <row r="582" spans="3:46" x14ac:dyDescent="0.15">
      <c r="C582" s="76">
        <v>642</v>
      </c>
      <c r="D582" s="76">
        <v>4.5200000000000001E-5</v>
      </c>
      <c r="E582" s="76">
        <v>4.6E-5</v>
      </c>
      <c r="F582" s="76">
        <v>7.2000000000000002E-5</v>
      </c>
      <c r="G582" s="76">
        <v>1.07E-4</v>
      </c>
      <c r="H582" s="76">
        <v>2.3599999999999999E-4</v>
      </c>
      <c r="I582" s="76">
        <v>1.8000000000000001E-4</v>
      </c>
      <c r="J582" s="76">
        <v>1.95E-4</v>
      </c>
      <c r="K582" s="76">
        <v>2.34E-4</v>
      </c>
      <c r="L582" s="76">
        <v>2.5300000000000002E-4</v>
      </c>
      <c r="M582" s="76">
        <v>3.6099999999999999E-4</v>
      </c>
    </row>
    <row r="583" spans="3:46" x14ac:dyDescent="0.15">
      <c r="C583" s="76">
        <v>644</v>
      </c>
      <c r="D583" s="76">
        <v>4.7700000000000001E-5</v>
      </c>
      <c r="E583" s="76">
        <v>4.2899999999999999E-5</v>
      </c>
      <c r="F583" s="76">
        <v>5.6900000000000001E-5</v>
      </c>
      <c r="G583" s="76">
        <v>1.75E-4</v>
      </c>
      <c r="H583" s="76">
        <v>2.2599999999999999E-4</v>
      </c>
      <c r="I583" s="76">
        <v>1.4100000000000001E-4</v>
      </c>
      <c r="J583" s="76">
        <v>1.7799999999999999E-4</v>
      </c>
      <c r="K583" s="76">
        <v>2.4800000000000001E-4</v>
      </c>
      <c r="L583" s="76">
        <v>2.8299999999999999E-4</v>
      </c>
      <c r="M583" s="76">
        <v>2.2499999999999999E-4</v>
      </c>
    </row>
    <row r="584" spans="3:46" x14ac:dyDescent="0.15">
      <c r="C584" s="76">
        <v>646</v>
      </c>
      <c r="D584" s="76">
        <v>4.0299999999999997E-5</v>
      </c>
      <c r="E584" s="76">
        <v>2.6800000000000001E-5</v>
      </c>
      <c r="F584" s="76">
        <v>6.02E-5</v>
      </c>
      <c r="G584" s="76">
        <v>8.0099999999999995E-5</v>
      </c>
      <c r="H584" s="76">
        <v>2.1900000000000001E-4</v>
      </c>
      <c r="I584" s="76">
        <v>1.93E-4</v>
      </c>
      <c r="J584" s="76">
        <v>1.7699999999999999E-4</v>
      </c>
      <c r="K584" s="76">
        <v>2.2699999999999999E-4</v>
      </c>
      <c r="L584" s="76">
        <v>2.1800000000000001E-4</v>
      </c>
      <c r="M584" s="76">
        <v>2.5300000000000002E-4</v>
      </c>
    </row>
    <row r="585" spans="3:46" x14ac:dyDescent="0.15">
      <c r="C585" s="76">
        <v>648</v>
      </c>
      <c r="D585" s="76">
        <v>4.1300000000000001E-5</v>
      </c>
      <c r="E585" s="76">
        <v>1.73E-5</v>
      </c>
      <c r="F585" s="76">
        <v>6.7700000000000006E-5</v>
      </c>
      <c r="G585" s="76">
        <v>1.03E-4</v>
      </c>
      <c r="H585" s="76">
        <v>2.2100000000000001E-4</v>
      </c>
      <c r="I585" s="76">
        <v>1.8699999999999999E-4</v>
      </c>
      <c r="J585" s="76">
        <v>1.83E-4</v>
      </c>
      <c r="K585" s="76">
        <v>2.13E-4</v>
      </c>
      <c r="L585" s="76">
        <v>2.4899999999999998E-4</v>
      </c>
      <c r="M585" s="76">
        <v>3.0600000000000001E-4</v>
      </c>
    </row>
    <row r="586" spans="3:46" x14ac:dyDescent="0.15">
      <c r="C586" s="81">
        <v>650</v>
      </c>
      <c r="D586" s="76">
        <v>3.6100000000000003E-5</v>
      </c>
      <c r="E586" s="76">
        <v>3.1099999999999997E-5</v>
      </c>
      <c r="F586" s="76">
        <v>5.6199999999999997E-5</v>
      </c>
      <c r="G586" s="76">
        <v>1.03E-4</v>
      </c>
      <c r="H586" s="81">
        <v>2.2100000000000001E-4</v>
      </c>
      <c r="I586" s="76">
        <v>1.5799999999999999E-4</v>
      </c>
      <c r="J586" s="76">
        <v>1.56E-4</v>
      </c>
      <c r="K586" s="76">
        <v>2.6699999999999998E-4</v>
      </c>
      <c r="L586" s="81">
        <v>2.4499999999999999E-4</v>
      </c>
      <c r="M586" s="76">
        <v>3.3E-4</v>
      </c>
      <c r="N586" s="81"/>
      <c r="T586" s="81"/>
      <c r="W586" s="81"/>
      <c r="AF586" s="81"/>
      <c r="AG586" s="81"/>
      <c r="AT586" s="81"/>
    </row>
    <row r="587" spans="3:46" x14ac:dyDescent="0.15">
      <c r="C587" s="81">
        <v>652</v>
      </c>
      <c r="D587" s="76">
        <v>3.3200000000000001E-5</v>
      </c>
      <c r="E587" s="76">
        <v>4.3399999999999998E-5</v>
      </c>
      <c r="F587" s="76">
        <v>5.1999999999999997E-5</v>
      </c>
      <c r="G587" s="76">
        <v>8.8900000000000006E-5</v>
      </c>
      <c r="H587" s="81">
        <v>2.1499999999999999E-4</v>
      </c>
      <c r="I587" s="76">
        <v>1.34E-4</v>
      </c>
      <c r="J587" s="76">
        <v>1.12E-4</v>
      </c>
      <c r="K587" s="76">
        <v>2.9999999999999997E-4</v>
      </c>
      <c r="L587" s="81">
        <v>1.8799999999999999E-4</v>
      </c>
      <c r="M587" s="76">
        <v>2.9100000000000003E-4</v>
      </c>
      <c r="N587" s="81"/>
      <c r="T587" s="81"/>
      <c r="W587" s="81"/>
      <c r="AF587" s="81"/>
      <c r="AG587" s="81"/>
      <c r="AT587" s="81"/>
    </row>
    <row r="588" spans="3:46" x14ac:dyDescent="0.15">
      <c r="C588" s="81">
        <v>654</v>
      </c>
      <c r="D588" s="76">
        <v>2.97E-5</v>
      </c>
      <c r="E588" s="76">
        <v>4.5599999999999997E-5</v>
      </c>
      <c r="F588" s="76">
        <v>4.9799999999999998E-5</v>
      </c>
      <c r="G588" s="76">
        <v>6.6500000000000004E-5</v>
      </c>
      <c r="H588" s="81">
        <v>2.0599999999999999E-4</v>
      </c>
      <c r="I588" s="76">
        <v>1.6799999999999999E-4</v>
      </c>
      <c r="J588" s="76">
        <v>1.1900000000000001E-4</v>
      </c>
      <c r="K588" s="76">
        <v>3.3100000000000002E-4</v>
      </c>
      <c r="L588" s="81">
        <v>1.9900000000000001E-4</v>
      </c>
      <c r="M588" s="76">
        <v>2.72E-4</v>
      </c>
      <c r="N588" s="81"/>
      <c r="T588" s="81"/>
      <c r="W588" s="81"/>
      <c r="AF588" s="81"/>
      <c r="AG588" s="81"/>
      <c r="AT588" s="81"/>
    </row>
    <row r="589" spans="3:46" x14ac:dyDescent="0.15">
      <c r="C589" s="81">
        <v>656</v>
      </c>
      <c r="D589" s="76">
        <v>3.6300000000000001E-5</v>
      </c>
      <c r="E589" s="76">
        <v>3.93E-5</v>
      </c>
      <c r="F589" s="76">
        <v>3.8399999999999998E-5</v>
      </c>
      <c r="G589" s="76">
        <v>8.8300000000000005E-5</v>
      </c>
      <c r="H589" s="81">
        <v>2.1599999999999999E-4</v>
      </c>
      <c r="I589" s="76">
        <v>1.5699999999999999E-4</v>
      </c>
      <c r="J589" s="76">
        <v>1.9900000000000001E-4</v>
      </c>
      <c r="K589" s="76">
        <v>4.64E-4</v>
      </c>
      <c r="L589" s="81">
        <v>1.9000000000000001E-4</v>
      </c>
      <c r="M589" s="76">
        <v>2.6400000000000002E-4</v>
      </c>
      <c r="N589" s="81"/>
      <c r="T589" s="81"/>
      <c r="W589" s="81"/>
      <c r="AF589" s="81"/>
      <c r="AG589" s="81"/>
      <c r="AT589" s="81"/>
    </row>
    <row r="590" spans="3:46" x14ac:dyDescent="0.15">
      <c r="C590" s="81">
        <v>658</v>
      </c>
      <c r="D590" s="76">
        <v>3.2199999999999997E-5</v>
      </c>
      <c r="E590" s="76">
        <v>3.3099999999999998E-5</v>
      </c>
      <c r="F590" s="76">
        <v>1.8899999999999999E-5</v>
      </c>
      <c r="G590" s="76">
        <v>9.6500000000000001E-5</v>
      </c>
      <c r="H590" s="81">
        <v>2.0000000000000001E-4</v>
      </c>
      <c r="I590" s="76">
        <v>1.7100000000000001E-4</v>
      </c>
      <c r="J590" s="76">
        <v>9.6899999999999997E-5</v>
      </c>
      <c r="K590" s="76">
        <v>2.7799999999999998E-4</v>
      </c>
      <c r="L590" s="81">
        <v>2.12E-4</v>
      </c>
      <c r="M590" s="76">
        <v>2.8400000000000002E-4</v>
      </c>
      <c r="N590" s="81"/>
      <c r="T590" s="81"/>
      <c r="W590" s="81"/>
      <c r="AF590" s="81"/>
      <c r="AG590" s="81"/>
      <c r="AT590" s="81"/>
    </row>
    <row r="591" spans="3:46" x14ac:dyDescent="0.15">
      <c r="C591" s="81">
        <v>660</v>
      </c>
      <c r="D591" s="76">
        <v>3.1199999999999999E-5</v>
      </c>
      <c r="E591" s="76">
        <v>3.6900000000000002E-5</v>
      </c>
      <c r="F591" s="76">
        <v>3.1000000000000001E-5</v>
      </c>
      <c r="G591" s="76">
        <v>9.3200000000000002E-5</v>
      </c>
      <c r="H591" s="81">
        <v>1.9599999999999999E-4</v>
      </c>
      <c r="I591" s="76">
        <v>1.5699999999999999E-4</v>
      </c>
      <c r="J591" s="76">
        <v>7.5900000000000002E-5</v>
      </c>
      <c r="K591" s="76">
        <v>2.8699999999999998E-4</v>
      </c>
      <c r="L591" s="81">
        <v>1.9000000000000001E-4</v>
      </c>
      <c r="M591" s="76">
        <v>3.5399999999999999E-4</v>
      </c>
      <c r="N591" s="81"/>
      <c r="T591" s="81"/>
      <c r="W591" s="81"/>
      <c r="AF591" s="81"/>
      <c r="AG591" s="81"/>
      <c r="AT591" s="81"/>
    </row>
    <row r="592" spans="3:46" x14ac:dyDescent="0.15">
      <c r="C592" s="81">
        <v>662</v>
      </c>
      <c r="D592" s="76">
        <v>3.6300000000000001E-5</v>
      </c>
      <c r="E592" s="76">
        <v>4.6100000000000002E-5</v>
      </c>
      <c r="F592" s="76">
        <v>3.7499999999999997E-5</v>
      </c>
      <c r="G592" s="76">
        <v>4.8399999999999997E-5</v>
      </c>
      <c r="H592" s="81">
        <v>1.76E-4</v>
      </c>
      <c r="I592" s="76">
        <v>1.8000000000000001E-4</v>
      </c>
      <c r="J592" s="76">
        <v>1.64E-4</v>
      </c>
      <c r="K592" s="76">
        <v>3.68E-4</v>
      </c>
      <c r="L592" s="81">
        <v>2.0000000000000001E-4</v>
      </c>
      <c r="M592" s="76">
        <v>3.3E-4</v>
      </c>
      <c r="N592" s="81"/>
      <c r="T592" s="81"/>
      <c r="W592" s="81"/>
      <c r="AF592" s="81"/>
      <c r="AG592" s="81"/>
      <c r="AT592" s="81"/>
    </row>
    <row r="593" spans="3:56" x14ac:dyDescent="0.15">
      <c r="C593" s="81">
        <v>664</v>
      </c>
      <c r="D593" s="76">
        <v>1.8300000000000001E-5</v>
      </c>
      <c r="E593" s="76">
        <v>3.9199999999999997E-5</v>
      </c>
      <c r="F593" s="76">
        <v>4.6100000000000002E-5</v>
      </c>
      <c r="G593" s="76">
        <v>7.4900000000000005E-5</v>
      </c>
      <c r="H593" s="81">
        <v>6.2299999999999996E-5</v>
      </c>
      <c r="I593" s="76">
        <v>1.45E-4</v>
      </c>
      <c r="J593" s="76">
        <v>7.1699999999999995E-5</v>
      </c>
      <c r="K593" s="76">
        <v>3.2699999999999998E-4</v>
      </c>
      <c r="L593" s="81">
        <v>1.8599999999999999E-4</v>
      </c>
      <c r="M593" s="76">
        <v>3.5199999999999999E-4</v>
      </c>
      <c r="N593" s="81"/>
      <c r="T593" s="81"/>
      <c r="W593" s="81"/>
      <c r="AF593" s="81"/>
      <c r="AG593" s="81"/>
      <c r="AT593" s="81"/>
    </row>
    <row r="594" spans="3:56" x14ac:dyDescent="0.15">
      <c r="C594" s="81">
        <v>666</v>
      </c>
      <c r="D594" s="76">
        <v>2.0100000000000001E-5</v>
      </c>
      <c r="E594" s="76">
        <v>4.5800000000000002E-5</v>
      </c>
      <c r="F594" s="76">
        <v>5.6700000000000003E-5</v>
      </c>
      <c r="G594" s="76">
        <v>9.3900000000000006E-5</v>
      </c>
      <c r="H594" s="81">
        <v>1.4100000000000001E-4</v>
      </c>
      <c r="I594" s="76">
        <v>1.13E-4</v>
      </c>
      <c r="J594" s="76">
        <v>1.3200000000000001E-4</v>
      </c>
      <c r="K594" s="76">
        <v>3.0699999999999998E-4</v>
      </c>
      <c r="L594" s="81">
        <v>2.0799999999999999E-4</v>
      </c>
      <c r="M594" s="76">
        <v>3.5500000000000001E-4</v>
      </c>
      <c r="N594" s="81"/>
      <c r="T594" s="81"/>
      <c r="W594" s="81"/>
      <c r="AF594" s="81"/>
      <c r="AG594" s="81"/>
      <c r="AT594" s="81"/>
    </row>
    <row r="595" spans="3:56" x14ac:dyDescent="0.15">
      <c r="C595" s="81">
        <v>668</v>
      </c>
      <c r="D595" s="76">
        <v>3.5599999999999998E-5</v>
      </c>
      <c r="E595" s="76">
        <v>5.52E-5</v>
      </c>
      <c r="F595" s="76">
        <v>5.66E-5</v>
      </c>
      <c r="G595" s="76">
        <v>7.0400000000000004E-5</v>
      </c>
      <c r="H595" s="81">
        <v>1.7100000000000001E-4</v>
      </c>
      <c r="I595" s="76">
        <v>1.07E-4</v>
      </c>
      <c r="J595" s="76">
        <v>1.37E-4</v>
      </c>
      <c r="K595" s="76">
        <v>3.4299999999999999E-4</v>
      </c>
      <c r="L595" s="81">
        <v>2.1499999999999999E-4</v>
      </c>
      <c r="M595" s="76">
        <v>2.9100000000000003E-4</v>
      </c>
      <c r="N595" s="81"/>
      <c r="T595" s="81"/>
      <c r="W595" s="81"/>
      <c r="AF595" s="81"/>
      <c r="AG595" s="81"/>
      <c r="AT595" s="81"/>
    </row>
    <row r="596" spans="3:56" x14ac:dyDescent="0.15">
      <c r="C596" s="81">
        <v>670</v>
      </c>
      <c r="D596" s="76">
        <v>2.5700000000000001E-5</v>
      </c>
      <c r="E596" s="76">
        <v>5.9799999999999997E-5</v>
      </c>
      <c r="F596" s="76">
        <v>5.0000000000000002E-5</v>
      </c>
      <c r="G596" s="76">
        <v>4.9100000000000001E-5</v>
      </c>
      <c r="H596" s="81">
        <v>1.3300000000000001E-4</v>
      </c>
      <c r="I596" s="76">
        <v>1.07E-4</v>
      </c>
      <c r="J596" s="76">
        <v>1.4100000000000001E-4</v>
      </c>
      <c r="K596" s="76">
        <v>3.4000000000000002E-4</v>
      </c>
      <c r="L596" s="81">
        <v>1.4200000000000001E-4</v>
      </c>
      <c r="M596" s="76">
        <v>3.39E-4</v>
      </c>
      <c r="N596" s="81"/>
      <c r="T596" s="81"/>
      <c r="W596" s="81"/>
      <c r="AF596" s="81"/>
      <c r="AG596" s="81"/>
      <c r="AT596" s="81"/>
    </row>
    <row r="597" spans="3:56" x14ac:dyDescent="0.15">
      <c r="C597" s="81">
        <v>672</v>
      </c>
      <c r="D597" s="76">
        <v>1.9899999999999999E-5</v>
      </c>
      <c r="E597" s="76">
        <v>3.9499999999999998E-5</v>
      </c>
      <c r="F597" s="76">
        <v>5.2599999999999998E-5</v>
      </c>
      <c r="G597" s="76">
        <v>6.4200000000000002E-5</v>
      </c>
      <c r="H597" s="81">
        <v>1.05E-4</v>
      </c>
      <c r="I597" s="76">
        <v>1.17E-4</v>
      </c>
      <c r="J597" s="76">
        <v>1.1400000000000001E-4</v>
      </c>
      <c r="K597" s="76">
        <v>2.5000000000000001E-4</v>
      </c>
      <c r="L597" s="81">
        <v>1.7899999999999999E-4</v>
      </c>
      <c r="M597" s="76">
        <v>2.8200000000000002E-4</v>
      </c>
      <c r="N597" s="81"/>
      <c r="T597" s="81"/>
      <c r="W597" s="81"/>
      <c r="AF597" s="81"/>
      <c r="AG597" s="81"/>
      <c r="AT597" s="81"/>
    </row>
    <row r="598" spans="3:56" x14ac:dyDescent="0.15">
      <c r="C598" s="81">
        <v>674</v>
      </c>
      <c r="D598" s="76">
        <v>2.7399999999999999E-5</v>
      </c>
      <c r="E598" s="76">
        <v>4.0899999999999998E-5</v>
      </c>
      <c r="F598" s="76">
        <v>4.8399999999999997E-5</v>
      </c>
      <c r="G598" s="76">
        <v>4.7500000000000003E-5</v>
      </c>
      <c r="H598" s="81">
        <v>1.2300000000000001E-4</v>
      </c>
      <c r="I598" s="76">
        <v>8.7700000000000004E-5</v>
      </c>
      <c r="J598" s="76">
        <v>1.02E-4</v>
      </c>
      <c r="K598" s="76">
        <v>2.2499999999999999E-4</v>
      </c>
      <c r="L598" s="81">
        <v>1.8200000000000001E-4</v>
      </c>
      <c r="M598" s="76">
        <v>3.6699999999999998E-4</v>
      </c>
      <c r="N598" s="81"/>
      <c r="T598" s="81"/>
      <c r="W598" s="81"/>
      <c r="AF598" s="81"/>
      <c r="AG598" s="81"/>
      <c r="AT598" s="81"/>
    </row>
    <row r="599" spans="3:56" x14ac:dyDescent="0.15">
      <c r="C599" s="81">
        <v>676</v>
      </c>
      <c r="D599" s="76">
        <v>2.2399999999999999E-5</v>
      </c>
      <c r="E599" s="76">
        <v>5.38E-5</v>
      </c>
      <c r="F599" s="76">
        <v>6.9499999999999995E-5</v>
      </c>
      <c r="G599" s="76">
        <v>6.1799999999999998E-5</v>
      </c>
      <c r="H599" s="81">
        <v>1.25E-4</v>
      </c>
      <c r="I599" s="76">
        <v>1.45E-4</v>
      </c>
      <c r="J599" s="76">
        <v>7.6799999999999997E-5</v>
      </c>
      <c r="K599" s="76">
        <v>2.2000000000000001E-4</v>
      </c>
      <c r="L599" s="81">
        <v>2.2100000000000001E-4</v>
      </c>
      <c r="M599" s="76">
        <v>3.7599999999999998E-4</v>
      </c>
      <c r="N599" s="81"/>
      <c r="T599" s="81"/>
      <c r="W599" s="81"/>
      <c r="AF599" s="81"/>
      <c r="AG599" s="81"/>
      <c r="AT599" s="81"/>
    </row>
    <row r="600" spans="3:56" x14ac:dyDescent="0.15">
      <c r="C600" s="81">
        <v>678</v>
      </c>
      <c r="D600" s="81">
        <v>1.4399999999999999E-5</v>
      </c>
      <c r="E600" s="81">
        <v>4.1999999999999998E-5</v>
      </c>
      <c r="F600" s="81">
        <v>8.4900000000000004E-5</v>
      </c>
      <c r="G600" s="81">
        <v>7.2200000000000007E-5</v>
      </c>
      <c r="H600" s="81">
        <v>1.06E-4</v>
      </c>
      <c r="I600" s="81">
        <v>1.0399999999999999E-4</v>
      </c>
      <c r="J600" s="81">
        <v>1.06E-4</v>
      </c>
      <c r="K600" s="81">
        <v>2.2000000000000001E-4</v>
      </c>
      <c r="L600" s="81">
        <v>1.95E-4</v>
      </c>
      <c r="M600" s="81">
        <v>3.5300000000000002E-4</v>
      </c>
      <c r="N600" s="81"/>
      <c r="O600" s="81"/>
      <c r="P600" s="81"/>
      <c r="Q600" s="81"/>
      <c r="R600" s="81"/>
      <c r="S600" s="81"/>
      <c r="T600" s="81"/>
      <c r="U600" s="81"/>
      <c r="V600" s="81"/>
      <c r="W600" s="81"/>
      <c r="X600" s="81"/>
      <c r="Y600" s="81"/>
      <c r="Z600" s="81"/>
      <c r="AA600" s="81"/>
      <c r="AB600" s="81"/>
      <c r="AC600" s="81"/>
      <c r="AD600" s="81"/>
      <c r="AF600" s="81"/>
      <c r="AG600" s="81"/>
      <c r="AH600" s="81"/>
      <c r="AI600" s="81"/>
      <c r="AJ600" s="81"/>
      <c r="AK600" s="81"/>
      <c r="AL600" s="81"/>
      <c r="AM600" s="81"/>
      <c r="AN600" s="81"/>
      <c r="AO600" s="81"/>
      <c r="AP600" s="81"/>
      <c r="AQ600" s="81"/>
      <c r="AT600" s="81"/>
      <c r="AU600" s="81"/>
      <c r="AV600" s="81"/>
      <c r="AW600" s="81"/>
      <c r="AX600" s="81"/>
      <c r="AY600" s="81"/>
      <c r="AZ600" s="81"/>
      <c r="BA600" s="81"/>
      <c r="BB600" s="81"/>
      <c r="BC600" s="81"/>
      <c r="BD600" s="81"/>
    </row>
    <row r="601" spans="3:56" x14ac:dyDescent="0.15">
      <c r="C601" s="81">
        <v>680</v>
      </c>
      <c r="D601" s="76">
        <v>7.6000000000000001E-6</v>
      </c>
      <c r="E601" s="76">
        <v>4.9299999999999999E-5</v>
      </c>
      <c r="F601" s="76">
        <v>6.3200000000000005E-5</v>
      </c>
      <c r="G601" s="76">
        <v>9.0099999999999995E-5</v>
      </c>
      <c r="H601" s="81">
        <v>4.6499999999999999E-5</v>
      </c>
      <c r="I601" s="76">
        <v>8.2200000000000006E-5</v>
      </c>
      <c r="J601" s="76">
        <v>8.2299999999999995E-5</v>
      </c>
      <c r="K601" s="76">
        <v>2.32E-4</v>
      </c>
      <c r="L601" s="81">
        <v>1.8599999999999999E-4</v>
      </c>
      <c r="M601" s="76">
        <v>2.4899999999999998E-4</v>
      </c>
      <c r="N601" s="81"/>
      <c r="T601" s="81"/>
      <c r="W601" s="81"/>
      <c r="AF601" s="81"/>
      <c r="AG601" s="81"/>
      <c r="AT601" s="81"/>
    </row>
    <row r="602" spans="3:56" x14ac:dyDescent="0.15">
      <c r="C602" s="81">
        <v>682</v>
      </c>
      <c r="D602" s="81">
        <v>6.5100000000000004E-6</v>
      </c>
      <c r="E602" s="81">
        <v>5.66E-5</v>
      </c>
      <c r="F602" s="81">
        <v>6.2000000000000003E-5</v>
      </c>
      <c r="G602" s="81">
        <v>8.5900000000000001E-5</v>
      </c>
      <c r="H602" s="81">
        <v>6.8700000000000003E-5</v>
      </c>
      <c r="I602" s="81">
        <v>6.69E-5</v>
      </c>
      <c r="J602" s="81">
        <v>1.3100000000000001E-4</v>
      </c>
      <c r="K602" s="81">
        <v>1.76E-4</v>
      </c>
      <c r="L602" s="81">
        <v>2.31E-4</v>
      </c>
      <c r="M602" s="81">
        <v>4.4000000000000002E-4</v>
      </c>
      <c r="N602" s="81"/>
      <c r="O602" s="81"/>
      <c r="P602" s="81"/>
      <c r="Q602" s="81"/>
      <c r="R602" s="81"/>
      <c r="S602" s="81"/>
      <c r="T602" s="81"/>
      <c r="U602" s="81"/>
      <c r="V602" s="81"/>
      <c r="W602" s="81"/>
      <c r="X602" s="81"/>
      <c r="Y602" s="81"/>
      <c r="Z602" s="81"/>
      <c r="AA602" s="81"/>
      <c r="AB602" s="81"/>
      <c r="AC602" s="81"/>
    </row>
    <row r="603" spans="3:56" x14ac:dyDescent="0.15">
      <c r="C603" s="81">
        <v>684</v>
      </c>
      <c r="D603" s="76">
        <v>1.33E-5</v>
      </c>
      <c r="E603" s="76">
        <v>4.3800000000000001E-5</v>
      </c>
      <c r="F603" s="76">
        <v>7.8999999999999996E-5</v>
      </c>
      <c r="G603" s="76">
        <v>5.38E-5</v>
      </c>
      <c r="H603" s="76">
        <v>3.2499999999999997E-5</v>
      </c>
      <c r="I603" s="76">
        <v>5.6199999999999997E-5</v>
      </c>
      <c r="J603" s="76">
        <v>1.1900000000000001E-4</v>
      </c>
      <c r="K603" s="76">
        <v>1.5200000000000001E-4</v>
      </c>
      <c r="L603" s="76">
        <v>2.02E-4</v>
      </c>
      <c r="M603" s="76">
        <v>2.0100000000000001E-4</v>
      </c>
    </row>
    <row r="604" spans="3:56" x14ac:dyDescent="0.15">
      <c r="C604" s="76">
        <v>686</v>
      </c>
      <c r="D604" s="76">
        <v>6.0399999999999998E-6</v>
      </c>
      <c r="E604" s="76">
        <v>4.8099999999999997E-5</v>
      </c>
      <c r="F604" s="76">
        <v>8.1100000000000006E-5</v>
      </c>
      <c r="G604" s="76">
        <v>1.0900000000000001E-4</v>
      </c>
      <c r="H604" s="76">
        <v>3.7700000000000002E-5</v>
      </c>
      <c r="I604" s="76">
        <v>5.0800000000000002E-5</v>
      </c>
      <c r="J604" s="76">
        <v>1.18E-4</v>
      </c>
      <c r="K604" s="76">
        <v>1.36E-4</v>
      </c>
      <c r="L604" s="76">
        <v>2.1000000000000001E-4</v>
      </c>
      <c r="M604" s="76">
        <v>1.6200000000000001E-4</v>
      </c>
    </row>
    <row r="605" spans="3:56" x14ac:dyDescent="0.15">
      <c r="C605" s="76">
        <v>688</v>
      </c>
      <c r="D605" s="76">
        <v>4.4599999999999996E-6</v>
      </c>
      <c r="E605" s="76">
        <v>5.0099999999999998E-5</v>
      </c>
      <c r="F605" s="76">
        <v>1.0900000000000001E-4</v>
      </c>
      <c r="G605" s="76">
        <v>7.5699999999999997E-5</v>
      </c>
      <c r="H605" s="76">
        <v>3.7599999999999999E-5</v>
      </c>
      <c r="I605" s="76">
        <v>3.8300000000000003E-5</v>
      </c>
      <c r="J605" s="76">
        <v>7.4300000000000004E-5</v>
      </c>
      <c r="K605" s="76">
        <v>8.2299999999999995E-5</v>
      </c>
      <c r="L605" s="76">
        <v>2.3499999999999999E-4</v>
      </c>
      <c r="M605" s="76">
        <v>1.3799999999999999E-4</v>
      </c>
    </row>
    <row r="606" spans="3:56" x14ac:dyDescent="0.15">
      <c r="C606" s="76">
        <v>690</v>
      </c>
      <c r="D606" s="76">
        <v>5.2499999999999997E-6</v>
      </c>
      <c r="E606" s="76">
        <v>4.0599999999999998E-5</v>
      </c>
      <c r="F606" s="76">
        <v>8.8700000000000001E-5</v>
      </c>
      <c r="G606" s="76">
        <v>9.5699999999999995E-5</v>
      </c>
      <c r="H606" s="76">
        <v>5.1400000000000003E-5</v>
      </c>
      <c r="I606" s="76">
        <v>6.3200000000000005E-5</v>
      </c>
      <c r="J606" s="76">
        <v>1.5100000000000001E-4</v>
      </c>
      <c r="K606" s="76">
        <v>7.8800000000000004E-5</v>
      </c>
      <c r="L606" s="76">
        <v>2.5599999999999999E-4</v>
      </c>
      <c r="M606" s="76">
        <v>1.47E-4</v>
      </c>
    </row>
    <row r="607" spans="3:56" x14ac:dyDescent="0.15">
      <c r="C607" s="76">
        <v>692</v>
      </c>
      <c r="D607" s="76">
        <v>1.22E-5</v>
      </c>
      <c r="E607" s="76">
        <v>4.4799999999999998E-5</v>
      </c>
      <c r="F607" s="76">
        <v>8.0500000000000005E-5</v>
      </c>
      <c r="G607" s="76">
        <v>8.7800000000000006E-5</v>
      </c>
      <c r="H607" s="76">
        <v>3.8699999999999999E-5</v>
      </c>
      <c r="I607" s="76">
        <v>5.3100000000000003E-5</v>
      </c>
      <c r="J607" s="76">
        <v>1.1E-4</v>
      </c>
      <c r="K607" s="76">
        <v>8.5699999999999996E-5</v>
      </c>
      <c r="L607" s="76">
        <v>1.92E-4</v>
      </c>
      <c r="M607" s="76">
        <v>1.5100000000000001E-4</v>
      </c>
    </row>
    <row r="608" spans="3:56" x14ac:dyDescent="0.15">
      <c r="C608" s="76">
        <v>694</v>
      </c>
      <c r="D608" s="76">
        <v>4.5700000000000003E-6</v>
      </c>
      <c r="E608" s="76">
        <v>4.2899999999999999E-5</v>
      </c>
      <c r="F608" s="76">
        <v>8.6299999999999997E-5</v>
      </c>
      <c r="G608" s="76">
        <v>5.9599999999999999E-5</v>
      </c>
      <c r="H608" s="76">
        <v>9.3899999999999999E-6</v>
      </c>
      <c r="I608" s="76">
        <v>6.1600000000000007E-5</v>
      </c>
      <c r="J608" s="76">
        <v>1.34E-4</v>
      </c>
      <c r="K608" s="76">
        <v>6.6400000000000001E-5</v>
      </c>
      <c r="L608" s="76">
        <v>1.93E-4</v>
      </c>
      <c r="M608" s="76">
        <v>1.8100000000000001E-4</v>
      </c>
    </row>
    <row r="609" spans="3:13" x14ac:dyDescent="0.15">
      <c r="C609" s="76">
        <v>696</v>
      </c>
      <c r="D609" s="76">
        <v>1.11E-5</v>
      </c>
      <c r="E609" s="76">
        <v>4.8699999999999998E-5</v>
      </c>
      <c r="F609" s="76">
        <v>7.5400000000000003E-5</v>
      </c>
      <c r="G609" s="76">
        <v>7.6899999999999999E-5</v>
      </c>
      <c r="H609" s="76">
        <v>9.5300000000000002E-6</v>
      </c>
      <c r="I609" s="76">
        <v>5.7200000000000001E-5</v>
      </c>
      <c r="J609" s="76">
        <v>1.55E-4</v>
      </c>
      <c r="K609" s="76">
        <v>9.1199999999999994E-5</v>
      </c>
      <c r="L609" s="76">
        <v>2.0000000000000001E-4</v>
      </c>
      <c r="M609" s="76">
        <v>6.6099999999999994E-5</v>
      </c>
    </row>
    <row r="610" spans="3:13" x14ac:dyDescent="0.15">
      <c r="C610" s="76">
        <v>698</v>
      </c>
      <c r="D610" s="76">
        <v>8.2700000000000004E-6</v>
      </c>
      <c r="E610" s="76">
        <v>1.5800000000000001E-5</v>
      </c>
      <c r="F610" s="76">
        <v>6.7600000000000003E-5</v>
      </c>
      <c r="G610" s="76">
        <v>7.8100000000000001E-5</v>
      </c>
      <c r="H610" s="76">
        <v>0</v>
      </c>
      <c r="I610" s="76">
        <v>3.8699999999999999E-5</v>
      </c>
      <c r="J610" s="76">
        <v>1.34E-4</v>
      </c>
      <c r="K610" s="76">
        <v>1.9199999999999999E-5</v>
      </c>
      <c r="L610" s="76">
        <v>9.3599999999999998E-5</v>
      </c>
      <c r="M610" s="76">
        <v>1.06E-4</v>
      </c>
    </row>
    <row r="611" spans="3:13" x14ac:dyDescent="0.15">
      <c r="C611" s="76">
        <v>700</v>
      </c>
      <c r="D611" s="76">
        <v>7.2899999999999997E-6</v>
      </c>
      <c r="E611" s="76">
        <v>2.97E-5</v>
      </c>
      <c r="F611" s="76">
        <v>8.6299999999999997E-5</v>
      </c>
      <c r="G611" s="76">
        <v>1.05E-4</v>
      </c>
      <c r="H611" s="76">
        <v>5.8699999999999997E-6</v>
      </c>
      <c r="I611" s="76">
        <v>6.3600000000000001E-5</v>
      </c>
      <c r="J611" s="76">
        <v>1.2E-4</v>
      </c>
      <c r="K611" s="76">
        <v>8.6899999999999998E-5</v>
      </c>
      <c r="L611" s="76">
        <v>1.7899999999999999E-4</v>
      </c>
      <c r="M611" s="76">
        <v>6.6500000000000004E-5</v>
      </c>
    </row>
    <row r="612" spans="3:13" x14ac:dyDescent="0.15">
      <c r="C612" s="76">
        <v>702</v>
      </c>
      <c r="D612" s="76">
        <v>5.8000000000000004E-6</v>
      </c>
      <c r="E612" s="76">
        <v>3.6699999999999998E-5</v>
      </c>
      <c r="F612" s="76">
        <v>8.6299999999999997E-5</v>
      </c>
      <c r="G612" s="76">
        <v>8.3700000000000002E-5</v>
      </c>
      <c r="H612" s="76">
        <v>3.3099999999999998E-5</v>
      </c>
      <c r="I612" s="76">
        <v>1.16E-4</v>
      </c>
      <c r="J612" s="76">
        <v>1.2799999999999999E-4</v>
      </c>
      <c r="K612" s="76">
        <v>8.0699999999999996E-5</v>
      </c>
      <c r="L612" s="76">
        <v>1.7899999999999999E-4</v>
      </c>
      <c r="M612" s="76">
        <v>1.8899999999999999E-5</v>
      </c>
    </row>
    <row r="613" spans="3:13" x14ac:dyDescent="0.15">
      <c r="C613" s="76">
        <v>704</v>
      </c>
      <c r="D613" s="76">
        <v>2.65E-6</v>
      </c>
      <c r="E613" s="76">
        <v>2.1500000000000001E-5</v>
      </c>
      <c r="F613" s="76">
        <v>8.2200000000000006E-5</v>
      </c>
      <c r="G613" s="76">
        <v>9.1500000000000001E-5</v>
      </c>
      <c r="H613" s="76">
        <v>9.7200000000000004E-5</v>
      </c>
      <c r="I613" s="76">
        <v>1.35E-4</v>
      </c>
      <c r="J613" s="76">
        <v>8.4599999999999996E-5</v>
      </c>
      <c r="K613" s="76">
        <v>6.7999999999999999E-5</v>
      </c>
      <c r="L613" s="76">
        <v>1.7799999999999999E-4</v>
      </c>
      <c r="M613" s="76">
        <v>8.14E-5</v>
      </c>
    </row>
    <row r="614" spans="3:13" x14ac:dyDescent="0.15">
      <c r="C614" s="76">
        <v>706</v>
      </c>
      <c r="D614" s="76">
        <v>9.9000000000000001E-6</v>
      </c>
      <c r="E614" s="76">
        <v>4.0000000000000003E-5</v>
      </c>
      <c r="F614" s="76">
        <v>7.1699999999999995E-5</v>
      </c>
      <c r="G614" s="76">
        <v>9.5099999999999994E-5</v>
      </c>
      <c r="H614" s="76">
        <v>1.84E-6</v>
      </c>
      <c r="I614" s="76">
        <v>5.9200000000000002E-5</v>
      </c>
      <c r="J614" s="76">
        <v>1.4300000000000001E-4</v>
      </c>
      <c r="K614" s="76">
        <v>6.8300000000000007E-5</v>
      </c>
      <c r="L614" s="76">
        <v>1.94E-4</v>
      </c>
      <c r="M614" s="76">
        <v>4.4199999999999997E-5</v>
      </c>
    </row>
    <row r="615" spans="3:13" x14ac:dyDescent="0.15">
      <c r="C615" s="76">
        <v>708</v>
      </c>
      <c r="D615" s="76">
        <v>1.4600000000000001E-5</v>
      </c>
      <c r="E615" s="76">
        <v>4.57E-5</v>
      </c>
      <c r="F615" s="76">
        <v>6.58E-5</v>
      </c>
      <c r="G615" s="76">
        <v>7.3700000000000002E-5</v>
      </c>
      <c r="H615" s="76">
        <v>4.0399999999999999E-5</v>
      </c>
      <c r="I615" s="76">
        <v>5.1499999999999998E-5</v>
      </c>
      <c r="J615" s="76">
        <v>1.75E-4</v>
      </c>
      <c r="K615" s="76">
        <v>8.9599999999999996E-5</v>
      </c>
      <c r="L615" s="76">
        <v>1.66E-4</v>
      </c>
      <c r="M615" s="76">
        <v>4.3099999999999997E-5</v>
      </c>
    </row>
    <row r="616" spans="3:13" x14ac:dyDescent="0.15">
      <c r="C616" s="76">
        <v>710</v>
      </c>
      <c r="D616" s="76">
        <v>1.3699999999999999E-5</v>
      </c>
      <c r="E616" s="76">
        <v>3.54E-5</v>
      </c>
      <c r="F616" s="76">
        <v>7.0099999999999996E-5</v>
      </c>
      <c r="G616" s="76">
        <v>5.5600000000000003E-5</v>
      </c>
      <c r="H616" s="76">
        <v>2.6100000000000001E-5</v>
      </c>
      <c r="I616" s="76">
        <v>5.38E-5</v>
      </c>
      <c r="J616" s="76">
        <v>1.4100000000000001E-4</v>
      </c>
      <c r="K616" s="76">
        <v>2.6100000000000001E-5</v>
      </c>
      <c r="L616" s="76">
        <v>1.94E-4</v>
      </c>
      <c r="M616" s="76">
        <v>6.0099999999999997E-5</v>
      </c>
    </row>
    <row r="617" spans="3:13" x14ac:dyDescent="0.15">
      <c r="C617" s="76">
        <v>712</v>
      </c>
      <c r="D617" s="76">
        <v>1.9000000000000001E-5</v>
      </c>
      <c r="E617" s="76">
        <v>3.68E-5</v>
      </c>
      <c r="F617" s="76">
        <v>6.6099999999999994E-5</v>
      </c>
      <c r="G617" s="76">
        <v>1.07E-4</v>
      </c>
      <c r="H617" s="76">
        <v>4.99E-5</v>
      </c>
      <c r="I617" s="76">
        <v>9.2499999999999999E-5</v>
      </c>
      <c r="J617" s="76">
        <v>1.6000000000000001E-4</v>
      </c>
      <c r="K617" s="76">
        <v>9.3700000000000001E-5</v>
      </c>
      <c r="L617" s="76">
        <v>2.0799999999999999E-4</v>
      </c>
      <c r="M617" s="76">
        <v>6.3199999999999996E-6</v>
      </c>
    </row>
    <row r="618" spans="3:13" x14ac:dyDescent="0.15">
      <c r="C618" s="76">
        <v>714</v>
      </c>
      <c r="D618" s="76">
        <v>1.6500000000000001E-5</v>
      </c>
      <c r="E618" s="76">
        <v>2.9099999999999999E-5</v>
      </c>
      <c r="F618" s="76">
        <v>7.2200000000000007E-5</v>
      </c>
      <c r="G618" s="76">
        <v>7.7100000000000004E-5</v>
      </c>
      <c r="H618" s="76">
        <v>7.2999999999999999E-5</v>
      </c>
      <c r="I618" s="76">
        <v>1.21E-4</v>
      </c>
      <c r="J618" s="76">
        <v>1.4999999999999999E-4</v>
      </c>
      <c r="K618" s="76">
        <v>7.3499999999999998E-5</v>
      </c>
      <c r="L618" s="76">
        <v>1.4999999999999999E-4</v>
      </c>
      <c r="M618" s="76">
        <v>3.29E-5</v>
      </c>
    </row>
    <row r="619" spans="3:13" x14ac:dyDescent="0.15">
      <c r="C619" s="76">
        <v>716</v>
      </c>
      <c r="D619" s="76">
        <v>2.1100000000000001E-5</v>
      </c>
      <c r="E619" s="76">
        <v>3.0899999999999999E-5</v>
      </c>
      <c r="F619" s="76">
        <v>6.6699999999999995E-5</v>
      </c>
      <c r="G619" s="76">
        <v>7.1699999999999995E-5</v>
      </c>
      <c r="H619" s="76">
        <v>5.63E-5</v>
      </c>
      <c r="I619" s="76">
        <v>7.9200000000000001E-5</v>
      </c>
      <c r="J619" s="76">
        <v>1.34E-4</v>
      </c>
      <c r="K619" s="76">
        <v>9.9400000000000004E-5</v>
      </c>
      <c r="L619" s="76">
        <v>1.12E-4</v>
      </c>
      <c r="M619" s="76">
        <v>6.6500000000000004E-5</v>
      </c>
    </row>
    <row r="620" spans="3:13" x14ac:dyDescent="0.15">
      <c r="C620" s="76">
        <v>718</v>
      </c>
      <c r="D620" s="76">
        <v>1.7200000000000001E-5</v>
      </c>
      <c r="E620" s="76">
        <v>3.1000000000000001E-5</v>
      </c>
      <c r="F620" s="76">
        <v>6.5699999999999998E-5</v>
      </c>
      <c r="G620" s="76">
        <v>5.9299999999999998E-5</v>
      </c>
      <c r="H620" s="76">
        <v>3.7700000000000002E-5</v>
      </c>
      <c r="I620" s="76">
        <v>8.3399999999999994E-5</v>
      </c>
      <c r="J620" s="76">
        <v>9.1299999999999997E-5</v>
      </c>
      <c r="K620" s="76">
        <v>1.18E-4</v>
      </c>
      <c r="L620" s="76">
        <v>1.0399999999999999E-4</v>
      </c>
      <c r="M620" s="76">
        <v>8.4300000000000003E-5</v>
      </c>
    </row>
    <row r="621" spans="3:13" x14ac:dyDescent="0.15">
      <c r="C621" s="76">
        <v>720</v>
      </c>
      <c r="D621" s="76">
        <v>2.3799999999999999E-5</v>
      </c>
      <c r="E621" s="76">
        <v>2.5999999999999998E-5</v>
      </c>
      <c r="F621" s="76">
        <v>6.5900000000000003E-5</v>
      </c>
      <c r="G621" s="76">
        <v>9.5099999999999994E-5</v>
      </c>
      <c r="H621" s="76">
        <v>9.1199999999999994E-5</v>
      </c>
      <c r="I621" s="76">
        <v>1.12E-4</v>
      </c>
      <c r="J621" s="76">
        <v>1.4300000000000001E-4</v>
      </c>
      <c r="K621" s="76">
        <v>1.5899999999999999E-4</v>
      </c>
      <c r="L621" s="76">
        <v>6.7500000000000001E-5</v>
      </c>
      <c r="M621" s="76">
        <v>3.7499999999999997E-5</v>
      </c>
    </row>
    <row r="622" spans="3:13" x14ac:dyDescent="0.15">
      <c r="C622" s="76">
        <v>722</v>
      </c>
      <c r="D622" s="76">
        <v>1.9000000000000001E-5</v>
      </c>
      <c r="E622" s="76">
        <v>2.48E-5</v>
      </c>
      <c r="F622" s="76">
        <v>6.4599999999999998E-5</v>
      </c>
      <c r="G622" s="76">
        <v>7.6600000000000005E-5</v>
      </c>
      <c r="H622" s="76">
        <v>8.4499999999999994E-5</v>
      </c>
      <c r="I622" s="76">
        <v>1.06E-4</v>
      </c>
      <c r="J622" s="76">
        <v>1.6899999999999999E-4</v>
      </c>
      <c r="K622" s="76">
        <v>1.66E-4</v>
      </c>
      <c r="L622" s="76">
        <v>1.0399999999999999E-4</v>
      </c>
      <c r="M622" s="76">
        <v>1.5300000000000001E-4</v>
      </c>
    </row>
    <row r="623" spans="3:13" x14ac:dyDescent="0.15">
      <c r="C623" s="76">
        <v>724</v>
      </c>
      <c r="D623" s="76">
        <v>1.8300000000000001E-5</v>
      </c>
      <c r="E623" s="76">
        <v>3.3699999999999999E-5</v>
      </c>
      <c r="F623" s="76">
        <v>3.4600000000000001E-5</v>
      </c>
      <c r="G623" s="76">
        <v>3.8300000000000003E-5</v>
      </c>
      <c r="H623" s="76">
        <v>6.1400000000000002E-5</v>
      </c>
      <c r="I623" s="76">
        <v>1.36E-4</v>
      </c>
      <c r="J623" s="76">
        <v>1.6200000000000001E-4</v>
      </c>
      <c r="K623" s="76">
        <v>2.03E-4</v>
      </c>
      <c r="L623" s="76">
        <v>8.9800000000000001E-5</v>
      </c>
      <c r="M623" s="76">
        <v>1.34E-4</v>
      </c>
    </row>
    <row r="624" spans="3:13" x14ac:dyDescent="0.15">
      <c r="C624" s="76">
        <v>726</v>
      </c>
      <c r="D624" s="76">
        <v>1.7200000000000001E-5</v>
      </c>
      <c r="E624" s="76">
        <v>4.0800000000000002E-5</v>
      </c>
      <c r="F624" s="76">
        <v>4.85E-5</v>
      </c>
      <c r="G624" s="76">
        <v>9.3800000000000003E-5</v>
      </c>
      <c r="H624" s="76">
        <v>6.5500000000000006E-5</v>
      </c>
      <c r="I624" s="76">
        <v>1.3899999999999999E-4</v>
      </c>
      <c r="J624" s="76">
        <v>1.3799999999999999E-4</v>
      </c>
      <c r="K624" s="76">
        <v>1.7899999999999999E-4</v>
      </c>
      <c r="L624" s="76">
        <v>4.49E-5</v>
      </c>
      <c r="M624" s="76">
        <v>1.45E-4</v>
      </c>
    </row>
    <row r="625" spans="3:13" x14ac:dyDescent="0.15">
      <c r="C625" s="76">
        <v>728</v>
      </c>
      <c r="D625" s="76">
        <v>2.0999999999999999E-5</v>
      </c>
      <c r="E625" s="76">
        <v>1.5400000000000002E-5</v>
      </c>
      <c r="F625" s="76">
        <v>5.8100000000000003E-5</v>
      </c>
      <c r="G625" s="76">
        <v>6.6099999999999994E-5</v>
      </c>
      <c r="H625" s="76">
        <v>1.5299999999999999E-5</v>
      </c>
      <c r="I625" s="76">
        <v>1.16E-4</v>
      </c>
      <c r="J625" s="76">
        <v>1.34E-4</v>
      </c>
      <c r="K625" s="76">
        <v>1.64E-4</v>
      </c>
      <c r="L625" s="76">
        <v>4.3600000000000003E-5</v>
      </c>
      <c r="M625" s="76">
        <v>1.84E-4</v>
      </c>
    </row>
    <row r="626" spans="3:13" x14ac:dyDescent="0.15">
      <c r="C626" s="76">
        <v>730</v>
      </c>
      <c r="D626" s="76">
        <v>2.0599999999999999E-5</v>
      </c>
      <c r="E626" s="76">
        <v>1.5400000000000002E-5</v>
      </c>
      <c r="F626" s="76">
        <v>3.1000000000000001E-5</v>
      </c>
      <c r="G626" s="76">
        <v>4.8399999999999997E-5</v>
      </c>
      <c r="H626" s="76">
        <v>8.2200000000000006E-5</v>
      </c>
      <c r="I626" s="76">
        <v>1.56E-4</v>
      </c>
      <c r="J626" s="76">
        <v>1.66E-4</v>
      </c>
      <c r="K626" s="76">
        <v>1.54E-4</v>
      </c>
      <c r="L626" s="76">
        <v>6.3700000000000003E-5</v>
      </c>
      <c r="M626" s="76">
        <v>1.64E-4</v>
      </c>
    </row>
    <row r="627" spans="3:13" x14ac:dyDescent="0.15">
      <c r="C627" s="76">
        <v>732</v>
      </c>
      <c r="D627" s="76">
        <v>1.2799999999999999E-5</v>
      </c>
      <c r="E627" s="76">
        <v>1.2099999999999999E-5</v>
      </c>
      <c r="F627" s="76">
        <v>4.6699999999999997E-5</v>
      </c>
      <c r="G627" s="76">
        <v>5.8E-5</v>
      </c>
      <c r="H627" s="76">
        <v>1.0399999999999999E-4</v>
      </c>
      <c r="I627" s="76">
        <v>1.2799999999999999E-4</v>
      </c>
      <c r="J627" s="76">
        <v>1.64E-4</v>
      </c>
      <c r="K627" s="76">
        <v>1.7100000000000001E-4</v>
      </c>
      <c r="L627" s="76">
        <v>3.7499999999999997E-5</v>
      </c>
      <c r="M627" s="76">
        <v>1.5799999999999999E-4</v>
      </c>
    </row>
    <row r="628" spans="3:13" x14ac:dyDescent="0.15">
      <c r="C628" s="76">
        <v>734</v>
      </c>
      <c r="D628" s="76">
        <v>2.62E-5</v>
      </c>
      <c r="E628" s="76">
        <v>2.8900000000000001E-5</v>
      </c>
      <c r="F628" s="76">
        <v>2.62E-5</v>
      </c>
      <c r="G628" s="76">
        <v>3.4600000000000001E-5</v>
      </c>
      <c r="H628" s="76">
        <v>7.5799999999999999E-5</v>
      </c>
      <c r="I628" s="76">
        <v>1.35E-4</v>
      </c>
      <c r="J628" s="76">
        <v>1.8599999999999999E-4</v>
      </c>
      <c r="K628" s="76">
        <v>1.9799999999999999E-4</v>
      </c>
      <c r="L628" s="76">
        <v>1.02E-4</v>
      </c>
      <c r="M628" s="76">
        <v>1.4899999999999999E-4</v>
      </c>
    </row>
    <row r="629" spans="3:13" x14ac:dyDescent="0.15">
      <c r="C629" s="76">
        <v>736</v>
      </c>
      <c r="D629" s="76">
        <v>2.1999999999999999E-5</v>
      </c>
      <c r="E629" s="76">
        <v>2.4000000000000001E-5</v>
      </c>
      <c r="F629" s="76">
        <v>5.27E-5</v>
      </c>
      <c r="G629" s="76">
        <v>3.3500000000000001E-5</v>
      </c>
      <c r="H629" s="76">
        <v>9.6000000000000002E-5</v>
      </c>
      <c r="I629" s="76">
        <v>1.37E-4</v>
      </c>
      <c r="J629" s="76">
        <v>1.5699999999999999E-4</v>
      </c>
      <c r="K629" s="76">
        <v>1.94E-4</v>
      </c>
      <c r="L629" s="76">
        <v>9.9199999999999999E-5</v>
      </c>
      <c r="M629" s="76">
        <v>2.24E-4</v>
      </c>
    </row>
    <row r="630" spans="3:13" x14ac:dyDescent="0.15">
      <c r="C630" s="76">
        <v>738</v>
      </c>
      <c r="D630" s="76">
        <v>2.5899999999999999E-5</v>
      </c>
      <c r="E630" s="76">
        <v>3.8800000000000001E-5</v>
      </c>
      <c r="F630" s="76">
        <v>3.04E-5</v>
      </c>
      <c r="G630" s="76">
        <v>6.2700000000000006E-5</v>
      </c>
      <c r="H630" s="76">
        <v>8.81E-5</v>
      </c>
      <c r="I630" s="76">
        <v>1.4300000000000001E-4</v>
      </c>
      <c r="J630" s="76">
        <v>1.44E-4</v>
      </c>
      <c r="K630" s="76">
        <v>1.84E-4</v>
      </c>
      <c r="L630" s="76">
        <v>7.3899999999999994E-5</v>
      </c>
      <c r="M630" s="76">
        <v>1.5100000000000001E-4</v>
      </c>
    </row>
    <row r="631" spans="3:13" x14ac:dyDescent="0.15">
      <c r="C631" s="76">
        <v>740</v>
      </c>
      <c r="D631" s="76">
        <v>1.9700000000000001E-5</v>
      </c>
      <c r="E631" s="76">
        <v>3.2100000000000001E-5</v>
      </c>
      <c r="F631" s="76">
        <v>5.0500000000000001E-5</v>
      </c>
      <c r="G631" s="76">
        <v>5.7899999999999998E-5</v>
      </c>
      <c r="H631" s="76">
        <v>1.0399999999999999E-4</v>
      </c>
      <c r="I631" s="76">
        <v>1.3799999999999999E-4</v>
      </c>
      <c r="J631" s="76">
        <v>1.4300000000000001E-4</v>
      </c>
      <c r="K631" s="76">
        <v>1.85E-4</v>
      </c>
      <c r="L631" s="76">
        <v>5.4799999999999997E-5</v>
      </c>
      <c r="M631" s="76">
        <v>3.0599999999999998E-5</v>
      </c>
    </row>
    <row r="632" spans="3:13" x14ac:dyDescent="0.15">
      <c r="C632" s="76">
        <v>742</v>
      </c>
      <c r="D632" s="76">
        <v>2.4000000000000001E-5</v>
      </c>
      <c r="E632" s="76">
        <v>2.62E-5</v>
      </c>
      <c r="F632" s="76">
        <v>5.0899999999999997E-5</v>
      </c>
      <c r="G632" s="76">
        <v>3.96E-5</v>
      </c>
      <c r="H632" s="76">
        <v>1.4200000000000001E-4</v>
      </c>
      <c r="I632" s="76">
        <v>8.6000000000000003E-5</v>
      </c>
      <c r="J632" s="76">
        <v>1.54E-4</v>
      </c>
      <c r="K632" s="76">
        <v>1.8799999999999999E-4</v>
      </c>
      <c r="L632" s="76">
        <v>6.1799999999999998E-5</v>
      </c>
      <c r="M632" s="76">
        <v>8.2100000000000003E-5</v>
      </c>
    </row>
    <row r="633" spans="3:13" x14ac:dyDescent="0.15">
      <c r="C633" s="76">
        <v>744</v>
      </c>
      <c r="D633" s="76">
        <v>2.4600000000000002E-5</v>
      </c>
      <c r="E633" s="76">
        <v>3.8800000000000001E-5</v>
      </c>
      <c r="F633" s="76">
        <v>7.25E-6</v>
      </c>
      <c r="G633" s="76">
        <v>4.6100000000000002E-5</v>
      </c>
      <c r="H633" s="76">
        <v>1.4899999999999999E-4</v>
      </c>
      <c r="I633" s="76">
        <v>8.8999999999999995E-5</v>
      </c>
      <c r="J633" s="76">
        <v>1.25E-4</v>
      </c>
      <c r="K633" s="76">
        <v>1.7899999999999999E-4</v>
      </c>
      <c r="L633" s="76">
        <v>1.45E-4</v>
      </c>
      <c r="M633" s="76">
        <v>1.15E-4</v>
      </c>
    </row>
    <row r="634" spans="3:13" x14ac:dyDescent="0.15">
      <c r="C634" s="76">
        <v>746</v>
      </c>
      <c r="D634" s="76">
        <v>1.9700000000000001E-5</v>
      </c>
      <c r="E634" s="76">
        <v>3.6000000000000001E-5</v>
      </c>
      <c r="F634" s="76">
        <v>2.69E-5</v>
      </c>
      <c r="G634" s="76">
        <v>3.0199999999999999E-5</v>
      </c>
      <c r="H634" s="76">
        <v>1.11E-4</v>
      </c>
      <c r="I634" s="76">
        <v>9.9599999999999995E-5</v>
      </c>
      <c r="J634" s="76">
        <v>1.3799999999999999E-4</v>
      </c>
      <c r="K634" s="76">
        <v>1.36E-4</v>
      </c>
      <c r="L634" s="76">
        <v>1.03E-4</v>
      </c>
      <c r="M634" s="76">
        <v>1.65E-4</v>
      </c>
    </row>
    <row r="635" spans="3:13" x14ac:dyDescent="0.15">
      <c r="C635" s="76">
        <v>748</v>
      </c>
      <c r="D635" s="76">
        <v>2.3600000000000001E-5</v>
      </c>
      <c r="E635" s="76">
        <v>4.4499999999999997E-5</v>
      </c>
      <c r="F635" s="76">
        <v>4.7299999999999998E-5</v>
      </c>
      <c r="G635" s="76">
        <v>8.0299999999999994E-6</v>
      </c>
      <c r="H635" s="76">
        <v>3.5299999999999997E-5</v>
      </c>
      <c r="I635" s="76">
        <v>8.7800000000000006E-5</v>
      </c>
      <c r="J635" s="76">
        <v>1.36E-4</v>
      </c>
      <c r="K635" s="76">
        <v>2.1699999999999999E-4</v>
      </c>
      <c r="L635" s="76">
        <v>1.16E-4</v>
      </c>
      <c r="M635" s="76">
        <v>8.5599999999999994E-5</v>
      </c>
    </row>
    <row r="636" spans="3:13" x14ac:dyDescent="0.15">
      <c r="C636" s="76">
        <v>750</v>
      </c>
      <c r="D636" s="76">
        <v>1.6200000000000001E-5</v>
      </c>
      <c r="E636" s="76">
        <v>5.1700000000000003E-5</v>
      </c>
      <c r="F636" s="76">
        <v>2.7500000000000001E-5</v>
      </c>
      <c r="G636" s="76">
        <v>7.6799999999999993E-6</v>
      </c>
      <c r="H636" s="76">
        <v>7.7399999999999998E-5</v>
      </c>
      <c r="I636" s="76">
        <v>6.3399999999999996E-5</v>
      </c>
      <c r="J636" s="76">
        <v>1.5200000000000001E-4</v>
      </c>
      <c r="K636" s="76">
        <v>2.0599999999999999E-4</v>
      </c>
      <c r="L636" s="76">
        <v>1.6200000000000001E-4</v>
      </c>
      <c r="M636" s="76">
        <v>1.16E-4</v>
      </c>
    </row>
    <row r="637" spans="3:13" x14ac:dyDescent="0.15">
      <c r="C637" s="76">
        <v>752</v>
      </c>
      <c r="D637" s="76">
        <v>1.26E-5</v>
      </c>
      <c r="E637" s="76">
        <v>4.1399999999999997E-5</v>
      </c>
      <c r="F637" s="76">
        <v>1.26E-5</v>
      </c>
      <c r="G637" s="76">
        <v>3.4199999999999998E-5</v>
      </c>
      <c r="H637" s="76">
        <v>7.2700000000000005E-5</v>
      </c>
      <c r="I637" s="76">
        <v>8.6600000000000004E-5</v>
      </c>
      <c r="J637" s="76">
        <v>1.25E-4</v>
      </c>
      <c r="K637" s="76">
        <v>2.23E-4</v>
      </c>
      <c r="L637" s="76">
        <v>9.3200000000000002E-5</v>
      </c>
      <c r="M637" s="76">
        <v>6.9099999999999999E-5</v>
      </c>
    </row>
    <row r="638" spans="3:13" x14ac:dyDescent="0.15">
      <c r="C638" s="76">
        <v>754</v>
      </c>
      <c r="D638" s="76">
        <v>1.8899999999999999E-5</v>
      </c>
      <c r="E638" s="76">
        <v>4.9599999999999999E-5</v>
      </c>
      <c r="F638" s="76">
        <v>3.5999999999999998E-6</v>
      </c>
      <c r="G638" s="76">
        <v>3.65E-5</v>
      </c>
      <c r="H638" s="76">
        <v>6.3299999999999994E-5</v>
      </c>
      <c r="I638" s="76">
        <v>3.79E-5</v>
      </c>
      <c r="J638" s="76">
        <v>1.11E-4</v>
      </c>
      <c r="K638" s="76">
        <v>1.6000000000000001E-4</v>
      </c>
      <c r="L638" s="76">
        <v>1.2300000000000001E-4</v>
      </c>
      <c r="M638" s="76">
        <v>1.2300000000000001E-4</v>
      </c>
    </row>
    <row r="639" spans="3:13" x14ac:dyDescent="0.15">
      <c r="C639" s="76">
        <v>756</v>
      </c>
      <c r="D639" s="76">
        <v>1.8300000000000001E-5</v>
      </c>
      <c r="E639" s="76">
        <v>4.5500000000000001E-5</v>
      </c>
      <c r="F639" s="76">
        <v>4.2299999999999998E-5</v>
      </c>
      <c r="G639" s="76">
        <v>2.9699999999999999E-6</v>
      </c>
      <c r="H639" s="76">
        <v>8.2100000000000003E-5</v>
      </c>
      <c r="I639" s="76">
        <v>9.1600000000000004E-5</v>
      </c>
      <c r="J639" s="76">
        <v>1.3799999999999999E-4</v>
      </c>
      <c r="K639" s="76">
        <v>1.9599999999999999E-4</v>
      </c>
      <c r="L639" s="76">
        <v>1.3300000000000001E-4</v>
      </c>
      <c r="M639" s="76">
        <v>9.7399999999999996E-5</v>
      </c>
    </row>
    <row r="640" spans="3:13" x14ac:dyDescent="0.15">
      <c r="C640" s="76">
        <v>758</v>
      </c>
      <c r="D640" s="76">
        <v>1.26E-5</v>
      </c>
      <c r="E640" s="76">
        <v>3.6900000000000002E-5</v>
      </c>
      <c r="F640" s="76">
        <v>5.4099999999999999E-6</v>
      </c>
      <c r="G640" s="76">
        <v>1.08E-5</v>
      </c>
      <c r="H640" s="76">
        <v>7.36E-5</v>
      </c>
      <c r="I640" s="76">
        <v>8.7800000000000006E-5</v>
      </c>
      <c r="J640" s="76">
        <v>1.18E-4</v>
      </c>
      <c r="K640" s="76">
        <v>1.7100000000000001E-4</v>
      </c>
      <c r="L640" s="76">
        <v>1.54E-4</v>
      </c>
      <c r="M640" s="76">
        <v>1.25E-4</v>
      </c>
    </row>
    <row r="641" spans="2:13" x14ac:dyDescent="0.15">
      <c r="C641" s="76">
        <v>760</v>
      </c>
      <c r="D641" s="76">
        <v>2.0699999999999998E-5</v>
      </c>
      <c r="E641" s="76">
        <v>4.6999999999999997E-5</v>
      </c>
      <c r="F641" s="76">
        <v>1.42E-5</v>
      </c>
      <c r="G641" s="76">
        <v>2.2399999999999999E-5</v>
      </c>
      <c r="H641" s="76">
        <v>7.9599999999999997E-5</v>
      </c>
      <c r="I641" s="76">
        <v>5.6900000000000001E-5</v>
      </c>
      <c r="J641" s="76">
        <v>1.4100000000000001E-4</v>
      </c>
      <c r="K641" s="76">
        <v>1.54E-4</v>
      </c>
      <c r="L641" s="76">
        <v>6.7299999999999996E-5</v>
      </c>
      <c r="M641" s="76">
        <v>2.52E-4</v>
      </c>
    </row>
    <row r="642" spans="2:13" x14ac:dyDescent="0.15">
      <c r="C642" s="76">
        <v>762</v>
      </c>
      <c r="D642" s="76">
        <v>1.11E-5</v>
      </c>
      <c r="E642" s="76">
        <v>4.1300000000000001E-5</v>
      </c>
      <c r="F642" s="76">
        <v>6.6800000000000004E-6</v>
      </c>
      <c r="G642" s="76">
        <v>1.8700000000000001E-5</v>
      </c>
      <c r="H642" s="76">
        <v>8.3300000000000005E-5</v>
      </c>
      <c r="I642" s="76">
        <v>6.8499999999999998E-5</v>
      </c>
      <c r="J642" s="76">
        <v>6.3800000000000006E-5</v>
      </c>
      <c r="K642" s="76">
        <v>2.3499999999999999E-4</v>
      </c>
      <c r="L642" s="76">
        <v>2.3900000000000001E-4</v>
      </c>
      <c r="M642" s="76">
        <v>2.1000000000000001E-4</v>
      </c>
    </row>
    <row r="643" spans="2:13" x14ac:dyDescent="0.15">
      <c r="C643" s="76">
        <v>764</v>
      </c>
      <c r="D643" s="76">
        <v>1.1600000000000001E-5</v>
      </c>
      <c r="E643" s="76">
        <v>5.5800000000000001E-5</v>
      </c>
      <c r="F643" s="76">
        <v>3.9499999999999998E-5</v>
      </c>
      <c r="G643" s="76">
        <v>9.31E-5</v>
      </c>
      <c r="H643" s="76">
        <v>7.0400000000000004E-5</v>
      </c>
      <c r="I643" s="76">
        <v>4.4100000000000001E-5</v>
      </c>
      <c r="J643" s="76">
        <v>7.6500000000000003E-5</v>
      </c>
      <c r="K643" s="76">
        <v>1.4200000000000001E-4</v>
      </c>
      <c r="L643" s="76">
        <v>1.26E-4</v>
      </c>
      <c r="M643" s="76">
        <v>1.15E-4</v>
      </c>
    </row>
    <row r="644" spans="2:13" x14ac:dyDescent="0.15">
      <c r="C644" s="76">
        <v>766</v>
      </c>
      <c r="D644" s="76">
        <v>9.91E-6</v>
      </c>
      <c r="E644" s="76">
        <v>3.8300000000000003E-5</v>
      </c>
      <c r="F644" s="76">
        <v>5.38E-5</v>
      </c>
      <c r="G644" s="76">
        <v>2.76E-5</v>
      </c>
      <c r="H644" s="76">
        <v>3.4E-5</v>
      </c>
      <c r="I644" s="76">
        <v>5.8600000000000001E-5</v>
      </c>
      <c r="J644" s="76">
        <v>1.25E-4</v>
      </c>
      <c r="K644" s="76">
        <v>1.93E-4</v>
      </c>
      <c r="L644" s="76">
        <v>2.63E-4</v>
      </c>
      <c r="M644" s="76">
        <v>1.8699999999999999E-4</v>
      </c>
    </row>
    <row r="645" spans="2:13" x14ac:dyDescent="0.15">
      <c r="C645" s="76">
        <v>768</v>
      </c>
      <c r="D645" s="76">
        <v>4.4399999999999998E-6</v>
      </c>
      <c r="E645" s="76">
        <v>3.2700000000000002E-5</v>
      </c>
      <c r="F645" s="76">
        <v>6.8700000000000003E-5</v>
      </c>
      <c r="G645" s="76">
        <v>3.7299999999999999E-5</v>
      </c>
      <c r="H645" s="76">
        <v>1.07E-4</v>
      </c>
      <c r="I645" s="76">
        <v>1.2300000000000001E-4</v>
      </c>
      <c r="J645" s="76">
        <v>2.8600000000000001E-5</v>
      </c>
      <c r="K645" s="76">
        <v>1.44E-4</v>
      </c>
      <c r="L645" s="76">
        <v>2.5599999999999999E-4</v>
      </c>
      <c r="M645" s="76">
        <v>3.2000000000000003E-4</v>
      </c>
    </row>
    <row r="646" spans="2:13" x14ac:dyDescent="0.15">
      <c r="C646" s="76">
        <v>770</v>
      </c>
      <c r="D646" s="76">
        <v>2.2399999999999999E-5</v>
      </c>
      <c r="E646" s="76">
        <v>1.7399999999999999E-5</v>
      </c>
      <c r="F646" s="76">
        <v>6.0000000000000002E-5</v>
      </c>
      <c r="G646" s="76">
        <v>2.2500000000000001E-5</v>
      </c>
      <c r="H646" s="76">
        <v>8.1500000000000002E-5</v>
      </c>
      <c r="I646" s="76">
        <v>4.74E-5</v>
      </c>
      <c r="J646" s="76">
        <v>5.13E-5</v>
      </c>
      <c r="K646" s="76">
        <v>1.75E-4</v>
      </c>
      <c r="L646" s="76">
        <v>2.7099999999999997E-4</v>
      </c>
      <c r="M646" s="76">
        <v>5.2899999999999998E-5</v>
      </c>
    </row>
    <row r="647" spans="2:13" x14ac:dyDescent="0.15">
      <c r="C647" s="76">
        <v>772</v>
      </c>
      <c r="D647" s="76">
        <v>8.4200000000000007E-6</v>
      </c>
      <c r="E647" s="76">
        <v>2.9200000000000002E-5</v>
      </c>
      <c r="F647" s="76">
        <v>8.0599999999999994E-5</v>
      </c>
      <c r="G647" s="76">
        <v>8.7899999999999995E-5</v>
      </c>
      <c r="H647" s="76">
        <v>6.05E-5</v>
      </c>
      <c r="I647" s="76">
        <v>9.9199999999999999E-5</v>
      </c>
      <c r="J647" s="76">
        <v>1.03E-5</v>
      </c>
      <c r="K647" s="76">
        <v>1.5699999999999999E-4</v>
      </c>
      <c r="L647" s="76">
        <v>3.3500000000000001E-4</v>
      </c>
      <c r="M647" s="76">
        <v>1.75E-4</v>
      </c>
    </row>
    <row r="648" spans="2:13" x14ac:dyDescent="0.15">
      <c r="C648" s="76">
        <v>774</v>
      </c>
      <c r="D648" s="76">
        <v>1.5999999999999999E-5</v>
      </c>
      <c r="E648" s="76">
        <v>1.95E-5</v>
      </c>
      <c r="F648" s="76">
        <v>3.57E-5</v>
      </c>
      <c r="G648" s="76">
        <v>7.8800000000000004E-5</v>
      </c>
      <c r="H648" s="76">
        <v>2.0299999999999999E-5</v>
      </c>
      <c r="I648" s="76">
        <v>9.9699999999999998E-5</v>
      </c>
      <c r="J648" s="76">
        <v>7.0400000000000004E-6</v>
      </c>
      <c r="K648" s="76">
        <v>4.9100000000000001E-5</v>
      </c>
      <c r="L648" s="76">
        <v>2.8400000000000002E-4</v>
      </c>
      <c r="M648" s="76">
        <v>2.05E-4</v>
      </c>
    </row>
    <row r="649" spans="2:13" x14ac:dyDescent="0.15">
      <c r="C649" s="76">
        <v>776</v>
      </c>
      <c r="D649" s="76">
        <v>1.5099999999999999E-5</v>
      </c>
      <c r="E649" s="76">
        <v>4.0599999999999998E-5</v>
      </c>
      <c r="F649" s="76">
        <v>6.1500000000000004E-5</v>
      </c>
      <c r="G649" s="76">
        <v>2.0100000000000001E-5</v>
      </c>
      <c r="H649" s="76">
        <v>4.3399999999999998E-5</v>
      </c>
      <c r="I649" s="76">
        <v>4.1699999999999997E-5</v>
      </c>
      <c r="J649" s="76">
        <v>7.0300000000000001E-5</v>
      </c>
      <c r="K649" s="76">
        <v>9.6299999999999996E-5</v>
      </c>
      <c r="L649" s="76">
        <v>7.2899999999999997E-5</v>
      </c>
      <c r="M649" s="76">
        <v>3.0699999999999998E-4</v>
      </c>
    </row>
    <row r="650" spans="2:13" x14ac:dyDescent="0.15">
      <c r="C650" s="76">
        <v>778</v>
      </c>
      <c r="D650" s="76">
        <v>1.1199999999999999E-5</v>
      </c>
      <c r="E650" s="76">
        <v>2.8600000000000001E-5</v>
      </c>
      <c r="F650" s="76">
        <v>2.3799999999999999E-5</v>
      </c>
      <c r="G650" s="76">
        <v>5.5399999999999998E-5</v>
      </c>
      <c r="H650" s="76">
        <v>6.5900000000000003E-5</v>
      </c>
      <c r="I650" s="76">
        <v>6.5300000000000002E-5</v>
      </c>
      <c r="J650" s="76">
        <v>0</v>
      </c>
      <c r="K650" s="76">
        <v>2.1800000000000001E-5</v>
      </c>
      <c r="L650" s="76">
        <v>2.8699999999999998E-4</v>
      </c>
      <c r="M650" s="76">
        <v>2.3900000000000001E-4</v>
      </c>
    </row>
    <row r="651" spans="2:13" x14ac:dyDescent="0.15">
      <c r="C651" s="76">
        <v>780</v>
      </c>
      <c r="D651" s="76">
        <v>1.7099999999999999E-5</v>
      </c>
      <c r="E651" s="120">
        <v>2.0800000000000001E-5</v>
      </c>
      <c r="F651" s="120">
        <v>8.4999999999999999E-6</v>
      </c>
      <c r="G651" s="76">
        <v>8.3200000000000003E-5</v>
      </c>
      <c r="H651" s="76">
        <v>4.6199999999999998E-5</v>
      </c>
      <c r="I651" s="76">
        <v>7.7799999999999994E-5</v>
      </c>
      <c r="J651" s="76">
        <v>0</v>
      </c>
      <c r="K651" s="76">
        <v>2.2500000000000001E-5</v>
      </c>
      <c r="L651" s="76">
        <v>2.6400000000000002E-4</v>
      </c>
      <c r="M651" s="76">
        <v>2.43E-4</v>
      </c>
    </row>
    <row r="652" spans="2:13" x14ac:dyDescent="0.15">
      <c r="B652" s="76">
        <v>14</v>
      </c>
      <c r="C652" s="76" t="s">
        <v>561</v>
      </c>
      <c r="D652" s="76">
        <v>1</v>
      </c>
      <c r="E652" s="76">
        <v>2</v>
      </c>
      <c r="F652" s="76">
        <v>3</v>
      </c>
      <c r="G652" s="76">
        <v>4</v>
      </c>
      <c r="H652" s="76">
        <v>5</v>
      </c>
      <c r="I652" s="76">
        <v>6</v>
      </c>
      <c r="J652" s="76">
        <v>7</v>
      </c>
      <c r="K652" s="76">
        <v>8</v>
      </c>
      <c r="L652" s="76">
        <v>9</v>
      </c>
      <c r="M652" s="76">
        <v>10</v>
      </c>
    </row>
    <row r="653" spans="2:13" x14ac:dyDescent="0.15">
      <c r="C653" s="76" t="s">
        <v>556</v>
      </c>
      <c r="D653" s="76">
        <v>3.5659999999999998</v>
      </c>
      <c r="E653" s="76">
        <v>3.7029999999999998</v>
      </c>
      <c r="F653" s="76">
        <v>3.8</v>
      </c>
      <c r="G653" s="76">
        <v>3.88</v>
      </c>
      <c r="H653" s="76">
        <v>3.948</v>
      </c>
      <c r="I653" s="76">
        <v>4.01</v>
      </c>
      <c r="J653" s="76">
        <v>4.0659999999999998</v>
      </c>
      <c r="K653" s="76">
        <v>4.1180000000000003</v>
      </c>
      <c r="L653" s="76">
        <v>4.1660000000000004</v>
      </c>
      <c r="M653" s="76">
        <v>4.2110000000000003</v>
      </c>
    </row>
    <row r="654" spans="2:13" x14ac:dyDescent="0.15">
      <c r="C654" s="76" t="s">
        <v>562</v>
      </c>
      <c r="D654" s="76">
        <v>0.08</v>
      </c>
      <c r="E654" s="76">
        <v>0.16</v>
      </c>
      <c r="F654" s="76">
        <v>0.24</v>
      </c>
      <c r="G654" s="76">
        <v>0.32</v>
      </c>
      <c r="H654" s="76">
        <v>0.4</v>
      </c>
      <c r="I654" s="76">
        <v>0.48</v>
      </c>
      <c r="J654" s="76">
        <v>0.56000000000000005</v>
      </c>
      <c r="K654" s="76">
        <v>0.64</v>
      </c>
      <c r="L654" s="76">
        <v>0.72</v>
      </c>
      <c r="M654" s="76">
        <v>0.8</v>
      </c>
    </row>
    <row r="655" spans="2:13" x14ac:dyDescent="0.15">
      <c r="C655" s="76" t="s">
        <v>557</v>
      </c>
      <c r="D655" s="76">
        <v>2</v>
      </c>
      <c r="E655" s="76">
        <v>4</v>
      </c>
      <c r="F655" s="76">
        <v>6</v>
      </c>
      <c r="G655" s="76">
        <v>8</v>
      </c>
      <c r="H655" s="76">
        <v>10</v>
      </c>
      <c r="I655" s="76">
        <v>12</v>
      </c>
      <c r="J655" s="76">
        <v>14</v>
      </c>
      <c r="K655" s="76">
        <v>16</v>
      </c>
      <c r="L655" s="76">
        <v>18</v>
      </c>
      <c r="M655" s="76">
        <v>20</v>
      </c>
    </row>
    <row r="656" spans="2:13" x14ac:dyDescent="0.15">
      <c r="C656" s="76" t="s">
        <v>560</v>
      </c>
      <c r="D656" s="76">
        <v>8.2249999999999996</v>
      </c>
      <c r="E656" s="76">
        <v>8.4039999999999999</v>
      </c>
      <c r="F656" s="76">
        <v>8.4250000000000007</v>
      </c>
      <c r="G656" s="76">
        <v>8.407</v>
      </c>
      <c r="H656" s="76">
        <v>8.391</v>
      </c>
      <c r="I656" s="76">
        <v>8.3829999999999991</v>
      </c>
      <c r="J656" s="76">
        <v>8.3569999999999993</v>
      </c>
      <c r="K656" s="76">
        <v>8.3309999999999995</v>
      </c>
      <c r="L656" s="76">
        <v>8.3049999999999997</v>
      </c>
      <c r="M656" s="76">
        <v>8.27</v>
      </c>
    </row>
    <row r="657" spans="3:13" x14ac:dyDescent="0.15">
      <c r="C657" s="76" t="s">
        <v>563</v>
      </c>
      <c r="D657" s="76">
        <v>7.2451829999999999</v>
      </c>
      <c r="E657" s="76">
        <v>7.1290979999999999</v>
      </c>
      <c r="F657" s="76">
        <v>6.9642520000000001</v>
      </c>
      <c r="G657" s="76">
        <v>6.807912</v>
      </c>
      <c r="H657" s="76">
        <v>6.676825</v>
      </c>
      <c r="I657" s="76">
        <v>6.5675179999999997</v>
      </c>
      <c r="J657" s="76">
        <v>6.4567240000000004</v>
      </c>
      <c r="K657" s="76">
        <v>6.3560509999999999</v>
      </c>
      <c r="L657" s="76">
        <v>6.2633470000000004</v>
      </c>
      <c r="M657" s="76">
        <v>6.1698700000000004</v>
      </c>
    </row>
    <row r="658" spans="3:13" x14ac:dyDescent="0.15">
      <c r="C658" s="76" t="s">
        <v>564</v>
      </c>
      <c r="D658" s="76">
        <v>164.5</v>
      </c>
      <c r="E658" s="76">
        <v>336.2</v>
      </c>
      <c r="F658" s="76">
        <v>505.5</v>
      </c>
      <c r="G658" s="76">
        <v>672.6</v>
      </c>
      <c r="H658" s="120">
        <v>839.2</v>
      </c>
      <c r="I658" s="76">
        <v>1006</v>
      </c>
      <c r="J658" s="76">
        <v>1170</v>
      </c>
      <c r="K658" s="76">
        <v>1333</v>
      </c>
      <c r="L658" s="76">
        <v>1495</v>
      </c>
      <c r="M658" s="76">
        <v>1654</v>
      </c>
    </row>
    <row r="659" spans="3:13" x14ac:dyDescent="0.15">
      <c r="C659" s="76" t="s">
        <v>565</v>
      </c>
      <c r="D659" s="76">
        <v>164.5</v>
      </c>
      <c r="E659" s="76">
        <v>336.2</v>
      </c>
      <c r="F659" s="76">
        <v>505.5</v>
      </c>
      <c r="G659" s="76">
        <v>672.6</v>
      </c>
      <c r="H659" s="120">
        <v>839.2</v>
      </c>
      <c r="I659" s="76">
        <v>1006</v>
      </c>
      <c r="J659" s="76">
        <v>1170</v>
      </c>
      <c r="K659" s="76">
        <v>1333</v>
      </c>
      <c r="L659" s="76">
        <v>1495</v>
      </c>
      <c r="M659" s="76">
        <v>1654</v>
      </c>
    </row>
    <row r="660" spans="3:13" x14ac:dyDescent="0.15">
      <c r="C660" s="76" t="s">
        <v>566</v>
      </c>
      <c r="D660" s="76">
        <v>0.1356</v>
      </c>
      <c r="E660" s="76">
        <v>0.13550000000000001</v>
      </c>
      <c r="F660" s="76">
        <v>0.13550000000000001</v>
      </c>
      <c r="G660" s="76">
        <v>0.13550000000000001</v>
      </c>
      <c r="H660" s="76">
        <v>0.13550000000000001</v>
      </c>
      <c r="I660" s="76">
        <v>0.13550000000000001</v>
      </c>
      <c r="J660" s="76">
        <v>0.13550000000000001</v>
      </c>
      <c r="K660" s="76">
        <v>0.13550000000000001</v>
      </c>
      <c r="L660" s="76">
        <v>0.1356</v>
      </c>
      <c r="M660" s="76">
        <v>0.13539999999999999</v>
      </c>
    </row>
    <row r="661" spans="3:13" x14ac:dyDescent="0.15">
      <c r="C661" s="76" t="s">
        <v>567</v>
      </c>
      <c r="D661" s="76">
        <v>0.1177</v>
      </c>
      <c r="E661" s="76">
        <v>0.11749999999999999</v>
      </c>
      <c r="F661" s="76">
        <v>0.1174</v>
      </c>
      <c r="G661" s="76">
        <v>0.1172</v>
      </c>
      <c r="H661" s="76">
        <v>0.1173</v>
      </c>
      <c r="I661" s="76">
        <v>0.1173</v>
      </c>
      <c r="J661" s="76">
        <v>0.1171</v>
      </c>
      <c r="K661" s="76">
        <v>0.1172</v>
      </c>
      <c r="L661" s="76">
        <v>0.1171</v>
      </c>
      <c r="M661" s="76">
        <v>0.11700000000000001</v>
      </c>
    </row>
    <row r="662" spans="3:13" x14ac:dyDescent="0.15">
      <c r="C662" s="76" t="s">
        <v>568</v>
      </c>
      <c r="D662" s="76">
        <v>9.1113999999999997</v>
      </c>
      <c r="E662" s="76">
        <v>9.3263999999999996</v>
      </c>
      <c r="F662" s="76">
        <v>9.3613</v>
      </c>
      <c r="G662" s="76">
        <v>9.3491999999999997</v>
      </c>
      <c r="H662" s="76">
        <v>9.3213000000000008</v>
      </c>
      <c r="I662" s="76">
        <v>9.3147000000000002</v>
      </c>
      <c r="J662" s="76">
        <v>9.2946000000000009</v>
      </c>
      <c r="K662" s="76">
        <v>9.2721999999999998</v>
      </c>
      <c r="L662" s="76">
        <v>9.2406000000000006</v>
      </c>
      <c r="M662" s="76">
        <v>9.2072000000000003</v>
      </c>
    </row>
    <row r="663" spans="3:13" x14ac:dyDescent="0.15">
      <c r="C663" s="76" t="s">
        <v>569</v>
      </c>
    </row>
    <row r="664" spans="3:13" x14ac:dyDescent="0.15">
      <c r="C664" s="76" t="s">
        <v>570</v>
      </c>
      <c r="D664" s="76">
        <v>4</v>
      </c>
      <c r="E664" s="76">
        <v>4</v>
      </c>
      <c r="F664" s="76">
        <v>4</v>
      </c>
      <c r="G664" s="76">
        <v>4</v>
      </c>
      <c r="H664" s="76">
        <v>4</v>
      </c>
      <c r="I664" s="76">
        <v>4</v>
      </c>
      <c r="J664" s="76">
        <v>4</v>
      </c>
      <c r="K664" s="76">
        <v>4</v>
      </c>
      <c r="L664" s="76">
        <v>4</v>
      </c>
      <c r="M664" s="76">
        <v>4</v>
      </c>
    </row>
    <row r="665" spans="3:13" x14ac:dyDescent="0.15">
      <c r="C665" s="76" t="s">
        <v>571</v>
      </c>
      <c r="D665" s="76">
        <v>100</v>
      </c>
      <c r="E665" s="76">
        <v>100</v>
      </c>
      <c r="F665" s="76">
        <v>100</v>
      </c>
      <c r="G665" s="76">
        <v>100</v>
      </c>
      <c r="H665" s="76">
        <v>100</v>
      </c>
      <c r="I665" s="76">
        <v>100</v>
      </c>
      <c r="J665" s="76">
        <v>100</v>
      </c>
      <c r="K665" s="76">
        <v>100</v>
      </c>
      <c r="L665" s="76">
        <v>100</v>
      </c>
      <c r="M665" s="76">
        <v>100</v>
      </c>
    </row>
    <row r="666" spans="3:13" x14ac:dyDescent="0.15">
      <c r="C666" s="76" t="s">
        <v>572</v>
      </c>
      <c r="D666" s="76" t="s">
        <v>574</v>
      </c>
      <c r="E666" s="76" t="s">
        <v>574</v>
      </c>
      <c r="F666" s="76" t="s">
        <v>574</v>
      </c>
      <c r="G666" s="76" t="s">
        <v>574</v>
      </c>
      <c r="H666" s="76" t="s">
        <v>574</v>
      </c>
      <c r="I666" s="76" t="s">
        <v>574</v>
      </c>
      <c r="J666" s="76" t="s">
        <v>574</v>
      </c>
      <c r="K666" s="76" t="s">
        <v>574</v>
      </c>
      <c r="L666" s="76" t="s">
        <v>574</v>
      </c>
      <c r="M666" s="76" t="s">
        <v>574</v>
      </c>
    </row>
    <row r="667" spans="3:13" x14ac:dyDescent="0.15">
      <c r="C667" s="76" t="s">
        <v>573</v>
      </c>
      <c r="D667" s="76">
        <v>1</v>
      </c>
      <c r="E667" s="76">
        <v>2</v>
      </c>
      <c r="F667" s="76">
        <v>3</v>
      </c>
      <c r="G667" s="76">
        <v>4</v>
      </c>
      <c r="H667" s="76">
        <v>5</v>
      </c>
      <c r="I667" s="76">
        <v>6</v>
      </c>
      <c r="J667" s="76">
        <v>7</v>
      </c>
      <c r="K667" s="76">
        <v>8</v>
      </c>
      <c r="L667" s="76">
        <v>9</v>
      </c>
      <c r="M667" s="76">
        <v>10</v>
      </c>
    </row>
    <row r="668" spans="3:13" x14ac:dyDescent="0.15">
      <c r="C668" s="76">
        <v>380</v>
      </c>
      <c r="D668" s="76">
        <v>1.5200000000000001E-4</v>
      </c>
      <c r="E668" s="76">
        <v>2.5399999999999999E-4</v>
      </c>
      <c r="F668" s="76">
        <v>3.9800000000000002E-4</v>
      </c>
      <c r="G668" s="76">
        <v>5.9599999999999996E-4</v>
      </c>
      <c r="H668" s="76">
        <v>6.2799999999999998E-4</v>
      </c>
      <c r="I668" s="76">
        <v>1.1000000000000001E-3</v>
      </c>
      <c r="J668" s="76">
        <v>9.0499999999999999E-4</v>
      </c>
      <c r="K668" s="76">
        <v>9.6900000000000003E-4</v>
      </c>
      <c r="L668" s="76">
        <v>1.67E-3</v>
      </c>
      <c r="M668" s="76">
        <v>1.4499999999999999E-3</v>
      </c>
    </row>
    <row r="669" spans="3:13" x14ac:dyDescent="0.15">
      <c r="C669" s="76">
        <v>382</v>
      </c>
      <c r="D669" s="76">
        <v>1.7000000000000001E-4</v>
      </c>
      <c r="E669" s="76">
        <v>2.3599999999999999E-4</v>
      </c>
      <c r="F669" s="76">
        <v>6.5799999999999995E-4</v>
      </c>
      <c r="G669" s="76">
        <v>4.4099999999999999E-4</v>
      </c>
      <c r="H669" s="76">
        <v>6.4499999999999996E-4</v>
      </c>
      <c r="I669" s="76">
        <v>1.17E-3</v>
      </c>
      <c r="J669" s="76">
        <v>1.25E-3</v>
      </c>
      <c r="K669" s="76">
        <v>1.1100000000000001E-3</v>
      </c>
      <c r="L669" s="76">
        <v>1.5399999999999999E-3</v>
      </c>
      <c r="M669" s="76">
        <v>1.32E-3</v>
      </c>
    </row>
    <row r="670" spans="3:13" x14ac:dyDescent="0.15">
      <c r="C670" s="76">
        <v>384</v>
      </c>
      <c r="D670" s="76">
        <v>9.87E-5</v>
      </c>
      <c r="E670" s="76">
        <v>2.8499999999999999E-4</v>
      </c>
      <c r="F670" s="76">
        <v>3.0600000000000001E-4</v>
      </c>
      <c r="G670" s="76">
        <v>4.4999999999999999E-4</v>
      </c>
      <c r="H670" s="76">
        <v>6.87E-4</v>
      </c>
      <c r="I670" s="76">
        <v>1.01E-3</v>
      </c>
      <c r="J670" s="76">
        <v>9.68E-4</v>
      </c>
      <c r="K670" s="76">
        <v>1.2600000000000001E-3</v>
      </c>
      <c r="L670" s="76">
        <v>1.5299999999999999E-3</v>
      </c>
      <c r="M670" s="76">
        <v>1.3600000000000001E-3</v>
      </c>
    </row>
    <row r="671" spans="3:13" x14ac:dyDescent="0.15">
      <c r="C671" s="76">
        <v>386</v>
      </c>
      <c r="D671" s="76">
        <v>9.48E-5</v>
      </c>
      <c r="E671" s="76">
        <v>2.7099999999999997E-4</v>
      </c>
      <c r="F671" s="76">
        <v>5.1999999999999995E-4</v>
      </c>
      <c r="G671" s="76">
        <v>3.6699999999999998E-4</v>
      </c>
      <c r="H671" s="76">
        <v>4.0200000000000001E-4</v>
      </c>
      <c r="I671" s="76">
        <v>1.2700000000000001E-3</v>
      </c>
      <c r="J671" s="76">
        <v>8.8199999999999997E-4</v>
      </c>
      <c r="K671" s="76">
        <v>1.3500000000000001E-3</v>
      </c>
      <c r="L671" s="76">
        <v>1.23E-3</v>
      </c>
      <c r="M671" s="76">
        <v>1.39E-3</v>
      </c>
    </row>
    <row r="672" spans="3:13" x14ac:dyDescent="0.15">
      <c r="C672" s="76">
        <v>388</v>
      </c>
      <c r="D672" s="76">
        <v>9.4599999999999996E-5</v>
      </c>
      <c r="E672" s="76">
        <v>2.6600000000000001E-4</v>
      </c>
      <c r="F672" s="76">
        <v>5.0699999999999996E-4</v>
      </c>
      <c r="G672" s="76">
        <v>4.2700000000000002E-4</v>
      </c>
      <c r="H672" s="76">
        <v>5.0000000000000001E-4</v>
      </c>
      <c r="I672" s="76">
        <v>1.1199999999999999E-3</v>
      </c>
      <c r="J672" s="76">
        <v>8.1499999999999997E-4</v>
      </c>
      <c r="K672" s="76">
        <v>1.1999999999999999E-3</v>
      </c>
      <c r="L672" s="76">
        <v>1.3799999999999999E-3</v>
      </c>
      <c r="M672" s="76">
        <v>1.08E-3</v>
      </c>
    </row>
    <row r="673" spans="3:13" x14ac:dyDescent="0.15">
      <c r="C673" s="76">
        <v>390</v>
      </c>
      <c r="D673" s="76">
        <v>7.4200000000000001E-5</v>
      </c>
      <c r="E673" s="76">
        <v>2.81E-4</v>
      </c>
      <c r="F673" s="76">
        <v>5.4699999999999996E-4</v>
      </c>
      <c r="G673" s="76">
        <v>4.86E-4</v>
      </c>
      <c r="H673" s="76">
        <v>6.1200000000000002E-4</v>
      </c>
      <c r="I673" s="76">
        <v>1.07E-3</v>
      </c>
      <c r="J673" s="76">
        <v>8.0800000000000002E-4</v>
      </c>
      <c r="K673" s="76">
        <v>1.39E-3</v>
      </c>
      <c r="L673" s="76">
        <v>1.2999999999999999E-3</v>
      </c>
      <c r="M673" s="76">
        <v>9.0600000000000001E-4</v>
      </c>
    </row>
    <row r="674" spans="3:13" x14ac:dyDescent="0.15">
      <c r="C674" s="76">
        <v>392</v>
      </c>
      <c r="D674" s="76">
        <v>1.4899999999999999E-4</v>
      </c>
      <c r="E674" s="76">
        <v>2.8499999999999999E-4</v>
      </c>
      <c r="F674" s="76">
        <v>5.4799999999999998E-4</v>
      </c>
      <c r="G674" s="76">
        <v>5.0799999999999999E-4</v>
      </c>
      <c r="H674" s="76">
        <v>6.6799999999999997E-4</v>
      </c>
      <c r="I674" s="76">
        <v>9.0200000000000002E-4</v>
      </c>
      <c r="J674" s="76">
        <v>8.9800000000000004E-4</v>
      </c>
      <c r="K674" s="76">
        <v>1.2099999999999999E-3</v>
      </c>
      <c r="L674" s="76">
        <v>1.42E-3</v>
      </c>
      <c r="M674" s="76">
        <v>1.1000000000000001E-3</v>
      </c>
    </row>
    <row r="675" spans="3:13" x14ac:dyDescent="0.15">
      <c r="C675" s="76">
        <v>394</v>
      </c>
      <c r="D675" s="76">
        <v>8.2899999999999996E-5</v>
      </c>
      <c r="E675" s="76">
        <v>2.6899999999999998E-4</v>
      </c>
      <c r="F675" s="76">
        <v>4.8500000000000003E-4</v>
      </c>
      <c r="G675" s="76">
        <v>4.2499999999999998E-4</v>
      </c>
      <c r="H675" s="76">
        <v>6.4099999999999997E-4</v>
      </c>
      <c r="I675" s="76">
        <v>1E-3</v>
      </c>
      <c r="J675" s="76">
        <v>8.03E-4</v>
      </c>
      <c r="K675" s="76">
        <v>1.31E-3</v>
      </c>
      <c r="L675" s="76">
        <v>1.1199999999999999E-3</v>
      </c>
      <c r="M675" s="76">
        <v>1.1100000000000001E-3</v>
      </c>
    </row>
    <row r="676" spans="3:13" x14ac:dyDescent="0.15">
      <c r="C676" s="76">
        <v>396</v>
      </c>
      <c r="D676" s="76">
        <v>9.0400000000000002E-5</v>
      </c>
      <c r="E676" s="76">
        <v>2.22E-4</v>
      </c>
      <c r="F676" s="76">
        <v>5.7399999999999997E-4</v>
      </c>
      <c r="G676" s="76">
        <v>4.4700000000000002E-4</v>
      </c>
      <c r="H676" s="76">
        <v>7.5199999999999996E-4</v>
      </c>
      <c r="I676" s="76">
        <v>9.7199999999999999E-4</v>
      </c>
      <c r="J676" s="76">
        <v>7.1900000000000002E-4</v>
      </c>
      <c r="K676" s="76">
        <v>1.39E-3</v>
      </c>
      <c r="L676" s="76">
        <v>1.5100000000000001E-3</v>
      </c>
      <c r="M676" s="76">
        <v>1.2999999999999999E-3</v>
      </c>
    </row>
    <row r="677" spans="3:13" x14ac:dyDescent="0.15">
      <c r="C677" s="76">
        <v>398</v>
      </c>
      <c r="D677" s="76">
        <v>9.5099999999999994E-5</v>
      </c>
      <c r="E677" s="76">
        <v>2.6600000000000001E-4</v>
      </c>
      <c r="F677" s="76">
        <v>5.8600000000000004E-4</v>
      </c>
      <c r="G677" s="76">
        <v>4.08E-4</v>
      </c>
      <c r="H677" s="76">
        <v>7.1000000000000002E-4</v>
      </c>
      <c r="I677" s="76">
        <v>9.0499999999999999E-4</v>
      </c>
      <c r="J677" s="76">
        <v>8.6799999999999996E-4</v>
      </c>
      <c r="K677" s="76">
        <v>1.4300000000000001E-3</v>
      </c>
      <c r="L677" s="76">
        <v>1.2999999999999999E-3</v>
      </c>
      <c r="M677" s="76">
        <v>9.3599999999999998E-4</v>
      </c>
    </row>
    <row r="678" spans="3:13" x14ac:dyDescent="0.15">
      <c r="C678" s="76">
        <v>400</v>
      </c>
      <c r="D678" s="76">
        <v>1.2400000000000001E-4</v>
      </c>
      <c r="E678" s="76">
        <v>2.7599999999999999E-4</v>
      </c>
      <c r="F678" s="76">
        <v>4.8700000000000002E-4</v>
      </c>
      <c r="G678" s="76">
        <v>4.4799999999999999E-4</v>
      </c>
      <c r="H678" s="76">
        <v>6.3900000000000003E-4</v>
      </c>
      <c r="I678" s="76">
        <v>8.4999999999999995E-4</v>
      </c>
      <c r="J678" s="76">
        <v>7.7399999999999995E-4</v>
      </c>
      <c r="K678" s="76">
        <v>1.3699999999999999E-3</v>
      </c>
      <c r="L678" s="76">
        <v>1.2899999999999999E-3</v>
      </c>
      <c r="M678" s="76">
        <v>1.0499999999999999E-3</v>
      </c>
    </row>
    <row r="679" spans="3:13" x14ac:dyDescent="0.15">
      <c r="C679" s="76">
        <v>402</v>
      </c>
      <c r="D679" s="76">
        <v>1.1E-4</v>
      </c>
      <c r="E679" s="76">
        <v>2.6499999999999999E-4</v>
      </c>
      <c r="F679" s="76">
        <v>5.4100000000000003E-4</v>
      </c>
      <c r="G679" s="76">
        <v>4.8299999999999998E-4</v>
      </c>
      <c r="H679" s="76">
        <v>7.0699999999999995E-4</v>
      </c>
      <c r="I679" s="76">
        <v>8.8599999999999996E-4</v>
      </c>
      <c r="J679" s="76">
        <v>8.0699999999999999E-4</v>
      </c>
      <c r="K679" s="76">
        <v>1.3600000000000001E-3</v>
      </c>
      <c r="L679" s="76">
        <v>1.34E-3</v>
      </c>
      <c r="M679" s="76">
        <v>1.2999999999999999E-3</v>
      </c>
    </row>
    <row r="680" spans="3:13" x14ac:dyDescent="0.15">
      <c r="C680" s="76">
        <v>404</v>
      </c>
      <c r="D680" s="76">
        <v>1.22E-4</v>
      </c>
      <c r="E680" s="76">
        <v>2.4600000000000002E-4</v>
      </c>
      <c r="F680" s="76">
        <v>5.3899999999999998E-4</v>
      </c>
      <c r="G680" s="76">
        <v>5.7899999999999998E-4</v>
      </c>
      <c r="H680" s="76">
        <v>7.2099999999999996E-4</v>
      </c>
      <c r="I680" s="76">
        <v>9.3800000000000003E-4</v>
      </c>
      <c r="J680" s="76">
        <v>1.0399999999999999E-3</v>
      </c>
      <c r="K680" s="76">
        <v>1.4E-3</v>
      </c>
      <c r="L680" s="76">
        <v>1.42E-3</v>
      </c>
      <c r="M680" s="76">
        <v>1.4300000000000001E-3</v>
      </c>
    </row>
    <row r="681" spans="3:13" x14ac:dyDescent="0.15">
      <c r="C681" s="76">
        <v>406</v>
      </c>
      <c r="D681" s="76">
        <v>1.35E-4</v>
      </c>
      <c r="E681" s="76">
        <v>3.1399999999999999E-4</v>
      </c>
      <c r="F681" s="76">
        <v>4.8799999999999999E-4</v>
      </c>
      <c r="G681" s="76">
        <v>5.7700000000000004E-4</v>
      </c>
      <c r="H681" s="76">
        <v>9.1399999999999999E-4</v>
      </c>
      <c r="I681" s="76">
        <v>8.8900000000000003E-4</v>
      </c>
      <c r="J681" s="76">
        <v>7.3800000000000005E-4</v>
      </c>
      <c r="K681" s="76">
        <v>1.57E-3</v>
      </c>
      <c r="L681" s="76">
        <v>1.3799999999999999E-3</v>
      </c>
      <c r="M681" s="76">
        <v>1.4499999999999999E-3</v>
      </c>
    </row>
    <row r="682" spans="3:13" x14ac:dyDescent="0.15">
      <c r="C682" s="76">
        <v>408</v>
      </c>
      <c r="D682" s="76">
        <v>1.2999999999999999E-4</v>
      </c>
      <c r="E682" s="76">
        <v>2.8400000000000002E-4</v>
      </c>
      <c r="F682" s="76">
        <v>5.6300000000000002E-4</v>
      </c>
      <c r="G682" s="76">
        <v>6.3100000000000005E-4</v>
      </c>
      <c r="H682" s="76">
        <v>6.7500000000000004E-4</v>
      </c>
      <c r="I682" s="76">
        <v>1.0200000000000001E-3</v>
      </c>
      <c r="J682" s="76">
        <v>8.0699999999999999E-4</v>
      </c>
      <c r="K682" s="76">
        <v>1.5499999999999999E-3</v>
      </c>
      <c r="L682" s="76">
        <v>1.4300000000000001E-3</v>
      </c>
      <c r="M682" s="76">
        <v>1.49E-3</v>
      </c>
    </row>
    <row r="683" spans="3:13" x14ac:dyDescent="0.15">
      <c r="C683" s="76">
        <v>410</v>
      </c>
      <c r="D683" s="76">
        <v>1.7100000000000001E-4</v>
      </c>
      <c r="E683" s="76">
        <v>3.59E-4</v>
      </c>
      <c r="F683" s="76">
        <v>6.4499999999999996E-4</v>
      </c>
      <c r="G683" s="76">
        <v>6.8800000000000003E-4</v>
      </c>
      <c r="H683" s="76">
        <v>9.8499999999999998E-4</v>
      </c>
      <c r="I683" s="76">
        <v>1.0300000000000001E-3</v>
      </c>
      <c r="J683" s="76">
        <v>1.07E-3</v>
      </c>
      <c r="K683" s="76">
        <v>1.6100000000000001E-3</v>
      </c>
      <c r="L683" s="76">
        <v>1.5900000000000001E-3</v>
      </c>
      <c r="M683" s="76">
        <v>1.72E-3</v>
      </c>
    </row>
    <row r="684" spans="3:13" x14ac:dyDescent="0.15">
      <c r="C684" s="76">
        <v>412</v>
      </c>
      <c r="D684" s="76">
        <v>1.92E-4</v>
      </c>
      <c r="E684" s="76">
        <v>4.0000000000000002E-4</v>
      </c>
      <c r="F684" s="76">
        <v>6.5700000000000003E-4</v>
      </c>
      <c r="G684" s="76">
        <v>7.54E-4</v>
      </c>
      <c r="H684" s="76">
        <v>1.08E-3</v>
      </c>
      <c r="I684" s="76">
        <v>1.0399999999999999E-3</v>
      </c>
      <c r="J684" s="76">
        <v>1.2899999999999999E-3</v>
      </c>
      <c r="K684" s="76">
        <v>1.81E-3</v>
      </c>
      <c r="L684" s="76">
        <v>1.8500000000000001E-3</v>
      </c>
      <c r="M684" s="76">
        <v>1.98E-3</v>
      </c>
    </row>
    <row r="685" spans="3:13" x14ac:dyDescent="0.15">
      <c r="C685" s="76">
        <v>414</v>
      </c>
      <c r="D685" s="76">
        <v>2.2699999999999999E-4</v>
      </c>
      <c r="E685" s="76">
        <v>4.5199999999999998E-4</v>
      </c>
      <c r="F685" s="76">
        <v>7.2999999999999996E-4</v>
      </c>
      <c r="G685" s="76">
        <v>9.1600000000000004E-4</v>
      </c>
      <c r="H685" s="76">
        <v>1.23E-3</v>
      </c>
      <c r="I685" s="76">
        <v>1.3799999999999999E-3</v>
      </c>
      <c r="J685" s="76">
        <v>1.57E-3</v>
      </c>
      <c r="K685" s="76">
        <v>2.0300000000000001E-3</v>
      </c>
      <c r="L685" s="76">
        <v>2.1800000000000001E-3</v>
      </c>
      <c r="M685" s="76">
        <v>2.4199999999999998E-3</v>
      </c>
    </row>
    <row r="686" spans="3:13" x14ac:dyDescent="0.15">
      <c r="C686" s="76">
        <v>416</v>
      </c>
      <c r="D686" s="76">
        <v>2.6899999999999998E-4</v>
      </c>
      <c r="E686" s="76">
        <v>5.5400000000000002E-4</v>
      </c>
      <c r="F686" s="76">
        <v>8.5300000000000003E-4</v>
      </c>
      <c r="G686" s="76">
        <v>1.07E-3</v>
      </c>
      <c r="H686" s="76">
        <v>1.42E-3</v>
      </c>
      <c r="I686" s="76">
        <v>1.65E-3</v>
      </c>
      <c r="J686" s="76">
        <v>1.83E-3</v>
      </c>
      <c r="K686" s="76">
        <v>2.4099999999999998E-3</v>
      </c>
      <c r="L686" s="76">
        <v>2.5500000000000002E-3</v>
      </c>
      <c r="M686" s="76">
        <v>2.8500000000000001E-3</v>
      </c>
    </row>
    <row r="687" spans="3:13" x14ac:dyDescent="0.15">
      <c r="C687" s="76">
        <v>418</v>
      </c>
      <c r="D687" s="76">
        <v>3.2000000000000003E-4</v>
      </c>
      <c r="E687" s="76">
        <v>6.11E-4</v>
      </c>
      <c r="F687" s="76">
        <v>9.9500000000000001E-4</v>
      </c>
      <c r="G687" s="76">
        <v>1.2899999999999999E-3</v>
      </c>
      <c r="H687" s="76">
        <v>1.6900000000000001E-3</v>
      </c>
      <c r="I687" s="76">
        <v>1.9300000000000001E-3</v>
      </c>
      <c r="J687" s="76">
        <v>2.2499999999999998E-3</v>
      </c>
      <c r="K687" s="76">
        <v>2.7499999999999998E-3</v>
      </c>
      <c r="L687" s="76">
        <v>2.8999999999999998E-3</v>
      </c>
      <c r="M687" s="76">
        <v>3.3600000000000001E-3</v>
      </c>
    </row>
    <row r="688" spans="3:13" x14ac:dyDescent="0.15">
      <c r="C688" s="76">
        <v>420</v>
      </c>
      <c r="D688" s="76">
        <v>3.8699999999999997E-4</v>
      </c>
      <c r="E688" s="76">
        <v>7.3899999999999997E-4</v>
      </c>
      <c r="F688" s="76">
        <v>1.1999999999999999E-3</v>
      </c>
      <c r="G688" s="76">
        <v>1.58E-3</v>
      </c>
      <c r="H688" s="76">
        <v>1.9E-3</v>
      </c>
      <c r="I688" s="76">
        <v>2.2699999999999999E-3</v>
      </c>
      <c r="J688" s="76">
        <v>2.7599999999999999E-3</v>
      </c>
      <c r="K688" s="76">
        <v>3.1800000000000001E-3</v>
      </c>
      <c r="L688" s="76">
        <v>3.4399999999999999E-3</v>
      </c>
      <c r="M688" s="76">
        <v>3.9100000000000003E-3</v>
      </c>
    </row>
    <row r="689" spans="3:46" x14ac:dyDescent="0.15">
      <c r="C689" s="76">
        <v>422</v>
      </c>
      <c r="D689" s="76">
        <v>4.4799999999999999E-4</v>
      </c>
      <c r="E689" s="76">
        <v>9.2599999999999996E-4</v>
      </c>
      <c r="F689" s="76">
        <v>1.4400000000000001E-3</v>
      </c>
      <c r="G689" s="76">
        <v>1.89E-3</v>
      </c>
      <c r="H689" s="76">
        <v>2.3700000000000001E-3</v>
      </c>
      <c r="I689" s="76">
        <v>2.7599999999999999E-3</v>
      </c>
      <c r="J689" s="76">
        <v>3.3300000000000001E-3</v>
      </c>
      <c r="K689" s="76">
        <v>3.8400000000000001E-3</v>
      </c>
      <c r="L689" s="76">
        <v>4.28E-3</v>
      </c>
      <c r="M689" s="76">
        <v>4.81E-3</v>
      </c>
    </row>
    <row r="690" spans="3:46" x14ac:dyDescent="0.15">
      <c r="C690" s="76">
        <v>424</v>
      </c>
      <c r="D690" s="76">
        <v>5.7899999999999998E-4</v>
      </c>
      <c r="E690" s="76">
        <v>1.16E-3</v>
      </c>
      <c r="F690" s="76">
        <v>1.81E-3</v>
      </c>
      <c r="G690" s="76">
        <v>2.4399999999999999E-3</v>
      </c>
      <c r="H690" s="76">
        <v>2.98E-3</v>
      </c>
      <c r="I690" s="76">
        <v>3.5300000000000002E-3</v>
      </c>
      <c r="J690" s="76">
        <v>4.2300000000000003E-3</v>
      </c>
      <c r="K690" s="76">
        <v>4.79E-3</v>
      </c>
      <c r="L690" s="76">
        <v>5.3400000000000001E-3</v>
      </c>
      <c r="M690" s="76">
        <v>5.96E-3</v>
      </c>
    </row>
    <row r="691" spans="3:46" x14ac:dyDescent="0.15">
      <c r="C691" s="76">
        <v>426</v>
      </c>
      <c r="D691" s="76">
        <v>7.4600000000000003E-4</v>
      </c>
      <c r="E691" s="76">
        <v>1.48E-3</v>
      </c>
      <c r="F691" s="76">
        <v>2.2899999999999999E-3</v>
      </c>
      <c r="G691" s="76">
        <v>3.0300000000000001E-3</v>
      </c>
      <c r="H691" s="76">
        <v>3.7599999999999999E-3</v>
      </c>
      <c r="I691" s="76">
        <v>4.45E-3</v>
      </c>
      <c r="J691" s="76">
        <v>5.3200000000000001E-3</v>
      </c>
      <c r="K691" s="76">
        <v>6.0299999999999998E-3</v>
      </c>
      <c r="L691" s="76">
        <v>6.77E-3</v>
      </c>
      <c r="M691" s="76">
        <v>7.6299999999999996E-3</v>
      </c>
    </row>
    <row r="692" spans="3:46" x14ac:dyDescent="0.15">
      <c r="C692" s="76">
        <v>428</v>
      </c>
      <c r="D692" s="76">
        <v>9.6500000000000004E-4</v>
      </c>
      <c r="E692" s="76">
        <v>1.9300000000000001E-3</v>
      </c>
      <c r="F692" s="76">
        <v>2.9199999999999999E-3</v>
      </c>
      <c r="G692" s="76">
        <v>3.98E-3</v>
      </c>
      <c r="H692" s="76">
        <v>4.9199999999999999E-3</v>
      </c>
      <c r="I692" s="76">
        <v>5.8500000000000002E-3</v>
      </c>
      <c r="J692" s="76">
        <v>6.96E-3</v>
      </c>
      <c r="K692" s="76">
        <v>7.8600000000000007E-3</v>
      </c>
      <c r="L692" s="76">
        <v>8.8500000000000002E-3</v>
      </c>
      <c r="M692" s="76">
        <v>9.8099999999999993E-3</v>
      </c>
    </row>
    <row r="693" spans="3:46" x14ac:dyDescent="0.15">
      <c r="C693" s="76">
        <v>430</v>
      </c>
      <c r="D693" s="76">
        <v>1.2800000000000001E-3</v>
      </c>
      <c r="E693" s="76">
        <v>2.5899999999999999E-3</v>
      </c>
      <c r="F693" s="76">
        <v>3.9300000000000003E-3</v>
      </c>
      <c r="G693" s="76">
        <v>5.3600000000000002E-3</v>
      </c>
      <c r="H693" s="76">
        <v>6.6100000000000004E-3</v>
      </c>
      <c r="I693" s="76">
        <v>7.8700000000000003E-3</v>
      </c>
      <c r="J693" s="76">
        <v>9.3200000000000002E-3</v>
      </c>
      <c r="K693" s="76">
        <v>1.0500000000000001E-2</v>
      </c>
      <c r="L693" s="76">
        <v>1.1900000000000001E-2</v>
      </c>
      <c r="M693" s="76">
        <v>1.32E-2</v>
      </c>
    </row>
    <row r="694" spans="3:46" x14ac:dyDescent="0.15">
      <c r="C694" s="76">
        <v>432</v>
      </c>
      <c r="D694" s="76">
        <v>1.75E-3</v>
      </c>
      <c r="E694" s="76">
        <v>3.5400000000000002E-3</v>
      </c>
      <c r="F694" s="76">
        <v>5.3899999999999998E-3</v>
      </c>
      <c r="G694" s="76">
        <v>7.2700000000000004E-3</v>
      </c>
      <c r="H694" s="76">
        <v>9.0100000000000006E-3</v>
      </c>
      <c r="I694" s="76">
        <v>1.0800000000000001E-2</v>
      </c>
      <c r="J694" s="76">
        <v>1.2699999999999999E-2</v>
      </c>
      <c r="K694" s="76">
        <v>1.44E-2</v>
      </c>
      <c r="L694" s="76">
        <v>1.6299999999999999E-2</v>
      </c>
      <c r="M694" s="76">
        <v>1.8100000000000002E-2</v>
      </c>
    </row>
    <row r="695" spans="3:46" x14ac:dyDescent="0.15">
      <c r="C695" s="76">
        <v>434</v>
      </c>
      <c r="D695" s="76">
        <v>2.4399999999999999E-3</v>
      </c>
      <c r="E695" s="76">
        <v>4.9300000000000004E-3</v>
      </c>
      <c r="F695" s="76">
        <v>7.4799999999999997E-3</v>
      </c>
      <c r="G695" s="76">
        <v>1.01E-2</v>
      </c>
      <c r="H695" s="76">
        <v>1.2500000000000001E-2</v>
      </c>
      <c r="I695" s="76">
        <v>1.5100000000000001E-2</v>
      </c>
      <c r="J695" s="76">
        <v>1.77E-2</v>
      </c>
      <c r="K695" s="76">
        <v>1.9900000000000001E-2</v>
      </c>
      <c r="L695" s="76">
        <v>2.2599999999999999E-2</v>
      </c>
      <c r="M695" s="76">
        <v>2.4899999999999999E-2</v>
      </c>
    </row>
    <row r="696" spans="3:46" x14ac:dyDescent="0.15">
      <c r="C696" s="76">
        <v>436</v>
      </c>
      <c r="D696" s="76">
        <v>3.4499999999999999E-3</v>
      </c>
      <c r="E696" s="76">
        <v>7.0899999999999999E-3</v>
      </c>
      <c r="F696" s="76">
        <v>1.0699999999999999E-2</v>
      </c>
      <c r="G696" s="76">
        <v>1.43E-2</v>
      </c>
      <c r="H696" s="76">
        <v>1.78E-2</v>
      </c>
      <c r="I696" s="76">
        <v>2.1499999999999998E-2</v>
      </c>
      <c r="J696" s="76">
        <v>2.52E-2</v>
      </c>
      <c r="K696" s="76">
        <v>2.86E-2</v>
      </c>
      <c r="L696" s="76">
        <v>3.2099999999999997E-2</v>
      </c>
      <c r="M696" s="76">
        <v>3.5799999999999998E-2</v>
      </c>
    </row>
    <row r="697" spans="3:46" x14ac:dyDescent="0.15">
      <c r="C697" s="76">
        <v>438</v>
      </c>
      <c r="D697" s="76">
        <v>4.9399999999999999E-3</v>
      </c>
      <c r="E697" s="76">
        <v>1.01E-2</v>
      </c>
      <c r="F697" s="76">
        <v>1.52E-2</v>
      </c>
      <c r="G697" s="76">
        <v>2.0400000000000001E-2</v>
      </c>
      <c r="H697" s="76">
        <v>2.5399999999999999E-2</v>
      </c>
      <c r="I697" s="76">
        <v>3.0599999999999999E-2</v>
      </c>
      <c r="J697" s="76">
        <v>3.5700000000000003E-2</v>
      </c>
      <c r="K697" s="76">
        <v>4.0599999999999997E-2</v>
      </c>
      <c r="L697" s="76">
        <v>4.5600000000000002E-2</v>
      </c>
      <c r="M697" s="76">
        <v>5.0599999999999999E-2</v>
      </c>
    </row>
    <row r="698" spans="3:46" x14ac:dyDescent="0.15">
      <c r="C698" s="76">
        <v>440</v>
      </c>
      <c r="D698" s="76">
        <v>6.7799999999999996E-3</v>
      </c>
      <c r="E698" s="76">
        <v>1.3899999999999999E-2</v>
      </c>
      <c r="F698" s="76">
        <v>2.0899999999999998E-2</v>
      </c>
      <c r="G698" s="76">
        <v>2.8000000000000001E-2</v>
      </c>
      <c r="H698" s="76">
        <v>3.49E-2</v>
      </c>
      <c r="I698" s="76">
        <v>4.2000000000000003E-2</v>
      </c>
      <c r="J698" s="76">
        <v>4.8899999999999999E-2</v>
      </c>
      <c r="K698" s="76">
        <v>5.5800000000000002E-2</v>
      </c>
      <c r="L698" s="76">
        <v>6.2700000000000006E-2</v>
      </c>
      <c r="M698" s="76">
        <v>6.9599999999999995E-2</v>
      </c>
    </row>
    <row r="699" spans="3:46" x14ac:dyDescent="0.15">
      <c r="C699" s="76">
        <v>442</v>
      </c>
      <c r="D699" s="76">
        <v>9.0699999999999999E-3</v>
      </c>
      <c r="E699" s="76">
        <v>1.8599999999999998E-2</v>
      </c>
      <c r="F699" s="76">
        <v>2.7900000000000001E-2</v>
      </c>
      <c r="G699" s="76">
        <v>3.7499999999999999E-2</v>
      </c>
      <c r="H699" s="76">
        <v>4.6699999999999998E-2</v>
      </c>
      <c r="I699" s="76">
        <v>5.6000000000000001E-2</v>
      </c>
      <c r="J699" s="76">
        <v>6.54E-2</v>
      </c>
      <c r="K699" s="76">
        <v>7.4499999999999997E-2</v>
      </c>
      <c r="L699" s="76">
        <v>8.3699999999999997E-2</v>
      </c>
      <c r="M699" s="76">
        <v>9.2799999999999994E-2</v>
      </c>
    </row>
    <row r="700" spans="3:46" x14ac:dyDescent="0.15">
      <c r="C700" s="76">
        <v>444</v>
      </c>
      <c r="D700" s="76">
        <v>1.18E-2</v>
      </c>
      <c r="E700" s="76">
        <v>2.41E-2</v>
      </c>
      <c r="F700" s="76">
        <v>3.6299999999999999E-2</v>
      </c>
      <c r="G700" s="76">
        <v>4.8599999999999997E-2</v>
      </c>
      <c r="H700" s="76">
        <v>6.0600000000000001E-2</v>
      </c>
      <c r="I700" s="76">
        <v>7.2700000000000001E-2</v>
      </c>
      <c r="J700" s="76">
        <v>8.48E-2</v>
      </c>
      <c r="K700" s="76">
        <v>9.6600000000000005E-2</v>
      </c>
      <c r="L700" s="76">
        <v>0.109</v>
      </c>
      <c r="M700" s="76">
        <v>0.12</v>
      </c>
    </row>
    <row r="701" spans="3:46" x14ac:dyDescent="0.15">
      <c r="C701" s="76">
        <v>446</v>
      </c>
      <c r="D701" s="76">
        <v>1.4800000000000001E-2</v>
      </c>
      <c r="E701" s="76">
        <v>3.04E-2</v>
      </c>
      <c r="F701" s="76">
        <v>4.5699999999999998E-2</v>
      </c>
      <c r="G701" s="76">
        <v>6.1100000000000002E-2</v>
      </c>
      <c r="H701" s="76">
        <v>7.6100000000000001E-2</v>
      </c>
      <c r="I701" s="76">
        <v>9.1399999999999995E-2</v>
      </c>
      <c r="J701" s="76">
        <v>0.107</v>
      </c>
      <c r="K701" s="76">
        <v>0.121</v>
      </c>
      <c r="L701" s="76">
        <v>0.13600000000000001</v>
      </c>
      <c r="M701" s="76">
        <v>0.151</v>
      </c>
    </row>
    <row r="702" spans="3:46" x14ac:dyDescent="0.15">
      <c r="C702" s="76">
        <v>448</v>
      </c>
      <c r="D702" s="76">
        <v>1.8100000000000002E-2</v>
      </c>
      <c r="E702" s="76">
        <v>3.6999999999999998E-2</v>
      </c>
      <c r="F702" s="76">
        <v>5.57E-2</v>
      </c>
      <c r="G702" s="76">
        <v>7.4300000000000005E-2</v>
      </c>
      <c r="H702" s="76">
        <v>9.2600000000000002E-2</v>
      </c>
      <c r="I702" s="76">
        <v>0.111</v>
      </c>
      <c r="J702" s="76">
        <v>0.129</v>
      </c>
      <c r="K702" s="76">
        <v>0.14699999999999999</v>
      </c>
      <c r="L702" s="76">
        <v>0.16600000000000001</v>
      </c>
      <c r="M702" s="76">
        <v>0.184</v>
      </c>
    </row>
    <row r="703" spans="3:46" x14ac:dyDescent="0.15">
      <c r="C703" s="81">
        <v>450</v>
      </c>
      <c r="D703" s="76">
        <v>2.1499999999999998E-2</v>
      </c>
      <c r="E703" s="76">
        <v>4.3999999999999997E-2</v>
      </c>
      <c r="F703" s="76">
        <v>6.6199999999999995E-2</v>
      </c>
      <c r="G703" s="76">
        <v>8.8300000000000003E-2</v>
      </c>
      <c r="H703" s="81">
        <v>0.11</v>
      </c>
      <c r="I703" s="76">
        <v>0.13200000000000001</v>
      </c>
      <c r="J703" s="76">
        <v>0.154</v>
      </c>
      <c r="K703" s="76">
        <v>0.17499999999999999</v>
      </c>
      <c r="L703" s="81">
        <v>0.19600000000000001</v>
      </c>
      <c r="M703" s="76">
        <v>0.218</v>
      </c>
      <c r="N703" s="81"/>
      <c r="T703" s="81"/>
      <c r="W703" s="81"/>
      <c r="AF703" s="81"/>
      <c r="AG703" s="81"/>
      <c r="AT703" s="81"/>
    </row>
    <row r="704" spans="3:46" x14ac:dyDescent="0.15">
      <c r="C704" s="81">
        <v>452</v>
      </c>
      <c r="D704" s="76">
        <v>2.4400000000000002E-2</v>
      </c>
      <c r="E704" s="76">
        <v>0.05</v>
      </c>
      <c r="F704" s="76">
        <v>7.51E-2</v>
      </c>
      <c r="G704" s="76">
        <v>0.1</v>
      </c>
      <c r="H704" s="81">
        <v>0.125</v>
      </c>
      <c r="I704" s="76">
        <v>0.15</v>
      </c>
      <c r="J704" s="76">
        <v>0.17399999999999999</v>
      </c>
      <c r="K704" s="76">
        <v>0.19800000000000001</v>
      </c>
      <c r="L704" s="81">
        <v>0.223</v>
      </c>
      <c r="M704" s="76">
        <v>0.247</v>
      </c>
      <c r="N704" s="81"/>
      <c r="T704" s="81"/>
      <c r="W704" s="81"/>
      <c r="AF704" s="81"/>
      <c r="AG704" s="81"/>
      <c r="AT704" s="81"/>
    </row>
    <row r="705" spans="3:56" x14ac:dyDescent="0.15">
      <c r="C705" s="81">
        <v>454</v>
      </c>
      <c r="D705" s="76">
        <v>2.6599999999999999E-2</v>
      </c>
      <c r="E705" s="76">
        <v>5.4600000000000003E-2</v>
      </c>
      <c r="F705" s="76">
        <v>8.2000000000000003E-2</v>
      </c>
      <c r="G705" s="76">
        <v>0.109</v>
      </c>
      <c r="H705" s="81">
        <v>0.13600000000000001</v>
      </c>
      <c r="I705" s="76">
        <v>0.16300000000000001</v>
      </c>
      <c r="J705" s="76">
        <v>0.19</v>
      </c>
      <c r="K705" s="76">
        <v>0.217</v>
      </c>
      <c r="L705" s="81">
        <v>0.24299999999999999</v>
      </c>
      <c r="M705" s="76">
        <v>0.26900000000000002</v>
      </c>
      <c r="N705" s="81"/>
      <c r="T705" s="81"/>
      <c r="W705" s="81"/>
      <c r="AF705" s="81"/>
      <c r="AG705" s="81"/>
      <c r="AT705" s="81"/>
    </row>
    <row r="706" spans="3:56" x14ac:dyDescent="0.15">
      <c r="C706" s="81">
        <v>456</v>
      </c>
      <c r="D706" s="76">
        <v>2.8199999999999999E-2</v>
      </c>
      <c r="E706" s="76">
        <v>5.7799999999999997E-2</v>
      </c>
      <c r="F706" s="76">
        <v>8.6800000000000002E-2</v>
      </c>
      <c r="G706" s="76">
        <v>0.11600000000000001</v>
      </c>
      <c r="H706" s="81">
        <v>0.14399999999999999</v>
      </c>
      <c r="I706" s="76">
        <v>0.17299999999999999</v>
      </c>
      <c r="J706" s="76">
        <v>0.20100000000000001</v>
      </c>
      <c r="K706" s="76">
        <v>0.22900000000000001</v>
      </c>
      <c r="L706" s="81">
        <v>0.25700000000000001</v>
      </c>
      <c r="M706" s="76">
        <v>0.28499999999999998</v>
      </c>
      <c r="N706" s="81"/>
      <c r="T706" s="81"/>
      <c r="W706" s="81"/>
      <c r="AF706" s="81"/>
      <c r="AG706" s="81"/>
      <c r="AT706" s="81"/>
    </row>
    <row r="707" spans="3:56" x14ac:dyDescent="0.15">
      <c r="C707" s="81">
        <v>458</v>
      </c>
      <c r="D707" s="76">
        <v>2.8899999999999999E-2</v>
      </c>
      <c r="E707" s="76">
        <v>5.9299999999999999E-2</v>
      </c>
      <c r="F707" s="76">
        <v>8.9099999999999999E-2</v>
      </c>
      <c r="G707" s="76">
        <v>0.11899999999999999</v>
      </c>
      <c r="H707" s="81">
        <v>0.14799999999999999</v>
      </c>
      <c r="I707" s="76">
        <v>0.17699999999999999</v>
      </c>
      <c r="J707" s="76">
        <v>0.20699999999999999</v>
      </c>
      <c r="K707" s="76">
        <v>0.23499999999999999</v>
      </c>
      <c r="L707" s="81">
        <v>0.26400000000000001</v>
      </c>
      <c r="M707" s="76">
        <v>0.29199999999999998</v>
      </c>
      <c r="N707" s="81"/>
      <c r="T707" s="81"/>
      <c r="W707" s="81"/>
      <c r="AF707" s="81"/>
      <c r="AG707" s="81"/>
      <c r="AT707" s="81"/>
    </row>
    <row r="708" spans="3:56" x14ac:dyDescent="0.15">
      <c r="C708" s="81">
        <v>460</v>
      </c>
      <c r="D708" s="76">
        <v>2.9000000000000001E-2</v>
      </c>
      <c r="E708" s="76">
        <v>5.9400000000000001E-2</v>
      </c>
      <c r="F708" s="76">
        <v>8.9300000000000004E-2</v>
      </c>
      <c r="G708" s="76">
        <v>0.11899999999999999</v>
      </c>
      <c r="H708" s="81">
        <v>0.14799999999999999</v>
      </c>
      <c r="I708" s="76">
        <v>0.17799999999999999</v>
      </c>
      <c r="J708" s="76">
        <v>0.20699999999999999</v>
      </c>
      <c r="K708" s="76">
        <v>0.23499999999999999</v>
      </c>
      <c r="L708" s="81">
        <v>0.26400000000000001</v>
      </c>
      <c r="M708" s="76">
        <v>0.29299999999999998</v>
      </c>
      <c r="N708" s="81"/>
      <c r="T708" s="81"/>
      <c r="W708" s="81"/>
      <c r="AF708" s="81"/>
      <c r="AG708" s="81"/>
      <c r="AT708" s="81"/>
    </row>
    <row r="709" spans="3:56" x14ac:dyDescent="0.15">
      <c r="C709" s="81">
        <v>462</v>
      </c>
      <c r="D709" s="76">
        <v>2.8299999999999999E-2</v>
      </c>
      <c r="E709" s="76">
        <v>5.8099999999999999E-2</v>
      </c>
      <c r="F709" s="76">
        <v>8.72E-2</v>
      </c>
      <c r="G709" s="76">
        <v>0.11600000000000001</v>
      </c>
      <c r="H709" s="81">
        <v>0.14499999999999999</v>
      </c>
      <c r="I709" s="76">
        <v>0.17299999999999999</v>
      </c>
      <c r="J709" s="76">
        <v>0.20200000000000001</v>
      </c>
      <c r="K709" s="76">
        <v>0.23</v>
      </c>
      <c r="L709" s="81">
        <v>0.25800000000000001</v>
      </c>
      <c r="M709" s="76">
        <v>0.28599999999999998</v>
      </c>
      <c r="N709" s="81"/>
      <c r="T709" s="81"/>
      <c r="W709" s="81"/>
      <c r="AF709" s="81"/>
      <c r="AG709" s="81"/>
      <c r="AT709" s="81"/>
    </row>
    <row r="710" spans="3:56" x14ac:dyDescent="0.15">
      <c r="C710" s="81">
        <v>464</v>
      </c>
      <c r="D710" s="76">
        <v>2.69E-2</v>
      </c>
      <c r="E710" s="76">
        <v>5.5199999999999999E-2</v>
      </c>
      <c r="F710" s="76">
        <v>8.3000000000000004E-2</v>
      </c>
      <c r="G710" s="76">
        <v>0.111</v>
      </c>
      <c r="H710" s="81">
        <v>0.13800000000000001</v>
      </c>
      <c r="I710" s="76">
        <v>0.16500000000000001</v>
      </c>
      <c r="J710" s="76">
        <v>0.192</v>
      </c>
      <c r="K710" s="76">
        <v>0.219</v>
      </c>
      <c r="L710" s="81">
        <v>0.246</v>
      </c>
      <c r="M710" s="76">
        <v>0.27200000000000002</v>
      </c>
      <c r="N710" s="81"/>
      <c r="T710" s="81"/>
      <c r="W710" s="81"/>
      <c r="AF710" s="81"/>
      <c r="AG710" s="81"/>
      <c r="AT710" s="81"/>
    </row>
    <row r="711" spans="3:56" x14ac:dyDescent="0.15">
      <c r="C711" s="81">
        <v>466</v>
      </c>
      <c r="D711" s="76">
        <v>2.5399999999999999E-2</v>
      </c>
      <c r="E711" s="76">
        <v>5.21E-2</v>
      </c>
      <c r="F711" s="76">
        <v>7.8399999999999997E-2</v>
      </c>
      <c r="G711" s="76">
        <v>0.104</v>
      </c>
      <c r="H711" s="81">
        <v>0.13</v>
      </c>
      <c r="I711" s="76">
        <v>0.156</v>
      </c>
      <c r="J711" s="76">
        <v>0.18099999999999999</v>
      </c>
      <c r="K711" s="76">
        <v>0.20699999999999999</v>
      </c>
      <c r="L711" s="81">
        <v>0.23200000000000001</v>
      </c>
      <c r="M711" s="76">
        <v>0.25700000000000001</v>
      </c>
      <c r="N711" s="81"/>
      <c r="T711" s="81"/>
      <c r="W711" s="81"/>
      <c r="AF711" s="81"/>
      <c r="AG711" s="81"/>
      <c r="AT711" s="81"/>
    </row>
    <row r="712" spans="3:56" x14ac:dyDescent="0.15">
      <c r="C712" s="81">
        <v>468</v>
      </c>
      <c r="D712" s="76">
        <v>2.3900000000000001E-2</v>
      </c>
      <c r="E712" s="76">
        <v>4.8899999999999999E-2</v>
      </c>
      <c r="F712" s="76">
        <v>7.3499999999999996E-2</v>
      </c>
      <c r="G712" s="76">
        <v>9.8000000000000004E-2</v>
      </c>
      <c r="H712" s="81">
        <v>0.122</v>
      </c>
      <c r="I712" s="76">
        <v>0.14599999999999999</v>
      </c>
      <c r="J712" s="76">
        <v>0.17100000000000001</v>
      </c>
      <c r="K712" s="76">
        <v>0.19400000000000001</v>
      </c>
      <c r="L712" s="81">
        <v>0.218</v>
      </c>
      <c r="M712" s="76">
        <v>0.24099999999999999</v>
      </c>
      <c r="N712" s="81"/>
      <c r="T712" s="81"/>
      <c r="W712" s="81"/>
      <c r="AF712" s="81"/>
      <c r="AG712" s="81"/>
      <c r="AT712" s="81"/>
    </row>
    <row r="713" spans="3:56" x14ac:dyDescent="0.15">
      <c r="C713" s="81">
        <v>470</v>
      </c>
      <c r="D713" s="76">
        <v>2.23E-2</v>
      </c>
      <c r="E713" s="76">
        <v>4.5699999999999998E-2</v>
      </c>
      <c r="F713" s="76">
        <v>6.8699999999999997E-2</v>
      </c>
      <c r="G713" s="76">
        <v>9.1499999999999998E-2</v>
      </c>
      <c r="H713" s="81">
        <v>0.114</v>
      </c>
      <c r="I713" s="76">
        <v>0.13700000000000001</v>
      </c>
      <c r="J713" s="76">
        <v>0.159</v>
      </c>
      <c r="K713" s="76">
        <v>0.18099999999999999</v>
      </c>
      <c r="L713" s="81">
        <v>0.20399999999999999</v>
      </c>
      <c r="M713" s="76">
        <v>0.22600000000000001</v>
      </c>
      <c r="N713" s="81"/>
      <c r="T713" s="81"/>
      <c r="W713" s="81"/>
      <c r="AF713" s="81"/>
      <c r="AG713" s="81"/>
      <c r="AT713" s="81"/>
    </row>
    <row r="714" spans="3:56" x14ac:dyDescent="0.15">
      <c r="C714" s="81">
        <v>472</v>
      </c>
      <c r="D714" s="76">
        <v>2.0899999999999998E-2</v>
      </c>
      <c r="E714" s="76">
        <v>4.2799999999999998E-2</v>
      </c>
      <c r="F714" s="76">
        <v>6.4399999999999999E-2</v>
      </c>
      <c r="G714" s="76">
        <v>8.5699999999999998E-2</v>
      </c>
      <c r="H714" s="81">
        <v>0.107</v>
      </c>
      <c r="I714" s="76">
        <v>0.128</v>
      </c>
      <c r="J714" s="76">
        <v>0.14899999999999999</v>
      </c>
      <c r="K714" s="76">
        <v>0.17</v>
      </c>
      <c r="L714" s="81">
        <v>0.191</v>
      </c>
      <c r="M714" s="76">
        <v>0.21099999999999999</v>
      </c>
      <c r="N714" s="81"/>
      <c r="T714" s="81"/>
      <c r="W714" s="81"/>
      <c r="AF714" s="81"/>
      <c r="AG714" s="81"/>
      <c r="AT714" s="81"/>
    </row>
    <row r="715" spans="3:56" x14ac:dyDescent="0.15">
      <c r="C715" s="81">
        <v>474</v>
      </c>
      <c r="D715" s="76">
        <v>1.9699999999999999E-2</v>
      </c>
      <c r="E715" s="76">
        <v>4.0300000000000002E-2</v>
      </c>
      <c r="F715" s="76">
        <v>6.0600000000000001E-2</v>
      </c>
      <c r="G715" s="76">
        <v>8.0699999999999994E-2</v>
      </c>
      <c r="H715" s="81">
        <v>0.10100000000000001</v>
      </c>
      <c r="I715" s="76">
        <v>0.121</v>
      </c>
      <c r="J715" s="76">
        <v>0.14099999999999999</v>
      </c>
      <c r="K715" s="76">
        <v>0.16</v>
      </c>
      <c r="L715" s="81">
        <v>0.18</v>
      </c>
      <c r="M715" s="76">
        <v>0.19900000000000001</v>
      </c>
      <c r="N715" s="81"/>
      <c r="T715" s="81"/>
      <c r="W715" s="81"/>
      <c r="AF715" s="81"/>
      <c r="AG715" s="81"/>
      <c r="AT715" s="81"/>
    </row>
    <row r="716" spans="3:56" x14ac:dyDescent="0.15">
      <c r="C716" s="81">
        <v>476</v>
      </c>
      <c r="D716" s="76">
        <v>1.8499999999999999E-2</v>
      </c>
      <c r="E716" s="76">
        <v>3.7900000000000003E-2</v>
      </c>
      <c r="F716" s="76">
        <v>5.7000000000000002E-2</v>
      </c>
      <c r="G716" s="76">
        <v>7.5899999999999995E-2</v>
      </c>
      <c r="H716" s="81">
        <v>9.4799999999999995E-2</v>
      </c>
      <c r="I716" s="76">
        <v>0.114</v>
      </c>
      <c r="J716" s="76">
        <v>0.13200000000000001</v>
      </c>
      <c r="K716" s="76">
        <v>0.151</v>
      </c>
      <c r="L716" s="81">
        <v>0.16900000000000001</v>
      </c>
      <c r="M716" s="76">
        <v>0.187</v>
      </c>
      <c r="N716" s="81"/>
      <c r="T716" s="81"/>
      <c r="W716" s="81"/>
      <c r="AF716" s="81"/>
      <c r="AG716" s="81"/>
      <c r="AT716" s="81"/>
    </row>
    <row r="717" spans="3:56" x14ac:dyDescent="0.15">
      <c r="C717" s="81">
        <v>478</v>
      </c>
      <c r="D717" s="81">
        <v>1.77E-2</v>
      </c>
      <c r="E717" s="81">
        <v>3.6200000000000003E-2</v>
      </c>
      <c r="F717" s="81">
        <v>5.45E-2</v>
      </c>
      <c r="G717" s="81">
        <v>7.2599999999999998E-2</v>
      </c>
      <c r="H717" s="81">
        <v>9.06E-2</v>
      </c>
      <c r="I717" s="81">
        <v>0.108</v>
      </c>
      <c r="J717" s="81">
        <v>0.126</v>
      </c>
      <c r="K717" s="81">
        <v>0.14399999999999999</v>
      </c>
      <c r="L717" s="81">
        <v>0.16200000000000001</v>
      </c>
      <c r="M717" s="81">
        <v>0.17899999999999999</v>
      </c>
      <c r="N717" s="81"/>
      <c r="O717" s="81"/>
      <c r="P717" s="81"/>
      <c r="Q717" s="81"/>
      <c r="R717" s="81"/>
      <c r="S717" s="81"/>
      <c r="T717" s="81"/>
      <c r="U717" s="81"/>
      <c r="V717" s="81"/>
      <c r="W717" s="81"/>
      <c r="X717" s="81"/>
      <c r="Y717" s="81"/>
      <c r="Z717" s="81"/>
      <c r="AA717" s="81"/>
      <c r="AB717" s="81"/>
      <c r="AC717" s="81"/>
      <c r="AD717" s="81"/>
      <c r="AF717" s="81"/>
      <c r="AG717" s="81"/>
      <c r="AH717" s="81"/>
      <c r="AI717" s="81"/>
      <c r="AJ717" s="81"/>
      <c r="AK717" s="81"/>
      <c r="AL717" s="81"/>
      <c r="AM717" s="81"/>
      <c r="AN717" s="81"/>
      <c r="AO717" s="81"/>
      <c r="AP717" s="81"/>
      <c r="AQ717" s="81"/>
      <c r="AT717" s="81"/>
      <c r="AU717" s="81"/>
      <c r="AV717" s="81"/>
      <c r="AW717" s="81"/>
      <c r="AX717" s="81"/>
      <c r="AY717" s="81"/>
      <c r="AZ717" s="81"/>
      <c r="BA717" s="81"/>
      <c r="BB717" s="81"/>
      <c r="BC717" s="81"/>
      <c r="BD717" s="81"/>
    </row>
    <row r="718" spans="3:56" x14ac:dyDescent="0.15">
      <c r="C718" s="81">
        <v>480</v>
      </c>
      <c r="D718" s="76">
        <v>1.7000000000000001E-2</v>
      </c>
      <c r="E718" s="76">
        <v>3.4799999999999998E-2</v>
      </c>
      <c r="F718" s="76">
        <v>5.2400000000000002E-2</v>
      </c>
      <c r="G718" s="76">
        <v>6.9800000000000001E-2</v>
      </c>
      <c r="H718" s="81">
        <v>8.6999999999999994E-2</v>
      </c>
      <c r="I718" s="76">
        <v>0.104</v>
      </c>
      <c r="J718" s="76">
        <v>0.121</v>
      </c>
      <c r="K718" s="76">
        <v>0.13800000000000001</v>
      </c>
      <c r="L718" s="81">
        <v>0.155</v>
      </c>
      <c r="M718" s="76">
        <v>0.17199999999999999</v>
      </c>
      <c r="N718" s="81"/>
      <c r="T718" s="81"/>
      <c r="W718" s="81"/>
      <c r="AF718" s="81"/>
      <c r="AG718" s="81"/>
      <c r="AT718" s="81"/>
    </row>
    <row r="719" spans="3:56" x14ac:dyDescent="0.15">
      <c r="C719" s="76">
        <v>482</v>
      </c>
      <c r="D719" s="76">
        <v>1.6400000000000001E-2</v>
      </c>
      <c r="E719" s="76">
        <v>3.3599999999999998E-2</v>
      </c>
      <c r="F719" s="76">
        <v>5.0500000000000003E-2</v>
      </c>
      <c r="G719" s="76">
        <v>6.7199999999999996E-2</v>
      </c>
      <c r="H719" s="76">
        <v>8.3799999999999999E-2</v>
      </c>
      <c r="I719" s="76">
        <v>0.1</v>
      </c>
      <c r="J719" s="76">
        <v>0.11700000000000001</v>
      </c>
      <c r="K719" s="76">
        <v>0.13300000000000001</v>
      </c>
      <c r="L719" s="76">
        <v>0.15</v>
      </c>
      <c r="M719" s="76">
        <v>0.16600000000000001</v>
      </c>
    </row>
    <row r="720" spans="3:56" x14ac:dyDescent="0.15">
      <c r="C720" s="76">
        <v>484</v>
      </c>
      <c r="D720" s="76">
        <v>1.5800000000000002E-2</v>
      </c>
      <c r="E720" s="76">
        <v>3.2300000000000002E-2</v>
      </c>
      <c r="F720" s="76">
        <v>4.8599999999999997E-2</v>
      </c>
      <c r="G720" s="76">
        <v>6.4699999999999994E-2</v>
      </c>
      <c r="H720" s="76">
        <v>8.0699999999999994E-2</v>
      </c>
      <c r="I720" s="76">
        <v>9.6600000000000005E-2</v>
      </c>
      <c r="J720" s="76">
        <v>0.113</v>
      </c>
      <c r="K720" s="76">
        <v>0.128</v>
      </c>
      <c r="L720" s="76">
        <v>0.14399999999999999</v>
      </c>
      <c r="M720" s="76">
        <v>0.16</v>
      </c>
    </row>
    <row r="721" spans="3:13" x14ac:dyDescent="0.15">
      <c r="C721" s="76">
        <v>486</v>
      </c>
      <c r="D721" s="76">
        <v>1.52E-2</v>
      </c>
      <c r="E721" s="76">
        <v>3.1E-2</v>
      </c>
      <c r="F721" s="76">
        <v>4.6699999999999998E-2</v>
      </c>
      <c r="G721" s="76">
        <v>6.2100000000000002E-2</v>
      </c>
      <c r="H721" s="76">
        <v>7.7399999999999997E-2</v>
      </c>
      <c r="I721" s="76">
        <v>9.2700000000000005E-2</v>
      </c>
      <c r="J721" s="76">
        <v>0.108</v>
      </c>
      <c r="K721" s="76">
        <v>0.123</v>
      </c>
      <c r="L721" s="76">
        <v>0.13800000000000001</v>
      </c>
      <c r="M721" s="76">
        <v>0.153</v>
      </c>
    </row>
    <row r="722" spans="3:13" x14ac:dyDescent="0.15">
      <c r="C722" s="76">
        <v>488</v>
      </c>
      <c r="D722" s="76">
        <v>1.43E-2</v>
      </c>
      <c r="E722" s="76">
        <v>2.93E-2</v>
      </c>
      <c r="F722" s="76">
        <v>4.41E-2</v>
      </c>
      <c r="G722" s="76">
        <v>5.8700000000000002E-2</v>
      </c>
      <c r="H722" s="76">
        <v>7.3200000000000001E-2</v>
      </c>
      <c r="I722" s="76">
        <v>8.77E-2</v>
      </c>
      <c r="J722" s="76">
        <v>0.10199999999999999</v>
      </c>
      <c r="K722" s="76">
        <v>0.11600000000000001</v>
      </c>
      <c r="L722" s="76">
        <v>0.13100000000000001</v>
      </c>
      <c r="M722" s="76">
        <v>0.14399999999999999</v>
      </c>
    </row>
    <row r="723" spans="3:13" x14ac:dyDescent="0.15">
      <c r="C723" s="76">
        <v>490</v>
      </c>
      <c r="D723" s="76">
        <v>1.35E-2</v>
      </c>
      <c r="E723" s="76">
        <v>2.76E-2</v>
      </c>
      <c r="F723" s="76">
        <v>4.1700000000000001E-2</v>
      </c>
      <c r="G723" s="76">
        <v>5.5399999999999998E-2</v>
      </c>
      <c r="H723" s="76">
        <v>6.9099999999999995E-2</v>
      </c>
      <c r="I723" s="76">
        <v>8.2799999999999999E-2</v>
      </c>
      <c r="J723" s="76">
        <v>9.6199999999999994E-2</v>
      </c>
      <c r="K723" s="76">
        <v>0.11</v>
      </c>
      <c r="L723" s="76">
        <v>0.123</v>
      </c>
      <c r="M723" s="76">
        <v>0.13600000000000001</v>
      </c>
    </row>
    <row r="724" spans="3:13" x14ac:dyDescent="0.15">
      <c r="C724" s="76">
        <v>492</v>
      </c>
      <c r="D724" s="76">
        <v>1.2699999999999999E-2</v>
      </c>
      <c r="E724" s="76">
        <v>2.5899999999999999E-2</v>
      </c>
      <c r="F724" s="76">
        <v>3.9100000000000003E-2</v>
      </c>
      <c r="G724" s="76">
        <v>5.1900000000000002E-2</v>
      </c>
      <c r="H724" s="76">
        <v>6.4799999999999996E-2</v>
      </c>
      <c r="I724" s="76">
        <v>7.7499999999999999E-2</v>
      </c>
      <c r="J724" s="76">
        <v>9.0300000000000005E-2</v>
      </c>
      <c r="K724" s="76">
        <v>0.10299999999999999</v>
      </c>
      <c r="L724" s="76">
        <v>0.115</v>
      </c>
      <c r="M724" s="76">
        <v>0.128</v>
      </c>
    </row>
    <row r="725" spans="3:13" x14ac:dyDescent="0.15">
      <c r="C725" s="76">
        <v>494</v>
      </c>
      <c r="D725" s="76">
        <v>1.18E-2</v>
      </c>
      <c r="E725" s="76">
        <v>2.41E-2</v>
      </c>
      <c r="F725" s="76">
        <v>3.6299999999999999E-2</v>
      </c>
      <c r="G725" s="76">
        <v>4.8300000000000003E-2</v>
      </c>
      <c r="H725" s="76">
        <v>6.0199999999999997E-2</v>
      </c>
      <c r="I725" s="76">
        <v>7.2099999999999997E-2</v>
      </c>
      <c r="J725" s="76">
        <v>8.3799999999999999E-2</v>
      </c>
      <c r="K725" s="76">
        <v>9.5600000000000004E-2</v>
      </c>
      <c r="L725" s="76">
        <v>0.107</v>
      </c>
      <c r="M725" s="76">
        <v>0.11899999999999999</v>
      </c>
    </row>
    <row r="726" spans="3:13" x14ac:dyDescent="0.15">
      <c r="C726" s="76">
        <v>496</v>
      </c>
      <c r="D726" s="76">
        <v>1.09E-2</v>
      </c>
      <c r="E726" s="76">
        <v>2.24E-2</v>
      </c>
      <c r="F726" s="76">
        <v>3.3700000000000001E-2</v>
      </c>
      <c r="G726" s="76">
        <v>4.48E-2</v>
      </c>
      <c r="H726" s="76">
        <v>5.57E-2</v>
      </c>
      <c r="I726" s="76">
        <v>6.6799999999999998E-2</v>
      </c>
      <c r="J726" s="76">
        <v>7.7700000000000005E-2</v>
      </c>
      <c r="K726" s="76">
        <v>8.8599999999999998E-2</v>
      </c>
      <c r="L726" s="76">
        <v>9.9400000000000002E-2</v>
      </c>
      <c r="M726" s="76">
        <v>0.11</v>
      </c>
    </row>
    <row r="727" spans="3:13" x14ac:dyDescent="0.15">
      <c r="C727" s="76">
        <v>498</v>
      </c>
      <c r="D727" s="76">
        <v>0.01</v>
      </c>
      <c r="E727" s="76">
        <v>2.0500000000000001E-2</v>
      </c>
      <c r="F727" s="76">
        <v>3.09E-2</v>
      </c>
      <c r="G727" s="76">
        <v>4.1099999999999998E-2</v>
      </c>
      <c r="H727" s="76">
        <v>5.1200000000000002E-2</v>
      </c>
      <c r="I727" s="76">
        <v>6.13E-2</v>
      </c>
      <c r="J727" s="76">
        <v>7.1300000000000002E-2</v>
      </c>
      <c r="K727" s="76">
        <v>8.1299999999999997E-2</v>
      </c>
      <c r="L727" s="76">
        <v>9.1300000000000006E-2</v>
      </c>
      <c r="M727" s="76">
        <v>0.10100000000000001</v>
      </c>
    </row>
    <row r="728" spans="3:13" x14ac:dyDescent="0.15">
      <c r="C728" s="76">
        <v>500</v>
      </c>
      <c r="D728" s="76">
        <v>9.0900000000000009E-3</v>
      </c>
      <c r="E728" s="76">
        <v>1.8599999999999998E-2</v>
      </c>
      <c r="F728" s="76">
        <v>2.8000000000000001E-2</v>
      </c>
      <c r="G728" s="76">
        <v>3.7199999999999997E-2</v>
      </c>
      <c r="H728" s="76">
        <v>4.6399999999999997E-2</v>
      </c>
      <c r="I728" s="76">
        <v>5.5599999999999997E-2</v>
      </c>
      <c r="J728" s="76">
        <v>6.4699999999999994E-2</v>
      </c>
      <c r="K728" s="76">
        <v>7.3899999999999993E-2</v>
      </c>
      <c r="L728" s="76">
        <v>8.2699999999999996E-2</v>
      </c>
      <c r="M728" s="76">
        <v>9.1700000000000004E-2</v>
      </c>
    </row>
    <row r="729" spans="3:13" x14ac:dyDescent="0.15">
      <c r="C729" s="76">
        <v>502</v>
      </c>
      <c r="D729" s="76">
        <v>8.2100000000000003E-3</v>
      </c>
      <c r="E729" s="76">
        <v>1.6799999999999999E-2</v>
      </c>
      <c r="F729" s="76">
        <v>2.53E-2</v>
      </c>
      <c r="G729" s="76">
        <v>3.3700000000000001E-2</v>
      </c>
      <c r="H729" s="76">
        <v>4.19E-2</v>
      </c>
      <c r="I729" s="76">
        <v>5.0200000000000002E-2</v>
      </c>
      <c r="J729" s="76">
        <v>5.8400000000000001E-2</v>
      </c>
      <c r="K729" s="76">
        <v>6.6400000000000001E-2</v>
      </c>
      <c r="L729" s="76">
        <v>7.4700000000000003E-2</v>
      </c>
      <c r="M729" s="76">
        <v>8.2699999999999996E-2</v>
      </c>
    </row>
    <row r="730" spans="3:13" x14ac:dyDescent="0.15">
      <c r="C730" s="76">
        <v>504</v>
      </c>
      <c r="D730" s="76">
        <v>7.43E-3</v>
      </c>
      <c r="E730" s="76">
        <v>1.52E-2</v>
      </c>
      <c r="F730" s="76">
        <v>2.29E-2</v>
      </c>
      <c r="G730" s="76">
        <v>3.0499999999999999E-2</v>
      </c>
      <c r="H730" s="76">
        <v>3.7999999999999999E-2</v>
      </c>
      <c r="I730" s="76">
        <v>4.5400000000000003E-2</v>
      </c>
      <c r="J730" s="76">
        <v>5.2900000000000003E-2</v>
      </c>
      <c r="K730" s="76">
        <v>6.0299999999999999E-2</v>
      </c>
      <c r="L730" s="76">
        <v>6.7599999999999993E-2</v>
      </c>
      <c r="M730" s="76">
        <v>7.4899999999999994E-2</v>
      </c>
    </row>
    <row r="731" spans="3:13" x14ac:dyDescent="0.15">
      <c r="C731" s="76">
        <v>506</v>
      </c>
      <c r="D731" s="76">
        <v>6.7400000000000003E-3</v>
      </c>
      <c r="E731" s="76">
        <v>1.38E-2</v>
      </c>
      <c r="F731" s="76">
        <v>2.07E-2</v>
      </c>
      <c r="G731" s="76">
        <v>2.76E-2</v>
      </c>
      <c r="H731" s="76">
        <v>3.4299999999999997E-2</v>
      </c>
      <c r="I731" s="76">
        <v>4.1099999999999998E-2</v>
      </c>
      <c r="J731" s="76">
        <v>4.7899999999999998E-2</v>
      </c>
      <c r="K731" s="76">
        <v>5.4699999999999999E-2</v>
      </c>
      <c r="L731" s="76">
        <v>6.1199999999999997E-2</v>
      </c>
      <c r="M731" s="76">
        <v>6.7799999999999999E-2</v>
      </c>
    </row>
    <row r="732" spans="3:13" x14ac:dyDescent="0.15">
      <c r="C732" s="76">
        <v>508</v>
      </c>
      <c r="D732" s="76">
        <v>6.1000000000000004E-3</v>
      </c>
      <c r="E732" s="76">
        <v>1.2500000000000001E-2</v>
      </c>
      <c r="F732" s="76">
        <v>1.8800000000000001E-2</v>
      </c>
      <c r="G732" s="76">
        <v>2.5000000000000001E-2</v>
      </c>
      <c r="H732" s="76">
        <v>3.1099999999999999E-2</v>
      </c>
      <c r="I732" s="76">
        <v>3.7199999999999997E-2</v>
      </c>
      <c r="J732" s="76">
        <v>4.3499999999999997E-2</v>
      </c>
      <c r="K732" s="76">
        <v>4.9599999999999998E-2</v>
      </c>
      <c r="L732" s="76">
        <v>5.5500000000000001E-2</v>
      </c>
      <c r="M732" s="76">
        <v>6.1400000000000003E-2</v>
      </c>
    </row>
    <row r="733" spans="3:13" x14ac:dyDescent="0.15">
      <c r="C733" s="76">
        <v>510</v>
      </c>
      <c r="D733" s="76">
        <v>5.5399999999999998E-3</v>
      </c>
      <c r="E733" s="76">
        <v>1.1299999999999999E-2</v>
      </c>
      <c r="F733" s="76">
        <v>1.7000000000000001E-2</v>
      </c>
      <c r="G733" s="76">
        <v>2.2700000000000001E-2</v>
      </c>
      <c r="H733" s="76">
        <v>2.8299999999999999E-2</v>
      </c>
      <c r="I733" s="76">
        <v>3.39E-2</v>
      </c>
      <c r="J733" s="76">
        <v>3.95E-2</v>
      </c>
      <c r="K733" s="76">
        <v>4.4999999999999998E-2</v>
      </c>
      <c r="L733" s="76">
        <v>5.04E-2</v>
      </c>
      <c r="M733" s="76">
        <v>5.5800000000000002E-2</v>
      </c>
    </row>
    <row r="734" spans="3:13" x14ac:dyDescent="0.15">
      <c r="C734" s="76">
        <v>512</v>
      </c>
      <c r="D734" s="76">
        <v>5.0000000000000001E-3</v>
      </c>
      <c r="E734" s="76">
        <v>1.0200000000000001E-2</v>
      </c>
      <c r="F734" s="76">
        <v>1.54E-2</v>
      </c>
      <c r="G734" s="76">
        <v>2.0500000000000001E-2</v>
      </c>
      <c r="H734" s="76">
        <v>2.5499999999999998E-2</v>
      </c>
      <c r="I734" s="76">
        <v>3.0599999999999999E-2</v>
      </c>
      <c r="J734" s="76">
        <v>3.5499999999999997E-2</v>
      </c>
      <c r="K734" s="76">
        <v>4.0500000000000001E-2</v>
      </c>
      <c r="L734" s="76">
        <v>4.5400000000000003E-2</v>
      </c>
      <c r="M734" s="76">
        <v>5.0299999999999997E-2</v>
      </c>
    </row>
    <row r="735" spans="3:13" x14ac:dyDescent="0.15">
      <c r="C735" s="76">
        <v>514</v>
      </c>
      <c r="D735" s="76">
        <v>4.5700000000000003E-3</v>
      </c>
      <c r="E735" s="76">
        <v>9.3399999999999993E-3</v>
      </c>
      <c r="F735" s="76">
        <v>1.4E-2</v>
      </c>
      <c r="G735" s="76">
        <v>1.8700000000000001E-2</v>
      </c>
      <c r="H735" s="76">
        <v>2.3300000000000001E-2</v>
      </c>
      <c r="I735" s="76">
        <v>2.7900000000000001E-2</v>
      </c>
      <c r="J735" s="76">
        <v>3.2500000000000001E-2</v>
      </c>
      <c r="K735" s="76">
        <v>3.7100000000000001E-2</v>
      </c>
      <c r="L735" s="76">
        <v>4.1500000000000002E-2</v>
      </c>
      <c r="M735" s="76">
        <v>4.6100000000000002E-2</v>
      </c>
    </row>
    <row r="736" spans="3:13" x14ac:dyDescent="0.15">
      <c r="C736" s="76">
        <v>516</v>
      </c>
      <c r="D736" s="76">
        <v>4.1999999999999997E-3</v>
      </c>
      <c r="E736" s="76">
        <v>8.5900000000000004E-3</v>
      </c>
      <c r="F736" s="76">
        <v>1.29E-2</v>
      </c>
      <c r="G736" s="76">
        <v>1.72E-2</v>
      </c>
      <c r="H736" s="76">
        <v>2.1399999999999999E-2</v>
      </c>
      <c r="I736" s="76">
        <v>2.5600000000000001E-2</v>
      </c>
      <c r="J736" s="76">
        <v>2.9899999999999999E-2</v>
      </c>
      <c r="K736" s="76">
        <v>3.4000000000000002E-2</v>
      </c>
      <c r="L736" s="76">
        <v>3.8100000000000002E-2</v>
      </c>
      <c r="M736" s="76">
        <v>4.2200000000000001E-2</v>
      </c>
    </row>
    <row r="737" spans="3:13" x14ac:dyDescent="0.15">
      <c r="C737" s="76">
        <v>518</v>
      </c>
      <c r="D737" s="76">
        <v>3.8800000000000002E-3</v>
      </c>
      <c r="E737" s="76">
        <v>7.9299999999999995E-3</v>
      </c>
      <c r="F737" s="76">
        <v>1.1900000000000001E-2</v>
      </c>
      <c r="G737" s="76">
        <v>1.5900000000000001E-2</v>
      </c>
      <c r="H737" s="76">
        <v>1.9800000000000002E-2</v>
      </c>
      <c r="I737" s="76">
        <v>2.3699999999999999E-2</v>
      </c>
      <c r="J737" s="76">
        <v>2.76E-2</v>
      </c>
      <c r="K737" s="76">
        <v>3.1399999999999997E-2</v>
      </c>
      <c r="L737" s="76">
        <v>3.5200000000000002E-2</v>
      </c>
      <c r="M737" s="76">
        <v>3.8899999999999997E-2</v>
      </c>
    </row>
    <row r="738" spans="3:13" x14ac:dyDescent="0.15">
      <c r="C738" s="76">
        <v>520</v>
      </c>
      <c r="D738" s="76">
        <v>3.5999999999999999E-3</v>
      </c>
      <c r="E738" s="76">
        <v>7.3499999999999998E-3</v>
      </c>
      <c r="F738" s="76">
        <v>1.0999999999999999E-2</v>
      </c>
      <c r="G738" s="76">
        <v>1.47E-2</v>
      </c>
      <c r="H738" s="76">
        <v>1.83E-2</v>
      </c>
      <c r="I738" s="76">
        <v>2.1899999999999999E-2</v>
      </c>
      <c r="J738" s="76">
        <v>2.5499999999999998E-2</v>
      </c>
      <c r="K738" s="76">
        <v>2.9100000000000001E-2</v>
      </c>
      <c r="L738" s="76">
        <v>3.2599999999999997E-2</v>
      </c>
      <c r="M738" s="76">
        <v>3.5999999999999997E-2</v>
      </c>
    </row>
    <row r="739" spans="3:13" x14ac:dyDescent="0.15">
      <c r="C739" s="76">
        <v>522</v>
      </c>
      <c r="D739" s="76">
        <v>3.32E-3</v>
      </c>
      <c r="E739" s="76">
        <v>6.7999999999999996E-3</v>
      </c>
      <c r="F739" s="76">
        <v>1.0200000000000001E-2</v>
      </c>
      <c r="G739" s="76">
        <v>1.3599999999999999E-2</v>
      </c>
      <c r="H739" s="76">
        <v>1.7000000000000001E-2</v>
      </c>
      <c r="I739" s="76">
        <v>2.0299999999999999E-2</v>
      </c>
      <c r="J739" s="76">
        <v>2.3699999999999999E-2</v>
      </c>
      <c r="K739" s="76">
        <v>2.7E-2</v>
      </c>
      <c r="L739" s="76">
        <v>3.0300000000000001E-2</v>
      </c>
      <c r="M739" s="76">
        <v>3.3399999999999999E-2</v>
      </c>
    </row>
    <row r="740" spans="3:13" x14ac:dyDescent="0.15">
      <c r="C740" s="76">
        <v>524</v>
      </c>
      <c r="D740" s="76">
        <v>3.0500000000000002E-3</v>
      </c>
      <c r="E740" s="76">
        <v>6.2100000000000002E-3</v>
      </c>
      <c r="F740" s="76">
        <v>9.3399999999999993E-3</v>
      </c>
      <c r="G740" s="76">
        <v>1.2500000000000001E-2</v>
      </c>
      <c r="H740" s="76">
        <v>1.5599999999999999E-2</v>
      </c>
      <c r="I740" s="76">
        <v>1.8599999999999998E-2</v>
      </c>
      <c r="J740" s="76">
        <v>2.1700000000000001E-2</v>
      </c>
      <c r="K740" s="76">
        <v>2.47E-2</v>
      </c>
      <c r="L740" s="76">
        <v>2.7699999999999999E-2</v>
      </c>
      <c r="M740" s="76">
        <v>3.0599999999999999E-2</v>
      </c>
    </row>
    <row r="741" spans="3:13" x14ac:dyDescent="0.15">
      <c r="C741" s="76">
        <v>526</v>
      </c>
      <c r="D741" s="76">
        <v>2.82E-3</v>
      </c>
      <c r="E741" s="76">
        <v>5.7499999999999999E-3</v>
      </c>
      <c r="F741" s="76">
        <v>8.6300000000000005E-3</v>
      </c>
      <c r="G741" s="76">
        <v>1.15E-2</v>
      </c>
      <c r="H741" s="76">
        <v>1.44E-2</v>
      </c>
      <c r="I741" s="76">
        <v>1.72E-2</v>
      </c>
      <c r="J741" s="76">
        <v>0.02</v>
      </c>
      <c r="K741" s="76">
        <v>2.2800000000000001E-2</v>
      </c>
      <c r="L741" s="76">
        <v>2.5600000000000001E-2</v>
      </c>
      <c r="M741" s="76">
        <v>2.8199999999999999E-2</v>
      </c>
    </row>
    <row r="742" spans="3:13" x14ac:dyDescent="0.15">
      <c r="C742" s="76">
        <v>528</v>
      </c>
      <c r="D742" s="76">
        <v>2.6199999999999999E-3</v>
      </c>
      <c r="E742" s="76">
        <v>5.3200000000000001E-3</v>
      </c>
      <c r="F742" s="76">
        <v>7.9699999999999997E-3</v>
      </c>
      <c r="G742" s="76">
        <v>1.0699999999999999E-2</v>
      </c>
      <c r="H742" s="76">
        <v>1.3299999999999999E-2</v>
      </c>
      <c r="I742" s="76">
        <v>1.5900000000000001E-2</v>
      </c>
      <c r="J742" s="76">
        <v>1.8499999999999999E-2</v>
      </c>
      <c r="K742" s="76">
        <v>2.1100000000000001E-2</v>
      </c>
      <c r="L742" s="76">
        <v>2.3599999999999999E-2</v>
      </c>
      <c r="M742" s="76">
        <v>2.6100000000000002E-2</v>
      </c>
    </row>
    <row r="743" spans="3:13" x14ac:dyDescent="0.15">
      <c r="C743" s="76">
        <v>530</v>
      </c>
      <c r="D743" s="76">
        <v>2.4099999999999998E-3</v>
      </c>
      <c r="E743" s="76">
        <v>4.8999999999999998E-3</v>
      </c>
      <c r="F743" s="76">
        <v>7.3099999999999997E-3</v>
      </c>
      <c r="G743" s="76">
        <v>9.8099999999999993E-3</v>
      </c>
      <c r="H743" s="76">
        <v>1.2200000000000001E-2</v>
      </c>
      <c r="I743" s="76">
        <v>1.47E-2</v>
      </c>
      <c r="J743" s="76">
        <v>1.7000000000000001E-2</v>
      </c>
      <c r="K743" s="76">
        <v>1.9400000000000001E-2</v>
      </c>
      <c r="L743" s="76">
        <v>2.18E-2</v>
      </c>
      <c r="M743" s="76">
        <v>2.4E-2</v>
      </c>
    </row>
    <row r="744" spans="3:13" x14ac:dyDescent="0.15">
      <c r="C744" s="76">
        <v>532</v>
      </c>
      <c r="D744" s="76">
        <v>2.2000000000000001E-3</v>
      </c>
      <c r="E744" s="76">
        <v>4.4900000000000001E-3</v>
      </c>
      <c r="F744" s="76">
        <v>6.7000000000000002E-3</v>
      </c>
      <c r="G744" s="76">
        <v>8.9499999999999996E-3</v>
      </c>
      <c r="H744" s="76">
        <v>1.12E-2</v>
      </c>
      <c r="I744" s="76">
        <v>1.35E-2</v>
      </c>
      <c r="J744" s="76">
        <v>1.5599999999999999E-2</v>
      </c>
      <c r="K744" s="76">
        <v>1.78E-2</v>
      </c>
      <c r="L744" s="76">
        <v>1.9900000000000001E-2</v>
      </c>
      <c r="M744" s="76">
        <v>2.2100000000000002E-2</v>
      </c>
    </row>
    <row r="745" spans="3:13" x14ac:dyDescent="0.15">
      <c r="C745" s="76">
        <v>534</v>
      </c>
      <c r="D745" s="76">
        <v>2.0100000000000001E-3</v>
      </c>
      <c r="E745" s="76">
        <v>4.1000000000000003E-3</v>
      </c>
      <c r="F745" s="76">
        <v>6.13E-3</v>
      </c>
      <c r="G745" s="76">
        <v>8.2000000000000007E-3</v>
      </c>
      <c r="H745" s="76">
        <v>1.03E-2</v>
      </c>
      <c r="I745" s="76">
        <v>1.23E-2</v>
      </c>
      <c r="J745" s="76">
        <v>1.43E-2</v>
      </c>
      <c r="K745" s="76">
        <v>1.6199999999999999E-2</v>
      </c>
      <c r="L745" s="76">
        <v>1.8200000000000001E-2</v>
      </c>
      <c r="M745" s="76">
        <v>2.01E-2</v>
      </c>
    </row>
    <row r="746" spans="3:13" x14ac:dyDescent="0.15">
      <c r="C746" s="76">
        <v>536</v>
      </c>
      <c r="D746" s="76">
        <v>1.81E-3</v>
      </c>
      <c r="E746" s="76">
        <v>3.7000000000000002E-3</v>
      </c>
      <c r="F746" s="76">
        <v>5.5100000000000001E-3</v>
      </c>
      <c r="G746" s="76">
        <v>7.3699999999999998E-3</v>
      </c>
      <c r="H746" s="76">
        <v>9.2200000000000008E-3</v>
      </c>
      <c r="I746" s="76">
        <v>1.0999999999999999E-2</v>
      </c>
      <c r="J746" s="76">
        <v>1.2800000000000001E-2</v>
      </c>
      <c r="K746" s="76">
        <v>1.46E-2</v>
      </c>
      <c r="L746" s="76">
        <v>1.6400000000000001E-2</v>
      </c>
      <c r="M746" s="76">
        <v>1.8100000000000002E-2</v>
      </c>
    </row>
    <row r="747" spans="3:13" x14ac:dyDescent="0.15">
      <c r="C747" s="76">
        <v>538</v>
      </c>
      <c r="D747" s="76">
        <v>1.65E-3</v>
      </c>
      <c r="E747" s="76">
        <v>3.3600000000000001E-3</v>
      </c>
      <c r="F747" s="76">
        <v>5.0200000000000002E-3</v>
      </c>
      <c r="G747" s="76">
        <v>6.7000000000000002E-3</v>
      </c>
      <c r="H747" s="76">
        <v>8.43E-3</v>
      </c>
      <c r="I747" s="76">
        <v>1.01E-2</v>
      </c>
      <c r="J747" s="76">
        <v>1.17E-2</v>
      </c>
      <c r="K747" s="76">
        <v>1.3299999999999999E-2</v>
      </c>
      <c r="L747" s="76">
        <v>1.49E-2</v>
      </c>
      <c r="M747" s="76">
        <v>1.66E-2</v>
      </c>
    </row>
    <row r="748" spans="3:13" x14ac:dyDescent="0.15">
      <c r="C748" s="76">
        <v>540</v>
      </c>
      <c r="D748" s="76">
        <v>1.49E-3</v>
      </c>
      <c r="E748" s="76">
        <v>3.0599999999999998E-3</v>
      </c>
      <c r="F748" s="76">
        <v>4.5799999999999999E-3</v>
      </c>
      <c r="G748" s="76">
        <v>6.0699999999999999E-3</v>
      </c>
      <c r="H748" s="76">
        <v>7.6600000000000001E-3</v>
      </c>
      <c r="I748" s="76">
        <v>9.1800000000000007E-3</v>
      </c>
      <c r="J748" s="76">
        <v>1.06E-2</v>
      </c>
      <c r="K748" s="76">
        <v>1.2200000000000001E-2</v>
      </c>
      <c r="L748" s="76">
        <v>1.3599999999999999E-2</v>
      </c>
      <c r="M748" s="76">
        <v>1.4999999999999999E-2</v>
      </c>
    </row>
    <row r="749" spans="3:13" x14ac:dyDescent="0.15">
      <c r="C749" s="76">
        <v>542</v>
      </c>
      <c r="D749" s="76">
        <v>1.3600000000000001E-3</v>
      </c>
      <c r="E749" s="76">
        <v>2.7899999999999999E-3</v>
      </c>
      <c r="F749" s="76">
        <v>4.1599999999999996E-3</v>
      </c>
      <c r="G749" s="76">
        <v>5.5399999999999998E-3</v>
      </c>
      <c r="H749" s="76">
        <v>6.9800000000000001E-3</v>
      </c>
      <c r="I749" s="76">
        <v>8.3300000000000006E-3</v>
      </c>
      <c r="J749" s="76">
        <v>9.6799999999999994E-3</v>
      </c>
      <c r="K749" s="76">
        <v>1.11E-2</v>
      </c>
      <c r="L749" s="76">
        <v>1.24E-2</v>
      </c>
      <c r="M749" s="76">
        <v>1.37E-2</v>
      </c>
    </row>
    <row r="750" spans="3:13" x14ac:dyDescent="0.15">
      <c r="C750" s="76">
        <v>544</v>
      </c>
      <c r="D750" s="76">
        <v>1.24E-3</v>
      </c>
      <c r="E750" s="76">
        <v>2.5400000000000002E-3</v>
      </c>
      <c r="F750" s="76">
        <v>3.7799999999999999E-3</v>
      </c>
      <c r="G750" s="76">
        <v>5.0499999999999998E-3</v>
      </c>
      <c r="H750" s="76">
        <v>6.3299999999999997E-3</v>
      </c>
      <c r="I750" s="76">
        <v>7.6299999999999996E-3</v>
      </c>
      <c r="J750" s="76">
        <v>8.77E-3</v>
      </c>
      <c r="K750" s="76">
        <v>0.01</v>
      </c>
      <c r="L750" s="76">
        <v>1.12E-2</v>
      </c>
      <c r="M750" s="76">
        <v>1.2500000000000001E-2</v>
      </c>
    </row>
    <row r="751" spans="3:13" x14ac:dyDescent="0.15">
      <c r="C751" s="76">
        <v>546</v>
      </c>
      <c r="D751" s="76">
        <v>1.1199999999999999E-3</v>
      </c>
      <c r="E751" s="76">
        <v>2.2899999999999999E-3</v>
      </c>
      <c r="F751" s="76">
        <v>3.4299999999999999E-3</v>
      </c>
      <c r="G751" s="76">
        <v>4.5599999999999998E-3</v>
      </c>
      <c r="H751" s="76">
        <v>5.7000000000000002E-3</v>
      </c>
      <c r="I751" s="76">
        <v>6.8999999999999999E-3</v>
      </c>
      <c r="J751" s="76">
        <v>7.9699999999999997E-3</v>
      </c>
      <c r="K751" s="76">
        <v>9.0600000000000003E-3</v>
      </c>
      <c r="L751" s="76">
        <v>1.0200000000000001E-2</v>
      </c>
      <c r="M751" s="76">
        <v>1.1299999999999999E-2</v>
      </c>
    </row>
    <row r="752" spans="3:13" x14ac:dyDescent="0.15">
      <c r="C752" s="76">
        <v>548</v>
      </c>
      <c r="D752" s="76">
        <v>1.01E-3</v>
      </c>
      <c r="E752" s="76">
        <v>2.0699999999999998E-3</v>
      </c>
      <c r="F752" s="76">
        <v>3.1099999999999999E-3</v>
      </c>
      <c r="G752" s="76">
        <v>4.1200000000000004E-3</v>
      </c>
      <c r="H752" s="76">
        <v>5.1999999999999998E-3</v>
      </c>
      <c r="I752" s="76">
        <v>6.28E-3</v>
      </c>
      <c r="J752" s="76">
        <v>7.1500000000000001E-3</v>
      </c>
      <c r="K752" s="76">
        <v>8.1899999999999994E-3</v>
      </c>
      <c r="L752" s="76">
        <v>9.1299999999999992E-3</v>
      </c>
      <c r="M752" s="76">
        <v>1.03E-2</v>
      </c>
    </row>
    <row r="753" spans="3:13" x14ac:dyDescent="0.15">
      <c r="C753" s="76">
        <v>550</v>
      </c>
      <c r="D753" s="76">
        <v>9.2699999999999998E-4</v>
      </c>
      <c r="E753" s="76">
        <v>1.89E-3</v>
      </c>
      <c r="F753" s="76">
        <v>2.8400000000000001E-3</v>
      </c>
      <c r="G753" s="76">
        <v>3.7599999999999999E-3</v>
      </c>
      <c r="H753" s="76">
        <v>4.7600000000000003E-3</v>
      </c>
      <c r="I753" s="76">
        <v>5.7400000000000003E-3</v>
      </c>
      <c r="J753" s="76">
        <v>6.5300000000000002E-3</v>
      </c>
      <c r="K753" s="76">
        <v>7.5199999999999998E-3</v>
      </c>
      <c r="L753" s="76">
        <v>8.4399999999999996E-3</v>
      </c>
      <c r="M753" s="76">
        <v>9.4299999999999991E-3</v>
      </c>
    </row>
    <row r="754" spans="3:13" x14ac:dyDescent="0.15">
      <c r="C754" s="76">
        <v>552</v>
      </c>
      <c r="D754" s="76">
        <v>8.4699999999999999E-4</v>
      </c>
      <c r="E754" s="76">
        <v>1.72E-3</v>
      </c>
      <c r="F754" s="76">
        <v>2.5899999999999999E-3</v>
      </c>
      <c r="G754" s="76">
        <v>3.4299999999999999E-3</v>
      </c>
      <c r="H754" s="76">
        <v>4.3499999999999997E-3</v>
      </c>
      <c r="I754" s="76">
        <v>5.2100000000000002E-3</v>
      </c>
      <c r="J754" s="76">
        <v>5.9800000000000001E-3</v>
      </c>
      <c r="K754" s="76">
        <v>6.8599999999999998E-3</v>
      </c>
      <c r="L754" s="76">
        <v>7.6400000000000001E-3</v>
      </c>
      <c r="M754" s="76">
        <v>8.5699999999999995E-3</v>
      </c>
    </row>
    <row r="755" spans="3:13" x14ac:dyDescent="0.15">
      <c r="C755" s="76">
        <v>554</v>
      </c>
      <c r="D755" s="76">
        <v>7.7099999999999998E-4</v>
      </c>
      <c r="E755" s="76">
        <v>1.57E-3</v>
      </c>
      <c r="F755" s="76">
        <v>2.3800000000000002E-3</v>
      </c>
      <c r="G755" s="76">
        <v>3.1099999999999999E-3</v>
      </c>
      <c r="H755" s="76">
        <v>3.9300000000000003E-3</v>
      </c>
      <c r="I755" s="76">
        <v>4.8199999999999996E-3</v>
      </c>
      <c r="J755" s="76">
        <v>5.47E-3</v>
      </c>
      <c r="K755" s="76">
        <v>6.2300000000000003E-3</v>
      </c>
      <c r="L755" s="76">
        <v>6.9800000000000001E-3</v>
      </c>
      <c r="M755" s="76">
        <v>7.8100000000000001E-3</v>
      </c>
    </row>
    <row r="756" spans="3:13" x14ac:dyDescent="0.15">
      <c r="C756" s="76">
        <v>556</v>
      </c>
      <c r="D756" s="76">
        <v>7.0500000000000001E-4</v>
      </c>
      <c r="E756" s="76">
        <v>1.42E-3</v>
      </c>
      <c r="F756" s="76">
        <v>2.1900000000000001E-3</v>
      </c>
      <c r="G756" s="76">
        <v>2.8500000000000001E-3</v>
      </c>
      <c r="H756" s="76">
        <v>3.5799999999999998E-3</v>
      </c>
      <c r="I756" s="76">
        <v>4.3800000000000002E-3</v>
      </c>
      <c r="J756" s="76">
        <v>4.96E-3</v>
      </c>
      <c r="K756" s="76">
        <v>5.7000000000000002E-3</v>
      </c>
      <c r="L756" s="76">
        <v>6.3899999999999998E-3</v>
      </c>
      <c r="M756" s="76">
        <v>6.9899999999999997E-3</v>
      </c>
    </row>
    <row r="757" spans="3:13" x14ac:dyDescent="0.15">
      <c r="C757" s="76">
        <v>558</v>
      </c>
      <c r="D757" s="76">
        <v>6.3900000000000003E-4</v>
      </c>
      <c r="E757" s="76">
        <v>1.31E-3</v>
      </c>
      <c r="F757" s="76">
        <v>1.99E-3</v>
      </c>
      <c r="G757" s="76">
        <v>2.5600000000000002E-3</v>
      </c>
      <c r="H757" s="76">
        <v>3.2299999999999998E-3</v>
      </c>
      <c r="I757" s="76">
        <v>4.0000000000000001E-3</v>
      </c>
      <c r="J757" s="76">
        <v>4.4900000000000001E-3</v>
      </c>
      <c r="K757" s="76">
        <v>5.1700000000000001E-3</v>
      </c>
      <c r="L757" s="76">
        <v>5.7600000000000004E-3</v>
      </c>
      <c r="M757" s="76">
        <v>6.5100000000000002E-3</v>
      </c>
    </row>
    <row r="758" spans="3:13" x14ac:dyDescent="0.15">
      <c r="C758" s="76">
        <v>560</v>
      </c>
      <c r="D758" s="76">
        <v>5.8600000000000004E-4</v>
      </c>
      <c r="E758" s="76">
        <v>1.1999999999999999E-3</v>
      </c>
      <c r="F758" s="76">
        <v>1.83E-3</v>
      </c>
      <c r="G758" s="76">
        <v>2.3800000000000002E-3</v>
      </c>
      <c r="H758" s="76">
        <v>2.99E-3</v>
      </c>
      <c r="I758" s="76">
        <v>3.6800000000000001E-3</v>
      </c>
      <c r="J758" s="76">
        <v>4.1000000000000003E-3</v>
      </c>
      <c r="K758" s="76">
        <v>4.7099999999999998E-3</v>
      </c>
      <c r="L758" s="76">
        <v>5.2599999999999999E-3</v>
      </c>
      <c r="M758" s="76">
        <v>5.9100000000000003E-3</v>
      </c>
    </row>
    <row r="759" spans="3:13" x14ac:dyDescent="0.15">
      <c r="C759" s="76">
        <v>562</v>
      </c>
      <c r="D759" s="76">
        <v>5.4600000000000004E-4</v>
      </c>
      <c r="E759" s="76">
        <v>1.1000000000000001E-3</v>
      </c>
      <c r="F759" s="76">
        <v>1.6900000000000001E-3</v>
      </c>
      <c r="G759" s="76">
        <v>2.1700000000000001E-3</v>
      </c>
      <c r="H759" s="76">
        <v>2.7299999999999998E-3</v>
      </c>
      <c r="I759" s="76">
        <v>3.3300000000000001E-3</v>
      </c>
      <c r="J759" s="76">
        <v>3.7499999999999999E-3</v>
      </c>
      <c r="K759" s="76">
        <v>4.3299999999999996E-3</v>
      </c>
      <c r="L759" s="76">
        <v>4.8500000000000001E-3</v>
      </c>
      <c r="M759" s="76">
        <v>5.4200000000000003E-3</v>
      </c>
    </row>
    <row r="760" spans="3:13" x14ac:dyDescent="0.15">
      <c r="C760" s="76">
        <v>564</v>
      </c>
      <c r="D760" s="76">
        <v>4.9399999999999997E-4</v>
      </c>
      <c r="E760" s="76">
        <v>1.01E-3</v>
      </c>
      <c r="F760" s="76">
        <v>1.56E-3</v>
      </c>
      <c r="G760" s="76">
        <v>2E-3</v>
      </c>
      <c r="H760" s="76">
        <v>2.5100000000000001E-3</v>
      </c>
      <c r="I760" s="76">
        <v>3.0599999999999998E-3</v>
      </c>
      <c r="J760" s="76">
        <v>3.46E-3</v>
      </c>
      <c r="K760" s="76">
        <v>3.9899999999999996E-3</v>
      </c>
      <c r="L760" s="76">
        <v>4.4799999999999996E-3</v>
      </c>
      <c r="M760" s="76">
        <v>4.96E-3</v>
      </c>
    </row>
    <row r="761" spans="3:13" x14ac:dyDescent="0.15">
      <c r="C761" s="76">
        <v>566</v>
      </c>
      <c r="D761" s="76">
        <v>4.6000000000000001E-4</v>
      </c>
      <c r="E761" s="76">
        <v>9.3000000000000005E-4</v>
      </c>
      <c r="F761" s="76">
        <v>1.4300000000000001E-3</v>
      </c>
      <c r="G761" s="76">
        <v>1.82E-3</v>
      </c>
      <c r="H761" s="76">
        <v>2.2799999999999999E-3</v>
      </c>
      <c r="I761" s="76">
        <v>2.81E-3</v>
      </c>
      <c r="J761" s="76">
        <v>3.1900000000000001E-3</v>
      </c>
      <c r="K761" s="76">
        <v>3.6700000000000001E-3</v>
      </c>
      <c r="L761" s="76">
        <v>4.13E-3</v>
      </c>
      <c r="M761" s="76">
        <v>4.5900000000000003E-3</v>
      </c>
    </row>
    <row r="762" spans="3:13" x14ac:dyDescent="0.15">
      <c r="C762" s="76">
        <v>568</v>
      </c>
      <c r="D762" s="76">
        <v>4.2200000000000001E-4</v>
      </c>
      <c r="E762" s="76">
        <v>8.5800000000000004E-4</v>
      </c>
      <c r="F762" s="76">
        <v>1.33E-3</v>
      </c>
      <c r="G762" s="76">
        <v>1.6800000000000001E-3</v>
      </c>
      <c r="H762" s="76">
        <v>2.0899999999999998E-3</v>
      </c>
      <c r="I762" s="76">
        <v>2.5799999999999998E-3</v>
      </c>
      <c r="J762" s="76">
        <v>2.8999999999999998E-3</v>
      </c>
      <c r="K762" s="76">
        <v>3.31E-3</v>
      </c>
      <c r="L762" s="76">
        <v>3.6900000000000001E-3</v>
      </c>
      <c r="M762" s="76">
        <v>4.1799999999999997E-3</v>
      </c>
    </row>
    <row r="763" spans="3:13" x14ac:dyDescent="0.15">
      <c r="C763" s="76">
        <v>570</v>
      </c>
      <c r="D763" s="76">
        <v>3.9399999999999998E-4</v>
      </c>
      <c r="E763" s="76">
        <v>7.8600000000000002E-4</v>
      </c>
      <c r="F763" s="76">
        <v>1.23E-3</v>
      </c>
      <c r="G763" s="76">
        <v>1.57E-3</v>
      </c>
      <c r="H763" s="76">
        <v>1.9599999999999999E-3</v>
      </c>
      <c r="I763" s="76">
        <v>2.4299999999999999E-3</v>
      </c>
      <c r="J763" s="76">
        <v>2.7499999999999998E-3</v>
      </c>
      <c r="K763" s="76">
        <v>3.1199999999999999E-3</v>
      </c>
      <c r="L763" s="76">
        <v>3.49E-3</v>
      </c>
      <c r="M763" s="76">
        <v>3.8600000000000001E-3</v>
      </c>
    </row>
    <row r="764" spans="3:13" x14ac:dyDescent="0.15">
      <c r="C764" s="76">
        <v>572</v>
      </c>
      <c r="D764" s="76">
        <v>3.5500000000000001E-4</v>
      </c>
      <c r="E764" s="76">
        <v>7.5799999999999999E-4</v>
      </c>
      <c r="F764" s="76">
        <v>1.16E-3</v>
      </c>
      <c r="G764" s="76">
        <v>1.48E-3</v>
      </c>
      <c r="H764" s="76">
        <v>1.8E-3</v>
      </c>
      <c r="I764" s="76">
        <v>2.2300000000000002E-3</v>
      </c>
      <c r="J764" s="76">
        <v>2.5300000000000001E-3</v>
      </c>
      <c r="K764" s="76">
        <v>2.8800000000000002E-3</v>
      </c>
      <c r="L764" s="76">
        <v>3.2399999999999998E-3</v>
      </c>
      <c r="M764" s="76">
        <v>3.5699999999999998E-3</v>
      </c>
    </row>
    <row r="765" spans="3:13" x14ac:dyDescent="0.15">
      <c r="C765" s="76">
        <v>574</v>
      </c>
      <c r="D765" s="76">
        <v>3.4200000000000002E-4</v>
      </c>
      <c r="E765" s="76">
        <v>6.96E-4</v>
      </c>
      <c r="F765" s="76">
        <v>1.07E-3</v>
      </c>
      <c r="G765" s="76">
        <v>1.3699999999999999E-3</v>
      </c>
      <c r="H765" s="76">
        <v>1.67E-3</v>
      </c>
      <c r="I765" s="76">
        <v>2.0799999999999998E-3</v>
      </c>
      <c r="J765" s="76">
        <v>2.33E-3</v>
      </c>
      <c r="K765" s="76">
        <v>2.66E-3</v>
      </c>
      <c r="L765" s="76">
        <v>2.99E-3</v>
      </c>
      <c r="M765" s="76">
        <v>3.2799999999999999E-3</v>
      </c>
    </row>
    <row r="766" spans="3:13" x14ac:dyDescent="0.15">
      <c r="C766" s="76">
        <v>576</v>
      </c>
      <c r="D766" s="76">
        <v>3.2000000000000003E-4</v>
      </c>
      <c r="E766" s="76">
        <v>6.4000000000000005E-4</v>
      </c>
      <c r="F766" s="76">
        <v>1E-3</v>
      </c>
      <c r="G766" s="76">
        <v>1.2600000000000001E-3</v>
      </c>
      <c r="H766" s="76">
        <v>1.5499999999999999E-3</v>
      </c>
      <c r="I766" s="76">
        <v>1.9E-3</v>
      </c>
      <c r="J766" s="76">
        <v>2.0100000000000001E-3</v>
      </c>
      <c r="K766" s="76">
        <v>2.4499999999999999E-3</v>
      </c>
      <c r="L766" s="76">
        <v>2.7599999999999999E-3</v>
      </c>
      <c r="M766" s="76">
        <v>3.0200000000000001E-3</v>
      </c>
    </row>
    <row r="767" spans="3:13" x14ac:dyDescent="0.15">
      <c r="C767" s="76">
        <v>578</v>
      </c>
      <c r="D767" s="76">
        <v>2.9100000000000003E-4</v>
      </c>
      <c r="E767" s="76">
        <v>5.9599999999999996E-4</v>
      </c>
      <c r="F767" s="76">
        <v>9.2199999999999997E-4</v>
      </c>
      <c r="G767" s="76">
        <v>1.17E-3</v>
      </c>
      <c r="H767" s="76">
        <v>1.39E-3</v>
      </c>
      <c r="I767" s="76">
        <v>1.72E-3</v>
      </c>
      <c r="J767" s="76">
        <v>2.0500000000000002E-3</v>
      </c>
      <c r="K767" s="76">
        <v>2.2799999999999999E-3</v>
      </c>
      <c r="L767" s="76">
        <v>2.5500000000000002E-3</v>
      </c>
      <c r="M767" s="76">
        <v>2.81E-3</v>
      </c>
    </row>
    <row r="768" spans="3:13" x14ac:dyDescent="0.15">
      <c r="C768" s="76">
        <v>580</v>
      </c>
      <c r="D768" s="76">
        <v>2.72E-4</v>
      </c>
      <c r="E768" s="76">
        <v>5.3399999999999997E-4</v>
      </c>
      <c r="F768" s="76">
        <v>8.2399999999999997E-4</v>
      </c>
      <c r="G768" s="76">
        <v>1.08E-3</v>
      </c>
      <c r="H768" s="76">
        <v>1.33E-3</v>
      </c>
      <c r="I768" s="76">
        <v>1.5499999999999999E-3</v>
      </c>
      <c r="J768" s="76">
        <v>1.9E-3</v>
      </c>
      <c r="K768" s="76">
        <v>2.1199999999999999E-3</v>
      </c>
      <c r="L768" s="76">
        <v>2.3500000000000001E-3</v>
      </c>
      <c r="M768" s="76">
        <v>2.5200000000000001E-3</v>
      </c>
    </row>
    <row r="769" spans="3:13" x14ac:dyDescent="0.15">
      <c r="C769" s="76">
        <v>582</v>
      </c>
      <c r="D769" s="76">
        <v>2.5099999999999998E-4</v>
      </c>
      <c r="E769" s="76">
        <v>4.9299999999999995E-4</v>
      </c>
      <c r="F769" s="76">
        <v>7.8200000000000003E-4</v>
      </c>
      <c r="G769" s="76">
        <v>9.8200000000000002E-4</v>
      </c>
      <c r="H769" s="76">
        <v>1.2199999999999999E-3</v>
      </c>
      <c r="I769" s="76">
        <v>1.42E-3</v>
      </c>
      <c r="J769" s="76">
        <v>1.7099999999999999E-3</v>
      </c>
      <c r="K769" s="76">
        <v>1.91E-3</v>
      </c>
      <c r="L769" s="76">
        <v>2.1900000000000001E-3</v>
      </c>
      <c r="M769" s="76">
        <v>2.3E-3</v>
      </c>
    </row>
    <row r="770" spans="3:13" x14ac:dyDescent="0.15">
      <c r="C770" s="76">
        <v>584</v>
      </c>
      <c r="D770" s="76">
        <v>2.34E-4</v>
      </c>
      <c r="E770" s="76">
        <v>4.5600000000000003E-4</v>
      </c>
      <c r="F770" s="76">
        <v>7.1100000000000004E-4</v>
      </c>
      <c r="G770" s="76">
        <v>9.0899999999999998E-4</v>
      </c>
      <c r="H770" s="76">
        <v>1.14E-3</v>
      </c>
      <c r="I770" s="76">
        <v>1.2800000000000001E-3</v>
      </c>
      <c r="J770" s="76">
        <v>1.5900000000000001E-3</v>
      </c>
      <c r="K770" s="76">
        <v>1.7099999999999999E-3</v>
      </c>
      <c r="L770" s="76">
        <v>1.98E-3</v>
      </c>
      <c r="M770" s="76">
        <v>2.0699999999999998E-3</v>
      </c>
    </row>
    <row r="771" spans="3:13" x14ac:dyDescent="0.15">
      <c r="C771" s="76">
        <v>586</v>
      </c>
      <c r="D771" s="76">
        <v>2.1699999999999999E-4</v>
      </c>
      <c r="E771" s="76">
        <v>4.2000000000000002E-4</v>
      </c>
      <c r="F771" s="76">
        <v>6.4199999999999999E-4</v>
      </c>
      <c r="G771" s="76">
        <v>8.3299999999999997E-4</v>
      </c>
      <c r="H771" s="76">
        <v>9.9500000000000001E-4</v>
      </c>
      <c r="I771" s="76">
        <v>1.1999999999999999E-3</v>
      </c>
      <c r="J771" s="76">
        <v>1.48E-3</v>
      </c>
      <c r="K771" s="76">
        <v>1.6900000000000001E-3</v>
      </c>
      <c r="L771" s="76">
        <v>1.8500000000000001E-3</v>
      </c>
      <c r="M771" s="76">
        <v>1.8600000000000001E-3</v>
      </c>
    </row>
    <row r="772" spans="3:13" x14ac:dyDescent="0.15">
      <c r="C772" s="76">
        <v>588</v>
      </c>
      <c r="D772" s="76">
        <v>1.94E-4</v>
      </c>
      <c r="E772" s="76">
        <v>3.7800000000000003E-4</v>
      </c>
      <c r="F772" s="76">
        <v>5.7499999999999999E-4</v>
      </c>
      <c r="G772" s="76">
        <v>7.6400000000000003E-4</v>
      </c>
      <c r="H772" s="76">
        <v>9.0399999999999996E-4</v>
      </c>
      <c r="I772" s="76">
        <v>1.06E-3</v>
      </c>
      <c r="J772" s="76">
        <v>1.3600000000000001E-3</v>
      </c>
      <c r="K772" s="76">
        <v>1.56E-3</v>
      </c>
      <c r="L772" s="76">
        <v>1.6900000000000001E-3</v>
      </c>
      <c r="M772" s="76">
        <v>1.6800000000000001E-3</v>
      </c>
    </row>
    <row r="773" spans="3:13" x14ac:dyDescent="0.15">
      <c r="C773" s="76">
        <v>590</v>
      </c>
      <c r="D773" s="76">
        <v>1.7000000000000001E-4</v>
      </c>
      <c r="E773" s="76">
        <v>3.2400000000000001E-4</v>
      </c>
      <c r="F773" s="76">
        <v>5.4199999999999995E-4</v>
      </c>
      <c r="G773" s="76">
        <v>7.3899999999999997E-4</v>
      </c>
      <c r="H773" s="76">
        <v>8.4699999999999999E-4</v>
      </c>
      <c r="I773" s="76">
        <v>9.3800000000000003E-4</v>
      </c>
      <c r="J773" s="76">
        <v>1.2600000000000001E-3</v>
      </c>
      <c r="K773" s="76">
        <v>1.3799999999999999E-3</v>
      </c>
      <c r="L773" s="76">
        <v>1.65E-3</v>
      </c>
      <c r="M773" s="76">
        <v>1.5299999999999999E-3</v>
      </c>
    </row>
    <row r="774" spans="3:13" x14ac:dyDescent="0.15">
      <c r="C774" s="76">
        <v>592</v>
      </c>
      <c r="D774" s="76">
        <v>1.55E-4</v>
      </c>
      <c r="E774" s="76">
        <v>3.1599999999999998E-4</v>
      </c>
      <c r="F774" s="76">
        <v>4.7399999999999997E-4</v>
      </c>
      <c r="G774" s="76">
        <v>6.5899999999999997E-4</v>
      </c>
      <c r="H774" s="76">
        <v>8.1599999999999999E-4</v>
      </c>
      <c r="I774" s="76">
        <v>8.5599999999999999E-4</v>
      </c>
      <c r="J774" s="76">
        <v>1.1999999999999999E-3</v>
      </c>
      <c r="K774" s="76">
        <v>1.31E-3</v>
      </c>
      <c r="L774" s="76">
        <v>1.4E-3</v>
      </c>
      <c r="M774" s="76">
        <v>1.2899999999999999E-3</v>
      </c>
    </row>
    <row r="775" spans="3:13" x14ac:dyDescent="0.15">
      <c r="C775" s="76">
        <v>594</v>
      </c>
      <c r="D775" s="76">
        <v>1.44E-4</v>
      </c>
      <c r="E775" s="76">
        <v>2.8299999999999999E-4</v>
      </c>
      <c r="F775" s="76">
        <v>4.2400000000000001E-4</v>
      </c>
      <c r="G775" s="76">
        <v>6.1399999999999996E-4</v>
      </c>
      <c r="H775" s="76">
        <v>7.6800000000000002E-4</v>
      </c>
      <c r="I775" s="76">
        <v>7.9299999999999998E-4</v>
      </c>
      <c r="J775" s="76">
        <v>1.08E-3</v>
      </c>
      <c r="K775" s="76">
        <v>1.17E-3</v>
      </c>
      <c r="L775" s="76">
        <v>1.31E-3</v>
      </c>
      <c r="M775" s="76">
        <v>1.23E-3</v>
      </c>
    </row>
    <row r="776" spans="3:13" x14ac:dyDescent="0.15">
      <c r="C776" s="76">
        <v>596</v>
      </c>
      <c r="D776" s="76">
        <v>1.34E-4</v>
      </c>
      <c r="E776" s="76">
        <v>2.5999999999999998E-4</v>
      </c>
      <c r="F776" s="76">
        <v>3.8699999999999997E-4</v>
      </c>
      <c r="G776" s="76">
        <v>5.7899999999999998E-4</v>
      </c>
      <c r="H776" s="76">
        <v>6.7699999999999998E-4</v>
      </c>
      <c r="I776" s="76">
        <v>7.1400000000000001E-4</v>
      </c>
      <c r="J776" s="76">
        <v>9.7300000000000002E-4</v>
      </c>
      <c r="K776" s="76">
        <v>1.06E-3</v>
      </c>
      <c r="L776" s="76">
        <v>1.2099999999999999E-3</v>
      </c>
      <c r="M776" s="76">
        <v>1.1299999999999999E-3</v>
      </c>
    </row>
    <row r="777" spans="3:13" x14ac:dyDescent="0.15">
      <c r="C777" s="76">
        <v>598</v>
      </c>
      <c r="D777" s="76">
        <v>1.2799999999999999E-4</v>
      </c>
      <c r="E777" s="76">
        <v>2.3499999999999999E-4</v>
      </c>
      <c r="F777" s="76">
        <v>3.0699999999999998E-4</v>
      </c>
      <c r="G777" s="76">
        <v>5.5199999999999997E-4</v>
      </c>
      <c r="H777" s="76">
        <v>6.0800000000000003E-4</v>
      </c>
      <c r="I777" s="76">
        <v>6.2E-4</v>
      </c>
      <c r="J777" s="76">
        <v>9.1E-4</v>
      </c>
      <c r="K777" s="76">
        <v>9.8999999999999999E-4</v>
      </c>
      <c r="L777" s="76">
        <v>1.14E-3</v>
      </c>
      <c r="M777" s="76">
        <v>8.7299999999999997E-4</v>
      </c>
    </row>
    <row r="778" spans="3:13" x14ac:dyDescent="0.15">
      <c r="C778" s="76">
        <v>600</v>
      </c>
      <c r="D778" s="76">
        <v>1.1E-4</v>
      </c>
      <c r="E778" s="76">
        <v>2.1499999999999999E-4</v>
      </c>
      <c r="F778" s="76">
        <v>3.1100000000000002E-4</v>
      </c>
      <c r="G778" s="76">
        <v>5.1000000000000004E-4</v>
      </c>
      <c r="H778" s="76">
        <v>5.9100000000000005E-4</v>
      </c>
      <c r="I778" s="76">
        <v>5.9199999999999997E-4</v>
      </c>
      <c r="J778" s="76">
        <v>8.2200000000000003E-4</v>
      </c>
      <c r="K778" s="76">
        <v>8.6399999999999997E-4</v>
      </c>
      <c r="L778" s="76">
        <v>1.0399999999999999E-3</v>
      </c>
      <c r="M778" s="76">
        <v>9.7000000000000005E-4</v>
      </c>
    </row>
    <row r="779" spans="3:13" x14ac:dyDescent="0.15">
      <c r="C779" s="76">
        <v>602</v>
      </c>
      <c r="D779" s="76">
        <v>1.01E-4</v>
      </c>
      <c r="E779" s="76">
        <v>1.9599999999999999E-4</v>
      </c>
      <c r="F779" s="76">
        <v>2.7799999999999998E-4</v>
      </c>
      <c r="G779" s="76">
        <v>4.4900000000000002E-4</v>
      </c>
      <c r="H779" s="76">
        <v>5.3700000000000004E-4</v>
      </c>
      <c r="I779" s="76">
        <v>5.6300000000000002E-4</v>
      </c>
      <c r="J779" s="76">
        <v>7.7099999999999998E-4</v>
      </c>
      <c r="K779" s="76">
        <v>8.6399999999999997E-4</v>
      </c>
      <c r="L779" s="76">
        <v>1E-3</v>
      </c>
      <c r="M779" s="76">
        <v>8.5400000000000005E-4</v>
      </c>
    </row>
    <row r="780" spans="3:13" x14ac:dyDescent="0.15">
      <c r="C780" s="76">
        <v>604</v>
      </c>
      <c r="D780" s="76">
        <v>1.0399999999999999E-4</v>
      </c>
      <c r="E780" s="76">
        <v>1.85E-4</v>
      </c>
      <c r="F780" s="76">
        <v>2.4600000000000002E-4</v>
      </c>
      <c r="G780" s="76">
        <v>4.28E-4</v>
      </c>
      <c r="H780" s="76">
        <v>5.22E-4</v>
      </c>
      <c r="I780" s="76">
        <v>5.1800000000000001E-4</v>
      </c>
      <c r="J780" s="76">
        <v>7.4100000000000001E-4</v>
      </c>
      <c r="K780" s="76">
        <v>8.7000000000000001E-4</v>
      </c>
      <c r="L780" s="76">
        <v>8.7699999999999996E-4</v>
      </c>
      <c r="M780" s="76">
        <v>8.5800000000000004E-4</v>
      </c>
    </row>
    <row r="781" spans="3:13" x14ac:dyDescent="0.15">
      <c r="C781" s="76">
        <v>606</v>
      </c>
      <c r="D781" s="76">
        <v>7.6199999999999995E-5</v>
      </c>
      <c r="E781" s="76">
        <v>1.7699999999999999E-4</v>
      </c>
      <c r="F781" s="76">
        <v>2.22E-4</v>
      </c>
      <c r="G781" s="76">
        <v>3.8099999999999999E-4</v>
      </c>
      <c r="H781" s="76">
        <v>5.0299999999999997E-4</v>
      </c>
      <c r="I781" s="76">
        <v>4.7800000000000002E-4</v>
      </c>
      <c r="J781" s="76">
        <v>6.9999999999999999E-4</v>
      </c>
      <c r="K781" s="76">
        <v>6.9800000000000005E-4</v>
      </c>
      <c r="L781" s="76">
        <v>8.5300000000000003E-4</v>
      </c>
      <c r="M781" s="76">
        <v>7.6099999999999996E-4</v>
      </c>
    </row>
    <row r="782" spans="3:13" x14ac:dyDescent="0.15">
      <c r="C782" s="76">
        <v>608</v>
      </c>
      <c r="D782" s="76">
        <v>6.7799999999999995E-5</v>
      </c>
      <c r="E782" s="76">
        <v>1.56E-4</v>
      </c>
      <c r="F782" s="76">
        <v>2.0599999999999999E-4</v>
      </c>
      <c r="G782" s="76">
        <v>2.92E-4</v>
      </c>
      <c r="H782" s="76">
        <v>4.7899999999999999E-4</v>
      </c>
      <c r="I782" s="76">
        <v>4.3399999999999998E-4</v>
      </c>
      <c r="J782" s="76">
        <v>6.02E-4</v>
      </c>
      <c r="K782" s="76">
        <v>6.2399999999999999E-4</v>
      </c>
      <c r="L782" s="76">
        <v>7.7999999999999999E-4</v>
      </c>
      <c r="M782" s="76">
        <v>6.8400000000000004E-4</v>
      </c>
    </row>
    <row r="783" spans="3:13" x14ac:dyDescent="0.15">
      <c r="C783" s="76">
        <v>610</v>
      </c>
      <c r="D783" s="76">
        <v>5.91E-5</v>
      </c>
      <c r="E783" s="76">
        <v>1.46E-4</v>
      </c>
      <c r="F783" s="76">
        <v>2.02E-4</v>
      </c>
      <c r="G783" s="76">
        <v>3.1799999999999998E-4</v>
      </c>
      <c r="H783" s="76">
        <v>4.1399999999999998E-4</v>
      </c>
      <c r="I783" s="76">
        <v>4.86E-4</v>
      </c>
      <c r="J783" s="76">
        <v>5.5400000000000002E-4</v>
      </c>
      <c r="K783" s="76">
        <v>5.8100000000000003E-4</v>
      </c>
      <c r="L783" s="76">
        <v>7.94E-4</v>
      </c>
      <c r="M783" s="76">
        <v>6.9499999999999998E-4</v>
      </c>
    </row>
    <row r="784" spans="3:13" x14ac:dyDescent="0.15">
      <c r="C784" s="76">
        <v>612</v>
      </c>
      <c r="D784" s="76">
        <v>6.97E-5</v>
      </c>
      <c r="E784" s="76">
        <v>1.3999999999999999E-4</v>
      </c>
      <c r="F784" s="76">
        <v>1.7899999999999999E-4</v>
      </c>
      <c r="G784" s="76">
        <v>2.9300000000000002E-4</v>
      </c>
      <c r="H784" s="76">
        <v>3.6999999999999999E-4</v>
      </c>
      <c r="I784" s="76">
        <v>3.9800000000000002E-4</v>
      </c>
      <c r="J784" s="76">
        <v>5.2599999999999999E-4</v>
      </c>
      <c r="K784" s="76">
        <v>5.1599999999999997E-4</v>
      </c>
      <c r="L784" s="76">
        <v>7.0600000000000003E-4</v>
      </c>
      <c r="M784" s="76">
        <v>6.5700000000000003E-4</v>
      </c>
    </row>
    <row r="785" spans="3:13" x14ac:dyDescent="0.15">
      <c r="C785" s="76">
        <v>614</v>
      </c>
      <c r="D785" s="76">
        <v>6.9400000000000006E-5</v>
      </c>
      <c r="E785" s="76">
        <v>1.12E-4</v>
      </c>
      <c r="F785" s="76">
        <v>1.63E-4</v>
      </c>
      <c r="G785" s="76">
        <v>2.61E-4</v>
      </c>
      <c r="H785" s="76">
        <v>3.3700000000000001E-4</v>
      </c>
      <c r="I785" s="76">
        <v>3.8499999999999998E-4</v>
      </c>
      <c r="J785" s="76">
        <v>4.9299999999999995E-4</v>
      </c>
      <c r="K785" s="76">
        <v>4.6000000000000001E-4</v>
      </c>
      <c r="L785" s="76">
        <v>5.9000000000000003E-4</v>
      </c>
      <c r="M785" s="76">
        <v>6.4300000000000002E-4</v>
      </c>
    </row>
    <row r="786" spans="3:13" x14ac:dyDescent="0.15">
      <c r="C786" s="76">
        <v>616</v>
      </c>
      <c r="D786" s="76">
        <v>5.5999999999999999E-5</v>
      </c>
      <c r="E786" s="76">
        <v>1.1E-4</v>
      </c>
      <c r="F786" s="76">
        <v>1.44E-4</v>
      </c>
      <c r="G786" s="76">
        <v>2.3599999999999999E-4</v>
      </c>
      <c r="H786" s="76">
        <v>3.0800000000000001E-4</v>
      </c>
      <c r="I786" s="76">
        <v>3.5399999999999999E-4</v>
      </c>
      <c r="J786" s="76">
        <v>4.15E-4</v>
      </c>
      <c r="K786" s="76">
        <v>4.3199999999999998E-4</v>
      </c>
      <c r="L786" s="76">
        <v>5.2099999999999998E-4</v>
      </c>
      <c r="M786" s="76">
        <v>5.8100000000000003E-4</v>
      </c>
    </row>
    <row r="787" spans="3:13" x14ac:dyDescent="0.15">
      <c r="C787" s="76">
        <v>618</v>
      </c>
      <c r="D787" s="76">
        <v>5.0899999999999997E-5</v>
      </c>
      <c r="E787" s="76">
        <v>1.11E-4</v>
      </c>
      <c r="F787" s="76">
        <v>1.4300000000000001E-4</v>
      </c>
      <c r="G787" s="76">
        <v>2.1100000000000001E-4</v>
      </c>
      <c r="H787" s="76">
        <v>2.72E-4</v>
      </c>
      <c r="I787" s="76">
        <v>3.2499999999999999E-4</v>
      </c>
      <c r="J787" s="76">
        <v>5.3200000000000003E-4</v>
      </c>
      <c r="K787" s="76">
        <v>4.44E-4</v>
      </c>
      <c r="L787" s="76">
        <v>5.7300000000000005E-4</v>
      </c>
      <c r="M787" s="76">
        <v>5.6499999999999996E-4</v>
      </c>
    </row>
    <row r="788" spans="3:13" x14ac:dyDescent="0.15">
      <c r="C788" s="76">
        <v>620</v>
      </c>
      <c r="D788" s="76">
        <v>5.0000000000000002E-5</v>
      </c>
      <c r="E788" s="76">
        <v>1.11E-4</v>
      </c>
      <c r="F788" s="76">
        <v>1.6899999999999999E-4</v>
      </c>
      <c r="G788" s="76">
        <v>1.73E-4</v>
      </c>
      <c r="H788" s="76">
        <v>2.5500000000000002E-4</v>
      </c>
      <c r="I788" s="76">
        <v>2.7900000000000001E-4</v>
      </c>
      <c r="J788" s="76">
        <v>2.3900000000000001E-4</v>
      </c>
      <c r="K788" s="76">
        <v>3.6200000000000002E-4</v>
      </c>
      <c r="L788" s="76">
        <v>4.9299999999999995E-4</v>
      </c>
      <c r="M788" s="76">
        <v>5.5900000000000004E-4</v>
      </c>
    </row>
    <row r="789" spans="3:13" x14ac:dyDescent="0.15">
      <c r="C789" s="76">
        <v>622</v>
      </c>
      <c r="D789" s="76">
        <v>4.6E-5</v>
      </c>
      <c r="E789" s="76">
        <v>9.9500000000000006E-5</v>
      </c>
      <c r="F789" s="76">
        <v>1.18E-4</v>
      </c>
      <c r="G789" s="76">
        <v>1.74E-4</v>
      </c>
      <c r="H789" s="76">
        <v>2.1699999999999999E-4</v>
      </c>
      <c r="I789" s="76">
        <v>3.2200000000000002E-4</v>
      </c>
      <c r="J789" s="76">
        <v>2.4899999999999998E-4</v>
      </c>
      <c r="K789" s="76">
        <v>3.57E-4</v>
      </c>
      <c r="L789" s="76">
        <v>4.5800000000000002E-4</v>
      </c>
      <c r="M789" s="76">
        <v>5.9999999999999995E-4</v>
      </c>
    </row>
    <row r="790" spans="3:13" x14ac:dyDescent="0.15">
      <c r="C790" s="76">
        <v>624</v>
      </c>
      <c r="D790" s="76">
        <v>4.2400000000000001E-5</v>
      </c>
      <c r="E790" s="76">
        <v>9.3399999999999993E-5</v>
      </c>
      <c r="F790" s="76">
        <v>1.11E-4</v>
      </c>
      <c r="G790" s="76">
        <v>1.44E-4</v>
      </c>
      <c r="H790" s="76">
        <v>2.1699999999999999E-4</v>
      </c>
      <c r="I790" s="76">
        <v>3.1399999999999999E-4</v>
      </c>
      <c r="J790" s="76">
        <v>2.6699999999999998E-4</v>
      </c>
      <c r="K790" s="76">
        <v>3.8699999999999997E-4</v>
      </c>
      <c r="L790" s="76">
        <v>4.3800000000000002E-4</v>
      </c>
      <c r="M790" s="76">
        <v>5.4600000000000004E-4</v>
      </c>
    </row>
    <row r="791" spans="3:13" x14ac:dyDescent="0.15">
      <c r="C791" s="76">
        <v>626</v>
      </c>
      <c r="D791" s="76">
        <v>4.2400000000000001E-5</v>
      </c>
      <c r="E791" s="76">
        <v>9.3300000000000005E-5</v>
      </c>
      <c r="F791" s="76">
        <v>1.25E-4</v>
      </c>
      <c r="G791" s="76">
        <v>1.54E-4</v>
      </c>
      <c r="H791" s="76">
        <v>1.7899999999999999E-4</v>
      </c>
      <c r="I791" s="76">
        <v>2.8299999999999999E-4</v>
      </c>
      <c r="J791" s="76">
        <v>2.6800000000000001E-4</v>
      </c>
      <c r="K791" s="76">
        <v>3.6999999999999999E-4</v>
      </c>
      <c r="L791" s="76">
        <v>3.2299999999999999E-4</v>
      </c>
      <c r="M791" s="76">
        <v>4.9899999999999999E-4</v>
      </c>
    </row>
    <row r="792" spans="3:13" x14ac:dyDescent="0.15">
      <c r="C792" s="76">
        <v>628</v>
      </c>
      <c r="D792" s="76">
        <v>4.4499999999999997E-5</v>
      </c>
      <c r="E792" s="76">
        <v>9.2600000000000001E-5</v>
      </c>
      <c r="F792" s="76">
        <v>1.18E-4</v>
      </c>
      <c r="G792" s="76">
        <v>1.36E-4</v>
      </c>
      <c r="H792" s="76">
        <v>1.76E-4</v>
      </c>
      <c r="I792" s="76">
        <v>2.6800000000000001E-4</v>
      </c>
      <c r="J792" s="76">
        <v>2.33E-4</v>
      </c>
      <c r="K792" s="76">
        <v>2.8699999999999998E-4</v>
      </c>
      <c r="L792" s="76">
        <v>3.5500000000000001E-4</v>
      </c>
      <c r="M792" s="76">
        <v>5.0000000000000001E-4</v>
      </c>
    </row>
    <row r="793" spans="3:13" x14ac:dyDescent="0.15">
      <c r="C793" s="76">
        <v>630</v>
      </c>
      <c r="D793" s="76">
        <v>3.6399999999999997E-5</v>
      </c>
      <c r="E793" s="76">
        <v>1.01E-4</v>
      </c>
      <c r="F793" s="76">
        <v>1.2300000000000001E-4</v>
      </c>
      <c r="G793" s="76">
        <v>1.2799999999999999E-4</v>
      </c>
      <c r="H793" s="76">
        <v>1.46E-4</v>
      </c>
      <c r="I793" s="76">
        <v>2.4699999999999999E-4</v>
      </c>
      <c r="J793" s="76">
        <v>2.14E-4</v>
      </c>
      <c r="K793" s="76">
        <v>2.9300000000000002E-4</v>
      </c>
      <c r="L793" s="76">
        <v>3.0499999999999999E-4</v>
      </c>
      <c r="M793" s="76">
        <v>5.5000000000000003E-4</v>
      </c>
    </row>
    <row r="794" spans="3:13" x14ac:dyDescent="0.15">
      <c r="C794" s="76">
        <v>632</v>
      </c>
      <c r="D794" s="76">
        <v>3.7400000000000001E-5</v>
      </c>
      <c r="E794" s="76">
        <v>1.1E-4</v>
      </c>
      <c r="F794" s="76">
        <v>1.2300000000000001E-4</v>
      </c>
      <c r="G794" s="76">
        <v>9.7700000000000003E-5</v>
      </c>
      <c r="H794" s="76">
        <v>1.2E-4</v>
      </c>
      <c r="I794" s="76">
        <v>2.2599999999999999E-4</v>
      </c>
      <c r="J794" s="76">
        <v>2.0100000000000001E-4</v>
      </c>
      <c r="K794" s="76">
        <v>2.81E-4</v>
      </c>
      <c r="L794" s="76">
        <v>3.3199999999999999E-4</v>
      </c>
      <c r="M794" s="76">
        <v>5.4000000000000001E-4</v>
      </c>
    </row>
    <row r="795" spans="3:13" x14ac:dyDescent="0.15">
      <c r="C795" s="76">
        <v>634</v>
      </c>
      <c r="D795" s="76">
        <v>3.7400000000000001E-5</v>
      </c>
      <c r="E795" s="76">
        <v>7.7399999999999998E-5</v>
      </c>
      <c r="F795" s="76">
        <v>1.2899999999999999E-4</v>
      </c>
      <c r="G795" s="76">
        <v>7.8800000000000004E-5</v>
      </c>
      <c r="H795" s="76">
        <v>1.3300000000000001E-4</v>
      </c>
      <c r="I795" s="76">
        <v>2.3800000000000001E-4</v>
      </c>
      <c r="J795" s="76">
        <v>1.45E-4</v>
      </c>
      <c r="K795" s="76">
        <v>2.7700000000000001E-4</v>
      </c>
      <c r="L795" s="76">
        <v>3.6099999999999999E-4</v>
      </c>
      <c r="M795" s="76">
        <v>4.86E-4</v>
      </c>
    </row>
    <row r="796" spans="3:13" x14ac:dyDescent="0.15">
      <c r="C796" s="76">
        <v>636</v>
      </c>
      <c r="D796" s="76">
        <v>3.65E-5</v>
      </c>
      <c r="E796" s="76">
        <v>8.0799999999999999E-5</v>
      </c>
      <c r="F796" s="76">
        <v>1.0399999999999999E-4</v>
      </c>
      <c r="G796" s="76">
        <v>8.0699999999999996E-5</v>
      </c>
      <c r="H796" s="76">
        <v>1.26E-4</v>
      </c>
      <c r="I796" s="76">
        <v>2.0900000000000001E-4</v>
      </c>
      <c r="J796" s="76">
        <v>1.9100000000000001E-4</v>
      </c>
      <c r="K796" s="76">
        <v>2.6200000000000003E-4</v>
      </c>
      <c r="L796" s="76">
        <v>2.2900000000000001E-4</v>
      </c>
      <c r="M796" s="76">
        <v>4.1100000000000002E-4</v>
      </c>
    </row>
    <row r="797" spans="3:13" x14ac:dyDescent="0.15">
      <c r="C797" s="76">
        <v>638</v>
      </c>
      <c r="D797" s="76">
        <v>3.4900000000000001E-5</v>
      </c>
      <c r="E797" s="76">
        <v>7.9900000000000004E-5</v>
      </c>
      <c r="F797" s="76">
        <v>1.2899999999999999E-4</v>
      </c>
      <c r="G797" s="76">
        <v>6.3899999999999995E-5</v>
      </c>
      <c r="H797" s="76">
        <v>1.08E-4</v>
      </c>
      <c r="I797" s="76">
        <v>2.22E-4</v>
      </c>
      <c r="J797" s="76">
        <v>1.3799999999999999E-4</v>
      </c>
      <c r="K797" s="76">
        <v>1.8699999999999999E-4</v>
      </c>
      <c r="L797" s="76">
        <v>1.9100000000000001E-4</v>
      </c>
      <c r="M797" s="76">
        <v>3.6900000000000002E-4</v>
      </c>
    </row>
    <row r="798" spans="3:13" x14ac:dyDescent="0.15">
      <c r="C798" s="76">
        <v>640</v>
      </c>
      <c r="D798" s="76">
        <v>3.4199999999999998E-5</v>
      </c>
      <c r="E798" s="76">
        <v>6.9499999999999995E-5</v>
      </c>
      <c r="F798" s="76">
        <v>1.2899999999999999E-4</v>
      </c>
      <c r="G798" s="76">
        <v>9.4599999999999996E-5</v>
      </c>
      <c r="H798" s="76">
        <v>1.16E-4</v>
      </c>
      <c r="I798" s="76">
        <v>1.95E-4</v>
      </c>
      <c r="J798" s="76">
        <v>1.7100000000000001E-4</v>
      </c>
      <c r="K798" s="76">
        <v>1.9699999999999999E-4</v>
      </c>
      <c r="L798" s="76">
        <v>1.9100000000000001E-4</v>
      </c>
      <c r="M798" s="76">
        <v>2.3699999999999999E-4</v>
      </c>
    </row>
    <row r="799" spans="3:13" x14ac:dyDescent="0.15">
      <c r="C799" s="76">
        <v>642</v>
      </c>
      <c r="D799" s="76">
        <v>4.07E-5</v>
      </c>
      <c r="E799" s="76">
        <v>7.0400000000000004E-5</v>
      </c>
      <c r="F799" s="76">
        <v>1.2899999999999999E-4</v>
      </c>
      <c r="G799" s="76">
        <v>1.2799999999999999E-4</v>
      </c>
      <c r="H799" s="76">
        <v>1.3799999999999999E-4</v>
      </c>
      <c r="I799" s="76">
        <v>1.7799999999999999E-4</v>
      </c>
      <c r="J799" s="76">
        <v>1.7699999999999999E-4</v>
      </c>
      <c r="K799" s="76">
        <v>2.05E-4</v>
      </c>
      <c r="L799" s="76">
        <v>2.2900000000000001E-4</v>
      </c>
      <c r="M799" s="76">
        <v>4.3800000000000002E-4</v>
      </c>
    </row>
    <row r="800" spans="3:13" x14ac:dyDescent="0.15">
      <c r="C800" s="76">
        <v>644</v>
      </c>
      <c r="D800" s="76">
        <v>2.8600000000000001E-5</v>
      </c>
      <c r="E800" s="76">
        <v>6.4900000000000005E-5</v>
      </c>
      <c r="F800" s="76">
        <v>1.36E-4</v>
      </c>
      <c r="G800" s="76">
        <v>9.6700000000000006E-5</v>
      </c>
      <c r="H800" s="76">
        <v>1.4999999999999999E-4</v>
      </c>
      <c r="I800" s="76">
        <v>1.75E-4</v>
      </c>
      <c r="J800" s="76">
        <v>1.8900000000000001E-4</v>
      </c>
      <c r="K800" s="76">
        <v>2.1000000000000001E-4</v>
      </c>
      <c r="L800" s="76">
        <v>2.2800000000000001E-4</v>
      </c>
      <c r="M800" s="76">
        <v>3.6000000000000002E-4</v>
      </c>
    </row>
    <row r="801" spans="3:13" x14ac:dyDescent="0.15">
      <c r="C801" s="76">
        <v>646</v>
      </c>
      <c r="D801" s="76">
        <v>5.2800000000000003E-5</v>
      </c>
      <c r="E801" s="76">
        <v>8.6299999999999997E-5</v>
      </c>
      <c r="F801" s="76">
        <v>1.11E-4</v>
      </c>
      <c r="G801" s="76">
        <v>9.7700000000000003E-5</v>
      </c>
      <c r="H801" s="76">
        <v>1.5699999999999999E-4</v>
      </c>
      <c r="I801" s="76">
        <v>1.5799999999999999E-4</v>
      </c>
      <c r="J801" s="76">
        <v>1.0900000000000001E-4</v>
      </c>
      <c r="K801" s="76">
        <v>1.55E-4</v>
      </c>
      <c r="L801" s="76">
        <v>2.05E-4</v>
      </c>
      <c r="M801" s="76">
        <v>4.1599999999999997E-4</v>
      </c>
    </row>
    <row r="802" spans="3:13" x14ac:dyDescent="0.15">
      <c r="C802" s="76">
        <v>648</v>
      </c>
      <c r="D802" s="76">
        <v>3.5099999999999999E-5</v>
      </c>
      <c r="E802" s="76">
        <v>7.4300000000000004E-5</v>
      </c>
      <c r="F802" s="76">
        <v>1.1900000000000001E-4</v>
      </c>
      <c r="G802" s="76">
        <v>9.48E-5</v>
      </c>
      <c r="H802" s="76">
        <v>1.3799999999999999E-4</v>
      </c>
      <c r="I802" s="76">
        <v>1.4200000000000001E-4</v>
      </c>
      <c r="J802" s="76">
        <v>1.11E-4</v>
      </c>
      <c r="K802" s="76">
        <v>2.4499999999999999E-4</v>
      </c>
      <c r="L802" s="76">
        <v>2.4499999999999999E-4</v>
      </c>
      <c r="M802" s="76">
        <v>4.2099999999999999E-4</v>
      </c>
    </row>
    <row r="803" spans="3:13" x14ac:dyDescent="0.15">
      <c r="C803" s="76">
        <v>650</v>
      </c>
      <c r="D803" s="76">
        <v>3.5099999999999999E-5</v>
      </c>
      <c r="E803" s="76">
        <v>6.5500000000000006E-5</v>
      </c>
      <c r="F803" s="76">
        <v>1.07E-4</v>
      </c>
      <c r="G803" s="76">
        <v>9.0500000000000004E-5</v>
      </c>
      <c r="H803" s="76">
        <v>1.36E-4</v>
      </c>
      <c r="I803" s="76">
        <v>1.37E-4</v>
      </c>
      <c r="J803" s="76">
        <v>1.8100000000000001E-4</v>
      </c>
      <c r="K803" s="76">
        <v>2.42E-4</v>
      </c>
      <c r="L803" s="76">
        <v>2.0799999999999999E-4</v>
      </c>
      <c r="M803" s="76">
        <v>3.4600000000000001E-4</v>
      </c>
    </row>
    <row r="804" spans="3:13" x14ac:dyDescent="0.15">
      <c r="C804" s="76">
        <v>652</v>
      </c>
      <c r="D804" s="76">
        <v>3.5299999999999997E-5</v>
      </c>
      <c r="E804" s="76">
        <v>7.1600000000000006E-5</v>
      </c>
      <c r="F804" s="76">
        <v>9.7800000000000006E-5</v>
      </c>
      <c r="G804" s="76">
        <v>1.13E-4</v>
      </c>
      <c r="H804" s="76">
        <v>1.46E-4</v>
      </c>
      <c r="I804" s="76">
        <v>1.4200000000000001E-4</v>
      </c>
      <c r="J804" s="76">
        <v>1.5899999999999999E-4</v>
      </c>
      <c r="K804" s="76">
        <v>2.3800000000000001E-4</v>
      </c>
      <c r="L804" s="76">
        <v>2.0599999999999999E-4</v>
      </c>
      <c r="M804" s="76">
        <v>2.9100000000000003E-4</v>
      </c>
    </row>
    <row r="805" spans="3:13" x14ac:dyDescent="0.15">
      <c r="C805" s="76">
        <v>654</v>
      </c>
      <c r="D805" s="76">
        <v>3.9499999999999998E-5</v>
      </c>
      <c r="E805" s="76">
        <v>5.5500000000000001E-5</v>
      </c>
      <c r="F805" s="76">
        <v>9.6500000000000001E-5</v>
      </c>
      <c r="G805" s="76">
        <v>1.44E-4</v>
      </c>
      <c r="H805" s="76">
        <v>1.34E-4</v>
      </c>
      <c r="I805" s="76">
        <v>1.37E-4</v>
      </c>
      <c r="J805" s="76">
        <v>2.05E-4</v>
      </c>
      <c r="K805" s="76">
        <v>2.1499999999999999E-4</v>
      </c>
      <c r="L805" s="76">
        <v>2.3499999999999999E-4</v>
      </c>
      <c r="M805" s="76">
        <v>2.7799999999999998E-4</v>
      </c>
    </row>
    <row r="806" spans="3:13" x14ac:dyDescent="0.15">
      <c r="C806" s="76">
        <v>656</v>
      </c>
      <c r="D806" s="76">
        <v>3.7200000000000003E-5</v>
      </c>
      <c r="E806" s="76">
        <v>6.7799999999999995E-5</v>
      </c>
      <c r="F806" s="76">
        <v>9.8300000000000004E-5</v>
      </c>
      <c r="G806" s="76">
        <v>1.5899999999999999E-4</v>
      </c>
      <c r="H806" s="76">
        <v>1.76E-4</v>
      </c>
      <c r="I806" s="76">
        <v>8.3900000000000006E-5</v>
      </c>
      <c r="J806" s="76">
        <v>2.14E-4</v>
      </c>
      <c r="K806" s="76">
        <v>2.32E-4</v>
      </c>
      <c r="L806" s="76">
        <v>1.9799999999999999E-4</v>
      </c>
      <c r="M806" s="76">
        <v>3.2200000000000002E-4</v>
      </c>
    </row>
    <row r="807" spans="3:13" x14ac:dyDescent="0.15">
      <c r="C807" s="76">
        <v>658</v>
      </c>
      <c r="D807" s="76">
        <v>2.6599999999999999E-5</v>
      </c>
      <c r="E807" s="76">
        <v>3.7799999999999997E-5</v>
      </c>
      <c r="F807" s="76">
        <v>7.7799999999999994E-5</v>
      </c>
      <c r="G807" s="76">
        <v>1.45E-4</v>
      </c>
      <c r="H807" s="76">
        <v>1.54E-4</v>
      </c>
      <c r="I807" s="76">
        <v>1.3100000000000001E-4</v>
      </c>
      <c r="J807" s="76">
        <v>1.73E-4</v>
      </c>
      <c r="K807" s="76">
        <v>2.5999999999999998E-4</v>
      </c>
      <c r="L807" s="76">
        <v>2.41E-4</v>
      </c>
      <c r="M807" s="76">
        <v>2.9300000000000002E-4</v>
      </c>
    </row>
    <row r="808" spans="3:13" x14ac:dyDescent="0.15">
      <c r="C808" s="76">
        <v>660</v>
      </c>
      <c r="D808" s="76">
        <v>2.73E-5</v>
      </c>
      <c r="E808" s="76">
        <v>3.6600000000000002E-5</v>
      </c>
      <c r="F808" s="76">
        <v>1.17E-4</v>
      </c>
      <c r="G808" s="76">
        <v>1.5799999999999999E-4</v>
      </c>
      <c r="H808" s="76">
        <v>1.3899999999999999E-4</v>
      </c>
      <c r="I808" s="76">
        <v>1.6000000000000001E-4</v>
      </c>
      <c r="J808" s="76">
        <v>1.3300000000000001E-4</v>
      </c>
      <c r="K808" s="76">
        <v>2.4399999999999999E-4</v>
      </c>
      <c r="L808" s="76">
        <v>2.5900000000000001E-4</v>
      </c>
      <c r="M808" s="76">
        <v>2.1900000000000001E-4</v>
      </c>
    </row>
    <row r="809" spans="3:13" x14ac:dyDescent="0.15">
      <c r="C809" s="76">
        <v>662</v>
      </c>
      <c r="D809" s="76">
        <v>2.7900000000000001E-5</v>
      </c>
      <c r="E809" s="76">
        <v>3.6699999999999998E-5</v>
      </c>
      <c r="F809" s="76">
        <v>8.0000000000000007E-5</v>
      </c>
      <c r="G809" s="76">
        <v>1.3200000000000001E-4</v>
      </c>
      <c r="H809" s="76">
        <v>1.4899999999999999E-4</v>
      </c>
      <c r="I809" s="76">
        <v>1.06E-4</v>
      </c>
      <c r="J809" s="76">
        <v>1.65E-4</v>
      </c>
      <c r="K809" s="76">
        <v>2.4899999999999998E-4</v>
      </c>
      <c r="L809" s="76">
        <v>2.99E-4</v>
      </c>
      <c r="M809" s="76">
        <v>2.2599999999999999E-4</v>
      </c>
    </row>
    <row r="810" spans="3:13" x14ac:dyDescent="0.15">
      <c r="C810" s="76">
        <v>664</v>
      </c>
      <c r="D810" s="76">
        <v>2.2099999999999998E-5</v>
      </c>
      <c r="E810" s="76">
        <v>3.6000000000000001E-5</v>
      </c>
      <c r="F810" s="76">
        <v>4.9100000000000001E-5</v>
      </c>
      <c r="G810" s="76">
        <v>1.25E-4</v>
      </c>
      <c r="H810" s="76">
        <v>1.4899999999999999E-4</v>
      </c>
      <c r="I810" s="76">
        <v>1.15E-4</v>
      </c>
      <c r="J810" s="76">
        <v>1.9000000000000001E-4</v>
      </c>
      <c r="K810" s="76">
        <v>2.2599999999999999E-4</v>
      </c>
      <c r="L810" s="76">
        <v>2.7E-4</v>
      </c>
      <c r="M810" s="76">
        <v>2.13E-4</v>
      </c>
    </row>
    <row r="811" spans="3:13" x14ac:dyDescent="0.15">
      <c r="C811" s="76">
        <v>666</v>
      </c>
      <c r="D811" s="76">
        <v>1.9300000000000002E-5</v>
      </c>
      <c r="E811" s="76">
        <v>2.7699999999999999E-5</v>
      </c>
      <c r="F811" s="76">
        <v>5.8E-5</v>
      </c>
      <c r="G811" s="76">
        <v>1.3999999999999999E-4</v>
      </c>
      <c r="H811" s="76">
        <v>1.56E-4</v>
      </c>
      <c r="I811" s="76">
        <v>1.37E-4</v>
      </c>
      <c r="J811" s="76">
        <v>1.9000000000000001E-4</v>
      </c>
      <c r="K811" s="76">
        <v>1.8900000000000001E-4</v>
      </c>
      <c r="L811" s="76">
        <v>2.1900000000000001E-4</v>
      </c>
      <c r="M811" s="76">
        <v>1.36E-4</v>
      </c>
    </row>
    <row r="812" spans="3:13" x14ac:dyDescent="0.15">
      <c r="C812" s="76">
        <v>668</v>
      </c>
      <c r="D812" s="76">
        <v>1.5500000000000001E-5</v>
      </c>
      <c r="E812" s="76">
        <v>3.1300000000000002E-5</v>
      </c>
      <c r="F812" s="76">
        <v>6.2199999999999994E-5</v>
      </c>
      <c r="G812" s="76">
        <v>1.55E-4</v>
      </c>
      <c r="H812" s="76">
        <v>1.7799999999999999E-4</v>
      </c>
      <c r="I812" s="76">
        <v>1.36E-4</v>
      </c>
      <c r="J812" s="76">
        <v>2.1100000000000001E-4</v>
      </c>
      <c r="K812" s="76">
        <v>2.5399999999999999E-4</v>
      </c>
      <c r="L812" s="76">
        <v>1.35E-4</v>
      </c>
      <c r="M812" s="76">
        <v>6.3600000000000001E-5</v>
      </c>
    </row>
    <row r="813" spans="3:13" x14ac:dyDescent="0.15">
      <c r="C813" s="76">
        <v>670</v>
      </c>
      <c r="D813" s="76">
        <v>1.5099999999999999E-5</v>
      </c>
      <c r="E813" s="76">
        <v>4.0200000000000001E-5</v>
      </c>
      <c r="F813" s="76">
        <v>4.6199999999999998E-5</v>
      </c>
      <c r="G813" s="76">
        <v>1.2300000000000001E-4</v>
      </c>
      <c r="H813" s="76">
        <v>1.36E-4</v>
      </c>
      <c r="I813" s="76">
        <v>1.34E-4</v>
      </c>
      <c r="J813" s="76">
        <v>2.05E-4</v>
      </c>
      <c r="K813" s="76">
        <v>2.4000000000000001E-4</v>
      </c>
      <c r="L813" s="76">
        <v>2.3900000000000001E-4</v>
      </c>
      <c r="M813" s="76">
        <v>1.3799999999999999E-4</v>
      </c>
    </row>
    <row r="814" spans="3:13" x14ac:dyDescent="0.15">
      <c r="C814" s="76">
        <v>672</v>
      </c>
      <c r="D814" s="76">
        <v>1.13E-5</v>
      </c>
      <c r="E814" s="76">
        <v>9.7200000000000001E-6</v>
      </c>
      <c r="F814" s="76">
        <v>6.0600000000000003E-5</v>
      </c>
      <c r="G814" s="76">
        <v>1.2E-4</v>
      </c>
      <c r="H814" s="76">
        <v>1.44E-4</v>
      </c>
      <c r="I814" s="76">
        <v>1.34E-4</v>
      </c>
      <c r="J814" s="76">
        <v>2.2900000000000001E-4</v>
      </c>
      <c r="K814" s="76">
        <v>2.9300000000000002E-4</v>
      </c>
      <c r="L814" s="76">
        <v>1.84E-4</v>
      </c>
      <c r="M814" s="76">
        <v>8.2999999999999998E-5</v>
      </c>
    </row>
    <row r="815" spans="3:13" x14ac:dyDescent="0.15">
      <c r="C815" s="76">
        <v>674</v>
      </c>
      <c r="D815" s="76">
        <v>8.2199999999999992E-6</v>
      </c>
      <c r="E815" s="76">
        <v>3.1099999999999997E-5</v>
      </c>
      <c r="F815" s="76">
        <v>4.6E-5</v>
      </c>
      <c r="G815" s="76">
        <v>1.56E-4</v>
      </c>
      <c r="H815" s="76">
        <v>1.2E-4</v>
      </c>
      <c r="I815" s="76">
        <v>1.7699999999999999E-4</v>
      </c>
      <c r="J815" s="76">
        <v>2.4000000000000001E-4</v>
      </c>
      <c r="K815" s="76">
        <v>2.6400000000000002E-4</v>
      </c>
      <c r="L815" s="76">
        <v>3.6900000000000002E-4</v>
      </c>
      <c r="M815" s="76">
        <v>8.5699999999999996E-5</v>
      </c>
    </row>
    <row r="816" spans="3:13" x14ac:dyDescent="0.15">
      <c r="C816" s="76">
        <v>676</v>
      </c>
      <c r="D816" s="76">
        <v>2.4600000000000002E-6</v>
      </c>
      <c r="E816" s="76">
        <v>3.7799999999999997E-5</v>
      </c>
      <c r="F816" s="76">
        <v>5.4200000000000003E-5</v>
      </c>
      <c r="G816" s="76">
        <v>1.2899999999999999E-4</v>
      </c>
      <c r="H816" s="76">
        <v>1.3200000000000001E-4</v>
      </c>
      <c r="I816" s="76">
        <v>1.5699999999999999E-4</v>
      </c>
      <c r="J816" s="76">
        <v>2.2800000000000001E-4</v>
      </c>
      <c r="K816" s="76">
        <v>2.4399999999999999E-4</v>
      </c>
      <c r="L816" s="76">
        <v>2.23E-4</v>
      </c>
      <c r="M816" s="76">
        <v>1.22E-4</v>
      </c>
    </row>
    <row r="817" spans="3:46" x14ac:dyDescent="0.15">
      <c r="C817" s="76">
        <v>678</v>
      </c>
      <c r="D817" s="76">
        <v>6.8600000000000004E-6</v>
      </c>
      <c r="E817" s="76">
        <v>3.3599999999999997E-5</v>
      </c>
      <c r="F817" s="76">
        <v>8.1899999999999999E-5</v>
      </c>
      <c r="G817" s="76">
        <v>1.25E-4</v>
      </c>
      <c r="H817" s="76">
        <v>1.2999999999999999E-4</v>
      </c>
      <c r="I817" s="76">
        <v>1.3200000000000001E-4</v>
      </c>
      <c r="J817" s="76">
        <v>2.2800000000000001E-4</v>
      </c>
      <c r="K817" s="76">
        <v>2.3900000000000001E-4</v>
      </c>
      <c r="L817" s="76">
        <v>2.3599999999999999E-4</v>
      </c>
      <c r="M817" s="76">
        <v>1.05E-4</v>
      </c>
    </row>
    <row r="818" spans="3:46" x14ac:dyDescent="0.15">
      <c r="C818" s="76">
        <v>680</v>
      </c>
      <c r="D818" s="76">
        <v>3.8399999999999997E-6</v>
      </c>
      <c r="E818" s="76">
        <v>3.1300000000000002E-5</v>
      </c>
      <c r="F818" s="76">
        <v>1.8300000000000001E-5</v>
      </c>
      <c r="G818" s="76">
        <v>1.17E-4</v>
      </c>
      <c r="H818" s="76">
        <v>1.0900000000000001E-4</v>
      </c>
      <c r="I818" s="76">
        <v>1.12E-4</v>
      </c>
      <c r="J818" s="76">
        <v>2.4399999999999999E-4</v>
      </c>
      <c r="K818" s="76">
        <v>2.5700000000000001E-4</v>
      </c>
      <c r="L818" s="76">
        <v>2.2800000000000001E-4</v>
      </c>
      <c r="M818" s="76">
        <v>2.0299999999999999E-5</v>
      </c>
    </row>
    <row r="819" spans="3:46" x14ac:dyDescent="0.15">
      <c r="C819" s="76">
        <v>682</v>
      </c>
      <c r="D819" s="76">
        <v>8.5300000000000003E-7</v>
      </c>
      <c r="E819" s="76">
        <v>4.2400000000000001E-5</v>
      </c>
      <c r="F819" s="76">
        <v>3.5299999999999997E-5</v>
      </c>
      <c r="G819" s="76">
        <v>1.1E-4</v>
      </c>
      <c r="H819" s="76">
        <v>9.2999999999999997E-5</v>
      </c>
      <c r="I819" s="76">
        <v>1.22E-4</v>
      </c>
      <c r="J819" s="76">
        <v>2.42E-4</v>
      </c>
      <c r="K819" s="76">
        <v>2.24E-4</v>
      </c>
      <c r="L819" s="76">
        <v>2.3699999999999999E-4</v>
      </c>
      <c r="M819" s="76">
        <v>7.2999999999999999E-5</v>
      </c>
    </row>
    <row r="820" spans="3:46" x14ac:dyDescent="0.15">
      <c r="C820" s="81">
        <v>684</v>
      </c>
      <c r="D820" s="76">
        <v>0</v>
      </c>
      <c r="E820" s="76">
        <v>4.5000000000000003E-5</v>
      </c>
      <c r="F820" s="76">
        <v>2.69E-5</v>
      </c>
      <c r="G820" s="76">
        <v>1.1E-4</v>
      </c>
      <c r="H820" s="81">
        <v>7.08E-5</v>
      </c>
      <c r="I820" s="76">
        <v>1.22E-4</v>
      </c>
      <c r="J820" s="76">
        <v>2.0900000000000001E-4</v>
      </c>
      <c r="K820" s="76">
        <v>3.0699999999999998E-4</v>
      </c>
      <c r="L820" s="81">
        <v>2.4399999999999999E-4</v>
      </c>
      <c r="M820" s="76">
        <v>4.6E-5</v>
      </c>
      <c r="N820" s="81"/>
      <c r="T820" s="81"/>
      <c r="W820" s="81"/>
      <c r="AF820" s="81"/>
      <c r="AG820" s="81"/>
      <c r="AT820" s="81"/>
    </row>
    <row r="821" spans="3:46" x14ac:dyDescent="0.15">
      <c r="C821" s="81">
        <v>686</v>
      </c>
      <c r="D821" s="76">
        <v>2.5299999999999999E-6</v>
      </c>
      <c r="E821" s="76">
        <v>4.7700000000000001E-5</v>
      </c>
      <c r="F821" s="76">
        <v>2.1299999999999999E-5</v>
      </c>
      <c r="G821" s="76">
        <v>1.02E-4</v>
      </c>
      <c r="H821" s="81">
        <v>7.8100000000000001E-5</v>
      </c>
      <c r="I821" s="76">
        <v>9.8200000000000002E-5</v>
      </c>
      <c r="J821" s="76">
        <v>2.3499999999999999E-4</v>
      </c>
      <c r="K821" s="76">
        <v>2.3000000000000001E-4</v>
      </c>
      <c r="L821" s="81">
        <v>2.0699999999999999E-4</v>
      </c>
      <c r="M821" s="76">
        <v>6.8399999999999996E-5</v>
      </c>
      <c r="N821" s="81"/>
      <c r="T821" s="81"/>
      <c r="W821" s="81"/>
      <c r="AF821" s="81"/>
      <c r="AG821" s="81"/>
      <c r="AT821" s="81"/>
    </row>
    <row r="822" spans="3:46" x14ac:dyDescent="0.15">
      <c r="C822" s="81">
        <v>688</v>
      </c>
      <c r="D822" s="76">
        <v>5.0699999999999997E-7</v>
      </c>
      <c r="E822" s="76">
        <v>5.1600000000000001E-5</v>
      </c>
      <c r="F822" s="76">
        <v>2.6800000000000001E-5</v>
      </c>
      <c r="G822" s="76">
        <v>7.8499999999999997E-5</v>
      </c>
      <c r="H822" s="81">
        <v>8.1799999999999996E-5</v>
      </c>
      <c r="I822" s="76">
        <v>9.1600000000000004E-5</v>
      </c>
      <c r="J822" s="76">
        <v>1.7899999999999999E-4</v>
      </c>
      <c r="K822" s="76">
        <v>2.42E-4</v>
      </c>
      <c r="L822" s="81">
        <v>1.45E-4</v>
      </c>
      <c r="M822" s="76">
        <v>6.58E-5</v>
      </c>
      <c r="N822" s="81"/>
      <c r="T822" s="81"/>
      <c r="W822" s="81"/>
      <c r="AF822" s="81"/>
      <c r="AG822" s="81"/>
      <c r="AT822" s="81"/>
    </row>
    <row r="823" spans="3:46" x14ac:dyDescent="0.15">
      <c r="C823" s="81">
        <v>690</v>
      </c>
      <c r="D823" s="76">
        <v>1.5600000000000001E-6</v>
      </c>
      <c r="E823" s="76">
        <v>3.4999999999999997E-5</v>
      </c>
      <c r="F823" s="76">
        <v>4.9700000000000002E-5</v>
      </c>
      <c r="G823" s="76">
        <v>1.54E-4</v>
      </c>
      <c r="H823" s="81">
        <v>9.6899999999999997E-5</v>
      </c>
      <c r="I823" s="76">
        <v>2.5599999999999999E-5</v>
      </c>
      <c r="J823" s="76">
        <v>1.05E-4</v>
      </c>
      <c r="K823" s="76">
        <v>1.7899999999999999E-4</v>
      </c>
      <c r="L823" s="81">
        <v>1.01E-4</v>
      </c>
      <c r="M823" s="76">
        <v>1.2400000000000001E-4</v>
      </c>
      <c r="N823" s="81"/>
      <c r="T823" s="81"/>
      <c r="W823" s="81"/>
      <c r="AF823" s="81"/>
      <c r="AG823" s="81"/>
      <c r="AT823" s="81"/>
    </row>
    <row r="824" spans="3:46" x14ac:dyDescent="0.15">
      <c r="C824" s="81">
        <v>692</v>
      </c>
      <c r="D824" s="76">
        <v>3.0199999999999999E-6</v>
      </c>
      <c r="E824" s="76">
        <v>2.7699999999999999E-5</v>
      </c>
      <c r="F824" s="76">
        <v>4.3000000000000002E-5</v>
      </c>
      <c r="G824" s="76">
        <v>8.2600000000000002E-5</v>
      </c>
      <c r="H824" s="81">
        <v>1.21E-4</v>
      </c>
      <c r="I824" s="76">
        <v>2.09E-5</v>
      </c>
      <c r="J824" s="76">
        <v>7.7999999999999999E-5</v>
      </c>
      <c r="K824" s="76">
        <v>1.37E-4</v>
      </c>
      <c r="L824" s="81">
        <v>2.3800000000000001E-4</v>
      </c>
      <c r="M824" s="76">
        <v>5.2299999999999997E-5</v>
      </c>
      <c r="N824" s="81"/>
      <c r="T824" s="81"/>
      <c r="W824" s="81"/>
      <c r="AF824" s="81"/>
      <c r="AG824" s="81"/>
      <c r="AT824" s="81"/>
    </row>
    <row r="825" spans="3:46" x14ac:dyDescent="0.15">
      <c r="C825" s="81">
        <v>694</v>
      </c>
      <c r="D825" s="76">
        <v>6.1700000000000002E-6</v>
      </c>
      <c r="E825" s="76">
        <v>3.8300000000000003E-5</v>
      </c>
      <c r="F825" s="76">
        <v>3.2100000000000001E-5</v>
      </c>
      <c r="G825" s="76">
        <v>8.7899999999999995E-5</v>
      </c>
      <c r="H825" s="81">
        <v>7.1899999999999999E-5</v>
      </c>
      <c r="I825" s="76">
        <v>3.3399999999999999E-5</v>
      </c>
      <c r="J825" s="76">
        <v>1.26E-4</v>
      </c>
      <c r="K825" s="76">
        <v>1.35E-4</v>
      </c>
      <c r="L825" s="81">
        <v>1.6100000000000001E-4</v>
      </c>
      <c r="M825" s="76">
        <v>9.3999999999999994E-5</v>
      </c>
      <c r="N825" s="81"/>
      <c r="T825" s="81"/>
      <c r="W825" s="81"/>
      <c r="AF825" s="81"/>
      <c r="AG825" s="81"/>
      <c r="AT825" s="81"/>
    </row>
    <row r="826" spans="3:46" x14ac:dyDescent="0.15">
      <c r="C826" s="81">
        <v>696</v>
      </c>
      <c r="D826" s="76">
        <v>5.6999999999999996E-6</v>
      </c>
      <c r="E826" s="76">
        <v>3.7200000000000003E-5</v>
      </c>
      <c r="F826" s="76">
        <v>4.9400000000000001E-5</v>
      </c>
      <c r="G826" s="76">
        <v>9.5299999999999999E-5</v>
      </c>
      <c r="H826" s="81">
        <v>5.0599999999999997E-5</v>
      </c>
      <c r="I826" s="76">
        <v>2.1999999999999999E-5</v>
      </c>
      <c r="J826" s="76">
        <v>1.55E-4</v>
      </c>
      <c r="K826" s="76">
        <v>2.3800000000000001E-4</v>
      </c>
      <c r="L826" s="81">
        <v>7.3999999999999996E-5</v>
      </c>
      <c r="M826" s="76">
        <v>3.3599999999999997E-5</v>
      </c>
      <c r="N826" s="81"/>
      <c r="T826" s="81"/>
      <c r="W826" s="81"/>
      <c r="AF826" s="81"/>
      <c r="AG826" s="81"/>
      <c r="AT826" s="81"/>
    </row>
    <row r="827" spans="3:46" x14ac:dyDescent="0.15">
      <c r="C827" s="81">
        <v>698</v>
      </c>
      <c r="D827" s="76">
        <v>9.3400000000000004E-6</v>
      </c>
      <c r="E827" s="76">
        <v>1.7600000000000001E-5</v>
      </c>
      <c r="F827" s="76">
        <v>3.7499999999999997E-5</v>
      </c>
      <c r="G827" s="76">
        <v>8.1699999999999994E-5</v>
      </c>
      <c r="H827" s="81">
        <v>7.3700000000000002E-5</v>
      </c>
      <c r="I827" s="76">
        <v>1.66E-5</v>
      </c>
      <c r="J827" s="76">
        <v>1.37E-4</v>
      </c>
      <c r="K827" s="76">
        <v>1.2400000000000001E-4</v>
      </c>
      <c r="L827" s="81">
        <v>1.2899999999999999E-4</v>
      </c>
      <c r="M827" s="76">
        <v>1.06E-4</v>
      </c>
      <c r="N827" s="81"/>
      <c r="T827" s="81"/>
      <c r="W827" s="81"/>
      <c r="AF827" s="81"/>
      <c r="AG827" s="81"/>
      <c r="AT827" s="81"/>
    </row>
    <row r="828" spans="3:46" x14ac:dyDescent="0.15">
      <c r="C828" s="81">
        <v>700</v>
      </c>
      <c r="D828" s="76">
        <v>1.04E-5</v>
      </c>
      <c r="E828" s="76">
        <v>1.88E-5</v>
      </c>
      <c r="F828" s="76">
        <v>6.5300000000000002E-5</v>
      </c>
      <c r="G828" s="76">
        <v>8.6899999999999998E-5</v>
      </c>
      <c r="H828" s="81">
        <v>2.48E-5</v>
      </c>
      <c r="I828" s="76">
        <v>3.9799999999999998E-5</v>
      </c>
      <c r="J828" s="76">
        <v>6.9599999999999998E-5</v>
      </c>
      <c r="K828" s="76">
        <v>1.5200000000000001E-4</v>
      </c>
      <c r="L828" s="81">
        <v>2.0000000000000001E-4</v>
      </c>
      <c r="M828" s="76">
        <v>8.7399999999999997E-5</v>
      </c>
      <c r="N828" s="81"/>
      <c r="T828" s="81"/>
      <c r="W828" s="81"/>
      <c r="AF828" s="81"/>
      <c r="AG828" s="81"/>
      <c r="AT828" s="81"/>
    </row>
    <row r="829" spans="3:46" x14ac:dyDescent="0.15">
      <c r="C829" s="81">
        <v>702</v>
      </c>
      <c r="D829" s="76">
        <v>1.6200000000000001E-5</v>
      </c>
      <c r="E829" s="76">
        <v>2.1100000000000001E-5</v>
      </c>
      <c r="F829" s="76">
        <v>6.4300000000000004E-5</v>
      </c>
      <c r="G829" s="76">
        <v>5.7399999999999999E-5</v>
      </c>
      <c r="H829" s="81">
        <v>7.5300000000000001E-5</v>
      </c>
      <c r="I829" s="76">
        <v>1.84E-5</v>
      </c>
      <c r="J829" s="76">
        <v>1.7200000000000001E-5</v>
      </c>
      <c r="K829" s="76">
        <v>1.6000000000000001E-4</v>
      </c>
      <c r="L829" s="81">
        <v>1.4999999999999999E-4</v>
      </c>
      <c r="M829" s="76">
        <v>1.9599999999999999E-4</v>
      </c>
      <c r="N829" s="81"/>
      <c r="T829" s="81"/>
      <c r="W829" s="81"/>
      <c r="AF829" s="81"/>
      <c r="AG829" s="81"/>
      <c r="AT829" s="81"/>
    </row>
    <row r="830" spans="3:46" x14ac:dyDescent="0.15">
      <c r="C830" s="81">
        <v>704</v>
      </c>
      <c r="D830" s="76">
        <v>1.6699999999999999E-5</v>
      </c>
      <c r="E830" s="76">
        <v>1.34E-5</v>
      </c>
      <c r="F830" s="76">
        <v>5.5699999999999999E-5</v>
      </c>
      <c r="G830" s="76">
        <v>7.5900000000000002E-5</v>
      </c>
      <c r="H830" s="81">
        <v>6.9499999999999995E-5</v>
      </c>
      <c r="I830" s="76">
        <v>4.6400000000000003E-5</v>
      </c>
      <c r="J830" s="76">
        <v>1.1199999999999999E-5</v>
      </c>
      <c r="K830" s="76">
        <v>1.0900000000000001E-4</v>
      </c>
      <c r="L830" s="81">
        <v>8.5699999999999996E-5</v>
      </c>
      <c r="M830" s="76">
        <v>2.6200000000000003E-4</v>
      </c>
      <c r="N830" s="81"/>
      <c r="T830" s="81"/>
      <c r="W830" s="81"/>
      <c r="AF830" s="81"/>
      <c r="AG830" s="81"/>
      <c r="AT830" s="81"/>
    </row>
    <row r="831" spans="3:46" x14ac:dyDescent="0.15">
      <c r="C831" s="81">
        <v>706</v>
      </c>
      <c r="D831" s="76">
        <v>2.02E-5</v>
      </c>
      <c r="E831" s="76">
        <v>2.2500000000000001E-5</v>
      </c>
      <c r="F831" s="76">
        <v>6.5400000000000004E-5</v>
      </c>
      <c r="G831" s="76">
        <v>4.3999999999999999E-5</v>
      </c>
      <c r="H831" s="81">
        <v>4.49E-5</v>
      </c>
      <c r="I831" s="76">
        <v>4.7800000000000003E-5</v>
      </c>
      <c r="J831" s="76">
        <v>3.1300000000000002E-5</v>
      </c>
      <c r="K831" s="76">
        <v>1.26E-4</v>
      </c>
      <c r="L831" s="81">
        <v>8.5000000000000006E-5</v>
      </c>
      <c r="M831" s="76">
        <v>1.92E-4</v>
      </c>
      <c r="N831" s="81"/>
      <c r="T831" s="81"/>
      <c r="W831" s="81"/>
      <c r="AF831" s="81"/>
      <c r="AG831" s="81"/>
      <c r="AT831" s="81"/>
    </row>
    <row r="832" spans="3:46" x14ac:dyDescent="0.15">
      <c r="C832" s="81">
        <v>708</v>
      </c>
      <c r="D832" s="76">
        <v>1.7099999999999999E-5</v>
      </c>
      <c r="E832" s="76">
        <v>5.04E-6</v>
      </c>
      <c r="F832" s="76">
        <v>6.1799999999999998E-5</v>
      </c>
      <c r="G832" s="76">
        <v>7.1099999999999994E-5</v>
      </c>
      <c r="H832" s="81">
        <v>3.6999999999999998E-5</v>
      </c>
      <c r="I832" s="76">
        <v>7.5400000000000003E-5</v>
      </c>
      <c r="J832" s="76">
        <v>1.05E-4</v>
      </c>
      <c r="K832" s="76">
        <v>9.2800000000000006E-5</v>
      </c>
      <c r="L832" s="81">
        <v>3.3500000000000001E-5</v>
      </c>
      <c r="M832" s="76">
        <v>2.1800000000000001E-4</v>
      </c>
      <c r="N832" s="81"/>
      <c r="T832" s="81"/>
      <c r="W832" s="81"/>
      <c r="AF832" s="81"/>
      <c r="AG832" s="81"/>
      <c r="AT832" s="81"/>
    </row>
    <row r="833" spans="3:56" x14ac:dyDescent="0.15">
      <c r="C833" s="81">
        <v>710</v>
      </c>
      <c r="D833" s="76">
        <v>8.6200000000000005E-6</v>
      </c>
      <c r="E833" s="76">
        <v>1.0900000000000001E-5</v>
      </c>
      <c r="F833" s="76">
        <v>7.47E-5</v>
      </c>
      <c r="G833" s="76">
        <v>5.1900000000000001E-5</v>
      </c>
      <c r="H833" s="81">
        <v>3.8099999999999998E-5</v>
      </c>
      <c r="I833" s="76">
        <v>8.6399999999999999E-5</v>
      </c>
      <c r="J833" s="76">
        <v>5.4700000000000001E-5</v>
      </c>
      <c r="K833" s="76">
        <v>1.4799999999999999E-4</v>
      </c>
      <c r="L833" s="81">
        <v>5.8999999999999998E-5</v>
      </c>
      <c r="M833" s="76">
        <v>2.9500000000000001E-4</v>
      </c>
      <c r="N833" s="81"/>
      <c r="T833" s="81"/>
      <c r="W833" s="81"/>
      <c r="AF833" s="81"/>
      <c r="AG833" s="81"/>
      <c r="AT833" s="81"/>
    </row>
    <row r="834" spans="3:56" x14ac:dyDescent="0.15">
      <c r="C834" s="81">
        <v>712</v>
      </c>
      <c r="D834" s="81">
        <v>1.2799999999999999E-5</v>
      </c>
      <c r="E834" s="81">
        <v>1.9599999999999999E-5</v>
      </c>
      <c r="F834" s="81">
        <v>6.2100000000000005E-5</v>
      </c>
      <c r="G834" s="81">
        <v>8.8399999999999994E-5</v>
      </c>
      <c r="H834" s="81">
        <v>5.27E-5</v>
      </c>
      <c r="I834" s="81">
        <v>1.8899999999999999E-5</v>
      </c>
      <c r="J834" s="81">
        <v>4.8099999999999997E-5</v>
      </c>
      <c r="K834" s="81">
        <v>1.34E-4</v>
      </c>
      <c r="L834" s="81">
        <v>8.5199999999999997E-5</v>
      </c>
      <c r="M834" s="81">
        <v>2.3900000000000001E-4</v>
      </c>
      <c r="N834" s="81"/>
      <c r="O834" s="81"/>
      <c r="P834" s="81"/>
      <c r="Q834" s="81"/>
      <c r="R834" s="81"/>
      <c r="S834" s="81"/>
      <c r="T834" s="81"/>
      <c r="U834" s="81"/>
      <c r="V834" s="81"/>
      <c r="W834" s="81"/>
      <c r="X834" s="81"/>
      <c r="Y834" s="81"/>
      <c r="Z834" s="81"/>
      <c r="AA834" s="81"/>
      <c r="AB834" s="81"/>
      <c r="AC834" s="81"/>
      <c r="AD834" s="81"/>
      <c r="AF834" s="81"/>
      <c r="AG834" s="81"/>
      <c r="AH834" s="81"/>
      <c r="AI834" s="81"/>
      <c r="AJ834" s="81"/>
      <c r="AK834" s="81"/>
      <c r="AL834" s="81"/>
      <c r="AM834" s="81"/>
      <c r="AN834" s="81"/>
      <c r="AO834" s="81"/>
      <c r="AP834" s="81"/>
      <c r="AQ834" s="81"/>
      <c r="AT834" s="81"/>
      <c r="AU834" s="81"/>
      <c r="AV834" s="81"/>
      <c r="AW834" s="81"/>
      <c r="AX834" s="81"/>
      <c r="AY834" s="81"/>
      <c r="AZ834" s="81"/>
      <c r="BA834" s="81"/>
      <c r="BB834" s="81"/>
      <c r="BC834" s="81"/>
      <c r="BD834" s="81"/>
    </row>
    <row r="835" spans="3:56" x14ac:dyDescent="0.15">
      <c r="C835" s="81">
        <v>714</v>
      </c>
      <c r="D835" s="76">
        <v>1.03E-5</v>
      </c>
      <c r="E835" s="76">
        <v>1.1E-5</v>
      </c>
      <c r="F835" s="76">
        <v>7.47E-5</v>
      </c>
      <c r="G835" s="76">
        <v>7.8999999999999996E-5</v>
      </c>
      <c r="H835" s="81">
        <v>4.57E-5</v>
      </c>
      <c r="I835" s="76">
        <v>6.3100000000000002E-5</v>
      </c>
      <c r="J835" s="76">
        <v>5.5800000000000001E-5</v>
      </c>
      <c r="K835" s="76">
        <v>4.8999999999999998E-5</v>
      </c>
      <c r="L835" s="81">
        <v>6.3700000000000003E-5</v>
      </c>
      <c r="M835" s="76">
        <v>2.2000000000000001E-4</v>
      </c>
      <c r="N835" s="81"/>
      <c r="T835" s="81"/>
      <c r="W835" s="81"/>
      <c r="AF835" s="81"/>
      <c r="AG835" s="81"/>
      <c r="AT835" s="81"/>
    </row>
    <row r="836" spans="3:56" x14ac:dyDescent="0.15">
      <c r="C836" s="76">
        <v>716</v>
      </c>
      <c r="D836" s="76">
        <v>2.12E-5</v>
      </c>
      <c r="E836" s="76">
        <v>3.4900000000000001E-5</v>
      </c>
      <c r="F836" s="76">
        <v>6.0600000000000003E-5</v>
      </c>
      <c r="G836" s="76">
        <v>5.1499999999999998E-5</v>
      </c>
      <c r="H836" s="76">
        <v>5.9200000000000002E-5</v>
      </c>
      <c r="I836" s="76">
        <v>7.5500000000000006E-5</v>
      </c>
      <c r="J836" s="76">
        <v>5.1199999999999998E-5</v>
      </c>
      <c r="K836" s="76">
        <v>5.7000000000000003E-5</v>
      </c>
      <c r="L836" s="76">
        <v>1.56E-5</v>
      </c>
      <c r="M836" s="76">
        <v>1.83E-4</v>
      </c>
    </row>
    <row r="837" spans="3:56" x14ac:dyDescent="0.15">
      <c r="C837" s="76">
        <v>718</v>
      </c>
      <c r="D837" s="76">
        <v>2.7399999999999999E-5</v>
      </c>
      <c r="E837" s="76">
        <v>2.4600000000000002E-5</v>
      </c>
      <c r="F837" s="76">
        <v>6.8499999999999998E-5</v>
      </c>
      <c r="G837" s="76">
        <v>8.2299999999999995E-5</v>
      </c>
      <c r="H837" s="76">
        <v>2.37E-5</v>
      </c>
      <c r="I837" s="76">
        <v>9.6899999999999997E-5</v>
      </c>
      <c r="J837" s="76">
        <v>5.3000000000000001E-5</v>
      </c>
      <c r="K837" s="76">
        <v>1.25E-4</v>
      </c>
      <c r="L837" s="76">
        <v>0</v>
      </c>
      <c r="M837" s="76">
        <v>2.3599999999999999E-4</v>
      </c>
    </row>
    <row r="838" spans="3:56" x14ac:dyDescent="0.15">
      <c r="C838" s="76">
        <v>720</v>
      </c>
      <c r="D838" s="76">
        <v>2.44E-5</v>
      </c>
      <c r="E838" s="76">
        <v>2.8399999999999999E-5</v>
      </c>
      <c r="F838" s="76">
        <v>8.4400000000000005E-5</v>
      </c>
      <c r="G838" s="76">
        <v>6.7500000000000001E-5</v>
      </c>
      <c r="H838" s="76">
        <v>5.6499999999999998E-5</v>
      </c>
      <c r="I838" s="76">
        <v>8.8499999999999996E-5</v>
      </c>
      <c r="J838" s="76">
        <v>2.6999999999999999E-5</v>
      </c>
      <c r="K838" s="76">
        <v>1.22E-4</v>
      </c>
      <c r="L838" s="76">
        <v>3.96E-5</v>
      </c>
      <c r="M838" s="76">
        <v>4.5899999999999998E-5</v>
      </c>
    </row>
    <row r="839" spans="3:56" x14ac:dyDescent="0.15">
      <c r="C839" s="76">
        <v>722</v>
      </c>
      <c r="D839" s="76">
        <v>2.1100000000000001E-5</v>
      </c>
      <c r="E839" s="76">
        <v>1.9000000000000001E-5</v>
      </c>
      <c r="F839" s="76">
        <v>6.5099999999999997E-5</v>
      </c>
      <c r="G839" s="76">
        <v>9.3300000000000005E-5</v>
      </c>
      <c r="H839" s="76">
        <v>5.4799999999999997E-5</v>
      </c>
      <c r="I839" s="76">
        <v>1.2899999999999999E-4</v>
      </c>
      <c r="J839" s="76">
        <v>4.5399999999999999E-5</v>
      </c>
      <c r="K839" s="76">
        <v>1.12E-4</v>
      </c>
      <c r="L839" s="76">
        <v>6.1799999999999998E-5</v>
      </c>
      <c r="M839" s="76">
        <v>2.22E-4</v>
      </c>
    </row>
    <row r="840" spans="3:56" x14ac:dyDescent="0.15">
      <c r="C840" s="76">
        <v>724</v>
      </c>
      <c r="D840" s="76">
        <v>1.9300000000000002E-5</v>
      </c>
      <c r="E840" s="76">
        <v>2.3600000000000001E-5</v>
      </c>
      <c r="F840" s="76">
        <v>5.7599999999999997E-5</v>
      </c>
      <c r="G840" s="76">
        <v>8.7800000000000006E-5</v>
      </c>
      <c r="H840" s="76">
        <v>4.5899999999999998E-5</v>
      </c>
      <c r="I840" s="76">
        <v>1.45E-4</v>
      </c>
      <c r="J840" s="76">
        <v>3.8399999999999998E-5</v>
      </c>
      <c r="K840" s="76">
        <v>2.2499999999999999E-4</v>
      </c>
      <c r="L840" s="76">
        <v>4.6799999999999999E-5</v>
      </c>
      <c r="M840" s="76">
        <v>1.8699999999999999E-4</v>
      </c>
    </row>
    <row r="841" spans="3:56" x14ac:dyDescent="0.15">
      <c r="C841" s="76">
        <v>726</v>
      </c>
      <c r="D841" s="76">
        <v>4.4100000000000001E-5</v>
      </c>
      <c r="E841" s="76">
        <v>1.34E-5</v>
      </c>
      <c r="F841" s="76">
        <v>7.2700000000000005E-5</v>
      </c>
      <c r="G841" s="76">
        <v>1.02E-4</v>
      </c>
      <c r="H841" s="76">
        <v>1.06E-4</v>
      </c>
      <c r="I841" s="76">
        <v>9.9400000000000004E-5</v>
      </c>
      <c r="J841" s="76">
        <v>4.6100000000000002E-5</v>
      </c>
      <c r="K841" s="76">
        <v>1.7100000000000001E-4</v>
      </c>
      <c r="L841" s="76">
        <v>9.2100000000000003E-5</v>
      </c>
      <c r="M841" s="76">
        <v>1.85E-4</v>
      </c>
    </row>
    <row r="842" spans="3:56" x14ac:dyDescent="0.15">
      <c r="C842" s="76">
        <v>728</v>
      </c>
      <c r="D842" s="76">
        <v>5.7200000000000003E-6</v>
      </c>
      <c r="E842" s="76">
        <v>1.77E-5</v>
      </c>
      <c r="F842" s="76">
        <v>6.69E-5</v>
      </c>
      <c r="G842" s="76">
        <v>1.0399999999999999E-4</v>
      </c>
      <c r="H842" s="76">
        <v>8.2999999999999998E-5</v>
      </c>
      <c r="I842" s="76">
        <v>1.46E-4</v>
      </c>
      <c r="J842" s="76">
        <v>6.9599999999999998E-5</v>
      </c>
      <c r="K842" s="76">
        <v>1.3899999999999999E-4</v>
      </c>
      <c r="L842" s="76">
        <v>1.0399999999999999E-4</v>
      </c>
      <c r="M842" s="76">
        <v>1.26E-4</v>
      </c>
    </row>
    <row r="843" spans="3:56" x14ac:dyDescent="0.15">
      <c r="C843" s="76">
        <v>730</v>
      </c>
      <c r="D843" s="76">
        <v>1.2799999999999999E-5</v>
      </c>
      <c r="E843" s="76">
        <v>2.0000000000000002E-5</v>
      </c>
      <c r="F843" s="76">
        <v>6.9200000000000002E-5</v>
      </c>
      <c r="G843" s="76">
        <v>1.2999999999999999E-4</v>
      </c>
      <c r="H843" s="76">
        <v>4.6699999999999997E-5</v>
      </c>
      <c r="I843" s="76">
        <v>1.18E-4</v>
      </c>
      <c r="J843" s="76">
        <v>7.3899999999999994E-5</v>
      </c>
      <c r="K843" s="76">
        <v>2.1599999999999999E-4</v>
      </c>
      <c r="L843" s="76">
        <v>9.7800000000000006E-5</v>
      </c>
      <c r="M843" s="76">
        <v>1.83E-4</v>
      </c>
    </row>
    <row r="844" spans="3:56" x14ac:dyDescent="0.15">
      <c r="C844" s="76">
        <v>732</v>
      </c>
      <c r="D844" s="76">
        <v>2.1100000000000001E-5</v>
      </c>
      <c r="E844" s="76">
        <v>6.1500000000000004E-6</v>
      </c>
      <c r="F844" s="76">
        <v>6.5599999999999995E-5</v>
      </c>
      <c r="G844" s="76">
        <v>8.2899999999999996E-5</v>
      </c>
      <c r="H844" s="76">
        <v>8.7100000000000003E-5</v>
      </c>
      <c r="I844" s="76">
        <v>1.15E-4</v>
      </c>
      <c r="J844" s="76">
        <v>1.25E-4</v>
      </c>
      <c r="K844" s="76">
        <v>2.2699999999999999E-4</v>
      </c>
      <c r="L844" s="76">
        <v>1.73E-4</v>
      </c>
      <c r="M844" s="76">
        <v>9.7200000000000004E-5</v>
      </c>
    </row>
    <row r="845" spans="3:56" x14ac:dyDescent="0.15">
      <c r="C845" s="76">
        <v>734</v>
      </c>
      <c r="D845" s="76">
        <v>2.6699999999999998E-5</v>
      </c>
      <c r="E845" s="76">
        <v>2.5700000000000001E-5</v>
      </c>
      <c r="F845" s="76">
        <v>6.1199999999999997E-5</v>
      </c>
      <c r="G845" s="76">
        <v>6.0099999999999997E-5</v>
      </c>
      <c r="H845" s="76">
        <v>1.08E-4</v>
      </c>
      <c r="I845" s="76">
        <v>1.2E-4</v>
      </c>
      <c r="J845" s="76">
        <v>1.11E-4</v>
      </c>
      <c r="K845" s="76">
        <v>2.2599999999999999E-4</v>
      </c>
      <c r="L845" s="76">
        <v>7.3300000000000006E-5</v>
      </c>
      <c r="M845" s="76">
        <v>1.45E-4</v>
      </c>
    </row>
    <row r="846" spans="3:56" x14ac:dyDescent="0.15">
      <c r="C846" s="76">
        <v>736</v>
      </c>
      <c r="D846" s="76">
        <v>1.95E-5</v>
      </c>
      <c r="E846" s="76">
        <v>3.4900000000000001E-5</v>
      </c>
      <c r="F846" s="76">
        <v>6.2500000000000001E-5</v>
      </c>
      <c r="G846" s="76">
        <v>6.8800000000000005E-5</v>
      </c>
      <c r="H846" s="76">
        <v>8.4800000000000001E-5</v>
      </c>
      <c r="I846" s="76">
        <v>1.4300000000000001E-4</v>
      </c>
      <c r="J846" s="76">
        <v>1.46E-4</v>
      </c>
      <c r="K846" s="76">
        <v>2.5599999999999999E-4</v>
      </c>
      <c r="L846" s="76">
        <v>3.4700000000000003E-5</v>
      </c>
      <c r="M846" s="76">
        <v>1.8799999999999999E-4</v>
      </c>
    </row>
    <row r="847" spans="3:56" x14ac:dyDescent="0.15">
      <c r="C847" s="76">
        <v>738</v>
      </c>
      <c r="D847" s="76">
        <v>2.0299999999999999E-5</v>
      </c>
      <c r="E847" s="76">
        <v>1.9300000000000002E-5</v>
      </c>
      <c r="F847" s="76">
        <v>7.6600000000000005E-5</v>
      </c>
      <c r="G847" s="76">
        <v>6.8499999999999998E-5</v>
      </c>
      <c r="H847" s="76">
        <v>8.2700000000000004E-5</v>
      </c>
      <c r="I847" s="76">
        <v>1.4200000000000001E-4</v>
      </c>
      <c r="J847" s="76">
        <v>8.3399999999999994E-5</v>
      </c>
      <c r="K847" s="76">
        <v>2.2800000000000001E-4</v>
      </c>
      <c r="L847" s="76">
        <v>1.7200000000000001E-4</v>
      </c>
      <c r="M847" s="76">
        <v>1.4100000000000001E-4</v>
      </c>
    </row>
    <row r="848" spans="3:56" x14ac:dyDescent="0.15">
      <c r="C848" s="76">
        <v>740</v>
      </c>
      <c r="D848" s="76">
        <v>1.9700000000000001E-5</v>
      </c>
      <c r="E848" s="76">
        <v>2.27E-5</v>
      </c>
      <c r="F848" s="76">
        <v>1.8600000000000001E-5</v>
      </c>
      <c r="G848" s="76">
        <v>8.03E-5</v>
      </c>
      <c r="H848" s="76">
        <v>5.9799999999999997E-5</v>
      </c>
      <c r="I848" s="76">
        <v>9.0299999999999999E-5</v>
      </c>
      <c r="J848" s="76">
        <v>1.2799999999999999E-4</v>
      </c>
      <c r="K848" s="76">
        <v>2.9799999999999998E-4</v>
      </c>
      <c r="L848" s="76">
        <v>1.34E-4</v>
      </c>
      <c r="M848" s="76">
        <v>5.9799999999999997E-5</v>
      </c>
    </row>
    <row r="849" spans="3:13" x14ac:dyDescent="0.15">
      <c r="C849" s="76">
        <v>742</v>
      </c>
      <c r="D849" s="76">
        <v>1.24E-5</v>
      </c>
      <c r="E849" s="76">
        <v>2.2099999999999998E-5</v>
      </c>
      <c r="F849" s="76">
        <v>4.74E-5</v>
      </c>
      <c r="G849" s="76">
        <v>1.06E-4</v>
      </c>
      <c r="H849" s="76">
        <v>1.3799999999999999E-4</v>
      </c>
      <c r="I849" s="76">
        <v>1.5300000000000001E-4</v>
      </c>
      <c r="J849" s="76">
        <v>1.2400000000000001E-4</v>
      </c>
      <c r="K849" s="76">
        <v>3.1100000000000002E-4</v>
      </c>
      <c r="L849" s="76">
        <v>1.5200000000000001E-4</v>
      </c>
      <c r="M849" s="76">
        <v>2.4300000000000001E-5</v>
      </c>
    </row>
    <row r="850" spans="3:13" x14ac:dyDescent="0.15">
      <c r="C850" s="76">
        <v>744</v>
      </c>
      <c r="D850" s="76">
        <v>9.3000000000000007E-6</v>
      </c>
      <c r="E850" s="76">
        <v>3.4400000000000003E-5</v>
      </c>
      <c r="F850" s="76">
        <v>3.3800000000000002E-5</v>
      </c>
      <c r="G850" s="76">
        <v>9.1000000000000003E-5</v>
      </c>
      <c r="H850" s="76">
        <v>6.6099999999999994E-5</v>
      </c>
      <c r="I850" s="76">
        <v>1.08E-4</v>
      </c>
      <c r="J850" s="76">
        <v>1.27E-4</v>
      </c>
      <c r="K850" s="76">
        <v>2.5099999999999998E-4</v>
      </c>
      <c r="L850" s="76">
        <v>1.74E-4</v>
      </c>
      <c r="M850" s="76">
        <v>5.7299999999999997E-5</v>
      </c>
    </row>
    <row r="851" spans="3:13" x14ac:dyDescent="0.15">
      <c r="C851" s="76">
        <v>746</v>
      </c>
      <c r="D851" s="76">
        <v>1.52E-5</v>
      </c>
      <c r="E851" s="76">
        <v>3.65E-5</v>
      </c>
      <c r="F851" s="76">
        <v>3.1900000000000003E-5</v>
      </c>
      <c r="G851" s="76">
        <v>1.1900000000000001E-4</v>
      </c>
      <c r="H851" s="76">
        <v>6.7100000000000005E-5</v>
      </c>
      <c r="I851" s="76">
        <v>1.1400000000000001E-4</v>
      </c>
      <c r="J851" s="76">
        <v>1.74E-4</v>
      </c>
      <c r="K851" s="76">
        <v>2.92E-4</v>
      </c>
      <c r="L851" s="76">
        <v>1.6200000000000001E-4</v>
      </c>
      <c r="M851" s="76">
        <v>8.1799999999999996E-5</v>
      </c>
    </row>
    <row r="852" spans="3:13" x14ac:dyDescent="0.15">
      <c r="C852" s="76">
        <v>748</v>
      </c>
      <c r="D852" s="76">
        <v>2.0699999999999998E-5</v>
      </c>
      <c r="E852" s="76">
        <v>4.1399999999999997E-5</v>
      </c>
      <c r="F852" s="76">
        <v>4.1100000000000003E-5</v>
      </c>
      <c r="G852" s="76">
        <v>1.4799999999999999E-4</v>
      </c>
      <c r="H852" s="76">
        <v>8.3100000000000001E-5</v>
      </c>
      <c r="I852" s="76">
        <v>3.9499999999999998E-5</v>
      </c>
      <c r="J852" s="76">
        <v>1.76E-4</v>
      </c>
      <c r="K852" s="76">
        <v>2.22E-4</v>
      </c>
      <c r="L852" s="76">
        <v>2.1900000000000001E-4</v>
      </c>
      <c r="M852" s="76">
        <v>1.36E-5</v>
      </c>
    </row>
    <row r="853" spans="3:13" x14ac:dyDescent="0.15">
      <c r="C853" s="76">
        <v>750</v>
      </c>
      <c r="D853" s="76">
        <v>1.4800000000000001E-5</v>
      </c>
      <c r="E853" s="76">
        <v>3.26E-5</v>
      </c>
      <c r="F853" s="76">
        <v>3.2299999999999999E-5</v>
      </c>
      <c r="G853" s="76">
        <v>9.6899999999999997E-5</v>
      </c>
      <c r="H853" s="76">
        <v>8.92E-5</v>
      </c>
      <c r="I853" s="76">
        <v>8.6700000000000007E-5</v>
      </c>
      <c r="J853" s="76">
        <v>1.5200000000000001E-4</v>
      </c>
      <c r="K853" s="76">
        <v>2.6699999999999998E-4</v>
      </c>
      <c r="L853" s="76">
        <v>2.7900000000000001E-4</v>
      </c>
      <c r="M853" s="76">
        <v>8.2399999999999997E-5</v>
      </c>
    </row>
    <row r="854" spans="3:13" x14ac:dyDescent="0.15">
      <c r="C854" s="76">
        <v>752</v>
      </c>
      <c r="D854" s="76">
        <v>2.0699999999999998E-5</v>
      </c>
      <c r="E854" s="76">
        <v>2.41E-5</v>
      </c>
      <c r="F854" s="76">
        <v>8.4300000000000006E-6</v>
      </c>
      <c r="G854" s="76">
        <v>1.06E-4</v>
      </c>
      <c r="H854" s="76">
        <v>8.2999999999999998E-5</v>
      </c>
      <c r="I854" s="76">
        <v>1.06E-4</v>
      </c>
      <c r="J854" s="76">
        <v>2.0599999999999999E-4</v>
      </c>
      <c r="K854" s="76">
        <v>2.6200000000000003E-4</v>
      </c>
      <c r="L854" s="76">
        <v>2.43E-4</v>
      </c>
      <c r="M854" s="76">
        <v>8.7999999999999998E-5</v>
      </c>
    </row>
    <row r="855" spans="3:13" x14ac:dyDescent="0.15">
      <c r="C855" s="76">
        <v>754</v>
      </c>
      <c r="D855" s="76">
        <v>2.37E-5</v>
      </c>
      <c r="E855" s="76">
        <v>6.41E-5</v>
      </c>
      <c r="F855" s="76">
        <v>1.17E-5</v>
      </c>
      <c r="G855" s="76">
        <v>1.27E-4</v>
      </c>
      <c r="H855" s="76">
        <v>1.08E-4</v>
      </c>
      <c r="I855" s="76">
        <v>1.12E-4</v>
      </c>
      <c r="J855" s="76">
        <v>1.03E-4</v>
      </c>
      <c r="K855" s="76">
        <v>1.94E-4</v>
      </c>
      <c r="L855" s="76">
        <v>2.41E-4</v>
      </c>
      <c r="M855" s="76">
        <v>3.4799999999999999E-5</v>
      </c>
    </row>
    <row r="856" spans="3:13" x14ac:dyDescent="0.15">
      <c r="C856" s="76">
        <v>756</v>
      </c>
      <c r="D856" s="76">
        <v>2.0000000000000002E-5</v>
      </c>
      <c r="E856" s="76">
        <v>6.2899999999999997E-5</v>
      </c>
      <c r="F856" s="76">
        <v>2.2799999999999999E-5</v>
      </c>
      <c r="G856" s="76">
        <v>1.06E-4</v>
      </c>
      <c r="H856" s="76">
        <v>1E-4</v>
      </c>
      <c r="I856" s="76">
        <v>1.0399999999999999E-4</v>
      </c>
      <c r="J856" s="76">
        <v>1.76E-4</v>
      </c>
      <c r="K856" s="76">
        <v>2.2000000000000001E-4</v>
      </c>
      <c r="L856" s="76">
        <v>2.5000000000000001E-4</v>
      </c>
      <c r="M856" s="76">
        <v>5.1999999999999997E-5</v>
      </c>
    </row>
    <row r="857" spans="3:13" x14ac:dyDescent="0.15">
      <c r="C857" s="76">
        <v>758</v>
      </c>
      <c r="D857" s="76">
        <v>1.34E-5</v>
      </c>
      <c r="E857" s="76">
        <v>4.35E-5</v>
      </c>
      <c r="F857" s="76">
        <v>4.3300000000000002E-5</v>
      </c>
      <c r="G857" s="76">
        <v>8.1299999999999997E-5</v>
      </c>
      <c r="H857" s="76">
        <v>8.1100000000000006E-5</v>
      </c>
      <c r="I857" s="76">
        <v>8.2399999999999997E-5</v>
      </c>
      <c r="J857" s="76">
        <v>1.7699999999999999E-4</v>
      </c>
      <c r="K857" s="76">
        <v>1.74E-4</v>
      </c>
      <c r="L857" s="76">
        <v>2.43E-4</v>
      </c>
      <c r="M857" s="76">
        <v>6.97E-5</v>
      </c>
    </row>
    <row r="858" spans="3:13" x14ac:dyDescent="0.15">
      <c r="C858" s="76">
        <v>760</v>
      </c>
      <c r="D858" s="76">
        <v>9.8400000000000007E-6</v>
      </c>
      <c r="E858" s="76">
        <v>4.5899999999999998E-5</v>
      </c>
      <c r="F858" s="76">
        <v>8.4999999999999999E-6</v>
      </c>
      <c r="G858" s="76">
        <v>1.02E-4</v>
      </c>
      <c r="H858" s="76">
        <v>6.0000000000000002E-5</v>
      </c>
      <c r="I858" s="76">
        <v>8.42E-5</v>
      </c>
      <c r="J858" s="76">
        <v>1.47E-4</v>
      </c>
      <c r="K858" s="76">
        <v>1.83E-4</v>
      </c>
      <c r="L858" s="76">
        <v>2.4899999999999998E-4</v>
      </c>
      <c r="M858" s="76">
        <v>5.4700000000000001E-5</v>
      </c>
    </row>
    <row r="859" spans="3:13" x14ac:dyDescent="0.15">
      <c r="C859" s="76">
        <v>762</v>
      </c>
      <c r="D859" s="76">
        <v>2.8099999999999999E-5</v>
      </c>
      <c r="E859" s="76">
        <v>4.6100000000000002E-5</v>
      </c>
      <c r="F859" s="76">
        <v>2.5000000000000001E-5</v>
      </c>
      <c r="G859" s="76">
        <v>1.3100000000000001E-4</v>
      </c>
      <c r="H859" s="76">
        <v>6.69E-5</v>
      </c>
      <c r="I859" s="76">
        <v>6.05E-5</v>
      </c>
      <c r="J859" s="76">
        <v>1.4899999999999999E-4</v>
      </c>
      <c r="K859" s="76">
        <v>1.54E-4</v>
      </c>
      <c r="L859" s="76">
        <v>2.1100000000000001E-4</v>
      </c>
      <c r="M859" s="76">
        <v>1.2400000000000001E-4</v>
      </c>
    </row>
    <row r="860" spans="3:13" x14ac:dyDescent="0.15">
      <c r="C860" s="76">
        <v>764</v>
      </c>
      <c r="D860" s="76">
        <v>1.98E-5</v>
      </c>
      <c r="E860" s="76">
        <v>4.7800000000000003E-5</v>
      </c>
      <c r="F860" s="76">
        <v>1.31E-5</v>
      </c>
      <c r="G860" s="76">
        <v>5.2099999999999999E-5</v>
      </c>
      <c r="H860" s="76">
        <v>4.7800000000000003E-5</v>
      </c>
      <c r="I860" s="76">
        <v>6.4300000000000004E-5</v>
      </c>
      <c r="J860" s="76">
        <v>1.64E-4</v>
      </c>
      <c r="K860" s="76">
        <v>1.76E-4</v>
      </c>
      <c r="L860" s="76">
        <v>2.6200000000000003E-4</v>
      </c>
      <c r="M860" s="76">
        <v>2.0599999999999999E-4</v>
      </c>
    </row>
    <row r="861" spans="3:13" x14ac:dyDescent="0.15">
      <c r="C861" s="76">
        <v>766</v>
      </c>
      <c r="D861" s="76">
        <v>1.7900000000000001E-5</v>
      </c>
      <c r="E861" s="76">
        <v>6.2299999999999996E-5</v>
      </c>
      <c r="F861" s="76">
        <v>0</v>
      </c>
      <c r="G861" s="76">
        <v>3.9700000000000003E-5</v>
      </c>
      <c r="H861" s="76">
        <v>1.9899999999999999E-5</v>
      </c>
      <c r="I861" s="76">
        <v>8.9699999999999998E-5</v>
      </c>
      <c r="J861" s="76">
        <v>1.4899999999999999E-4</v>
      </c>
      <c r="K861" s="76">
        <v>7.5900000000000002E-5</v>
      </c>
      <c r="L861" s="76">
        <v>1.9699999999999999E-4</v>
      </c>
      <c r="M861" s="76">
        <v>2.05E-4</v>
      </c>
    </row>
    <row r="862" spans="3:13" x14ac:dyDescent="0.15">
      <c r="C862" s="76">
        <v>768</v>
      </c>
      <c r="D862" s="76">
        <v>1.8199999999999999E-5</v>
      </c>
      <c r="E862" s="76">
        <v>6.02E-5</v>
      </c>
      <c r="F862" s="76">
        <v>2.2099999999999998E-5</v>
      </c>
      <c r="G862" s="76">
        <v>8.2200000000000006E-5</v>
      </c>
      <c r="H862" s="76">
        <v>4.1999999999999998E-5</v>
      </c>
      <c r="I862" s="76">
        <v>1.2899999999999999E-4</v>
      </c>
      <c r="J862" s="76">
        <v>2.03E-4</v>
      </c>
      <c r="K862" s="76">
        <v>1E-4</v>
      </c>
      <c r="L862" s="76">
        <v>2.2100000000000001E-4</v>
      </c>
      <c r="M862" s="76">
        <v>1.9699999999999999E-4</v>
      </c>
    </row>
    <row r="863" spans="3:13" x14ac:dyDescent="0.15">
      <c r="C863" s="76">
        <v>770</v>
      </c>
      <c r="D863" s="76">
        <v>1.19E-5</v>
      </c>
      <c r="E863" s="76">
        <v>5.6499999999999998E-5</v>
      </c>
      <c r="F863" s="76">
        <v>3.6999999999999998E-5</v>
      </c>
      <c r="G863" s="76">
        <v>3.4900000000000001E-5</v>
      </c>
      <c r="H863" s="76">
        <v>3.4799999999999999E-5</v>
      </c>
      <c r="I863" s="76">
        <v>1.6000000000000001E-4</v>
      </c>
      <c r="J863" s="76">
        <v>2.4000000000000001E-4</v>
      </c>
      <c r="K863" s="76">
        <v>1.77E-5</v>
      </c>
      <c r="L863" s="76">
        <v>1.06E-4</v>
      </c>
      <c r="M863" s="76">
        <v>3.2699999999999998E-4</v>
      </c>
    </row>
    <row r="864" spans="3:13" x14ac:dyDescent="0.15">
      <c r="C864" s="76">
        <v>772</v>
      </c>
      <c r="D864" s="76">
        <v>1.84E-5</v>
      </c>
      <c r="E864" s="76">
        <v>4.5200000000000001E-5</v>
      </c>
      <c r="F864" s="76">
        <v>4.3800000000000001E-5</v>
      </c>
      <c r="G864" s="76">
        <v>3.6999999999999998E-5</v>
      </c>
      <c r="H864" s="76">
        <v>3.1099999999999997E-5</v>
      </c>
      <c r="I864" s="76">
        <v>1.0399999999999999E-4</v>
      </c>
      <c r="J864" s="76">
        <v>1.8599999999999999E-4</v>
      </c>
      <c r="K864" s="76">
        <v>8.25E-5</v>
      </c>
      <c r="L864" s="76">
        <v>7.9400000000000006E-5</v>
      </c>
      <c r="M864" s="76">
        <v>2.7E-4</v>
      </c>
    </row>
    <row r="865" spans="2:13" x14ac:dyDescent="0.15">
      <c r="C865" s="76">
        <v>774</v>
      </c>
      <c r="D865" s="76">
        <v>1.7399999999999999E-5</v>
      </c>
      <c r="E865" s="76">
        <v>6.4700000000000001E-5</v>
      </c>
      <c r="F865" s="76">
        <v>4.0500000000000002E-5</v>
      </c>
      <c r="G865" s="76">
        <v>1.9700000000000001E-5</v>
      </c>
      <c r="H865" s="76">
        <v>7.1699999999999995E-5</v>
      </c>
      <c r="I865" s="76">
        <v>1.4799999999999999E-4</v>
      </c>
      <c r="J865" s="76">
        <v>2.2599999999999999E-4</v>
      </c>
      <c r="K865" s="76">
        <v>2.8E-5</v>
      </c>
      <c r="L865" s="76">
        <v>7.8100000000000001E-5</v>
      </c>
      <c r="M865" s="76">
        <v>3.0600000000000001E-4</v>
      </c>
    </row>
    <row r="866" spans="2:13" x14ac:dyDescent="0.15">
      <c r="C866" s="76">
        <v>776</v>
      </c>
      <c r="D866" s="76">
        <v>1.47E-5</v>
      </c>
      <c r="E866" s="76">
        <v>2.8399999999999999E-5</v>
      </c>
      <c r="F866" s="76">
        <v>7.2000000000000002E-5</v>
      </c>
      <c r="G866" s="76">
        <v>4.5200000000000001E-5</v>
      </c>
      <c r="H866" s="76">
        <v>1.5500000000000001E-5</v>
      </c>
      <c r="I866" s="76">
        <v>1.3100000000000001E-4</v>
      </c>
      <c r="J866" s="76">
        <v>1.74E-4</v>
      </c>
      <c r="K866" s="76">
        <v>0</v>
      </c>
      <c r="L866" s="76">
        <v>1.27E-4</v>
      </c>
      <c r="M866" s="76">
        <v>3.4099999999999999E-4</v>
      </c>
    </row>
    <row r="867" spans="2:13" x14ac:dyDescent="0.15">
      <c r="C867" s="76">
        <v>778</v>
      </c>
      <c r="D867" s="76">
        <v>2.4300000000000001E-5</v>
      </c>
      <c r="E867" s="76">
        <v>2.5000000000000001E-5</v>
      </c>
      <c r="F867" s="76">
        <v>7.86E-5</v>
      </c>
      <c r="G867" s="76">
        <v>5.0599999999999997E-5</v>
      </c>
      <c r="H867" s="76">
        <v>4.2500000000000003E-5</v>
      </c>
      <c r="I867" s="76">
        <v>6.8499999999999998E-5</v>
      </c>
      <c r="J867" s="76">
        <v>7.25E-6</v>
      </c>
      <c r="K867" s="76">
        <v>0</v>
      </c>
      <c r="L867" s="76">
        <v>9.7299999999999993E-5</v>
      </c>
      <c r="M867" s="76">
        <v>2.4899999999999998E-4</v>
      </c>
    </row>
    <row r="868" spans="2:13" x14ac:dyDescent="0.15">
      <c r="C868" s="76">
        <v>780</v>
      </c>
      <c r="D868" s="76">
        <v>1.84E-5</v>
      </c>
      <c r="E868" s="76">
        <v>2.12E-5</v>
      </c>
      <c r="F868" s="76">
        <v>5.6700000000000003E-5</v>
      </c>
      <c r="G868" s="120">
        <v>0</v>
      </c>
      <c r="H868" s="120">
        <v>7.6500000000000003E-5</v>
      </c>
      <c r="I868" s="76">
        <v>9.8300000000000004E-5</v>
      </c>
      <c r="J868" s="76">
        <v>9.1500000000000001E-5</v>
      </c>
      <c r="K868" s="76">
        <v>0</v>
      </c>
      <c r="L868" s="76">
        <v>1.2899999999999999E-4</v>
      </c>
      <c r="M868" s="76">
        <v>3.68E-4</v>
      </c>
    </row>
    <row r="869" spans="2:13" x14ac:dyDescent="0.15">
      <c r="B869" s="76">
        <v>15</v>
      </c>
      <c r="C869" s="76" t="s">
        <v>561</v>
      </c>
      <c r="D869" s="76">
        <v>1</v>
      </c>
      <c r="E869" s="76">
        <v>2</v>
      </c>
      <c r="F869" s="76">
        <v>3</v>
      </c>
      <c r="G869" s="76">
        <v>4</v>
      </c>
      <c r="H869" s="76">
        <v>5</v>
      </c>
      <c r="I869" s="76">
        <v>6</v>
      </c>
      <c r="J869" s="76">
        <v>7</v>
      </c>
      <c r="K869" s="76">
        <v>8</v>
      </c>
      <c r="L869" s="76">
        <v>9</v>
      </c>
      <c r="M869" s="76">
        <v>10</v>
      </c>
    </row>
    <row r="870" spans="2:13" x14ac:dyDescent="0.15">
      <c r="C870" s="76" t="s">
        <v>556</v>
      </c>
      <c r="D870" s="76">
        <v>0.17799999999999999</v>
      </c>
      <c r="E870" s="76">
        <v>0.34799999999999998</v>
      </c>
      <c r="F870" s="76">
        <v>0.48299999999999998</v>
      </c>
      <c r="G870" s="76">
        <v>0.621</v>
      </c>
      <c r="H870" s="76">
        <v>0.70699999999999996</v>
      </c>
      <c r="I870" s="76">
        <v>0.83699999999999997</v>
      </c>
      <c r="J870" s="76">
        <v>0.88500000000000001</v>
      </c>
      <c r="K870" s="76">
        <v>0.84799999999999998</v>
      </c>
      <c r="L870" s="76">
        <v>1.0029999999999999</v>
      </c>
      <c r="M870" s="76">
        <v>0.84199999999999997</v>
      </c>
    </row>
    <row r="871" spans="2:13" x14ac:dyDescent="0.15">
      <c r="C871" s="76" t="s">
        <v>562</v>
      </c>
      <c r="D871" s="76">
        <v>0.08</v>
      </c>
      <c r="E871" s="76">
        <v>0.16</v>
      </c>
      <c r="F871" s="76">
        <v>0.24</v>
      </c>
      <c r="G871" s="76">
        <v>0.32</v>
      </c>
      <c r="H871" s="76">
        <v>0.4</v>
      </c>
      <c r="I871" s="76">
        <v>0.48</v>
      </c>
      <c r="J871" s="76">
        <v>0.56000000000000005</v>
      </c>
      <c r="K871" s="76">
        <v>0.64</v>
      </c>
      <c r="L871" s="76">
        <v>0.72</v>
      </c>
      <c r="M871" s="76">
        <v>0.8</v>
      </c>
    </row>
    <row r="872" spans="2:13" x14ac:dyDescent="0.15">
      <c r="C872" s="76" t="s">
        <v>557</v>
      </c>
      <c r="D872" s="76">
        <v>2</v>
      </c>
      <c r="E872" s="76">
        <v>4</v>
      </c>
      <c r="F872" s="76">
        <v>6</v>
      </c>
      <c r="G872" s="76">
        <v>8</v>
      </c>
      <c r="H872" s="76">
        <v>10</v>
      </c>
      <c r="I872" s="76">
        <v>12</v>
      </c>
      <c r="J872" s="76">
        <v>14</v>
      </c>
      <c r="K872" s="76">
        <v>16</v>
      </c>
      <c r="L872" s="76">
        <v>18</v>
      </c>
      <c r="M872" s="76">
        <v>20</v>
      </c>
    </row>
    <row r="873" spans="2:13" x14ac:dyDescent="0.15">
      <c r="C873" s="76" t="s">
        <v>560</v>
      </c>
      <c r="D873" s="76">
        <v>1E-3</v>
      </c>
      <c r="E873" s="76">
        <v>0</v>
      </c>
      <c r="F873" s="76">
        <v>0</v>
      </c>
      <c r="G873" s="76">
        <v>0</v>
      </c>
      <c r="H873" s="76">
        <v>0</v>
      </c>
      <c r="I873" s="76">
        <v>0</v>
      </c>
      <c r="J873" s="76">
        <v>0</v>
      </c>
      <c r="K873" s="76">
        <v>0</v>
      </c>
      <c r="L873" s="76">
        <v>0</v>
      </c>
      <c r="M873" s="76">
        <v>0</v>
      </c>
    </row>
    <row r="874" spans="2:13" x14ac:dyDescent="0.15">
      <c r="C874" s="76" t="s">
        <v>563</v>
      </c>
      <c r="D874" s="76">
        <v>1.2351000000000001E-2</v>
      </c>
      <c r="E874" s="76">
        <v>2.7820000000000002E-3</v>
      </c>
      <c r="F874" s="76">
        <v>1.874E-3</v>
      </c>
      <c r="G874" s="76">
        <v>1.1150000000000001E-3</v>
      </c>
      <c r="H874" s="76">
        <v>8.1300000000000003E-4</v>
      </c>
      <c r="I874" s="76">
        <v>4.8299999999999998E-4</v>
      </c>
      <c r="J874" s="76">
        <v>3.2299999999999999E-4</v>
      </c>
      <c r="K874" s="76">
        <v>5.7899999999999998E-4</v>
      </c>
      <c r="L874" s="76">
        <v>3.3100000000000002E-4</v>
      </c>
      <c r="M874" s="76">
        <v>4.0000000000000002E-4</v>
      </c>
    </row>
    <row r="875" spans="2:13" x14ac:dyDescent="0.15">
      <c r="C875" s="76" t="s">
        <v>564</v>
      </c>
      <c r="D875" s="76">
        <v>0.01</v>
      </c>
      <c r="E875" s="76">
        <v>0.01</v>
      </c>
      <c r="F875" s="76">
        <v>0.02</v>
      </c>
      <c r="G875" s="76">
        <v>0.02</v>
      </c>
      <c r="H875" s="76">
        <v>0.02</v>
      </c>
      <c r="I875" s="76">
        <v>0.02</v>
      </c>
      <c r="J875" s="76">
        <v>0.01</v>
      </c>
      <c r="K875" s="76">
        <v>0.03</v>
      </c>
      <c r="L875" s="76">
        <v>0.02</v>
      </c>
      <c r="M875" s="76">
        <v>0.02</v>
      </c>
    </row>
    <row r="876" spans="2:13" x14ac:dyDescent="0.15">
      <c r="C876" s="76" t="s">
        <v>565</v>
      </c>
      <c r="D876" s="76">
        <v>0.01</v>
      </c>
      <c r="E876" s="76">
        <v>0.01</v>
      </c>
      <c r="F876" s="76">
        <v>0.02</v>
      </c>
      <c r="G876" s="76">
        <v>0.02</v>
      </c>
      <c r="H876" s="76">
        <v>0.02</v>
      </c>
      <c r="I876" s="76">
        <v>0.02</v>
      </c>
      <c r="J876" s="76">
        <v>0.01</v>
      </c>
      <c r="K876" s="76">
        <v>0.03</v>
      </c>
      <c r="L876" s="76">
        <v>0.02</v>
      </c>
      <c r="M876" s="76">
        <v>0.02</v>
      </c>
    </row>
    <row r="877" spans="2:13" x14ac:dyDescent="0.15">
      <c r="C877" s="76" t="s">
        <v>566</v>
      </c>
      <c r="D877" s="76">
        <v>0.3105</v>
      </c>
      <c r="E877" s="76">
        <v>0.28499999999999998</v>
      </c>
      <c r="F877" s="76">
        <v>0.34289999999999998</v>
      </c>
      <c r="G877" s="76">
        <v>0.35249999999999998</v>
      </c>
      <c r="H877" s="76">
        <v>0.28170000000000001</v>
      </c>
      <c r="I877" s="76">
        <v>0.36</v>
      </c>
      <c r="J877" s="76">
        <v>0.22850000000000001</v>
      </c>
      <c r="K877" s="76">
        <v>0.2291</v>
      </c>
      <c r="L877" s="76">
        <v>0.24640000000000001</v>
      </c>
      <c r="M877" s="76">
        <v>0.26379999999999998</v>
      </c>
    </row>
    <row r="878" spans="2:13" x14ac:dyDescent="0.15">
      <c r="C878" s="76" t="s">
        <v>567</v>
      </c>
      <c r="D878" s="76">
        <v>0.21299999999999999</v>
      </c>
      <c r="E878" s="76">
        <v>0.32479999999999998</v>
      </c>
      <c r="F878" s="76">
        <v>0.3387</v>
      </c>
      <c r="G878" s="76">
        <v>0.38950000000000001</v>
      </c>
      <c r="H878" s="76">
        <v>0.27629999999999999</v>
      </c>
      <c r="I878" s="76">
        <v>0.31009999999999999</v>
      </c>
      <c r="J878" s="76">
        <v>0.17860000000000001</v>
      </c>
      <c r="K878" s="76">
        <v>0.29389999999999999</v>
      </c>
      <c r="L878" s="76">
        <v>0.1431</v>
      </c>
      <c r="M878" s="76">
        <v>0.29970000000000002</v>
      </c>
    </row>
    <row r="879" spans="2:13" x14ac:dyDescent="0.15">
      <c r="C879" s="76" t="s">
        <v>568</v>
      </c>
      <c r="D879" s="76">
        <v>8.9999999999999998E-4</v>
      </c>
      <c r="E879" s="76">
        <v>4.0000000000000002E-4</v>
      </c>
      <c r="F879" s="76">
        <v>2.9999999999999997E-4</v>
      </c>
      <c r="G879" s="76">
        <v>2.9999999999999997E-4</v>
      </c>
      <c r="H879" s="76">
        <v>2.0000000000000001E-4</v>
      </c>
      <c r="I879" s="76">
        <v>2.0000000000000001E-4</v>
      </c>
      <c r="J879" s="76">
        <v>1E-4</v>
      </c>
      <c r="K879" s="76">
        <v>1E-4</v>
      </c>
      <c r="L879" s="76">
        <v>1E-4</v>
      </c>
      <c r="M879" s="76">
        <v>1E-4</v>
      </c>
    </row>
    <row r="880" spans="2:13" x14ac:dyDescent="0.15">
      <c r="C880" s="76" t="s">
        <v>569</v>
      </c>
    </row>
    <row r="881" spans="3:13" x14ac:dyDescent="0.15">
      <c r="C881" s="76" t="s">
        <v>570</v>
      </c>
      <c r="D881" s="76">
        <v>4</v>
      </c>
      <c r="E881" s="76">
        <v>4</v>
      </c>
      <c r="F881" s="76">
        <v>4</v>
      </c>
      <c r="G881" s="76">
        <v>4</v>
      </c>
      <c r="H881" s="76">
        <v>4</v>
      </c>
      <c r="I881" s="76">
        <v>4</v>
      </c>
      <c r="J881" s="76">
        <v>4</v>
      </c>
      <c r="K881" s="76">
        <v>4</v>
      </c>
      <c r="L881" s="76">
        <v>4</v>
      </c>
      <c r="M881" s="76">
        <v>4</v>
      </c>
    </row>
    <row r="882" spans="3:13" x14ac:dyDescent="0.15">
      <c r="C882" s="76" t="s">
        <v>571</v>
      </c>
      <c r="D882" s="76">
        <v>100</v>
      </c>
      <c r="E882" s="76">
        <v>100</v>
      </c>
      <c r="F882" s="76">
        <v>100</v>
      </c>
      <c r="G882" s="76">
        <v>100</v>
      </c>
      <c r="H882" s="76">
        <v>100</v>
      </c>
      <c r="I882" s="76">
        <v>100</v>
      </c>
      <c r="J882" s="76">
        <v>100</v>
      </c>
      <c r="K882" s="76">
        <v>100</v>
      </c>
      <c r="L882" s="76">
        <v>100</v>
      </c>
      <c r="M882" s="76">
        <v>100</v>
      </c>
    </row>
    <row r="883" spans="3:13" x14ac:dyDescent="0.15">
      <c r="C883" s="76" t="s">
        <v>572</v>
      </c>
      <c r="D883" s="76" t="s">
        <v>574</v>
      </c>
      <c r="E883" s="76" t="s">
        <v>574</v>
      </c>
      <c r="F883" s="76" t="s">
        <v>574</v>
      </c>
      <c r="G883" s="76" t="s">
        <v>574</v>
      </c>
      <c r="H883" s="76" t="s">
        <v>574</v>
      </c>
      <c r="I883" s="76" t="s">
        <v>574</v>
      </c>
      <c r="J883" s="76" t="s">
        <v>574</v>
      </c>
      <c r="K883" s="76" t="s">
        <v>574</v>
      </c>
      <c r="L883" s="76" t="s">
        <v>574</v>
      </c>
      <c r="M883" s="76" t="s">
        <v>574</v>
      </c>
    </row>
    <row r="884" spans="3:13" x14ac:dyDescent="0.15">
      <c r="C884" s="76" t="s">
        <v>573</v>
      </c>
      <c r="D884" s="76">
        <v>1</v>
      </c>
      <c r="E884" s="76">
        <v>2</v>
      </c>
      <c r="F884" s="76">
        <v>3</v>
      </c>
      <c r="G884" s="76">
        <v>4</v>
      </c>
      <c r="H884" s="76">
        <v>5</v>
      </c>
      <c r="I884" s="76">
        <v>6</v>
      </c>
      <c r="J884" s="76">
        <v>7</v>
      </c>
      <c r="K884" s="76">
        <v>8</v>
      </c>
      <c r="L884" s="76">
        <v>9</v>
      </c>
      <c r="M884" s="76">
        <v>10</v>
      </c>
    </row>
    <row r="885" spans="3:13" x14ac:dyDescent="0.15">
      <c r="C885" s="76">
        <v>380</v>
      </c>
      <c r="D885" s="76">
        <v>0</v>
      </c>
      <c r="E885" s="76">
        <v>2.5899999999999998E-7</v>
      </c>
      <c r="F885" s="76">
        <v>4.8799999999999999E-6</v>
      </c>
      <c r="G885" s="76">
        <v>5.6799999999999998E-6</v>
      </c>
      <c r="H885" s="76">
        <v>0</v>
      </c>
      <c r="I885" s="76">
        <v>5.3299999999999998E-6</v>
      </c>
      <c r="J885" s="76">
        <v>4.9100000000000004E-6</v>
      </c>
      <c r="K885" s="76">
        <v>3.2600000000000001E-6</v>
      </c>
      <c r="L885" s="76">
        <v>0</v>
      </c>
      <c r="M885" s="76">
        <v>0</v>
      </c>
    </row>
    <row r="886" spans="3:13" x14ac:dyDescent="0.15">
      <c r="C886" s="76">
        <v>382</v>
      </c>
      <c r="D886" s="76">
        <v>0</v>
      </c>
      <c r="E886" s="76">
        <v>1.57E-6</v>
      </c>
      <c r="F886" s="76">
        <v>4.8600000000000001E-6</v>
      </c>
      <c r="G886" s="76">
        <v>5.7899999999999996E-6</v>
      </c>
      <c r="H886" s="76">
        <v>0</v>
      </c>
      <c r="I886" s="76">
        <v>3.5700000000000001E-6</v>
      </c>
      <c r="J886" s="76">
        <v>4.8600000000000001E-6</v>
      </c>
      <c r="K886" s="76">
        <v>3.2899999999999998E-6</v>
      </c>
      <c r="L886" s="76">
        <v>0</v>
      </c>
      <c r="M886" s="76">
        <v>0</v>
      </c>
    </row>
    <row r="887" spans="3:13" x14ac:dyDescent="0.15">
      <c r="C887" s="76">
        <v>384</v>
      </c>
      <c r="D887" s="76">
        <v>0</v>
      </c>
      <c r="E887" s="76">
        <v>1.24E-6</v>
      </c>
      <c r="F887" s="76">
        <v>1.1799999999999999E-6</v>
      </c>
      <c r="G887" s="76">
        <v>4.3100000000000002E-6</v>
      </c>
      <c r="H887" s="76">
        <v>0</v>
      </c>
      <c r="I887" s="76">
        <v>1.35E-6</v>
      </c>
      <c r="J887" s="76">
        <v>4.6500000000000004E-6</v>
      </c>
      <c r="K887" s="76">
        <v>1.68E-6</v>
      </c>
      <c r="L887" s="76">
        <v>0</v>
      </c>
      <c r="M887" s="76">
        <v>0</v>
      </c>
    </row>
    <row r="888" spans="3:13" x14ac:dyDescent="0.15">
      <c r="C888" s="76">
        <v>386</v>
      </c>
      <c r="D888" s="76">
        <v>0</v>
      </c>
      <c r="E888" s="76">
        <v>1.8899999999999999E-6</v>
      </c>
      <c r="F888" s="76">
        <v>2.43E-6</v>
      </c>
      <c r="G888" s="76">
        <v>3.2600000000000001E-6</v>
      </c>
      <c r="H888" s="76">
        <v>0</v>
      </c>
      <c r="I888" s="76">
        <v>3.6200000000000001E-6</v>
      </c>
      <c r="J888" s="76">
        <v>2.83E-6</v>
      </c>
      <c r="K888" s="76">
        <v>4.4700000000000002E-7</v>
      </c>
      <c r="L888" s="76">
        <v>0</v>
      </c>
      <c r="M888" s="76">
        <v>0</v>
      </c>
    </row>
    <row r="889" spans="3:13" x14ac:dyDescent="0.15">
      <c r="C889" s="76">
        <v>388</v>
      </c>
      <c r="D889" s="76">
        <v>1.8E-7</v>
      </c>
      <c r="E889" s="76">
        <v>2.26E-6</v>
      </c>
      <c r="F889" s="76">
        <v>3.89E-6</v>
      </c>
      <c r="G889" s="76">
        <v>4.1999999999999996E-6</v>
      </c>
      <c r="H889" s="76">
        <v>0</v>
      </c>
      <c r="I889" s="76">
        <v>4.3599999999999998E-6</v>
      </c>
      <c r="J889" s="76">
        <v>1.31E-6</v>
      </c>
      <c r="K889" s="76">
        <v>1.02E-6</v>
      </c>
      <c r="L889" s="76">
        <v>0</v>
      </c>
      <c r="M889" s="76">
        <v>0</v>
      </c>
    </row>
    <row r="890" spans="3:13" x14ac:dyDescent="0.15">
      <c r="C890" s="76">
        <v>390</v>
      </c>
      <c r="D890" s="76">
        <v>1.1000000000000001E-7</v>
      </c>
      <c r="E890" s="76">
        <v>3.7000000000000002E-6</v>
      </c>
      <c r="F890" s="76">
        <v>3.0900000000000001E-6</v>
      </c>
      <c r="G890" s="76">
        <v>4.4800000000000003E-6</v>
      </c>
      <c r="H890" s="76">
        <v>0</v>
      </c>
      <c r="I890" s="76">
        <v>4.4800000000000003E-6</v>
      </c>
      <c r="J890" s="76">
        <v>1.68E-6</v>
      </c>
      <c r="K890" s="76">
        <v>3.3099999999999999E-7</v>
      </c>
      <c r="L890" s="76">
        <v>0</v>
      </c>
      <c r="M890" s="76">
        <v>0</v>
      </c>
    </row>
    <row r="891" spans="3:13" x14ac:dyDescent="0.15">
      <c r="C891" s="76">
        <v>392</v>
      </c>
      <c r="D891" s="76">
        <v>9.3799999999999996E-7</v>
      </c>
      <c r="E891" s="76">
        <v>2.0499999999999999E-6</v>
      </c>
      <c r="F891" s="76">
        <v>6.0699999999999997E-7</v>
      </c>
      <c r="G891" s="76">
        <v>3.1499999999999999E-6</v>
      </c>
      <c r="H891" s="76">
        <v>0</v>
      </c>
      <c r="I891" s="76">
        <v>3.8600000000000003E-6</v>
      </c>
      <c r="J891" s="76">
        <v>2.1100000000000001E-6</v>
      </c>
      <c r="K891" s="76">
        <v>0</v>
      </c>
      <c r="L891" s="76">
        <v>0</v>
      </c>
      <c r="M891" s="76">
        <v>0</v>
      </c>
    </row>
    <row r="892" spans="3:13" x14ac:dyDescent="0.15">
      <c r="C892" s="76">
        <v>394</v>
      </c>
      <c r="D892" s="76">
        <v>1.14E-7</v>
      </c>
      <c r="E892" s="76">
        <v>1.15E-6</v>
      </c>
      <c r="F892" s="76">
        <v>1.73E-6</v>
      </c>
      <c r="G892" s="76">
        <v>2.8600000000000001E-6</v>
      </c>
      <c r="H892" s="76">
        <v>0</v>
      </c>
      <c r="I892" s="76">
        <v>4.4700000000000004E-6</v>
      </c>
      <c r="J892" s="76">
        <v>4.4700000000000002E-7</v>
      </c>
      <c r="K892" s="76">
        <v>5.0099999999999999E-8</v>
      </c>
      <c r="L892" s="76">
        <v>0</v>
      </c>
      <c r="M892" s="76">
        <v>0</v>
      </c>
    </row>
    <row r="893" spans="3:13" x14ac:dyDescent="0.15">
      <c r="C893" s="76">
        <v>396</v>
      </c>
      <c r="D893" s="76">
        <v>0</v>
      </c>
      <c r="E893" s="76">
        <v>9.2500000000000004E-7</v>
      </c>
      <c r="F893" s="76">
        <v>7.7900000000000003E-8</v>
      </c>
      <c r="G893" s="76">
        <v>3.7000000000000002E-6</v>
      </c>
      <c r="H893" s="76">
        <v>0</v>
      </c>
      <c r="I893" s="76">
        <v>5.5799999999999999E-6</v>
      </c>
      <c r="J893" s="76">
        <v>1.9500000000000001E-7</v>
      </c>
      <c r="K893" s="76">
        <v>1.8300000000000001E-6</v>
      </c>
      <c r="L893" s="76">
        <v>3.8999999999999998E-8</v>
      </c>
      <c r="M893" s="76">
        <v>0</v>
      </c>
    </row>
    <row r="894" spans="3:13" x14ac:dyDescent="0.15">
      <c r="C894" s="76">
        <v>398</v>
      </c>
      <c r="D894" s="76">
        <v>0</v>
      </c>
      <c r="E894" s="76">
        <v>2.6900000000000001E-6</v>
      </c>
      <c r="F894" s="76">
        <v>7.7599999999999996E-7</v>
      </c>
      <c r="G894" s="76">
        <v>1.9700000000000002E-6</v>
      </c>
      <c r="H894" s="76">
        <v>0</v>
      </c>
      <c r="I894" s="76">
        <v>4.5000000000000001E-6</v>
      </c>
      <c r="J894" s="76">
        <v>9.2099999999999995E-7</v>
      </c>
      <c r="K894" s="76">
        <v>0</v>
      </c>
      <c r="L894" s="76">
        <v>1.8400000000000001E-7</v>
      </c>
      <c r="M894" s="76">
        <v>0</v>
      </c>
    </row>
    <row r="895" spans="3:13" x14ac:dyDescent="0.15">
      <c r="C895" s="76">
        <v>400</v>
      </c>
      <c r="D895" s="76">
        <v>0</v>
      </c>
      <c r="E895" s="76">
        <v>1.6700000000000001E-6</v>
      </c>
      <c r="F895" s="76">
        <v>8.6799999999999999E-7</v>
      </c>
      <c r="G895" s="76">
        <v>2.8499999999999998E-6</v>
      </c>
      <c r="H895" s="76">
        <v>0</v>
      </c>
      <c r="I895" s="76">
        <v>2.39E-6</v>
      </c>
      <c r="J895" s="76">
        <v>9.3699999999999999E-8</v>
      </c>
      <c r="K895" s="76">
        <v>0</v>
      </c>
      <c r="L895" s="76">
        <v>0</v>
      </c>
      <c r="M895" s="76">
        <v>0</v>
      </c>
    </row>
    <row r="896" spans="3:13" x14ac:dyDescent="0.15">
      <c r="C896" s="76">
        <v>402</v>
      </c>
      <c r="D896" s="76">
        <v>0</v>
      </c>
      <c r="E896" s="76">
        <v>1.35E-6</v>
      </c>
      <c r="F896" s="76">
        <v>0</v>
      </c>
      <c r="G896" s="76">
        <v>2.57E-6</v>
      </c>
      <c r="H896" s="76">
        <v>0</v>
      </c>
      <c r="I896" s="76">
        <v>2.3999999999999999E-6</v>
      </c>
      <c r="J896" s="76">
        <v>1.09E-7</v>
      </c>
      <c r="K896" s="76">
        <v>0</v>
      </c>
      <c r="L896" s="76">
        <v>0</v>
      </c>
      <c r="M896" s="76">
        <v>0</v>
      </c>
    </row>
    <row r="897" spans="3:13" x14ac:dyDescent="0.15">
      <c r="C897" s="76">
        <v>404</v>
      </c>
      <c r="D897" s="76">
        <v>0</v>
      </c>
      <c r="E897" s="76">
        <v>3.84E-7</v>
      </c>
      <c r="F897" s="76">
        <v>0</v>
      </c>
      <c r="G897" s="76">
        <v>2.3999999999999999E-6</v>
      </c>
      <c r="H897" s="76">
        <v>6.8800000000000002E-7</v>
      </c>
      <c r="I897" s="76">
        <v>1.6300000000000001E-6</v>
      </c>
      <c r="J897" s="76">
        <v>0</v>
      </c>
      <c r="K897" s="76">
        <v>0</v>
      </c>
      <c r="L897" s="76">
        <v>0</v>
      </c>
      <c r="M897" s="76">
        <v>0</v>
      </c>
    </row>
    <row r="898" spans="3:13" x14ac:dyDescent="0.15">
      <c r="C898" s="76">
        <v>406</v>
      </c>
      <c r="D898" s="76">
        <v>0</v>
      </c>
      <c r="E898" s="76">
        <v>9.4300000000000001E-7</v>
      </c>
      <c r="F898" s="76">
        <v>0</v>
      </c>
      <c r="G898" s="76">
        <v>2.3499999999999999E-6</v>
      </c>
      <c r="H898" s="76">
        <v>5.5400000000000001E-7</v>
      </c>
      <c r="I898" s="76">
        <v>1.61E-6</v>
      </c>
      <c r="J898" s="76">
        <v>4.7100000000000002E-7</v>
      </c>
      <c r="K898" s="76">
        <v>0</v>
      </c>
      <c r="L898" s="76">
        <v>0</v>
      </c>
      <c r="M898" s="76">
        <v>4.7100000000000002E-7</v>
      </c>
    </row>
    <row r="899" spans="3:13" x14ac:dyDescent="0.15">
      <c r="C899" s="76">
        <v>408</v>
      </c>
      <c r="D899" s="76">
        <v>5.2300000000000001E-7</v>
      </c>
      <c r="E899" s="76">
        <v>1.2599999999999999E-7</v>
      </c>
      <c r="F899" s="76">
        <v>0</v>
      </c>
      <c r="G899" s="76">
        <v>1.26E-6</v>
      </c>
      <c r="H899" s="76">
        <v>7.4499999999999996E-7</v>
      </c>
      <c r="I899" s="76">
        <v>2.04E-6</v>
      </c>
      <c r="J899" s="76">
        <v>6.2800000000000006E-8</v>
      </c>
      <c r="K899" s="76">
        <v>0</v>
      </c>
      <c r="L899" s="76">
        <v>6.2000000000000001E-9</v>
      </c>
      <c r="M899" s="76">
        <v>5.7000000000000005E-7</v>
      </c>
    </row>
    <row r="900" spans="3:13" x14ac:dyDescent="0.15">
      <c r="C900" s="76">
        <v>410</v>
      </c>
      <c r="D900" s="76">
        <v>1.0300000000000001E-6</v>
      </c>
      <c r="E900" s="76">
        <v>2.55E-8</v>
      </c>
      <c r="F900" s="76">
        <v>0</v>
      </c>
      <c r="G900" s="76">
        <v>1.24E-6</v>
      </c>
      <c r="H900" s="76">
        <v>1.68E-6</v>
      </c>
      <c r="I900" s="76">
        <v>0</v>
      </c>
      <c r="J900" s="76">
        <v>0</v>
      </c>
      <c r="K900" s="76">
        <v>0</v>
      </c>
      <c r="L900" s="76">
        <v>3.0899999999999997E-7</v>
      </c>
      <c r="M900" s="76">
        <v>1.55E-7</v>
      </c>
    </row>
    <row r="901" spans="3:13" x14ac:dyDescent="0.15">
      <c r="C901" s="76">
        <v>412</v>
      </c>
      <c r="D901" s="76">
        <v>5.9100000000000004E-7</v>
      </c>
      <c r="E901" s="76">
        <v>1.2499999999999999E-7</v>
      </c>
      <c r="F901" s="76">
        <v>0</v>
      </c>
      <c r="G901" s="76">
        <v>3.1899999999999998E-7</v>
      </c>
      <c r="H901" s="76">
        <v>8.9800000000000002E-7</v>
      </c>
      <c r="I901" s="76">
        <v>0</v>
      </c>
      <c r="J901" s="76">
        <v>0</v>
      </c>
      <c r="K901" s="76">
        <v>0</v>
      </c>
      <c r="L901" s="76">
        <v>0</v>
      </c>
      <c r="M901" s="76">
        <v>1.37E-7</v>
      </c>
    </row>
    <row r="902" spans="3:13" x14ac:dyDescent="0.15">
      <c r="C902" s="76">
        <v>414</v>
      </c>
      <c r="D902" s="76">
        <v>3.2599999999999998E-7</v>
      </c>
      <c r="E902" s="76">
        <v>0</v>
      </c>
      <c r="F902" s="76">
        <v>0</v>
      </c>
      <c r="G902" s="76">
        <v>9.4799999999999997E-7</v>
      </c>
      <c r="H902" s="76">
        <v>1.11E-6</v>
      </c>
      <c r="I902" s="76">
        <v>0</v>
      </c>
      <c r="J902" s="76">
        <v>2.5600000000000002E-7</v>
      </c>
      <c r="K902" s="76">
        <v>0</v>
      </c>
      <c r="L902" s="76">
        <v>0</v>
      </c>
      <c r="M902" s="76">
        <v>6.1699999999999998E-7</v>
      </c>
    </row>
    <row r="903" spans="3:13" x14ac:dyDescent="0.15">
      <c r="C903" s="76">
        <v>416</v>
      </c>
      <c r="D903" s="76">
        <v>3.1100000000000002E-7</v>
      </c>
      <c r="E903" s="76">
        <v>0</v>
      </c>
      <c r="F903" s="76">
        <v>0</v>
      </c>
      <c r="G903" s="76">
        <v>2.9799999999999999E-7</v>
      </c>
      <c r="H903" s="76">
        <v>1.24E-6</v>
      </c>
      <c r="I903" s="76">
        <v>0</v>
      </c>
      <c r="J903" s="76">
        <v>2.9799999999999999E-7</v>
      </c>
      <c r="K903" s="76">
        <v>0</v>
      </c>
      <c r="L903" s="76">
        <v>0</v>
      </c>
      <c r="M903" s="76">
        <v>7.7700000000000004E-7</v>
      </c>
    </row>
    <row r="904" spans="3:13" x14ac:dyDescent="0.15">
      <c r="C904" s="76">
        <v>418</v>
      </c>
      <c r="D904" s="76">
        <v>9.6200000000000006E-7</v>
      </c>
      <c r="E904" s="76">
        <v>2.8599999999999999E-7</v>
      </c>
      <c r="F904" s="76">
        <v>0</v>
      </c>
      <c r="G904" s="76">
        <v>0</v>
      </c>
      <c r="H904" s="76">
        <v>1.1799999999999999E-6</v>
      </c>
      <c r="I904" s="76">
        <v>0</v>
      </c>
      <c r="J904" s="76">
        <v>0</v>
      </c>
      <c r="K904" s="76">
        <v>0</v>
      </c>
      <c r="L904" s="76">
        <v>0</v>
      </c>
      <c r="M904" s="76">
        <v>6.4199999999999995E-7</v>
      </c>
    </row>
    <row r="905" spans="3:13" x14ac:dyDescent="0.15">
      <c r="C905" s="76">
        <v>420</v>
      </c>
      <c r="D905" s="76">
        <v>1.1599999999999999E-6</v>
      </c>
      <c r="E905" s="76">
        <v>9.5500000000000002E-8</v>
      </c>
      <c r="F905" s="76">
        <v>0</v>
      </c>
      <c r="G905" s="76">
        <v>1.09E-7</v>
      </c>
      <c r="H905" s="76">
        <v>5.7999999999999995E-7</v>
      </c>
      <c r="I905" s="76">
        <v>3.2599999999999998E-7</v>
      </c>
      <c r="J905" s="76">
        <v>0</v>
      </c>
      <c r="K905" s="76">
        <v>0</v>
      </c>
      <c r="L905" s="76">
        <v>2.17E-7</v>
      </c>
      <c r="M905" s="76">
        <v>1.2700000000000001E-7</v>
      </c>
    </row>
    <row r="906" spans="3:13" x14ac:dyDescent="0.15">
      <c r="C906" s="76">
        <v>422</v>
      </c>
      <c r="D906" s="76">
        <v>1.55E-6</v>
      </c>
      <c r="E906" s="76">
        <v>0</v>
      </c>
      <c r="F906" s="76">
        <v>0</v>
      </c>
      <c r="G906" s="76">
        <v>1.3399999999999999E-8</v>
      </c>
      <c r="H906" s="76">
        <v>1.5799999999999999E-6</v>
      </c>
      <c r="I906" s="76">
        <v>4.0299999999999997E-8</v>
      </c>
      <c r="J906" s="76">
        <v>0</v>
      </c>
      <c r="K906" s="76">
        <v>0</v>
      </c>
      <c r="L906" s="76">
        <v>8.6799999999999999E-7</v>
      </c>
      <c r="M906" s="76">
        <v>1.7700000000000001E-7</v>
      </c>
    </row>
    <row r="907" spans="3:13" x14ac:dyDescent="0.15">
      <c r="C907" s="76">
        <v>424</v>
      </c>
      <c r="D907" s="76">
        <v>1.35E-6</v>
      </c>
      <c r="E907" s="76">
        <v>0</v>
      </c>
      <c r="F907" s="76">
        <v>0</v>
      </c>
      <c r="G907" s="76">
        <v>0</v>
      </c>
      <c r="H907" s="76">
        <v>4.6899999999999998E-7</v>
      </c>
      <c r="I907" s="76">
        <v>0</v>
      </c>
      <c r="J907" s="76">
        <v>0</v>
      </c>
      <c r="K907" s="76">
        <v>0</v>
      </c>
      <c r="L907" s="76">
        <v>6.0699999999999997E-7</v>
      </c>
      <c r="M907" s="76">
        <v>1.9300000000000002E-6</v>
      </c>
    </row>
    <row r="908" spans="3:13" x14ac:dyDescent="0.15">
      <c r="C908" s="76">
        <v>426</v>
      </c>
      <c r="D908" s="76">
        <v>1.5600000000000001E-6</v>
      </c>
      <c r="E908" s="76">
        <v>0</v>
      </c>
      <c r="F908" s="76">
        <v>1.7800000000000001E-7</v>
      </c>
      <c r="G908" s="76">
        <v>3.55E-8</v>
      </c>
      <c r="H908" s="76">
        <v>1.3E-6</v>
      </c>
      <c r="I908" s="76">
        <v>0</v>
      </c>
      <c r="J908" s="76">
        <v>0</v>
      </c>
      <c r="K908" s="76">
        <v>0</v>
      </c>
      <c r="L908" s="76">
        <v>4.4700000000000002E-7</v>
      </c>
      <c r="M908" s="76">
        <v>1.06E-6</v>
      </c>
    </row>
    <row r="909" spans="3:13" x14ac:dyDescent="0.15">
      <c r="C909" s="76">
        <v>428</v>
      </c>
      <c r="D909" s="76">
        <v>1.5400000000000001E-6</v>
      </c>
      <c r="E909" s="76">
        <v>0</v>
      </c>
      <c r="F909" s="76">
        <v>3.58E-7</v>
      </c>
      <c r="G909" s="76">
        <v>7.17E-8</v>
      </c>
      <c r="H909" s="76">
        <v>1.61E-6</v>
      </c>
      <c r="I909" s="76">
        <v>0</v>
      </c>
      <c r="J909" s="76">
        <v>0</v>
      </c>
      <c r="K909" s="76">
        <v>0</v>
      </c>
      <c r="L909" s="76">
        <v>6.6000000000000003E-7</v>
      </c>
      <c r="M909" s="76">
        <v>6.5300000000000004E-7</v>
      </c>
    </row>
    <row r="910" spans="3:13" x14ac:dyDescent="0.15">
      <c r="C910" s="76">
        <v>430</v>
      </c>
      <c r="D910" s="76">
        <v>1.72E-6</v>
      </c>
      <c r="E910" s="76">
        <v>0</v>
      </c>
      <c r="F910" s="76">
        <v>0</v>
      </c>
      <c r="G910" s="76">
        <v>0</v>
      </c>
      <c r="H910" s="76">
        <v>7.8700000000000005E-7</v>
      </c>
      <c r="I910" s="76">
        <v>0</v>
      </c>
      <c r="J910" s="76">
        <v>0</v>
      </c>
      <c r="K910" s="76">
        <v>0</v>
      </c>
      <c r="L910" s="76">
        <v>1.0300000000000001E-6</v>
      </c>
      <c r="M910" s="76">
        <v>7.4199999999999995E-7</v>
      </c>
    </row>
    <row r="911" spans="3:13" x14ac:dyDescent="0.15">
      <c r="C911" s="76">
        <v>432</v>
      </c>
      <c r="D911" s="76">
        <v>5.3799999999999997E-7</v>
      </c>
      <c r="E911" s="76">
        <v>0</v>
      </c>
      <c r="F911" s="76">
        <v>0</v>
      </c>
      <c r="G911" s="76">
        <v>2.34E-7</v>
      </c>
      <c r="H911" s="76">
        <v>1.24E-6</v>
      </c>
      <c r="I911" s="76">
        <v>0</v>
      </c>
      <c r="J911" s="76">
        <v>0</v>
      </c>
      <c r="K911" s="76">
        <v>4.6699999999999999E-7</v>
      </c>
      <c r="L911" s="76">
        <v>1.0499999999999999E-6</v>
      </c>
      <c r="M911" s="76">
        <v>5.0200000000000002E-7</v>
      </c>
    </row>
    <row r="912" spans="3:13" x14ac:dyDescent="0.15">
      <c r="C912" s="76">
        <v>434</v>
      </c>
      <c r="D912" s="76">
        <v>3.6399999999999998E-7</v>
      </c>
      <c r="E912" s="76">
        <v>4.5600000000000001E-7</v>
      </c>
      <c r="F912" s="76">
        <v>3.6399999999999998E-7</v>
      </c>
      <c r="G912" s="76">
        <v>6.8900000000000002E-8</v>
      </c>
      <c r="H912" s="76">
        <v>1.19E-6</v>
      </c>
      <c r="I912" s="76">
        <v>0</v>
      </c>
      <c r="J912" s="76">
        <v>0</v>
      </c>
      <c r="K912" s="76">
        <v>1.3799999999999999E-7</v>
      </c>
      <c r="L912" s="76">
        <v>1.28E-6</v>
      </c>
      <c r="M912" s="76">
        <v>4.5900000000000001E-8</v>
      </c>
    </row>
    <row r="913" spans="3:13" x14ac:dyDescent="0.15">
      <c r="C913" s="76">
        <v>436</v>
      </c>
      <c r="D913" s="76">
        <v>9.4200000000000004E-7</v>
      </c>
      <c r="E913" s="76">
        <v>4.06E-8</v>
      </c>
      <c r="F913" s="76">
        <v>6.5099999999999994E-8</v>
      </c>
      <c r="G913" s="76">
        <v>0</v>
      </c>
      <c r="H913" s="76">
        <v>4.7399999999999998E-7</v>
      </c>
      <c r="I913" s="76">
        <v>0</v>
      </c>
      <c r="J913" s="76">
        <v>3.9299999999999999E-7</v>
      </c>
      <c r="K913" s="76">
        <v>6.5199999999999998E-9</v>
      </c>
      <c r="L913" s="76">
        <v>1.7600000000000001E-6</v>
      </c>
      <c r="M913" s="76">
        <v>3.53E-7</v>
      </c>
    </row>
    <row r="914" spans="3:13" x14ac:dyDescent="0.15">
      <c r="C914" s="76">
        <v>438</v>
      </c>
      <c r="D914" s="76">
        <v>5.7199999999999999E-7</v>
      </c>
      <c r="E914" s="76">
        <v>0</v>
      </c>
      <c r="F914" s="76">
        <v>5.37E-7</v>
      </c>
      <c r="G914" s="76">
        <v>4.1999999999999999E-8</v>
      </c>
      <c r="H914" s="76">
        <v>1.4700000000000001E-7</v>
      </c>
      <c r="I914" s="76">
        <v>0</v>
      </c>
      <c r="J914" s="76">
        <v>1.4700000000000001E-7</v>
      </c>
      <c r="K914" s="76">
        <v>1.9600000000000001E-7</v>
      </c>
      <c r="L914" s="76">
        <v>1.44E-6</v>
      </c>
      <c r="M914" s="76">
        <v>9.8400000000000002E-7</v>
      </c>
    </row>
    <row r="915" spans="3:13" x14ac:dyDescent="0.15">
      <c r="C915" s="76">
        <v>440</v>
      </c>
      <c r="D915" s="76">
        <v>1.04E-6</v>
      </c>
      <c r="E915" s="76">
        <v>0</v>
      </c>
      <c r="F915" s="76">
        <v>3.03E-7</v>
      </c>
      <c r="G915" s="76">
        <v>1.5200000000000001E-7</v>
      </c>
      <c r="H915" s="76">
        <v>6.0100000000000005E-7</v>
      </c>
      <c r="I915" s="76">
        <v>0</v>
      </c>
      <c r="J915" s="76">
        <v>5.3000000000000001E-7</v>
      </c>
      <c r="K915" s="76">
        <v>6.2699999999999999E-7</v>
      </c>
      <c r="L915" s="76">
        <v>9.2500000000000004E-7</v>
      </c>
      <c r="M915" s="76">
        <v>7.8299999999999996E-7</v>
      </c>
    </row>
    <row r="916" spans="3:13" x14ac:dyDescent="0.15">
      <c r="C916" s="76">
        <v>442</v>
      </c>
      <c r="D916" s="76">
        <v>8.85E-7</v>
      </c>
      <c r="E916" s="76">
        <v>2.48E-7</v>
      </c>
      <c r="F916" s="76">
        <v>3.4799999999999999E-7</v>
      </c>
      <c r="G916" s="76">
        <v>0</v>
      </c>
      <c r="H916" s="76">
        <v>8.1699999999999997E-7</v>
      </c>
      <c r="I916" s="76">
        <v>0</v>
      </c>
      <c r="J916" s="76">
        <v>4.9700000000000002E-8</v>
      </c>
      <c r="K916" s="76">
        <v>4.2599999999999998E-7</v>
      </c>
      <c r="L916" s="76">
        <v>1.1000000000000001E-6</v>
      </c>
      <c r="M916" s="76">
        <v>3.5400000000000002E-7</v>
      </c>
    </row>
    <row r="917" spans="3:13" x14ac:dyDescent="0.15">
      <c r="C917" s="76">
        <v>444</v>
      </c>
      <c r="D917" s="76">
        <v>6.8999999999999996E-7</v>
      </c>
      <c r="E917" s="76">
        <v>2.9499999999999998E-7</v>
      </c>
      <c r="F917" s="76">
        <v>8.9999999999999996E-7</v>
      </c>
      <c r="G917" s="76">
        <v>0</v>
      </c>
      <c r="H917" s="76">
        <v>6.4799999999999998E-7</v>
      </c>
      <c r="I917" s="76">
        <v>0</v>
      </c>
      <c r="J917" s="76">
        <v>3.6600000000000002E-7</v>
      </c>
      <c r="K917" s="76">
        <v>3.84E-7</v>
      </c>
      <c r="L917" s="76">
        <v>1.4699999999999999E-6</v>
      </c>
      <c r="M917" s="76">
        <v>4.9399999999999995E-7</v>
      </c>
    </row>
    <row r="918" spans="3:13" x14ac:dyDescent="0.15">
      <c r="C918" s="76">
        <v>446</v>
      </c>
      <c r="D918" s="76">
        <v>4.7300000000000001E-7</v>
      </c>
      <c r="E918" s="76">
        <v>4.2399999999999999E-7</v>
      </c>
      <c r="F918" s="76">
        <v>3.65E-7</v>
      </c>
      <c r="G918" s="76">
        <v>0</v>
      </c>
      <c r="H918" s="76">
        <v>1.5699999999999999E-7</v>
      </c>
      <c r="I918" s="76">
        <v>0</v>
      </c>
      <c r="J918" s="76">
        <v>1.5900000000000001E-7</v>
      </c>
      <c r="K918" s="76">
        <v>8.1900000000000001E-7</v>
      </c>
      <c r="L918" s="76">
        <v>2.1299999999999999E-6</v>
      </c>
      <c r="M918" s="76">
        <v>1.24E-6</v>
      </c>
    </row>
    <row r="919" spans="3:13" x14ac:dyDescent="0.15">
      <c r="C919" s="76">
        <v>448</v>
      </c>
      <c r="D919" s="76">
        <v>1.6299999999999999E-7</v>
      </c>
      <c r="E919" s="76">
        <v>8.6700000000000002E-8</v>
      </c>
      <c r="F919" s="76">
        <v>1.7299999999999999E-8</v>
      </c>
      <c r="G919" s="76">
        <v>0</v>
      </c>
      <c r="H919" s="76">
        <v>4.08E-7</v>
      </c>
      <c r="I919" s="76">
        <v>0</v>
      </c>
      <c r="J919" s="76">
        <v>1.2100000000000001E-6</v>
      </c>
      <c r="K919" s="76">
        <v>1.3899999999999999E-7</v>
      </c>
      <c r="L919" s="76">
        <v>1.6700000000000001E-6</v>
      </c>
      <c r="M919" s="76">
        <v>6.92E-7</v>
      </c>
    </row>
    <row r="920" spans="3:13" x14ac:dyDescent="0.15">
      <c r="C920" s="76">
        <v>450</v>
      </c>
      <c r="D920" s="76">
        <v>7.7199999999999998E-7</v>
      </c>
      <c r="E920" s="76">
        <v>0</v>
      </c>
      <c r="F920" s="76">
        <v>6.0100000000000005E-7</v>
      </c>
      <c r="G920" s="76">
        <v>0</v>
      </c>
      <c r="H920" s="76">
        <v>5.8600000000000002E-8</v>
      </c>
      <c r="I920" s="76">
        <v>0</v>
      </c>
      <c r="J920" s="76">
        <v>5.2799999999999996E-7</v>
      </c>
      <c r="K920" s="76">
        <v>4.2E-7</v>
      </c>
      <c r="L920" s="76">
        <v>2.08E-6</v>
      </c>
      <c r="M920" s="76">
        <v>1.0499999999999999E-6</v>
      </c>
    </row>
    <row r="921" spans="3:13" x14ac:dyDescent="0.15">
      <c r="C921" s="76">
        <v>452</v>
      </c>
      <c r="D921" s="76">
        <v>0</v>
      </c>
      <c r="E921" s="76">
        <v>0</v>
      </c>
      <c r="F921" s="76">
        <v>3.3099999999999999E-7</v>
      </c>
      <c r="G921" s="76">
        <v>0</v>
      </c>
      <c r="H921" s="76">
        <v>4.2E-7</v>
      </c>
      <c r="I921" s="76">
        <v>0</v>
      </c>
      <c r="J921" s="76">
        <v>1.1400000000000001E-6</v>
      </c>
      <c r="K921" s="76">
        <v>1.1000000000000001E-6</v>
      </c>
      <c r="L921" s="76">
        <v>1.9300000000000002E-6</v>
      </c>
      <c r="M921" s="76">
        <v>5.8999999999999996E-7</v>
      </c>
    </row>
    <row r="922" spans="3:13" x14ac:dyDescent="0.15">
      <c r="C922" s="76">
        <v>454</v>
      </c>
      <c r="D922" s="76">
        <v>0</v>
      </c>
      <c r="E922" s="76">
        <v>0</v>
      </c>
      <c r="F922" s="76">
        <v>4.2300000000000002E-7</v>
      </c>
      <c r="G922" s="76">
        <v>0</v>
      </c>
      <c r="H922" s="76">
        <v>2.1199999999999999E-7</v>
      </c>
      <c r="I922" s="76">
        <v>0</v>
      </c>
      <c r="J922" s="76">
        <v>1.1599999999999999E-6</v>
      </c>
      <c r="K922" s="76">
        <v>8.4300000000000002E-7</v>
      </c>
      <c r="L922" s="76">
        <v>1.2699999999999999E-6</v>
      </c>
      <c r="M922" s="76">
        <v>2.53E-7</v>
      </c>
    </row>
    <row r="923" spans="3:13" x14ac:dyDescent="0.15">
      <c r="C923" s="76">
        <v>456</v>
      </c>
      <c r="D923" s="76">
        <v>0</v>
      </c>
      <c r="E923" s="76">
        <v>0</v>
      </c>
      <c r="F923" s="76">
        <v>0</v>
      </c>
      <c r="G923" s="76">
        <v>0</v>
      </c>
      <c r="H923" s="76">
        <v>0</v>
      </c>
      <c r="I923" s="76">
        <v>0</v>
      </c>
      <c r="J923" s="76">
        <v>1.1999999999999999E-6</v>
      </c>
      <c r="K923" s="76">
        <v>1.02E-6</v>
      </c>
      <c r="L923" s="76">
        <v>1.1400000000000001E-6</v>
      </c>
      <c r="M923" s="76">
        <v>1.1300000000000001E-7</v>
      </c>
    </row>
    <row r="924" spans="3:13" x14ac:dyDescent="0.15">
      <c r="C924" s="76">
        <v>458</v>
      </c>
      <c r="D924" s="76">
        <v>0</v>
      </c>
      <c r="E924" s="76">
        <v>0</v>
      </c>
      <c r="F924" s="76">
        <v>0</v>
      </c>
      <c r="G924" s="76">
        <v>0</v>
      </c>
      <c r="H924" s="76">
        <v>0</v>
      </c>
      <c r="I924" s="76">
        <v>1.4600000000000001E-7</v>
      </c>
      <c r="J924" s="76">
        <v>1.5E-6</v>
      </c>
      <c r="K924" s="76">
        <v>1.9300000000000002E-6</v>
      </c>
      <c r="L924" s="76">
        <v>2.1500000000000002E-6</v>
      </c>
      <c r="M924" s="76">
        <v>4.0600000000000001E-7</v>
      </c>
    </row>
    <row r="925" spans="3:13" x14ac:dyDescent="0.15">
      <c r="C925" s="76">
        <v>460</v>
      </c>
      <c r="D925" s="76">
        <v>0</v>
      </c>
      <c r="E925" s="76">
        <v>0</v>
      </c>
      <c r="F925" s="76">
        <v>0</v>
      </c>
      <c r="G925" s="76">
        <v>0</v>
      </c>
      <c r="H925" s="76">
        <v>0</v>
      </c>
      <c r="I925" s="76">
        <v>5.1900000000000002E-8</v>
      </c>
      <c r="J925" s="76">
        <v>1.53E-6</v>
      </c>
      <c r="K925" s="76">
        <v>1.46E-6</v>
      </c>
      <c r="L925" s="76">
        <v>2.0600000000000002E-6</v>
      </c>
      <c r="M925" s="76">
        <v>8.4200000000000005E-7</v>
      </c>
    </row>
    <row r="926" spans="3:13" x14ac:dyDescent="0.15">
      <c r="C926" s="76">
        <v>462</v>
      </c>
      <c r="D926" s="76">
        <v>0</v>
      </c>
      <c r="E926" s="76">
        <v>8.3099999999999996E-7</v>
      </c>
      <c r="F926" s="76">
        <v>1.48E-8</v>
      </c>
      <c r="G926" s="76">
        <v>0</v>
      </c>
      <c r="H926" s="76">
        <v>0</v>
      </c>
      <c r="I926" s="76">
        <v>2.9999999999999999E-7</v>
      </c>
      <c r="J926" s="76">
        <v>9.8899999999999998E-7</v>
      </c>
      <c r="K926" s="76">
        <v>1.28E-6</v>
      </c>
      <c r="L926" s="76">
        <v>1.9400000000000001E-6</v>
      </c>
      <c r="M926" s="76">
        <v>8.4899999999999999E-8</v>
      </c>
    </row>
    <row r="927" spans="3:13" x14ac:dyDescent="0.15">
      <c r="C927" s="76">
        <v>464</v>
      </c>
      <c r="D927" s="76">
        <v>0</v>
      </c>
      <c r="E927" s="76">
        <v>6.5300000000000004E-7</v>
      </c>
      <c r="F927" s="76">
        <v>2.8599999999999999E-7</v>
      </c>
      <c r="G927" s="76">
        <v>0</v>
      </c>
      <c r="H927" s="76">
        <v>0</v>
      </c>
      <c r="I927" s="76">
        <v>0</v>
      </c>
      <c r="J927" s="76">
        <v>9.6700000000000002E-7</v>
      </c>
      <c r="K927" s="76">
        <v>1.6199999999999999E-6</v>
      </c>
      <c r="L927" s="76">
        <v>1.31E-6</v>
      </c>
      <c r="M927" s="76">
        <v>2.0599999999999999E-8</v>
      </c>
    </row>
    <row r="928" spans="3:13" x14ac:dyDescent="0.15">
      <c r="C928" s="76">
        <v>466</v>
      </c>
      <c r="D928" s="76">
        <v>0</v>
      </c>
      <c r="E928" s="76">
        <v>3.1800000000000002E-7</v>
      </c>
      <c r="F928" s="76">
        <v>0</v>
      </c>
      <c r="G928" s="76">
        <v>0</v>
      </c>
      <c r="H928" s="76">
        <v>0</v>
      </c>
      <c r="I928" s="76">
        <v>7.2499999999999994E-8</v>
      </c>
      <c r="J928" s="76">
        <v>9.4099999999999997E-7</v>
      </c>
      <c r="K928" s="76">
        <v>1.59E-6</v>
      </c>
      <c r="L928" s="76">
        <v>1.1799999999999999E-6</v>
      </c>
      <c r="M928" s="76">
        <v>7.9599999999999998E-8</v>
      </c>
    </row>
    <row r="929" spans="3:46" x14ac:dyDescent="0.15">
      <c r="C929" s="76">
        <v>468</v>
      </c>
      <c r="D929" s="76">
        <v>0</v>
      </c>
      <c r="E929" s="76">
        <v>3.6399999999999998E-7</v>
      </c>
      <c r="F929" s="76">
        <v>5.2000000000000002E-8</v>
      </c>
      <c r="G929" s="76">
        <v>0</v>
      </c>
      <c r="H929" s="76">
        <v>0</v>
      </c>
      <c r="I929" s="76">
        <v>3.8799999999999998E-7</v>
      </c>
      <c r="J929" s="76">
        <v>7.2399999999999997E-7</v>
      </c>
      <c r="K929" s="76">
        <v>1.1400000000000001E-6</v>
      </c>
      <c r="L929" s="76">
        <v>1.3799999999999999E-6</v>
      </c>
      <c r="M929" s="76">
        <v>5.2000000000000002E-8</v>
      </c>
    </row>
    <row r="930" spans="3:46" x14ac:dyDescent="0.15">
      <c r="C930" s="76">
        <v>470</v>
      </c>
      <c r="D930" s="76">
        <v>0</v>
      </c>
      <c r="E930" s="76">
        <v>4.7199999999999999E-7</v>
      </c>
      <c r="F930" s="76">
        <v>4.8E-8</v>
      </c>
      <c r="G930" s="76">
        <v>3.3799999999999998E-7</v>
      </c>
      <c r="H930" s="76">
        <v>6.7599999999999997E-8</v>
      </c>
      <c r="I930" s="76">
        <v>7.1399999999999996E-7</v>
      </c>
      <c r="J930" s="76">
        <v>1.3799999999999999E-6</v>
      </c>
      <c r="K930" s="76">
        <v>5.5899999999999996E-7</v>
      </c>
      <c r="L930" s="76">
        <v>7.8999999999999995E-7</v>
      </c>
      <c r="M930" s="76">
        <v>4.8E-8</v>
      </c>
    </row>
    <row r="931" spans="3:46" x14ac:dyDescent="0.15">
      <c r="C931" s="76">
        <v>472</v>
      </c>
      <c r="D931" s="76">
        <v>0</v>
      </c>
      <c r="E931" s="76">
        <v>6.4399999999999994E-8</v>
      </c>
      <c r="F931" s="76">
        <v>0</v>
      </c>
      <c r="G931" s="76">
        <v>1.61E-7</v>
      </c>
      <c r="H931" s="76">
        <v>3.2199999999999997E-8</v>
      </c>
      <c r="I931" s="76">
        <v>9.7300000000000004E-7</v>
      </c>
      <c r="J931" s="76">
        <v>1.4500000000000001E-6</v>
      </c>
      <c r="K931" s="76">
        <v>1.04E-6</v>
      </c>
      <c r="L931" s="76">
        <v>5.2499999999999995E-7</v>
      </c>
      <c r="M931" s="76">
        <v>0</v>
      </c>
    </row>
    <row r="932" spans="3:46" x14ac:dyDescent="0.15">
      <c r="C932" s="76">
        <v>474</v>
      </c>
      <c r="D932" s="76">
        <v>0</v>
      </c>
      <c r="E932" s="76">
        <v>0</v>
      </c>
      <c r="F932" s="76">
        <v>5.9100000000000004E-7</v>
      </c>
      <c r="G932" s="76">
        <v>9.8500000000000002E-8</v>
      </c>
      <c r="H932" s="76">
        <v>1.97E-7</v>
      </c>
      <c r="I932" s="76">
        <v>8.3699999999999999E-7</v>
      </c>
      <c r="J932" s="76">
        <v>1.28E-6</v>
      </c>
      <c r="K932" s="76">
        <v>3.77E-7</v>
      </c>
      <c r="L932" s="76">
        <v>1.0499999999999999E-6</v>
      </c>
      <c r="M932" s="76">
        <v>0</v>
      </c>
    </row>
    <row r="933" spans="3:46" x14ac:dyDescent="0.15">
      <c r="C933" s="76">
        <v>476</v>
      </c>
      <c r="D933" s="76">
        <v>0</v>
      </c>
      <c r="E933" s="76">
        <v>7.7899999999999997E-7</v>
      </c>
      <c r="F933" s="76">
        <v>2.3099999999999999E-7</v>
      </c>
      <c r="G933" s="76">
        <v>6.3099999999999999E-10</v>
      </c>
      <c r="H933" s="76">
        <v>1.98E-7</v>
      </c>
      <c r="I933" s="76">
        <v>1.4300000000000001E-6</v>
      </c>
      <c r="J933" s="76">
        <v>4.46E-7</v>
      </c>
      <c r="K933" s="76">
        <v>8.3399999999999998E-7</v>
      </c>
      <c r="L933" s="76">
        <v>7.9999999999999996E-7</v>
      </c>
      <c r="M933" s="76">
        <v>4.9200000000000001E-7</v>
      </c>
    </row>
    <row r="934" spans="3:46" x14ac:dyDescent="0.15">
      <c r="C934" s="76">
        <v>478</v>
      </c>
      <c r="D934" s="76">
        <v>0</v>
      </c>
      <c r="E934" s="76">
        <v>4.9699999999999996E-7</v>
      </c>
      <c r="F934" s="76">
        <v>1.66E-7</v>
      </c>
      <c r="G934" s="76">
        <v>3.0600000000000003E-8</v>
      </c>
      <c r="H934" s="76">
        <v>0</v>
      </c>
      <c r="I934" s="76">
        <v>3.1E-7</v>
      </c>
      <c r="J934" s="76">
        <v>4.32E-7</v>
      </c>
      <c r="K934" s="76">
        <v>2.4900000000000002E-7</v>
      </c>
      <c r="L934" s="76">
        <v>8.8599999999999997E-7</v>
      </c>
      <c r="M934" s="76">
        <v>0</v>
      </c>
    </row>
    <row r="935" spans="3:46" x14ac:dyDescent="0.15">
      <c r="C935" s="76">
        <v>480</v>
      </c>
      <c r="D935" s="76">
        <v>4.5900000000000001E-8</v>
      </c>
      <c r="E935" s="76">
        <v>0</v>
      </c>
      <c r="F935" s="76">
        <v>3.6699999999999999E-7</v>
      </c>
      <c r="G935" s="76">
        <v>2.96E-7</v>
      </c>
      <c r="H935" s="76">
        <v>2.7500000000000001E-7</v>
      </c>
      <c r="I935" s="76">
        <v>4.0900000000000002E-7</v>
      </c>
      <c r="J935" s="76">
        <v>6.2900000000000003E-7</v>
      </c>
      <c r="K935" s="76">
        <v>0</v>
      </c>
      <c r="L935" s="76">
        <v>9.4200000000000004E-7</v>
      </c>
      <c r="M935" s="76">
        <v>0</v>
      </c>
    </row>
    <row r="936" spans="3:46" x14ac:dyDescent="0.15">
      <c r="C936" s="76">
        <v>482</v>
      </c>
      <c r="D936" s="76">
        <v>5.0799999999999998E-8</v>
      </c>
      <c r="E936" s="76">
        <v>2.4400000000000001E-7</v>
      </c>
      <c r="F936" s="76">
        <v>5.2799999999999996E-7</v>
      </c>
      <c r="G936" s="76">
        <v>3.7599999999999998E-7</v>
      </c>
      <c r="H936" s="76">
        <v>3.0499999999999999E-7</v>
      </c>
      <c r="I936" s="76">
        <v>9.7600000000000006E-7</v>
      </c>
      <c r="J936" s="76">
        <v>4.9800000000000004E-7</v>
      </c>
      <c r="K936" s="76">
        <v>0</v>
      </c>
      <c r="L936" s="76">
        <v>4.27E-7</v>
      </c>
      <c r="M936" s="76">
        <v>0</v>
      </c>
    </row>
    <row r="937" spans="3:46" x14ac:dyDescent="0.15">
      <c r="C937" s="81">
        <v>484</v>
      </c>
      <c r="D937" s="76">
        <v>0</v>
      </c>
      <c r="E937" s="76">
        <v>1.4000000000000001E-7</v>
      </c>
      <c r="F937" s="76">
        <v>6.7599999999999997E-7</v>
      </c>
      <c r="G937" s="76">
        <v>5.2499999999999995E-7</v>
      </c>
      <c r="H937" s="81">
        <v>5.3099999999999998E-7</v>
      </c>
      <c r="I937" s="76">
        <v>5.3600000000000004E-7</v>
      </c>
      <c r="J937" s="76">
        <v>5.1900000000000003E-7</v>
      </c>
      <c r="K937" s="76">
        <v>0</v>
      </c>
      <c r="L937" s="81">
        <v>1.4600000000000001E-7</v>
      </c>
      <c r="M937" s="76">
        <v>0</v>
      </c>
      <c r="N937" s="81"/>
      <c r="T937" s="81"/>
      <c r="W937" s="81"/>
      <c r="AG937" s="81"/>
      <c r="AT937" s="81"/>
    </row>
    <row r="938" spans="3:46" x14ac:dyDescent="0.15">
      <c r="C938" s="81">
        <v>486</v>
      </c>
      <c r="D938" s="76">
        <v>0</v>
      </c>
      <c r="E938" s="76">
        <v>6.3200000000000005E-7</v>
      </c>
      <c r="F938" s="76">
        <v>1.55E-7</v>
      </c>
      <c r="G938" s="76">
        <v>9.2900000000000002E-7</v>
      </c>
      <c r="H938" s="81">
        <v>1.35E-7</v>
      </c>
      <c r="I938" s="76">
        <v>8.5199999999999995E-7</v>
      </c>
      <c r="J938" s="76">
        <v>9.6600000000000005E-8</v>
      </c>
      <c r="K938" s="76">
        <v>0</v>
      </c>
      <c r="L938" s="81">
        <v>1.9300000000000001E-8</v>
      </c>
      <c r="M938" s="76">
        <v>0</v>
      </c>
      <c r="N938" s="81"/>
      <c r="T938" s="81"/>
      <c r="W938" s="81"/>
      <c r="AG938" s="81"/>
      <c r="AT938" s="81"/>
    </row>
    <row r="939" spans="3:46" x14ac:dyDescent="0.15">
      <c r="C939" s="81">
        <v>488</v>
      </c>
      <c r="D939" s="76">
        <v>6.6699999999999995E-8</v>
      </c>
      <c r="E939" s="76">
        <v>2.7800000000000001E-8</v>
      </c>
      <c r="F939" s="76">
        <v>5.0900000000000002E-7</v>
      </c>
      <c r="G939" s="76">
        <v>1.11E-6</v>
      </c>
      <c r="H939" s="81">
        <v>0</v>
      </c>
      <c r="I939" s="76">
        <v>1.36E-7</v>
      </c>
      <c r="J939" s="76">
        <v>1.15E-7</v>
      </c>
      <c r="K939" s="76">
        <v>0</v>
      </c>
      <c r="L939" s="81">
        <v>2.1899999999999999E-7</v>
      </c>
      <c r="M939" s="76">
        <v>0</v>
      </c>
      <c r="N939" s="81"/>
      <c r="T939" s="81"/>
      <c r="W939" s="81"/>
      <c r="AG939" s="81"/>
      <c r="AT939" s="81"/>
    </row>
    <row r="940" spans="3:46" x14ac:dyDescent="0.15">
      <c r="C940" s="81">
        <v>490</v>
      </c>
      <c r="D940" s="76">
        <v>4.8500000000000002E-7</v>
      </c>
      <c r="E940" s="76">
        <v>0</v>
      </c>
      <c r="F940" s="76">
        <v>3.4900000000000001E-7</v>
      </c>
      <c r="G940" s="76">
        <v>4.82E-7</v>
      </c>
      <c r="H940" s="81">
        <v>0</v>
      </c>
      <c r="I940" s="76">
        <v>8.5700000000000001E-7</v>
      </c>
      <c r="J940" s="76">
        <v>2.3900000000000001E-7</v>
      </c>
      <c r="K940" s="76">
        <v>0</v>
      </c>
      <c r="L940" s="81">
        <v>2.4200000000000002E-7</v>
      </c>
      <c r="M940" s="76">
        <v>0</v>
      </c>
      <c r="N940" s="81"/>
      <c r="T940" s="81"/>
      <c r="W940" s="81"/>
      <c r="AG940" s="81"/>
      <c r="AT940" s="81"/>
    </row>
    <row r="941" spans="3:46" x14ac:dyDescent="0.15">
      <c r="C941" s="81">
        <v>492</v>
      </c>
      <c r="D941" s="76">
        <v>8.0999999999999997E-8</v>
      </c>
      <c r="E941" s="76">
        <v>0</v>
      </c>
      <c r="F941" s="76">
        <v>6.5E-8</v>
      </c>
      <c r="G941" s="76">
        <v>4.3799999999999998E-7</v>
      </c>
      <c r="H941" s="81">
        <v>0</v>
      </c>
      <c r="I941" s="76">
        <v>5.2799999999999996E-7</v>
      </c>
      <c r="J941" s="76">
        <v>2.7599999999999998E-7</v>
      </c>
      <c r="K941" s="76">
        <v>0</v>
      </c>
      <c r="L941" s="81">
        <v>0</v>
      </c>
      <c r="M941" s="76">
        <v>0</v>
      </c>
      <c r="N941" s="81"/>
      <c r="T941" s="81"/>
      <c r="W941" s="81"/>
      <c r="AG941" s="81"/>
      <c r="AT941" s="81"/>
    </row>
    <row r="942" spans="3:46" x14ac:dyDescent="0.15">
      <c r="C942" s="81">
        <v>494</v>
      </c>
      <c r="D942" s="76">
        <v>9.9E-8</v>
      </c>
      <c r="E942" s="76">
        <v>3.8200000000000001E-7</v>
      </c>
      <c r="F942" s="76">
        <v>0</v>
      </c>
      <c r="G942" s="76">
        <v>1.17E-6</v>
      </c>
      <c r="H942" s="81">
        <v>0</v>
      </c>
      <c r="I942" s="76">
        <v>3.0199999999999998E-7</v>
      </c>
      <c r="J942" s="76">
        <v>2.0800000000000001E-7</v>
      </c>
      <c r="K942" s="76">
        <v>0</v>
      </c>
      <c r="L942" s="81">
        <v>0</v>
      </c>
      <c r="M942" s="76">
        <v>0</v>
      </c>
      <c r="N942" s="81"/>
      <c r="T942" s="81"/>
      <c r="W942" s="81"/>
      <c r="AG942" s="81"/>
      <c r="AT942" s="81"/>
    </row>
    <row r="943" spans="3:46" x14ac:dyDescent="0.15">
      <c r="C943" s="81">
        <v>496</v>
      </c>
      <c r="D943" s="76">
        <v>1.37E-7</v>
      </c>
      <c r="E943" s="76">
        <v>7.2200000000000003E-7</v>
      </c>
      <c r="F943" s="76">
        <v>0</v>
      </c>
      <c r="G943" s="76">
        <v>6.1999999999999999E-7</v>
      </c>
      <c r="H943" s="81">
        <v>0</v>
      </c>
      <c r="I943" s="76">
        <v>3.7800000000000002E-7</v>
      </c>
      <c r="J943" s="76">
        <v>6.8900000000000002E-8</v>
      </c>
      <c r="K943" s="76">
        <v>0</v>
      </c>
      <c r="L943" s="81">
        <v>3.4400000000000001E-7</v>
      </c>
      <c r="M943" s="76">
        <v>0</v>
      </c>
      <c r="N943" s="81"/>
      <c r="T943" s="81"/>
      <c r="W943" s="81"/>
      <c r="AG943" s="81"/>
      <c r="AT943" s="81"/>
    </row>
    <row r="944" spans="3:46" x14ac:dyDescent="0.15">
      <c r="C944" s="81">
        <v>498</v>
      </c>
      <c r="D944" s="76">
        <v>1.2100000000000001E-7</v>
      </c>
      <c r="E944" s="76">
        <v>1.37E-7</v>
      </c>
      <c r="F944" s="76">
        <v>0</v>
      </c>
      <c r="G944" s="76">
        <v>2.6600000000000003E-7</v>
      </c>
      <c r="H944" s="81">
        <v>0</v>
      </c>
      <c r="I944" s="76">
        <v>1.4100000000000001E-6</v>
      </c>
      <c r="J944" s="76">
        <v>0</v>
      </c>
      <c r="K944" s="76">
        <v>0</v>
      </c>
      <c r="L944" s="81">
        <v>9.7899999999999997E-8</v>
      </c>
      <c r="M944" s="76">
        <v>0</v>
      </c>
      <c r="N944" s="81"/>
      <c r="T944" s="81"/>
      <c r="W944" s="81"/>
      <c r="AG944" s="81"/>
      <c r="AT944" s="81"/>
    </row>
    <row r="945" spans="3:56" x14ac:dyDescent="0.15">
      <c r="C945" s="81">
        <v>500</v>
      </c>
      <c r="D945" s="76">
        <v>9.1200000000000001E-7</v>
      </c>
      <c r="E945" s="76">
        <v>1.6899999999999999E-7</v>
      </c>
      <c r="F945" s="76">
        <v>0</v>
      </c>
      <c r="G945" s="76">
        <v>4.6100000000000001E-7</v>
      </c>
      <c r="H945" s="81">
        <v>0</v>
      </c>
      <c r="I945" s="76">
        <v>1.2700000000000001E-7</v>
      </c>
      <c r="J945" s="76">
        <v>0</v>
      </c>
      <c r="K945" s="76">
        <v>0</v>
      </c>
      <c r="L945" s="81">
        <v>0</v>
      </c>
      <c r="M945" s="76">
        <v>0</v>
      </c>
      <c r="N945" s="81"/>
      <c r="T945" s="81"/>
      <c r="W945" s="81"/>
      <c r="AG945" s="81"/>
      <c r="AT945" s="81"/>
    </row>
    <row r="946" spans="3:56" x14ac:dyDescent="0.15">
      <c r="C946" s="81">
        <v>502</v>
      </c>
      <c r="D946" s="76">
        <v>3.77E-7</v>
      </c>
      <c r="E946" s="76">
        <v>8.4099999999999997E-7</v>
      </c>
      <c r="F946" s="76">
        <v>0</v>
      </c>
      <c r="G946" s="76">
        <v>8.9899999999999999E-7</v>
      </c>
      <c r="H946" s="81">
        <v>0</v>
      </c>
      <c r="I946" s="76">
        <v>4.7E-7</v>
      </c>
      <c r="J946" s="76">
        <v>0</v>
      </c>
      <c r="K946" s="76">
        <v>0</v>
      </c>
      <c r="L946" s="81">
        <v>0</v>
      </c>
      <c r="M946" s="76">
        <v>0</v>
      </c>
      <c r="N946" s="81"/>
      <c r="T946" s="81"/>
      <c r="W946" s="81"/>
      <c r="AG946" s="81"/>
      <c r="AT946" s="81"/>
    </row>
    <row r="947" spans="3:56" x14ac:dyDescent="0.15">
      <c r="C947" s="81">
        <v>504</v>
      </c>
      <c r="D947" s="76">
        <v>7.3199999999999994E-8</v>
      </c>
      <c r="E947" s="76">
        <v>4.58E-7</v>
      </c>
      <c r="F947" s="76">
        <v>0</v>
      </c>
      <c r="G947" s="76">
        <v>2.8999999999999998E-7</v>
      </c>
      <c r="H947" s="81">
        <v>0</v>
      </c>
      <c r="I947" s="76">
        <v>2.41E-7</v>
      </c>
      <c r="J947" s="76">
        <v>0</v>
      </c>
      <c r="K947" s="76">
        <v>0</v>
      </c>
      <c r="L947" s="81">
        <v>0</v>
      </c>
      <c r="M947" s="76">
        <v>3.6599999999999997E-8</v>
      </c>
      <c r="N947" s="81"/>
      <c r="T947" s="81"/>
      <c r="W947" s="81"/>
      <c r="AG947" s="81"/>
      <c r="AT947" s="81"/>
    </row>
    <row r="948" spans="3:56" x14ac:dyDescent="0.15">
      <c r="C948" s="81">
        <v>506</v>
      </c>
      <c r="D948" s="76">
        <v>1.4000000000000001E-7</v>
      </c>
      <c r="E948" s="76">
        <v>1.4499999999999999E-7</v>
      </c>
      <c r="F948" s="76">
        <v>0</v>
      </c>
      <c r="G948" s="76">
        <v>8.3099999999999996E-7</v>
      </c>
      <c r="H948" s="81">
        <v>0</v>
      </c>
      <c r="I948" s="76">
        <v>0</v>
      </c>
      <c r="J948" s="76">
        <v>0</v>
      </c>
      <c r="K948" s="76">
        <v>0</v>
      </c>
      <c r="L948" s="81">
        <v>0</v>
      </c>
      <c r="M948" s="76">
        <v>4.5499999999999997E-8</v>
      </c>
      <c r="N948" s="81"/>
      <c r="T948" s="81"/>
      <c r="W948" s="81"/>
      <c r="AG948" s="81"/>
      <c r="AT948" s="81"/>
    </row>
    <row r="949" spans="3:56" x14ac:dyDescent="0.15">
      <c r="C949" s="81">
        <v>508</v>
      </c>
      <c r="D949" s="76">
        <v>5.8899999999999999E-7</v>
      </c>
      <c r="E949" s="76">
        <v>6.2299999999999995E-8</v>
      </c>
      <c r="F949" s="76">
        <v>0</v>
      </c>
      <c r="G949" s="76">
        <v>8.0800000000000004E-7</v>
      </c>
      <c r="H949" s="81">
        <v>0</v>
      </c>
      <c r="I949" s="76">
        <v>2.48E-7</v>
      </c>
      <c r="J949" s="76">
        <v>0</v>
      </c>
      <c r="K949" s="76">
        <v>0</v>
      </c>
      <c r="L949" s="81">
        <v>0</v>
      </c>
      <c r="M949" s="76">
        <v>0</v>
      </c>
      <c r="N949" s="81"/>
      <c r="T949" s="81"/>
      <c r="W949" s="81"/>
      <c r="AG949" s="81"/>
      <c r="AT949" s="81"/>
    </row>
    <row r="950" spans="3:56" x14ac:dyDescent="0.15">
      <c r="C950" s="81">
        <v>510</v>
      </c>
      <c r="D950" s="76">
        <v>5.9999999999999997E-7</v>
      </c>
      <c r="E950" s="76">
        <v>5.1699999999999998E-7</v>
      </c>
      <c r="F950" s="76">
        <v>0</v>
      </c>
      <c r="G950" s="76">
        <v>9.1699999999999997E-7</v>
      </c>
      <c r="H950" s="81">
        <v>0</v>
      </c>
      <c r="I950" s="76">
        <v>1.43E-7</v>
      </c>
      <c r="J950" s="76">
        <v>0</v>
      </c>
      <c r="K950" s="76">
        <v>0</v>
      </c>
      <c r="L950" s="81">
        <v>0</v>
      </c>
      <c r="M950" s="76">
        <v>7.3900000000000004E-7</v>
      </c>
      <c r="N950" s="81"/>
      <c r="T950" s="81"/>
      <c r="W950" s="81"/>
      <c r="AG950" s="81"/>
      <c r="AT950" s="81"/>
    </row>
    <row r="951" spans="3:56" x14ac:dyDescent="0.15">
      <c r="C951" s="81">
        <v>512</v>
      </c>
      <c r="D951" s="81">
        <v>5.0699999999999997E-8</v>
      </c>
      <c r="E951" s="81">
        <v>4.5200000000000002E-7</v>
      </c>
      <c r="F951" s="81">
        <v>0</v>
      </c>
      <c r="G951" s="81">
        <v>3.0800000000000001E-7</v>
      </c>
      <c r="H951" s="81">
        <v>0</v>
      </c>
      <c r="I951" s="81">
        <v>2.3200000000000001E-7</v>
      </c>
      <c r="J951" s="81">
        <v>8.8400000000000001E-9</v>
      </c>
      <c r="K951" s="81">
        <v>0</v>
      </c>
      <c r="L951" s="81">
        <v>0</v>
      </c>
      <c r="M951" s="81">
        <v>1.02E-7</v>
      </c>
      <c r="N951" s="81"/>
      <c r="O951" s="81"/>
      <c r="P951" s="81"/>
      <c r="Q951" s="81"/>
      <c r="R951" s="81"/>
      <c r="S951" s="81"/>
      <c r="T951" s="81"/>
      <c r="U951" s="81"/>
      <c r="V951" s="81"/>
      <c r="W951" s="81"/>
      <c r="X951" s="81"/>
      <c r="Y951" s="81"/>
      <c r="Z951" s="81"/>
      <c r="AA951" s="81"/>
      <c r="AB951" s="81"/>
      <c r="AC951" s="81"/>
      <c r="AD951" s="81"/>
      <c r="AG951" s="81"/>
      <c r="AH951" s="81"/>
      <c r="AI951" s="81"/>
      <c r="AJ951" s="81"/>
      <c r="AK951" s="81"/>
      <c r="AL951" s="81"/>
      <c r="AM951" s="81"/>
      <c r="AN951" s="81"/>
      <c r="AO951" s="81"/>
      <c r="AP951" s="81"/>
      <c r="AQ951" s="81"/>
      <c r="AT951" s="81"/>
      <c r="AU951" s="81"/>
      <c r="AV951" s="81"/>
      <c r="AW951" s="81"/>
      <c r="AX951" s="81"/>
      <c r="AY951" s="81"/>
      <c r="AZ951" s="81"/>
      <c r="BA951" s="81"/>
      <c r="BB951" s="81"/>
      <c r="BC951" s="81"/>
      <c r="BD951" s="81"/>
    </row>
    <row r="952" spans="3:56" x14ac:dyDescent="0.15">
      <c r="C952" s="81">
        <v>514</v>
      </c>
      <c r="D952" s="76">
        <v>1.97E-7</v>
      </c>
      <c r="E952" s="76">
        <v>4.9800000000000004E-7</v>
      </c>
      <c r="F952" s="76">
        <v>0</v>
      </c>
      <c r="G952" s="76">
        <v>2.6199999999999999E-7</v>
      </c>
      <c r="H952" s="81">
        <v>0</v>
      </c>
      <c r="I952" s="76">
        <v>2.1299999999999999E-8</v>
      </c>
      <c r="J952" s="76">
        <v>6.5499999999999998E-8</v>
      </c>
      <c r="K952" s="76">
        <v>0</v>
      </c>
      <c r="L952" s="81">
        <v>0</v>
      </c>
      <c r="M952" s="76">
        <v>7.3499999999999995E-7</v>
      </c>
      <c r="N952" s="81"/>
      <c r="T952" s="81"/>
      <c r="W952" s="81"/>
      <c r="AG952" s="81"/>
      <c r="AT952" s="81"/>
    </row>
    <row r="953" spans="3:56" x14ac:dyDescent="0.15">
      <c r="C953" s="76">
        <v>516</v>
      </c>
      <c r="D953" s="76">
        <v>1.66E-7</v>
      </c>
      <c r="E953" s="76">
        <v>6.13E-7</v>
      </c>
      <c r="F953" s="76">
        <v>3.32E-8</v>
      </c>
      <c r="G953" s="76">
        <v>1.3300000000000001E-7</v>
      </c>
      <c r="H953" s="76">
        <v>0</v>
      </c>
      <c r="I953" s="76">
        <v>5.17E-8</v>
      </c>
      <c r="J953" s="76">
        <v>9.9699999999999999E-8</v>
      </c>
      <c r="K953" s="76">
        <v>0</v>
      </c>
      <c r="L953" s="76">
        <v>0</v>
      </c>
      <c r="M953" s="76">
        <v>8.7199999999999997E-7</v>
      </c>
    </row>
    <row r="954" spans="3:56" x14ac:dyDescent="0.15">
      <c r="C954" s="76">
        <v>518</v>
      </c>
      <c r="D954" s="76">
        <v>5.5000000000000003E-7</v>
      </c>
      <c r="E954" s="76">
        <v>4.9999999999999998E-7</v>
      </c>
      <c r="F954" s="76">
        <v>3.8500000000000001E-8</v>
      </c>
      <c r="G954" s="76">
        <v>2.8799999999999998E-7</v>
      </c>
      <c r="H954" s="76">
        <v>8.9500000000000001E-8</v>
      </c>
      <c r="I954" s="76">
        <v>0</v>
      </c>
      <c r="J954" s="76">
        <v>1.1600000000000001E-7</v>
      </c>
      <c r="K954" s="76">
        <v>6.2600000000000002E-7</v>
      </c>
      <c r="L954" s="76">
        <v>0</v>
      </c>
      <c r="M954" s="76">
        <v>6.7899999999999998E-7</v>
      </c>
    </row>
    <row r="955" spans="3:56" x14ac:dyDescent="0.15">
      <c r="C955" s="76">
        <v>520</v>
      </c>
      <c r="D955" s="76">
        <v>4.3000000000000001E-7</v>
      </c>
      <c r="E955" s="76">
        <v>1.55E-7</v>
      </c>
      <c r="F955" s="76">
        <v>0</v>
      </c>
      <c r="G955" s="76">
        <v>7.7499999999999999E-8</v>
      </c>
      <c r="H955" s="76">
        <v>4.9900000000000001E-7</v>
      </c>
      <c r="I955" s="76">
        <v>0</v>
      </c>
      <c r="J955" s="76">
        <v>5.5899999999999998E-8</v>
      </c>
      <c r="K955" s="76">
        <v>1.0300000000000001E-6</v>
      </c>
      <c r="L955" s="76">
        <v>0</v>
      </c>
      <c r="M955" s="76">
        <v>7.0500000000000003E-7</v>
      </c>
    </row>
    <row r="956" spans="3:56" x14ac:dyDescent="0.15">
      <c r="C956" s="76">
        <v>522</v>
      </c>
      <c r="D956" s="76">
        <v>1.8799999999999999E-7</v>
      </c>
      <c r="E956" s="76">
        <v>0</v>
      </c>
      <c r="F956" s="76">
        <v>0</v>
      </c>
      <c r="G956" s="76">
        <v>0</v>
      </c>
      <c r="H956" s="76">
        <v>5.0900000000000002E-7</v>
      </c>
      <c r="I956" s="76">
        <v>0</v>
      </c>
      <c r="J956" s="76">
        <v>4.1399999999999997E-7</v>
      </c>
      <c r="K956" s="76">
        <v>1.6299999999999999E-7</v>
      </c>
      <c r="L956" s="76">
        <v>0</v>
      </c>
      <c r="M956" s="76">
        <v>3.0800000000000001E-7</v>
      </c>
    </row>
    <row r="957" spans="3:56" x14ac:dyDescent="0.15">
      <c r="C957" s="76">
        <v>524</v>
      </c>
      <c r="D957" s="76">
        <v>6.8299999999999996E-7</v>
      </c>
      <c r="E957" s="76">
        <v>0</v>
      </c>
      <c r="F957" s="76">
        <v>0</v>
      </c>
      <c r="G957" s="76">
        <v>0</v>
      </c>
      <c r="H957" s="76">
        <v>8.23E-7</v>
      </c>
      <c r="I957" s="76">
        <v>7.9399999999999996E-8</v>
      </c>
      <c r="J957" s="76">
        <v>4.1199999999999998E-7</v>
      </c>
      <c r="K957" s="76">
        <v>4.9600000000000001E-8</v>
      </c>
      <c r="L957" s="76">
        <v>0</v>
      </c>
      <c r="M957" s="76">
        <v>5.2600000000000002E-7</v>
      </c>
    </row>
    <row r="958" spans="3:56" x14ac:dyDescent="0.15">
      <c r="C958" s="76">
        <v>526</v>
      </c>
      <c r="D958" s="76">
        <v>1.1999999999999999E-7</v>
      </c>
      <c r="E958" s="76">
        <v>0</v>
      </c>
      <c r="F958" s="76">
        <v>6.36E-8</v>
      </c>
      <c r="G958" s="76">
        <v>2.1200000000000001E-8</v>
      </c>
      <c r="H958" s="76">
        <v>3.3200000000000001E-7</v>
      </c>
      <c r="I958" s="76">
        <v>4.6899999999999998E-7</v>
      </c>
      <c r="J958" s="76">
        <v>2.3300000000000001E-7</v>
      </c>
      <c r="K958" s="76">
        <v>2.8000000000000002E-7</v>
      </c>
      <c r="L958" s="76">
        <v>0</v>
      </c>
      <c r="M958" s="76">
        <v>9.9000000000000005E-7</v>
      </c>
    </row>
    <row r="959" spans="3:56" x14ac:dyDescent="0.15">
      <c r="C959" s="76">
        <v>528</v>
      </c>
      <c r="D959" s="76">
        <v>2.28E-7</v>
      </c>
      <c r="E959" s="76">
        <v>1.61E-7</v>
      </c>
      <c r="F959" s="76">
        <v>2.6E-7</v>
      </c>
      <c r="G959" s="76">
        <v>4.3800000000000002E-8</v>
      </c>
      <c r="H959" s="76">
        <v>1.31E-6</v>
      </c>
      <c r="I959" s="76">
        <v>4.3800000000000002E-8</v>
      </c>
      <c r="J959" s="76">
        <v>6.7400000000000003E-7</v>
      </c>
      <c r="K959" s="76">
        <v>0</v>
      </c>
      <c r="L959" s="76">
        <v>0</v>
      </c>
      <c r="M959" s="76">
        <v>8.8199999999999998E-7</v>
      </c>
    </row>
    <row r="960" spans="3:56" x14ac:dyDescent="0.15">
      <c r="C960" s="76">
        <v>530</v>
      </c>
      <c r="D960" s="76">
        <v>2.23E-7</v>
      </c>
      <c r="E960" s="76">
        <v>1.5900000000000001E-7</v>
      </c>
      <c r="F960" s="76">
        <v>1.6999999999999999E-7</v>
      </c>
      <c r="G960" s="76">
        <v>0</v>
      </c>
      <c r="H960" s="76">
        <v>7.3200000000000004E-7</v>
      </c>
      <c r="I960" s="76">
        <v>0</v>
      </c>
      <c r="J960" s="76">
        <v>3.1899999999999998E-7</v>
      </c>
      <c r="K960" s="76">
        <v>2.9799999999999999E-7</v>
      </c>
      <c r="L960" s="76">
        <v>0</v>
      </c>
      <c r="M960" s="76">
        <v>5.2099999999999997E-7</v>
      </c>
    </row>
    <row r="961" spans="3:13" x14ac:dyDescent="0.15">
      <c r="C961" s="76">
        <v>532</v>
      </c>
      <c r="D961" s="76">
        <v>6.0800000000000002E-8</v>
      </c>
      <c r="E961" s="76">
        <v>1.5800000000000001E-7</v>
      </c>
      <c r="F961" s="76">
        <v>4.9399999999999995E-7</v>
      </c>
      <c r="G961" s="76">
        <v>0</v>
      </c>
      <c r="H961" s="76">
        <v>7.3799999999999996E-7</v>
      </c>
      <c r="I961" s="76">
        <v>0</v>
      </c>
      <c r="J961" s="76">
        <v>7.9800000000000003E-7</v>
      </c>
      <c r="K961" s="76">
        <v>8.8000000000000004E-7</v>
      </c>
      <c r="L961" s="76">
        <v>0</v>
      </c>
      <c r="M961" s="76">
        <v>9.3200000000000003E-7</v>
      </c>
    </row>
    <row r="962" spans="3:13" x14ac:dyDescent="0.15">
      <c r="C962" s="76">
        <v>534</v>
      </c>
      <c r="D962" s="76">
        <v>4.2500000000000001E-7</v>
      </c>
      <c r="E962" s="76">
        <v>3.9299999999999999E-7</v>
      </c>
      <c r="F962" s="76">
        <v>3.2800000000000003E-7</v>
      </c>
      <c r="G962" s="76">
        <v>3.6399999999999998E-7</v>
      </c>
      <c r="H962" s="76">
        <v>5.0500000000000004E-7</v>
      </c>
      <c r="I962" s="76">
        <v>0</v>
      </c>
      <c r="J962" s="76">
        <v>1.4100000000000001E-7</v>
      </c>
      <c r="K962" s="76">
        <v>1.11E-6</v>
      </c>
      <c r="L962" s="76">
        <v>0</v>
      </c>
      <c r="M962" s="76">
        <v>9.8700000000000004E-7</v>
      </c>
    </row>
    <row r="963" spans="3:13" x14ac:dyDescent="0.15">
      <c r="C963" s="76">
        <v>536</v>
      </c>
      <c r="D963" s="76">
        <v>0</v>
      </c>
      <c r="E963" s="76">
        <v>5.7700000000000001E-8</v>
      </c>
      <c r="F963" s="76">
        <v>1.15E-7</v>
      </c>
      <c r="G963" s="76">
        <v>3.62E-8</v>
      </c>
      <c r="H963" s="76">
        <v>5.3399999999999999E-7</v>
      </c>
      <c r="I963" s="76">
        <v>0</v>
      </c>
      <c r="J963" s="76">
        <v>5.0999999999999999E-7</v>
      </c>
      <c r="K963" s="76">
        <v>7.4799999999999997E-7</v>
      </c>
      <c r="L963" s="76">
        <v>0</v>
      </c>
      <c r="M963" s="76">
        <v>1.3300000000000001E-7</v>
      </c>
    </row>
    <row r="964" spans="3:13" x14ac:dyDescent="0.15">
      <c r="C964" s="76">
        <v>538</v>
      </c>
      <c r="D964" s="76">
        <v>0</v>
      </c>
      <c r="E964" s="76">
        <v>0</v>
      </c>
      <c r="F964" s="76">
        <v>2.22E-8</v>
      </c>
      <c r="G964" s="76">
        <v>1.3899999999999999E-7</v>
      </c>
      <c r="H964" s="76">
        <v>5.0100000000000005E-7</v>
      </c>
      <c r="I964" s="76">
        <v>0</v>
      </c>
      <c r="J964" s="76">
        <v>2.7399999999999999E-7</v>
      </c>
      <c r="K964" s="76">
        <v>1.28E-6</v>
      </c>
      <c r="L964" s="76">
        <v>0</v>
      </c>
      <c r="M964" s="76">
        <v>5.7700000000000004E-7</v>
      </c>
    </row>
    <row r="965" spans="3:13" x14ac:dyDescent="0.15">
      <c r="C965" s="76">
        <v>540</v>
      </c>
      <c r="D965" s="76">
        <v>0</v>
      </c>
      <c r="E965" s="76">
        <v>0</v>
      </c>
      <c r="F965" s="76">
        <v>1.3199999999999999E-7</v>
      </c>
      <c r="G965" s="76">
        <v>0</v>
      </c>
      <c r="H965" s="76">
        <v>3.5499999999999999E-7</v>
      </c>
      <c r="I965" s="76">
        <v>0</v>
      </c>
      <c r="J965" s="76">
        <v>3.6699999999999999E-7</v>
      </c>
      <c r="K965" s="76">
        <v>1.0899999999999999E-6</v>
      </c>
      <c r="L965" s="76">
        <v>9.6600000000000005E-8</v>
      </c>
      <c r="M965" s="76">
        <v>2.9999999999999999E-7</v>
      </c>
    </row>
    <row r="966" spans="3:13" x14ac:dyDescent="0.15">
      <c r="C966" s="76">
        <v>542</v>
      </c>
      <c r="D966" s="76">
        <v>0</v>
      </c>
      <c r="E966" s="76">
        <v>1.6899999999999999E-7</v>
      </c>
      <c r="F966" s="76">
        <v>3.7E-7</v>
      </c>
      <c r="G966" s="76">
        <v>0</v>
      </c>
      <c r="H966" s="76">
        <v>7.5899999999999995E-7</v>
      </c>
      <c r="I966" s="76">
        <v>0</v>
      </c>
      <c r="J966" s="76">
        <v>6.3900000000000004E-7</v>
      </c>
      <c r="K966" s="76">
        <v>1.19E-6</v>
      </c>
      <c r="L966" s="76">
        <v>7.4999999999999997E-8</v>
      </c>
      <c r="M966" s="76">
        <v>3.6100000000000002E-7</v>
      </c>
    </row>
    <row r="967" spans="3:13" x14ac:dyDescent="0.15">
      <c r="C967" s="76">
        <v>544</v>
      </c>
      <c r="D967" s="76">
        <v>5.2299999999999998E-8</v>
      </c>
      <c r="E967" s="76">
        <v>1.6400000000000001E-7</v>
      </c>
      <c r="F967" s="76">
        <v>5.7400000000000003E-7</v>
      </c>
      <c r="G967" s="76">
        <v>0</v>
      </c>
      <c r="H967" s="76">
        <v>1.0499999999999999E-6</v>
      </c>
      <c r="I967" s="76">
        <v>0</v>
      </c>
      <c r="J967" s="76">
        <v>1.6199999999999999E-7</v>
      </c>
      <c r="K967" s="76">
        <v>9.2200000000000002E-7</v>
      </c>
      <c r="L967" s="76">
        <v>0</v>
      </c>
      <c r="M967" s="76">
        <v>4.4000000000000002E-7</v>
      </c>
    </row>
    <row r="968" spans="3:13" x14ac:dyDescent="0.15">
      <c r="C968" s="76">
        <v>546</v>
      </c>
      <c r="D968" s="76">
        <v>4.49E-9</v>
      </c>
      <c r="E968" s="76">
        <v>3.5600000000000001E-7</v>
      </c>
      <c r="F968" s="76">
        <v>1.02E-6</v>
      </c>
      <c r="G968" s="76">
        <v>0</v>
      </c>
      <c r="H968" s="76">
        <v>9.6299999999999995E-8</v>
      </c>
      <c r="I968" s="76">
        <v>0</v>
      </c>
      <c r="J968" s="76">
        <v>0</v>
      </c>
      <c r="K968" s="76">
        <v>1.04E-6</v>
      </c>
      <c r="L968" s="76">
        <v>1.6E-7</v>
      </c>
      <c r="M968" s="76">
        <v>6.6199999999999997E-8</v>
      </c>
    </row>
    <row r="969" spans="3:13" x14ac:dyDescent="0.15">
      <c r="C969" s="76">
        <v>548</v>
      </c>
      <c r="D969" s="76">
        <v>0</v>
      </c>
      <c r="E969" s="76">
        <v>1.6500000000000001E-7</v>
      </c>
      <c r="F969" s="76">
        <v>1.8400000000000001E-7</v>
      </c>
      <c r="G969" s="76">
        <v>0</v>
      </c>
      <c r="H969" s="76">
        <v>3.7E-7</v>
      </c>
      <c r="I969" s="76">
        <v>0</v>
      </c>
      <c r="J969" s="76">
        <v>0</v>
      </c>
      <c r="K969" s="76">
        <v>1.4100000000000001E-6</v>
      </c>
      <c r="L969" s="76">
        <v>5.0800000000000005E-7</v>
      </c>
      <c r="M969" s="76">
        <v>3.0800000000000001E-7</v>
      </c>
    </row>
    <row r="970" spans="3:13" x14ac:dyDescent="0.15">
      <c r="C970" s="76">
        <v>550</v>
      </c>
      <c r="D970" s="76">
        <v>0</v>
      </c>
      <c r="E970" s="76">
        <v>4.7700000000000005E-7</v>
      </c>
      <c r="F970" s="76">
        <v>3.9400000000000001E-7</v>
      </c>
      <c r="G970" s="76">
        <v>0</v>
      </c>
      <c r="H970" s="76">
        <v>4.2300000000000002E-7</v>
      </c>
      <c r="I970" s="76">
        <v>0</v>
      </c>
      <c r="J970" s="76">
        <v>0</v>
      </c>
      <c r="K970" s="76">
        <v>7.9299999999999997E-7</v>
      </c>
      <c r="L970" s="76">
        <v>4.8999999999999997E-7</v>
      </c>
      <c r="M970" s="76">
        <v>5.3799999999999999E-8</v>
      </c>
    </row>
    <row r="971" spans="3:13" x14ac:dyDescent="0.15">
      <c r="C971" s="76">
        <v>552</v>
      </c>
      <c r="D971" s="76">
        <v>0</v>
      </c>
      <c r="E971" s="76">
        <v>2.17E-7</v>
      </c>
      <c r="F971" s="76">
        <v>6.6899999999999997E-7</v>
      </c>
      <c r="G971" s="76">
        <v>0</v>
      </c>
      <c r="H971" s="76">
        <v>2.6800000000000002E-7</v>
      </c>
      <c r="I971" s="76">
        <v>3.77E-8</v>
      </c>
      <c r="J971" s="76">
        <v>2.6399999999999998E-7</v>
      </c>
      <c r="K971" s="76">
        <v>8.8899999999999998E-7</v>
      </c>
      <c r="L971" s="76">
        <v>5.7999999999999995E-7</v>
      </c>
      <c r="M971" s="76">
        <v>6.1999999999999999E-8</v>
      </c>
    </row>
    <row r="972" spans="3:13" x14ac:dyDescent="0.15">
      <c r="C972" s="76">
        <v>554</v>
      </c>
      <c r="D972" s="76">
        <v>0</v>
      </c>
      <c r="E972" s="76">
        <v>3.3999999999999997E-7</v>
      </c>
      <c r="F972" s="76">
        <v>5.37E-7</v>
      </c>
      <c r="G972" s="76">
        <v>0</v>
      </c>
      <c r="H972" s="76">
        <v>1.1000000000000001E-7</v>
      </c>
      <c r="I972" s="76">
        <v>2.0400000000000001E-8</v>
      </c>
      <c r="J972" s="76">
        <v>1.43E-7</v>
      </c>
      <c r="K972" s="76">
        <v>7.85E-7</v>
      </c>
      <c r="L972" s="76">
        <v>4.0699999999999998E-7</v>
      </c>
      <c r="M972" s="76">
        <v>1.9500000000000001E-7</v>
      </c>
    </row>
    <row r="973" spans="3:13" x14ac:dyDescent="0.15">
      <c r="C973" s="76">
        <v>556</v>
      </c>
      <c r="D973" s="76">
        <v>0</v>
      </c>
      <c r="E973" s="76">
        <v>6.8099999999999994E-8</v>
      </c>
      <c r="F973" s="76">
        <v>5.3099999999999998E-7</v>
      </c>
      <c r="G973" s="76">
        <v>6.3699999999999995E-8</v>
      </c>
      <c r="H973" s="76">
        <v>2.4699999999999998E-7</v>
      </c>
      <c r="I973" s="76">
        <v>0</v>
      </c>
      <c r="J973" s="76">
        <v>0</v>
      </c>
      <c r="K973" s="76">
        <v>8.54E-7</v>
      </c>
      <c r="L973" s="76">
        <v>2.9499999999999998E-7</v>
      </c>
      <c r="M973" s="76">
        <v>3.9200000000000002E-7</v>
      </c>
    </row>
    <row r="974" spans="3:13" x14ac:dyDescent="0.15">
      <c r="C974" s="76">
        <v>558</v>
      </c>
      <c r="D974" s="76">
        <v>9.4800000000000002E-8</v>
      </c>
      <c r="E974" s="76">
        <v>1.1899999999999999E-7</v>
      </c>
      <c r="F974" s="76">
        <v>3.22E-7</v>
      </c>
      <c r="G974" s="76">
        <v>3.34E-7</v>
      </c>
      <c r="H974" s="76">
        <v>2.3099999999999999E-7</v>
      </c>
      <c r="I974" s="76">
        <v>0</v>
      </c>
      <c r="J974" s="76">
        <v>0</v>
      </c>
      <c r="K974" s="76">
        <v>3.4299999999999999E-7</v>
      </c>
      <c r="L974" s="76">
        <v>7.0999999999999998E-7</v>
      </c>
      <c r="M974" s="76">
        <v>1.3799999999999999E-7</v>
      </c>
    </row>
    <row r="975" spans="3:13" x14ac:dyDescent="0.15">
      <c r="C975" s="76">
        <v>560</v>
      </c>
      <c r="D975" s="76">
        <v>3.7E-7</v>
      </c>
      <c r="E975" s="76">
        <v>5.7599999999999997E-7</v>
      </c>
      <c r="F975" s="76">
        <v>2.9700000000000003E-7</v>
      </c>
      <c r="G975" s="76">
        <v>1.85E-7</v>
      </c>
      <c r="H975" s="76">
        <v>2.5400000000000002E-7</v>
      </c>
      <c r="I975" s="76">
        <v>0</v>
      </c>
      <c r="J975" s="76">
        <v>0</v>
      </c>
      <c r="K975" s="76">
        <v>2.04E-7</v>
      </c>
      <c r="L975" s="76">
        <v>3.41E-7</v>
      </c>
      <c r="M975" s="76">
        <v>4.0900000000000002E-7</v>
      </c>
    </row>
    <row r="976" spans="3:13" x14ac:dyDescent="0.15">
      <c r="C976" s="76">
        <v>562</v>
      </c>
      <c r="D976" s="76">
        <v>3.33E-8</v>
      </c>
      <c r="E976" s="76">
        <v>3.1E-7</v>
      </c>
      <c r="F976" s="76">
        <v>2.4699999999999998E-7</v>
      </c>
      <c r="G976" s="76">
        <v>6.6699999999999995E-8</v>
      </c>
      <c r="H976" s="76">
        <v>6.87E-8</v>
      </c>
      <c r="I976" s="76">
        <v>0</v>
      </c>
      <c r="J976" s="76">
        <v>0</v>
      </c>
      <c r="K976" s="76">
        <v>4.51E-7</v>
      </c>
      <c r="L976" s="76">
        <v>6.8899999999999999E-7</v>
      </c>
      <c r="M976" s="76">
        <v>4.9399999999999995E-7</v>
      </c>
    </row>
    <row r="977" spans="3:13" x14ac:dyDescent="0.15">
      <c r="C977" s="76">
        <v>564</v>
      </c>
      <c r="D977" s="76">
        <v>1.5699999999999999E-7</v>
      </c>
      <c r="E977" s="76">
        <v>9.7800000000000002E-8</v>
      </c>
      <c r="F977" s="76">
        <v>4.8500000000000002E-7</v>
      </c>
      <c r="G977" s="76">
        <v>4.46E-7</v>
      </c>
      <c r="H977" s="76">
        <v>2.44E-8</v>
      </c>
      <c r="I977" s="76">
        <v>8.8199999999999996E-8</v>
      </c>
      <c r="J977" s="76">
        <v>0</v>
      </c>
      <c r="K977" s="76">
        <v>9.7800000000000002E-8</v>
      </c>
      <c r="L977" s="76">
        <v>7.9400000000000004E-7</v>
      </c>
      <c r="M977" s="76">
        <v>4.4099999999999998E-8</v>
      </c>
    </row>
    <row r="978" spans="3:13" x14ac:dyDescent="0.15">
      <c r="C978" s="76">
        <v>566</v>
      </c>
      <c r="D978" s="76">
        <v>4.0900000000000002E-8</v>
      </c>
      <c r="E978" s="76">
        <v>0</v>
      </c>
      <c r="F978" s="76">
        <v>4.2500000000000001E-7</v>
      </c>
      <c r="G978" s="76">
        <v>7.2799999999999995E-7</v>
      </c>
      <c r="H978" s="76">
        <v>0</v>
      </c>
      <c r="I978" s="76">
        <v>2.7199999999999999E-8</v>
      </c>
      <c r="J978" s="76">
        <v>0</v>
      </c>
      <c r="K978" s="76">
        <v>0</v>
      </c>
      <c r="L978" s="76">
        <v>3.4200000000000002E-7</v>
      </c>
      <c r="M978" s="76">
        <v>1.3599999999999999E-8</v>
      </c>
    </row>
    <row r="979" spans="3:13" x14ac:dyDescent="0.15">
      <c r="C979" s="76">
        <v>568</v>
      </c>
      <c r="D979" s="76">
        <v>0</v>
      </c>
      <c r="E979" s="76">
        <v>0</v>
      </c>
      <c r="F979" s="76">
        <v>1.3799999999999999E-8</v>
      </c>
      <c r="G979" s="76">
        <v>1.4600000000000001E-7</v>
      </c>
      <c r="H979" s="76">
        <v>0</v>
      </c>
      <c r="I979" s="76">
        <v>4.4000000000000002E-7</v>
      </c>
      <c r="J979" s="76">
        <v>0</v>
      </c>
      <c r="K979" s="76">
        <v>1.1600000000000001E-7</v>
      </c>
      <c r="L979" s="76">
        <v>6.1399999999999997E-7</v>
      </c>
      <c r="M979" s="76">
        <v>3.15E-7</v>
      </c>
    </row>
    <row r="980" spans="3:13" x14ac:dyDescent="0.15">
      <c r="C980" s="76">
        <v>570</v>
      </c>
      <c r="D980" s="76">
        <v>0</v>
      </c>
      <c r="E980" s="76">
        <v>7.7900000000000003E-8</v>
      </c>
      <c r="F980" s="76">
        <v>0</v>
      </c>
      <c r="G980" s="76">
        <v>9.7399999999999999E-8</v>
      </c>
      <c r="H980" s="76">
        <v>0</v>
      </c>
      <c r="I980" s="76">
        <v>3.77E-7</v>
      </c>
      <c r="J980" s="76">
        <v>0</v>
      </c>
      <c r="K980" s="76">
        <v>0</v>
      </c>
      <c r="L980" s="76">
        <v>6.7899999999999998E-7</v>
      </c>
      <c r="M980" s="76">
        <v>1.5099999999999999E-7</v>
      </c>
    </row>
    <row r="981" spans="3:13" x14ac:dyDescent="0.15">
      <c r="C981" s="76">
        <v>572</v>
      </c>
      <c r="D981" s="76">
        <v>0</v>
      </c>
      <c r="E981" s="76">
        <v>1.5900000000000001E-7</v>
      </c>
      <c r="F981" s="76">
        <v>0</v>
      </c>
      <c r="G981" s="76">
        <v>1.99E-7</v>
      </c>
      <c r="H981" s="76">
        <v>0</v>
      </c>
      <c r="I981" s="76">
        <v>3.5900000000000003E-7</v>
      </c>
      <c r="J981" s="76">
        <v>0</v>
      </c>
      <c r="K981" s="76">
        <v>0</v>
      </c>
      <c r="L981" s="76">
        <v>5.7700000000000004E-7</v>
      </c>
      <c r="M981" s="76">
        <v>3.1100000000000001E-8</v>
      </c>
    </row>
    <row r="982" spans="3:13" x14ac:dyDescent="0.15">
      <c r="C982" s="76">
        <v>574</v>
      </c>
      <c r="D982" s="76">
        <v>2.6E-7</v>
      </c>
      <c r="E982" s="76">
        <v>0</v>
      </c>
      <c r="F982" s="76">
        <v>1.3E-7</v>
      </c>
      <c r="G982" s="76">
        <v>2.6E-7</v>
      </c>
      <c r="H982" s="76">
        <v>0</v>
      </c>
      <c r="I982" s="76">
        <v>3.4700000000000002E-7</v>
      </c>
      <c r="J982" s="76">
        <v>0</v>
      </c>
      <c r="K982" s="76">
        <v>0</v>
      </c>
      <c r="L982" s="76">
        <v>3.7599999999999998E-7</v>
      </c>
      <c r="M982" s="76">
        <v>4.6199999999999998E-7</v>
      </c>
    </row>
    <row r="983" spans="3:13" x14ac:dyDescent="0.15">
      <c r="C983" s="76">
        <v>576</v>
      </c>
      <c r="D983" s="76">
        <v>1.06E-7</v>
      </c>
      <c r="E983" s="76">
        <v>0</v>
      </c>
      <c r="F983" s="76">
        <v>2.2100000000000001E-7</v>
      </c>
      <c r="G983" s="76">
        <v>4.9900000000000001E-7</v>
      </c>
      <c r="H983" s="76">
        <v>0</v>
      </c>
      <c r="I983" s="76">
        <v>7.0200000000000001E-7</v>
      </c>
      <c r="J983" s="76">
        <v>0</v>
      </c>
      <c r="K983" s="76">
        <v>0</v>
      </c>
      <c r="L983" s="76">
        <v>7.4300000000000002E-7</v>
      </c>
      <c r="M983" s="76">
        <v>1.7700000000000001E-7</v>
      </c>
    </row>
    <row r="984" spans="3:13" x14ac:dyDescent="0.15">
      <c r="C984" s="76">
        <v>578</v>
      </c>
      <c r="D984" s="76">
        <v>1.5099999999999999E-7</v>
      </c>
      <c r="E984" s="76">
        <v>0</v>
      </c>
      <c r="F984" s="76">
        <v>2.8799999999999998E-7</v>
      </c>
      <c r="G984" s="76">
        <v>5.8299999999999997E-7</v>
      </c>
      <c r="H984" s="76">
        <v>0</v>
      </c>
      <c r="I984" s="76">
        <v>1.4000000000000001E-7</v>
      </c>
      <c r="J984" s="76">
        <v>0</v>
      </c>
      <c r="K984" s="76">
        <v>0</v>
      </c>
      <c r="L984" s="76">
        <v>5.1200000000000003E-7</v>
      </c>
      <c r="M984" s="76">
        <v>4.6600000000000002E-7</v>
      </c>
    </row>
    <row r="985" spans="3:13" x14ac:dyDescent="0.15">
      <c r="C985" s="76">
        <v>580</v>
      </c>
      <c r="D985" s="76">
        <v>2.3099999999999999E-7</v>
      </c>
      <c r="E985" s="76">
        <v>0</v>
      </c>
      <c r="F985" s="76">
        <v>1.73E-7</v>
      </c>
      <c r="G985" s="76">
        <v>6.0800000000000004E-7</v>
      </c>
      <c r="H985" s="76">
        <v>0</v>
      </c>
      <c r="I985" s="76">
        <v>1.0300000000000001E-6</v>
      </c>
      <c r="J985" s="76">
        <v>0</v>
      </c>
      <c r="K985" s="76">
        <v>0</v>
      </c>
      <c r="L985" s="76">
        <v>0</v>
      </c>
      <c r="M985" s="76">
        <v>3.0499999999999999E-7</v>
      </c>
    </row>
    <row r="986" spans="3:13" x14ac:dyDescent="0.15">
      <c r="C986" s="76">
        <v>582</v>
      </c>
      <c r="D986" s="76">
        <v>0</v>
      </c>
      <c r="E986" s="76">
        <v>0</v>
      </c>
      <c r="F986" s="76">
        <v>2.2100000000000001E-7</v>
      </c>
      <c r="G986" s="76">
        <v>6.4000000000000001E-7</v>
      </c>
      <c r="H986" s="76">
        <v>0</v>
      </c>
      <c r="I986" s="76">
        <v>7.4900000000000005E-7</v>
      </c>
      <c r="J986" s="76">
        <v>0</v>
      </c>
      <c r="K986" s="76">
        <v>0</v>
      </c>
      <c r="L986" s="76">
        <v>3.1499999999999998E-8</v>
      </c>
      <c r="M986" s="76">
        <v>1.8300000000000001E-7</v>
      </c>
    </row>
    <row r="987" spans="3:13" x14ac:dyDescent="0.15">
      <c r="C987" s="76">
        <v>584</v>
      </c>
      <c r="D987" s="76">
        <v>0</v>
      </c>
      <c r="E987" s="76">
        <v>0</v>
      </c>
      <c r="F987" s="76">
        <v>3.6699999999999999E-7</v>
      </c>
      <c r="G987" s="76">
        <v>2.67E-7</v>
      </c>
      <c r="H987" s="76">
        <v>1.7800000000000001E-7</v>
      </c>
      <c r="I987" s="76">
        <v>8.6700000000000002E-7</v>
      </c>
      <c r="J987" s="76">
        <v>0</v>
      </c>
      <c r="K987" s="76">
        <v>0</v>
      </c>
      <c r="L987" s="76">
        <v>3.33E-8</v>
      </c>
      <c r="M987" s="76">
        <v>2.67E-7</v>
      </c>
    </row>
    <row r="988" spans="3:13" x14ac:dyDescent="0.15">
      <c r="C988" s="76">
        <v>586</v>
      </c>
      <c r="D988" s="76">
        <v>2.2999999999999999E-7</v>
      </c>
      <c r="E988" s="76">
        <v>0</v>
      </c>
      <c r="F988" s="76">
        <v>2.34E-7</v>
      </c>
      <c r="G988" s="76">
        <v>4.6800000000000001E-7</v>
      </c>
      <c r="H988" s="76">
        <v>8.2700000000000006E-8</v>
      </c>
      <c r="I988" s="76">
        <v>5.44E-7</v>
      </c>
      <c r="J988" s="76">
        <v>0</v>
      </c>
      <c r="K988" s="76">
        <v>0</v>
      </c>
      <c r="L988" s="76">
        <v>0</v>
      </c>
      <c r="M988" s="76">
        <v>5.2600000000000002E-7</v>
      </c>
    </row>
    <row r="989" spans="3:13" x14ac:dyDescent="0.15">
      <c r="C989" s="76">
        <v>588</v>
      </c>
      <c r="D989" s="76">
        <v>1.6199999999999999E-7</v>
      </c>
      <c r="E989" s="76">
        <v>0</v>
      </c>
      <c r="F989" s="76">
        <v>2.36E-8</v>
      </c>
      <c r="G989" s="76">
        <v>9.2500000000000004E-7</v>
      </c>
      <c r="H989" s="76">
        <v>0</v>
      </c>
      <c r="I989" s="76">
        <v>4.3499999999999999E-8</v>
      </c>
      <c r="J989" s="76">
        <v>2.4900000000000001E-8</v>
      </c>
      <c r="K989" s="76">
        <v>0</v>
      </c>
      <c r="L989" s="76">
        <v>0</v>
      </c>
      <c r="M989" s="76">
        <v>3.8099999999999998E-7</v>
      </c>
    </row>
    <row r="990" spans="3:13" x14ac:dyDescent="0.15">
      <c r="C990" s="76">
        <v>590</v>
      </c>
      <c r="D990" s="76">
        <v>5.3500000000000003E-8</v>
      </c>
      <c r="E990" s="76">
        <v>0</v>
      </c>
      <c r="F990" s="76">
        <v>1.0700000000000001E-7</v>
      </c>
      <c r="G990" s="76">
        <v>3.5999999999999999E-7</v>
      </c>
      <c r="H990" s="76">
        <v>0</v>
      </c>
      <c r="I990" s="76">
        <v>3.4700000000000002E-7</v>
      </c>
      <c r="J990" s="76">
        <v>2.9999999999999999E-7</v>
      </c>
      <c r="K990" s="76">
        <v>0</v>
      </c>
      <c r="L990" s="76">
        <v>0</v>
      </c>
      <c r="M990" s="76">
        <v>1.7800000000000001E-8</v>
      </c>
    </row>
    <row r="991" spans="3:13" x14ac:dyDescent="0.15">
      <c r="C991" s="76">
        <v>592</v>
      </c>
      <c r="D991" s="76">
        <v>3.5600000000000001E-7</v>
      </c>
      <c r="E991" s="76">
        <v>0</v>
      </c>
      <c r="F991" s="76">
        <v>3.1300000000000001E-7</v>
      </c>
      <c r="G991" s="76">
        <v>3.3700000000000001E-7</v>
      </c>
      <c r="H991" s="76">
        <v>0</v>
      </c>
      <c r="I991" s="76">
        <v>3.4400000000000001E-7</v>
      </c>
      <c r="J991" s="76">
        <v>0</v>
      </c>
      <c r="K991" s="76">
        <v>0</v>
      </c>
      <c r="L991" s="76">
        <v>0</v>
      </c>
      <c r="M991" s="76">
        <v>4.7099999999999998E-8</v>
      </c>
    </row>
    <row r="992" spans="3:13" x14ac:dyDescent="0.15">
      <c r="C992" s="76">
        <v>594</v>
      </c>
      <c r="D992" s="76">
        <v>5.44E-7</v>
      </c>
      <c r="E992" s="76">
        <v>0</v>
      </c>
      <c r="F992" s="76">
        <v>2.96E-7</v>
      </c>
      <c r="G992" s="76">
        <v>4.63E-7</v>
      </c>
      <c r="H992" s="76">
        <v>1.31E-7</v>
      </c>
      <c r="I992" s="76">
        <v>6.3499999999999996E-7</v>
      </c>
      <c r="J992" s="76">
        <v>8.7100000000000006E-8</v>
      </c>
      <c r="K992" s="76">
        <v>0</v>
      </c>
      <c r="L992" s="76">
        <v>0</v>
      </c>
      <c r="M992" s="76">
        <v>1.31E-7</v>
      </c>
    </row>
    <row r="993" spans="3:13" x14ac:dyDescent="0.15">
      <c r="C993" s="76">
        <v>596</v>
      </c>
      <c r="D993" s="76">
        <v>1.49E-7</v>
      </c>
      <c r="E993" s="76">
        <v>0</v>
      </c>
      <c r="F993" s="76">
        <v>5.2399999999999998E-7</v>
      </c>
      <c r="G993" s="76">
        <v>7.2200000000000003E-7</v>
      </c>
      <c r="H993" s="76">
        <v>6.3699999999999995E-8</v>
      </c>
      <c r="I993" s="76">
        <v>2.7599999999999998E-7</v>
      </c>
      <c r="J993" s="76">
        <v>3.8200000000000001E-7</v>
      </c>
      <c r="K993" s="76">
        <v>5.6599999999999997E-8</v>
      </c>
      <c r="L993" s="76">
        <v>0</v>
      </c>
      <c r="M993" s="76">
        <v>6.3699999999999995E-8</v>
      </c>
    </row>
    <row r="994" spans="3:13" x14ac:dyDescent="0.15">
      <c r="C994" s="76">
        <v>598</v>
      </c>
      <c r="D994" s="76">
        <v>7.9599999999999998E-8</v>
      </c>
      <c r="E994" s="76">
        <v>0</v>
      </c>
      <c r="F994" s="76">
        <v>4.03E-7</v>
      </c>
      <c r="G994" s="76">
        <v>1.02E-6</v>
      </c>
      <c r="H994" s="76">
        <v>0</v>
      </c>
      <c r="I994" s="76">
        <v>2.9000000000000002E-8</v>
      </c>
      <c r="J994" s="76">
        <v>3.1E-7</v>
      </c>
      <c r="K994" s="76">
        <v>1.31E-8</v>
      </c>
      <c r="L994" s="76">
        <v>0</v>
      </c>
      <c r="M994" s="76">
        <v>2.8000000000000002E-7</v>
      </c>
    </row>
    <row r="995" spans="3:13" x14ac:dyDescent="0.15">
      <c r="C995" s="76">
        <v>600</v>
      </c>
      <c r="D995" s="76">
        <v>2.5400000000000002E-7</v>
      </c>
      <c r="E995" s="76">
        <v>0</v>
      </c>
      <c r="F995" s="76">
        <v>2.4299999999999999E-7</v>
      </c>
      <c r="G995" s="76">
        <v>1.2100000000000001E-7</v>
      </c>
      <c r="H995" s="76">
        <v>0</v>
      </c>
      <c r="I995" s="76">
        <v>4.3599999999999999E-7</v>
      </c>
      <c r="J995" s="76">
        <v>0</v>
      </c>
      <c r="K995" s="76">
        <v>6.0699999999999994E-8</v>
      </c>
      <c r="L995" s="76">
        <v>0</v>
      </c>
      <c r="M995" s="76">
        <v>2.4299999999999999E-7</v>
      </c>
    </row>
    <row r="996" spans="3:13" x14ac:dyDescent="0.15">
      <c r="C996" s="76">
        <v>602</v>
      </c>
      <c r="D996" s="76">
        <v>6.6599999999999996E-7</v>
      </c>
      <c r="E996" s="76">
        <v>0</v>
      </c>
      <c r="F996" s="76">
        <v>1.5800000000000001E-7</v>
      </c>
      <c r="G996" s="76">
        <v>0</v>
      </c>
      <c r="H996" s="76">
        <v>1.5800000000000001E-7</v>
      </c>
      <c r="I996" s="76">
        <v>1.91E-7</v>
      </c>
      <c r="J996" s="76">
        <v>0</v>
      </c>
      <c r="K996" s="76">
        <v>1.2700000000000001E-7</v>
      </c>
      <c r="L996" s="76">
        <v>0</v>
      </c>
      <c r="M996" s="76">
        <v>0</v>
      </c>
    </row>
    <row r="997" spans="3:13" x14ac:dyDescent="0.15">
      <c r="C997" s="76">
        <v>604</v>
      </c>
      <c r="D997" s="76">
        <v>7.0299999999999998E-7</v>
      </c>
      <c r="E997" s="76">
        <v>0</v>
      </c>
      <c r="F997" s="76">
        <v>3.1E-7</v>
      </c>
      <c r="G997" s="76">
        <v>0</v>
      </c>
      <c r="H997" s="76">
        <v>1.74E-7</v>
      </c>
      <c r="I997" s="76">
        <v>9.1100000000000002E-8</v>
      </c>
      <c r="J997" s="76">
        <v>4.5599999999999998E-8</v>
      </c>
      <c r="K997" s="76">
        <v>1.3899999999999999E-7</v>
      </c>
      <c r="L997" s="76">
        <v>0</v>
      </c>
      <c r="M997" s="76">
        <v>0</v>
      </c>
    </row>
    <row r="998" spans="3:13" x14ac:dyDescent="0.15">
      <c r="C998" s="76">
        <v>606</v>
      </c>
      <c r="D998" s="76">
        <v>6.2300000000000001E-7</v>
      </c>
      <c r="E998" s="76">
        <v>0</v>
      </c>
      <c r="F998" s="76">
        <v>6.3899999999999996E-8</v>
      </c>
      <c r="G998" s="76">
        <v>0</v>
      </c>
      <c r="H998" s="76">
        <v>2.9900000000000002E-7</v>
      </c>
      <c r="I998" s="76">
        <v>3.41E-7</v>
      </c>
      <c r="J998" s="76">
        <v>2.0100000000000001E-7</v>
      </c>
      <c r="K998" s="76">
        <v>5.9699999999999999E-8</v>
      </c>
      <c r="L998" s="76">
        <v>0</v>
      </c>
      <c r="M998" s="76">
        <v>0</v>
      </c>
    </row>
    <row r="999" spans="3:13" x14ac:dyDescent="0.15">
      <c r="C999" s="76">
        <v>608</v>
      </c>
      <c r="D999" s="76">
        <v>5.4199999999999996E-7</v>
      </c>
      <c r="E999" s="76">
        <v>1.35E-7</v>
      </c>
      <c r="F999" s="76">
        <v>1.35E-7</v>
      </c>
      <c r="G999" s="76">
        <v>7.4000000000000001E-8</v>
      </c>
      <c r="H999" s="76">
        <v>3.6600000000000002E-7</v>
      </c>
      <c r="I999" s="76">
        <v>3.7900000000000002E-8</v>
      </c>
      <c r="J999" s="76">
        <v>1.9600000000000001E-7</v>
      </c>
      <c r="K999" s="76">
        <v>2.6499999999999999E-8</v>
      </c>
      <c r="L999" s="76">
        <v>0</v>
      </c>
      <c r="M999" s="76">
        <v>1.54E-7</v>
      </c>
    </row>
    <row r="1000" spans="3:13" x14ac:dyDescent="0.15">
      <c r="C1000" s="76">
        <v>610</v>
      </c>
      <c r="D1000" s="76">
        <v>2.04E-7</v>
      </c>
      <c r="E1000" s="76">
        <v>0</v>
      </c>
      <c r="F1000" s="76">
        <v>8.1400000000000001E-8</v>
      </c>
      <c r="G1000" s="76">
        <v>6.1599999999999996E-8</v>
      </c>
      <c r="H1000" s="76">
        <v>6.3499999999999996E-7</v>
      </c>
      <c r="I1000" s="76">
        <v>8.1400000000000001E-8</v>
      </c>
      <c r="J1000" s="76">
        <v>3.9000000000000002E-7</v>
      </c>
      <c r="K1000" s="76">
        <v>1.85E-7</v>
      </c>
      <c r="L1000" s="76">
        <v>0</v>
      </c>
      <c r="M1000" s="76">
        <v>2.05E-7</v>
      </c>
    </row>
    <row r="1001" spans="3:13" x14ac:dyDescent="0.15">
      <c r="C1001" s="76">
        <v>612</v>
      </c>
      <c r="D1001" s="76">
        <v>6.4799999999999998E-7</v>
      </c>
      <c r="E1001" s="76">
        <v>6.8900000000000002E-8</v>
      </c>
      <c r="F1001" s="76">
        <v>1.9000000000000001E-7</v>
      </c>
      <c r="G1001" s="76">
        <v>0</v>
      </c>
      <c r="H1001" s="76">
        <v>1.9000000000000001E-7</v>
      </c>
      <c r="I1001" s="76">
        <v>1.9000000000000001E-7</v>
      </c>
      <c r="J1001" s="76">
        <v>4.7500000000000002E-8</v>
      </c>
      <c r="K1001" s="76">
        <v>2.41E-7</v>
      </c>
      <c r="L1001" s="76">
        <v>0</v>
      </c>
      <c r="M1001" s="76">
        <v>4.7500000000000002E-8</v>
      </c>
    </row>
    <row r="1002" spans="3:13" x14ac:dyDescent="0.15">
      <c r="C1002" s="76">
        <v>614</v>
      </c>
      <c r="D1002" s="76">
        <v>5.5400000000000001E-7</v>
      </c>
      <c r="E1002" s="76">
        <v>6.6699999999999995E-8</v>
      </c>
      <c r="F1002" s="76">
        <v>2.91E-7</v>
      </c>
      <c r="G1002" s="76">
        <v>0</v>
      </c>
      <c r="H1002" s="76">
        <v>3.8799999999999998E-7</v>
      </c>
      <c r="I1002" s="76">
        <v>0</v>
      </c>
      <c r="J1002" s="76">
        <v>1.4499999999999999E-7</v>
      </c>
      <c r="K1002" s="76">
        <v>2.3300000000000001E-7</v>
      </c>
      <c r="L1002" s="76">
        <v>0</v>
      </c>
      <c r="M1002" s="76">
        <v>0</v>
      </c>
    </row>
    <row r="1003" spans="3:13" x14ac:dyDescent="0.15">
      <c r="C1003" s="76">
        <v>616</v>
      </c>
      <c r="D1003" s="76">
        <v>7.1299999999999999E-7</v>
      </c>
      <c r="E1003" s="76">
        <v>0</v>
      </c>
      <c r="F1003" s="76">
        <v>1.15E-7</v>
      </c>
      <c r="G1003" s="76">
        <v>0</v>
      </c>
      <c r="H1003" s="76">
        <v>9.6200000000000006E-7</v>
      </c>
      <c r="I1003" s="76">
        <v>0</v>
      </c>
      <c r="J1003" s="76">
        <v>1.8199999999999999E-7</v>
      </c>
      <c r="K1003" s="76">
        <v>6.2200000000000001E-8</v>
      </c>
      <c r="L1003" s="76">
        <v>1.8699999999999999E-7</v>
      </c>
      <c r="M1003" s="76">
        <v>0</v>
      </c>
    </row>
    <row r="1004" spans="3:13" x14ac:dyDescent="0.15">
      <c r="C1004" s="76">
        <v>618</v>
      </c>
      <c r="D1004" s="76">
        <v>2.8099999999999999E-7</v>
      </c>
      <c r="E1004" s="76">
        <v>3.3299999999999998E-7</v>
      </c>
      <c r="F1004" s="76">
        <v>5.99E-7</v>
      </c>
      <c r="G1004" s="76">
        <v>0</v>
      </c>
      <c r="H1004" s="76">
        <v>6.8299999999999996E-7</v>
      </c>
      <c r="I1004" s="76">
        <v>0</v>
      </c>
      <c r="J1004" s="76">
        <v>1.48E-7</v>
      </c>
      <c r="K1004" s="76">
        <v>2.8000000000000002E-7</v>
      </c>
      <c r="L1004" s="76">
        <v>4.2399999999999999E-7</v>
      </c>
      <c r="M1004" s="76">
        <v>1.3300000000000001E-7</v>
      </c>
    </row>
    <row r="1005" spans="3:13" x14ac:dyDescent="0.15">
      <c r="C1005" s="76">
        <v>620</v>
      </c>
      <c r="D1005" s="76">
        <v>2.28E-7</v>
      </c>
      <c r="E1005" s="76">
        <v>0</v>
      </c>
      <c r="F1005" s="76">
        <v>0</v>
      </c>
      <c r="G1005" s="76">
        <v>0</v>
      </c>
      <c r="H1005" s="76">
        <v>2.28E-7</v>
      </c>
      <c r="I1005" s="76">
        <v>0</v>
      </c>
      <c r="J1005" s="76">
        <v>4.5600000000000001E-7</v>
      </c>
      <c r="K1005" s="76">
        <v>5.7000000000000001E-8</v>
      </c>
      <c r="L1005" s="76">
        <v>1.03E-7</v>
      </c>
      <c r="M1005" s="76">
        <v>0</v>
      </c>
    </row>
    <row r="1006" spans="3:13" x14ac:dyDescent="0.15">
      <c r="C1006" s="76">
        <v>622</v>
      </c>
      <c r="D1006" s="76">
        <v>2.1799999999999999E-7</v>
      </c>
      <c r="E1006" s="76">
        <v>7.2800000000000003E-8</v>
      </c>
      <c r="F1006" s="76">
        <v>7.2800000000000003E-8</v>
      </c>
      <c r="G1006" s="76">
        <v>0</v>
      </c>
      <c r="H1006" s="76">
        <v>2.8599999999999999E-7</v>
      </c>
      <c r="I1006" s="76">
        <v>0</v>
      </c>
      <c r="J1006" s="76">
        <v>0</v>
      </c>
      <c r="K1006" s="76">
        <v>7.2800000000000003E-8</v>
      </c>
      <c r="L1006" s="76">
        <v>1.9500000000000001E-7</v>
      </c>
      <c r="M1006" s="76">
        <v>1.4600000000000001E-7</v>
      </c>
    </row>
    <row r="1007" spans="3:13" x14ac:dyDescent="0.15">
      <c r="C1007" s="76">
        <v>624</v>
      </c>
      <c r="D1007" s="76">
        <v>3.22E-7</v>
      </c>
      <c r="E1007" s="76">
        <v>4.0699999999999998E-7</v>
      </c>
      <c r="F1007" s="76">
        <v>5.7399999999999998E-8</v>
      </c>
      <c r="G1007" s="76">
        <v>0</v>
      </c>
      <c r="H1007" s="76">
        <v>4.0699999999999998E-7</v>
      </c>
      <c r="I1007" s="76">
        <v>0</v>
      </c>
      <c r="J1007" s="76">
        <v>3.4999999999999998E-7</v>
      </c>
      <c r="K1007" s="76">
        <v>2.0699999999999999E-7</v>
      </c>
      <c r="L1007" s="76">
        <v>7.85E-7</v>
      </c>
      <c r="M1007" s="76">
        <v>1.15E-7</v>
      </c>
    </row>
    <row r="1008" spans="3:13" x14ac:dyDescent="0.15">
      <c r="C1008" s="76">
        <v>626</v>
      </c>
      <c r="D1008" s="76">
        <v>4.89E-7</v>
      </c>
      <c r="E1008" s="76">
        <v>6.1099999999999995E-7</v>
      </c>
      <c r="F1008" s="76">
        <v>0</v>
      </c>
      <c r="G1008" s="76">
        <v>0</v>
      </c>
      <c r="H1008" s="76">
        <v>7.3799999999999996E-7</v>
      </c>
      <c r="I1008" s="76">
        <v>0</v>
      </c>
      <c r="J1008" s="76">
        <v>3.58E-7</v>
      </c>
      <c r="K1008" s="76">
        <v>1.08E-7</v>
      </c>
      <c r="L1008" s="76">
        <v>1.1000000000000001E-6</v>
      </c>
      <c r="M1008" s="76">
        <v>0</v>
      </c>
    </row>
    <row r="1009" spans="3:13" x14ac:dyDescent="0.15">
      <c r="C1009" s="76">
        <v>628</v>
      </c>
      <c r="D1009" s="76">
        <v>7.1399999999999997E-9</v>
      </c>
      <c r="E1009" s="76">
        <v>4.32E-7</v>
      </c>
      <c r="F1009" s="76">
        <v>1.28E-8</v>
      </c>
      <c r="G1009" s="76">
        <v>0</v>
      </c>
      <c r="H1009" s="76">
        <v>1.9000000000000001E-7</v>
      </c>
      <c r="I1009" s="76">
        <v>2.5800000000000001E-7</v>
      </c>
      <c r="J1009" s="76">
        <v>1.0700000000000001E-7</v>
      </c>
      <c r="K1009" s="76">
        <v>3.9400000000000002E-8</v>
      </c>
      <c r="L1009" s="76">
        <v>6.9500000000000002E-7</v>
      </c>
      <c r="M1009" s="76">
        <v>5.2699999999999999E-7</v>
      </c>
    </row>
    <row r="1010" spans="3:13" x14ac:dyDescent="0.15">
      <c r="C1010" s="76">
        <v>630</v>
      </c>
      <c r="D1010" s="76">
        <v>5.3500000000000003E-8</v>
      </c>
      <c r="E1010" s="76">
        <v>9.1299999999999998E-7</v>
      </c>
      <c r="F1010" s="76">
        <v>5.17E-8</v>
      </c>
      <c r="G1010" s="76">
        <v>0</v>
      </c>
      <c r="H1010" s="76">
        <v>3.9400000000000001E-7</v>
      </c>
      <c r="I1010" s="76">
        <v>0</v>
      </c>
      <c r="J1010" s="76">
        <v>1.55E-7</v>
      </c>
      <c r="K1010" s="76">
        <v>1.8199999999999999E-7</v>
      </c>
      <c r="L1010" s="76">
        <v>9.9300000000000006E-7</v>
      </c>
      <c r="M1010" s="76">
        <v>6.7599999999999997E-7</v>
      </c>
    </row>
    <row r="1011" spans="3:13" x14ac:dyDescent="0.15">
      <c r="C1011" s="76">
        <v>632</v>
      </c>
      <c r="D1011" s="76">
        <v>1.17E-7</v>
      </c>
      <c r="E1011" s="76">
        <v>5.0699999999999997E-7</v>
      </c>
      <c r="F1011" s="76">
        <v>0</v>
      </c>
      <c r="G1011" s="76">
        <v>0</v>
      </c>
      <c r="H1011" s="76">
        <v>2.67E-7</v>
      </c>
      <c r="I1011" s="76">
        <v>0</v>
      </c>
      <c r="J1011" s="76">
        <v>2.4600000000000001E-7</v>
      </c>
      <c r="K1011" s="76">
        <v>1.61E-7</v>
      </c>
      <c r="L1011" s="76">
        <v>7.0299999999999998E-7</v>
      </c>
      <c r="M1011" s="76">
        <v>3.1600000000000002E-7</v>
      </c>
    </row>
    <row r="1012" spans="3:13" x14ac:dyDescent="0.15">
      <c r="C1012" s="76">
        <v>634</v>
      </c>
      <c r="D1012" s="76">
        <v>2.4200000000000002E-8</v>
      </c>
      <c r="E1012" s="76">
        <v>3.2000000000000001E-7</v>
      </c>
      <c r="F1012" s="76">
        <v>2.23E-7</v>
      </c>
      <c r="G1012" s="76">
        <v>0</v>
      </c>
      <c r="H1012" s="76">
        <v>0</v>
      </c>
      <c r="I1012" s="76">
        <v>3.9000000000000002E-7</v>
      </c>
      <c r="J1012" s="76">
        <v>5.3600000000000004E-7</v>
      </c>
      <c r="K1012" s="76">
        <v>2.3999999999999998E-7</v>
      </c>
      <c r="L1012" s="76">
        <v>7.5899999999999995E-7</v>
      </c>
      <c r="M1012" s="76">
        <v>9.6999999999999995E-8</v>
      </c>
    </row>
    <row r="1013" spans="3:13" x14ac:dyDescent="0.15">
      <c r="C1013" s="76">
        <v>636</v>
      </c>
      <c r="D1013" s="76">
        <v>2.22E-8</v>
      </c>
      <c r="E1013" s="76">
        <v>5.2300000000000001E-7</v>
      </c>
      <c r="F1013" s="76">
        <v>6.4700000000000001E-7</v>
      </c>
      <c r="G1013" s="76">
        <v>0</v>
      </c>
      <c r="H1013" s="76">
        <v>1.6400000000000001E-7</v>
      </c>
      <c r="I1013" s="76">
        <v>3.72E-7</v>
      </c>
      <c r="J1013" s="76">
        <v>2.1199999999999999E-7</v>
      </c>
      <c r="K1013" s="76">
        <v>1.85E-7</v>
      </c>
      <c r="L1013" s="76">
        <v>1.3799999999999999E-6</v>
      </c>
      <c r="M1013" s="76">
        <v>0</v>
      </c>
    </row>
    <row r="1014" spans="3:13" x14ac:dyDescent="0.15">
      <c r="C1014" s="76">
        <v>638</v>
      </c>
      <c r="D1014" s="76">
        <v>3.1399999999999998E-7</v>
      </c>
      <c r="E1014" s="76">
        <v>3.0899999999999997E-7</v>
      </c>
      <c r="F1014" s="76">
        <v>3.5699999999999998E-7</v>
      </c>
      <c r="G1014" s="76">
        <v>0</v>
      </c>
      <c r="H1014" s="76">
        <v>4.7800000000000002E-7</v>
      </c>
      <c r="I1014" s="76">
        <v>5.0200000000000002E-7</v>
      </c>
      <c r="J1014" s="76">
        <v>1.6400000000000001E-7</v>
      </c>
      <c r="K1014" s="76">
        <v>4.3000000000000001E-7</v>
      </c>
      <c r="L1014" s="76">
        <v>1.3999999999999999E-6</v>
      </c>
      <c r="M1014" s="76">
        <v>1.1600000000000001E-7</v>
      </c>
    </row>
    <row r="1015" spans="3:13" x14ac:dyDescent="0.15">
      <c r="C1015" s="76">
        <v>640</v>
      </c>
      <c r="D1015" s="76">
        <v>1.73E-7</v>
      </c>
      <c r="E1015" s="76">
        <v>3.8799999999999998E-7</v>
      </c>
      <c r="F1015" s="76">
        <v>7.5600000000000005E-7</v>
      </c>
      <c r="G1015" s="76">
        <v>0</v>
      </c>
      <c r="H1015" s="76">
        <v>9.7300000000000004E-8</v>
      </c>
      <c r="I1015" s="76">
        <v>6.9100000000000003E-8</v>
      </c>
      <c r="J1015" s="76">
        <v>9.7300000000000004E-8</v>
      </c>
      <c r="K1015" s="76">
        <v>4.9900000000000001E-7</v>
      </c>
      <c r="L1015" s="76">
        <v>1.24E-6</v>
      </c>
      <c r="M1015" s="76">
        <v>2.9200000000000002E-7</v>
      </c>
    </row>
    <row r="1016" spans="3:13" x14ac:dyDescent="0.15">
      <c r="C1016" s="76">
        <v>642</v>
      </c>
      <c r="D1016" s="76">
        <v>1.6999999999999999E-7</v>
      </c>
      <c r="E1016" s="76">
        <v>9.4099999999999997E-7</v>
      </c>
      <c r="F1016" s="76">
        <v>2.2000000000000001E-7</v>
      </c>
      <c r="G1016" s="76">
        <v>3.5100000000000001E-7</v>
      </c>
      <c r="H1016" s="76">
        <v>0</v>
      </c>
      <c r="I1016" s="76">
        <v>5.2E-7</v>
      </c>
      <c r="J1016" s="76">
        <v>0</v>
      </c>
      <c r="K1016" s="76">
        <v>2.04E-7</v>
      </c>
      <c r="L1016" s="76">
        <v>8.0999999999999997E-7</v>
      </c>
      <c r="M1016" s="76">
        <v>2.0100000000000001E-7</v>
      </c>
    </row>
    <row r="1017" spans="3:13" x14ac:dyDescent="0.15">
      <c r="C1017" s="76">
        <v>644</v>
      </c>
      <c r="D1017" s="76">
        <v>0</v>
      </c>
      <c r="E1017" s="76">
        <v>7.2900000000000003E-7</v>
      </c>
      <c r="F1017" s="76">
        <v>1.89E-8</v>
      </c>
      <c r="G1017" s="76">
        <v>7.2900000000000003E-7</v>
      </c>
      <c r="H1017" s="76">
        <v>6.6199999999999997E-8</v>
      </c>
      <c r="I1017" s="76">
        <v>5.0100000000000005E-7</v>
      </c>
      <c r="J1017" s="76">
        <v>5.3000000000000001E-7</v>
      </c>
      <c r="K1017" s="76">
        <v>1.26E-6</v>
      </c>
      <c r="L1017" s="76">
        <v>1.0100000000000001E-6</v>
      </c>
      <c r="M1017" s="76">
        <v>5.3900000000000005E-7</v>
      </c>
    </row>
    <row r="1018" spans="3:13" x14ac:dyDescent="0.15">
      <c r="C1018" s="76">
        <v>646</v>
      </c>
      <c r="D1018" s="76">
        <v>4.9500000000000003E-7</v>
      </c>
      <c r="E1018" s="76">
        <v>4.46E-7</v>
      </c>
      <c r="F1018" s="76">
        <v>2.0800000000000001E-7</v>
      </c>
      <c r="G1018" s="76">
        <v>1.05E-7</v>
      </c>
      <c r="H1018" s="76">
        <v>3.46E-9</v>
      </c>
      <c r="I1018" s="76">
        <v>8.5799999999999998E-7</v>
      </c>
      <c r="J1018" s="76">
        <v>4.2800000000000002E-7</v>
      </c>
      <c r="K1018" s="76">
        <v>6.5799999999999994E-8</v>
      </c>
      <c r="L1018" s="76">
        <v>1.0100000000000001E-6</v>
      </c>
      <c r="M1018" s="76">
        <v>5.8100000000000003E-7</v>
      </c>
    </row>
    <row r="1019" spans="3:13" x14ac:dyDescent="0.15">
      <c r="C1019" s="76">
        <v>648</v>
      </c>
      <c r="D1019" s="76">
        <v>4.3599999999999999E-7</v>
      </c>
      <c r="E1019" s="76">
        <v>5.6400000000000002E-8</v>
      </c>
      <c r="F1019" s="76">
        <v>1.13E-6</v>
      </c>
      <c r="G1019" s="76">
        <v>4.9200000000000001E-7</v>
      </c>
      <c r="H1019" s="76">
        <v>0</v>
      </c>
      <c r="I1019" s="76">
        <v>1.22E-6</v>
      </c>
      <c r="J1019" s="76">
        <v>5.7199999999999999E-7</v>
      </c>
      <c r="K1019" s="76">
        <v>1.6899999999999999E-7</v>
      </c>
      <c r="L1019" s="76">
        <v>2.34E-7</v>
      </c>
      <c r="M1019" s="76">
        <v>8.1200000000000002E-7</v>
      </c>
    </row>
    <row r="1020" spans="3:13" x14ac:dyDescent="0.15">
      <c r="C1020" s="76">
        <v>650</v>
      </c>
      <c r="D1020" s="76">
        <v>2.17E-7</v>
      </c>
      <c r="E1020" s="76">
        <v>8.5700000000000006E-8</v>
      </c>
      <c r="F1020" s="76">
        <v>2.1400000000000001E-7</v>
      </c>
      <c r="G1020" s="76">
        <v>4.3599999999999999E-7</v>
      </c>
      <c r="H1020" s="76">
        <v>0</v>
      </c>
      <c r="I1020" s="76">
        <v>6.9800000000000003E-7</v>
      </c>
      <c r="J1020" s="76">
        <v>6.4700000000000001E-7</v>
      </c>
      <c r="K1020" s="76">
        <v>3.0100000000000001E-7</v>
      </c>
      <c r="L1020" s="76">
        <v>0</v>
      </c>
      <c r="M1020" s="76">
        <v>5.2399999999999998E-7</v>
      </c>
    </row>
    <row r="1021" spans="3:13" x14ac:dyDescent="0.15">
      <c r="C1021" s="76">
        <v>652</v>
      </c>
      <c r="D1021" s="76">
        <v>5.3799999999999999E-8</v>
      </c>
      <c r="E1021" s="76">
        <v>0</v>
      </c>
      <c r="F1021" s="76">
        <v>1.8300000000000001E-7</v>
      </c>
      <c r="G1021" s="76">
        <v>1.3400000000000001E-7</v>
      </c>
      <c r="H1021" s="76">
        <v>0</v>
      </c>
      <c r="I1021" s="76">
        <v>4.5900000000000002E-7</v>
      </c>
      <c r="J1021" s="76">
        <v>3.2399999999999999E-7</v>
      </c>
      <c r="K1021" s="76">
        <v>3.3099999999999999E-7</v>
      </c>
      <c r="L1021" s="76">
        <v>0</v>
      </c>
      <c r="M1021" s="76">
        <v>2.22E-7</v>
      </c>
    </row>
    <row r="1022" spans="3:13" x14ac:dyDescent="0.15">
      <c r="C1022" s="76">
        <v>654</v>
      </c>
      <c r="D1022" s="76">
        <v>1.1199999999999999E-8</v>
      </c>
      <c r="E1022" s="76">
        <v>3.0400000000000002E-7</v>
      </c>
      <c r="F1022" s="76">
        <v>3.9099999999999999E-7</v>
      </c>
      <c r="G1022" s="76">
        <v>1.6700000000000001E-8</v>
      </c>
      <c r="H1022" s="76">
        <v>6.4600000000000004E-7</v>
      </c>
      <c r="I1022" s="76">
        <v>7.23E-7</v>
      </c>
      <c r="J1022" s="76">
        <v>3.1399999999999998E-7</v>
      </c>
      <c r="K1022" s="76">
        <v>5.5599999999999995E-7</v>
      </c>
      <c r="L1022" s="76">
        <v>7.1799999999999994E-8</v>
      </c>
      <c r="M1022" s="76">
        <v>1.8799999999999999E-7</v>
      </c>
    </row>
    <row r="1023" spans="3:13" x14ac:dyDescent="0.15">
      <c r="C1023" s="76">
        <v>656</v>
      </c>
      <c r="D1023" s="76">
        <v>1.3300000000000001E-7</v>
      </c>
      <c r="E1023" s="76">
        <v>1.99E-7</v>
      </c>
      <c r="F1023" s="76">
        <v>0</v>
      </c>
      <c r="G1023" s="76">
        <v>4.6400000000000003E-7</v>
      </c>
      <c r="H1023" s="76">
        <v>0</v>
      </c>
      <c r="I1023" s="76">
        <v>6.4099999999999998E-7</v>
      </c>
      <c r="J1023" s="76">
        <v>6.8599999999999998E-7</v>
      </c>
      <c r="K1023" s="76">
        <v>0</v>
      </c>
      <c r="L1023" s="76">
        <v>0</v>
      </c>
      <c r="M1023" s="76">
        <v>3.9900000000000001E-7</v>
      </c>
    </row>
    <row r="1024" spans="3:13" x14ac:dyDescent="0.15">
      <c r="C1024" s="76">
        <v>658</v>
      </c>
      <c r="D1024" s="76">
        <v>7.7400000000000005E-8</v>
      </c>
      <c r="E1024" s="76">
        <v>0</v>
      </c>
      <c r="F1024" s="76">
        <v>2.3200000000000001E-7</v>
      </c>
      <c r="G1024" s="76">
        <v>8.7300000000000005E-7</v>
      </c>
      <c r="H1024" s="76">
        <v>0</v>
      </c>
      <c r="I1024" s="76">
        <v>5.51E-7</v>
      </c>
      <c r="J1024" s="76">
        <v>1.2800000000000001E-7</v>
      </c>
      <c r="K1024" s="76">
        <v>0</v>
      </c>
      <c r="L1024" s="76">
        <v>0</v>
      </c>
      <c r="M1024" s="76">
        <v>1.55E-7</v>
      </c>
    </row>
    <row r="1025" spans="3:13" x14ac:dyDescent="0.15">
      <c r="C1025" s="76">
        <v>660</v>
      </c>
      <c r="D1025" s="76">
        <v>6.7200000000000006E-8</v>
      </c>
      <c r="E1025" s="76">
        <v>0</v>
      </c>
      <c r="F1025" s="76">
        <v>7.5700000000000002E-7</v>
      </c>
      <c r="G1025" s="76">
        <v>5.13E-7</v>
      </c>
      <c r="H1025" s="76">
        <v>0</v>
      </c>
      <c r="I1025" s="76">
        <v>3.89E-7</v>
      </c>
      <c r="J1025" s="76">
        <v>1.7800000000000001E-7</v>
      </c>
      <c r="K1025" s="76">
        <v>0</v>
      </c>
      <c r="L1025" s="76">
        <v>0</v>
      </c>
      <c r="M1025" s="76">
        <v>1.3400000000000001E-7</v>
      </c>
    </row>
    <row r="1026" spans="3:13" x14ac:dyDescent="0.15">
      <c r="C1026" s="76">
        <v>662</v>
      </c>
      <c r="D1026" s="76">
        <v>2.1799999999999999E-7</v>
      </c>
      <c r="E1026" s="76">
        <v>0</v>
      </c>
      <c r="F1026" s="76">
        <v>1.6999999999999999E-7</v>
      </c>
      <c r="G1026" s="76">
        <v>7.37E-7</v>
      </c>
      <c r="H1026" s="76">
        <v>0</v>
      </c>
      <c r="I1026" s="76">
        <v>4.8100000000000003E-7</v>
      </c>
      <c r="J1026" s="76">
        <v>3.3899999999999999E-8</v>
      </c>
      <c r="K1026" s="76">
        <v>1.4499999999999999E-7</v>
      </c>
      <c r="L1026" s="76">
        <v>0</v>
      </c>
      <c r="M1026" s="76">
        <v>0</v>
      </c>
    </row>
    <row r="1027" spans="3:13" x14ac:dyDescent="0.15">
      <c r="C1027" s="76">
        <v>664</v>
      </c>
      <c r="D1027" s="76">
        <v>3.7699999999999999E-10</v>
      </c>
      <c r="E1027" s="76">
        <v>0</v>
      </c>
      <c r="F1027" s="76">
        <v>2.1799999999999999E-7</v>
      </c>
      <c r="G1027" s="76">
        <v>5.7700000000000004E-7</v>
      </c>
      <c r="H1027" s="76">
        <v>6.7099999999999999E-8</v>
      </c>
      <c r="I1027" s="76">
        <v>9.4600000000000003E-7</v>
      </c>
      <c r="J1027" s="76">
        <v>0</v>
      </c>
      <c r="K1027" s="76">
        <v>2.5200000000000001E-10</v>
      </c>
      <c r="L1027" s="76">
        <v>0</v>
      </c>
      <c r="M1027" s="76">
        <v>0</v>
      </c>
    </row>
    <row r="1028" spans="3:13" x14ac:dyDescent="0.15">
      <c r="C1028" s="76">
        <v>666</v>
      </c>
      <c r="D1028" s="76">
        <v>2.3699999999999999E-7</v>
      </c>
      <c r="E1028" s="76">
        <v>3.3799999999999998E-8</v>
      </c>
      <c r="F1028" s="76">
        <v>0</v>
      </c>
      <c r="G1028" s="76">
        <v>4.6100000000000001E-7</v>
      </c>
      <c r="H1028" s="76">
        <v>2.2399999999999999E-7</v>
      </c>
      <c r="I1028" s="76">
        <v>2.3699999999999999E-7</v>
      </c>
      <c r="J1028" s="76">
        <v>2.3699999999999999E-7</v>
      </c>
      <c r="K1028" s="76">
        <v>0</v>
      </c>
      <c r="L1028" s="76">
        <v>0</v>
      </c>
      <c r="M1028" s="76">
        <v>0</v>
      </c>
    </row>
    <row r="1029" spans="3:13" x14ac:dyDescent="0.15">
      <c r="C1029" s="76">
        <v>668</v>
      </c>
      <c r="D1029" s="76">
        <v>2.7300000000000002E-7</v>
      </c>
      <c r="E1029" s="76">
        <v>3.8999999999999998E-8</v>
      </c>
      <c r="F1029" s="76">
        <v>0</v>
      </c>
      <c r="G1029" s="76">
        <v>7.3200000000000004E-7</v>
      </c>
      <c r="H1029" s="76">
        <v>0</v>
      </c>
      <c r="I1029" s="76">
        <v>4.7700000000000005E-7</v>
      </c>
      <c r="J1029" s="76">
        <v>3.7500000000000001E-7</v>
      </c>
      <c r="K1029" s="76">
        <v>0</v>
      </c>
      <c r="L1029" s="76">
        <v>0</v>
      </c>
      <c r="M1029" s="76">
        <v>0</v>
      </c>
    </row>
    <row r="1030" spans="3:13" x14ac:dyDescent="0.15">
      <c r="C1030" s="76">
        <v>670</v>
      </c>
      <c r="D1030" s="76">
        <v>0</v>
      </c>
      <c r="E1030" s="76">
        <v>0</v>
      </c>
      <c r="F1030" s="76">
        <v>0</v>
      </c>
      <c r="G1030" s="76">
        <v>4.0200000000000003E-7</v>
      </c>
      <c r="H1030" s="76">
        <v>0</v>
      </c>
      <c r="I1030" s="76">
        <v>2.2399999999999999E-7</v>
      </c>
      <c r="J1030" s="76">
        <v>1.12E-7</v>
      </c>
      <c r="K1030" s="76">
        <v>0</v>
      </c>
      <c r="L1030" s="76">
        <v>0</v>
      </c>
      <c r="M1030" s="76">
        <v>0</v>
      </c>
    </row>
    <row r="1031" spans="3:13" x14ac:dyDescent="0.15">
      <c r="C1031" s="76">
        <v>672</v>
      </c>
      <c r="D1031" s="76">
        <v>2.91E-7</v>
      </c>
      <c r="E1031" s="76">
        <v>0</v>
      </c>
      <c r="F1031" s="76">
        <v>0</v>
      </c>
      <c r="G1031" s="76">
        <v>7.3200000000000004E-7</v>
      </c>
      <c r="H1031" s="76">
        <v>2.91E-7</v>
      </c>
      <c r="I1031" s="76">
        <v>4.8699999999999995E-7</v>
      </c>
      <c r="J1031" s="76">
        <v>4.6999999999999999E-9</v>
      </c>
      <c r="K1031" s="76">
        <v>0</v>
      </c>
      <c r="L1031" s="76">
        <v>0</v>
      </c>
      <c r="M1031" s="76">
        <v>0</v>
      </c>
    </row>
    <row r="1032" spans="3:13" x14ac:dyDescent="0.15">
      <c r="C1032" s="76">
        <v>674</v>
      </c>
      <c r="D1032" s="76">
        <v>3.2800000000000003E-7</v>
      </c>
      <c r="E1032" s="76">
        <v>0</v>
      </c>
      <c r="F1032" s="76">
        <v>0</v>
      </c>
      <c r="G1032" s="76">
        <v>5.0999999999999999E-7</v>
      </c>
      <c r="H1032" s="76">
        <v>1.49E-7</v>
      </c>
      <c r="I1032" s="76">
        <v>6.9100000000000003E-7</v>
      </c>
      <c r="J1032" s="76">
        <v>8.9500000000000001E-8</v>
      </c>
      <c r="K1032" s="76">
        <v>0</v>
      </c>
      <c r="L1032" s="76">
        <v>0</v>
      </c>
      <c r="M1032" s="76">
        <v>0</v>
      </c>
    </row>
    <row r="1033" spans="3:13" x14ac:dyDescent="0.15">
      <c r="C1033" s="76">
        <v>676</v>
      </c>
      <c r="D1033" s="76">
        <v>7.5300000000000003E-7</v>
      </c>
      <c r="E1033" s="76">
        <v>0</v>
      </c>
      <c r="F1033" s="76">
        <v>0</v>
      </c>
      <c r="G1033" s="76">
        <v>2.9900000000000002E-7</v>
      </c>
      <c r="H1033" s="76">
        <v>5.44E-7</v>
      </c>
      <c r="I1033" s="76">
        <v>5.9100000000000004E-7</v>
      </c>
      <c r="J1033" s="76">
        <v>3.1699999999999999E-7</v>
      </c>
      <c r="K1033" s="76">
        <v>0</v>
      </c>
      <c r="L1033" s="76">
        <v>0</v>
      </c>
      <c r="M1033" s="76">
        <v>0</v>
      </c>
    </row>
    <row r="1034" spans="3:13" x14ac:dyDescent="0.15">
      <c r="C1034" s="76">
        <v>678</v>
      </c>
      <c r="D1034" s="76">
        <v>7.9599999999999998E-7</v>
      </c>
      <c r="E1034" s="76">
        <v>0</v>
      </c>
      <c r="F1034" s="76">
        <v>0</v>
      </c>
      <c r="G1034" s="76">
        <v>0</v>
      </c>
      <c r="H1034" s="76">
        <v>4.9900000000000001E-7</v>
      </c>
      <c r="I1034" s="76">
        <v>5.2499999999999995E-7</v>
      </c>
      <c r="J1034" s="76">
        <v>1.66E-7</v>
      </c>
      <c r="K1034" s="76">
        <v>6.4399999999999994E-8</v>
      </c>
      <c r="L1034" s="76">
        <v>0</v>
      </c>
      <c r="M1034" s="76">
        <v>0</v>
      </c>
    </row>
    <row r="1035" spans="3:13" x14ac:dyDescent="0.15">
      <c r="C1035" s="76">
        <v>680</v>
      </c>
      <c r="D1035" s="76">
        <v>9.8899999999999998E-7</v>
      </c>
      <c r="E1035" s="76">
        <v>0</v>
      </c>
      <c r="F1035" s="76">
        <v>2.8799999999999998E-7</v>
      </c>
      <c r="G1035" s="76">
        <v>9.4699999999999998E-9</v>
      </c>
      <c r="H1035" s="76">
        <v>1.9299999999999999E-7</v>
      </c>
      <c r="I1035" s="76">
        <v>2.65E-7</v>
      </c>
      <c r="J1035" s="76">
        <v>4.58E-8</v>
      </c>
      <c r="K1035" s="76">
        <v>7.9099999999999994E-9</v>
      </c>
      <c r="L1035" s="76">
        <v>0</v>
      </c>
      <c r="M1035" s="76">
        <v>9.4699999999999998E-9</v>
      </c>
    </row>
    <row r="1036" spans="3:13" x14ac:dyDescent="0.15">
      <c r="C1036" s="76">
        <v>682</v>
      </c>
      <c r="D1036" s="76">
        <v>1.35E-6</v>
      </c>
      <c r="E1036" s="76">
        <v>0</v>
      </c>
      <c r="F1036" s="76">
        <v>0</v>
      </c>
      <c r="G1036" s="76">
        <v>6.2400000000000003E-8</v>
      </c>
      <c r="H1036" s="76">
        <v>2.2399999999999999E-7</v>
      </c>
      <c r="I1036" s="76">
        <v>1.6999999999999999E-7</v>
      </c>
      <c r="J1036" s="76">
        <v>2.4999999999999999E-7</v>
      </c>
      <c r="K1036" s="76">
        <v>0</v>
      </c>
      <c r="L1036" s="76">
        <v>0</v>
      </c>
      <c r="M1036" s="76">
        <v>6.2400000000000003E-8</v>
      </c>
    </row>
    <row r="1037" spans="3:13" x14ac:dyDescent="0.15">
      <c r="C1037" s="76">
        <v>684</v>
      </c>
      <c r="D1037" s="76">
        <v>1.79E-7</v>
      </c>
      <c r="E1037" s="76">
        <v>0</v>
      </c>
      <c r="F1037" s="76">
        <v>0</v>
      </c>
      <c r="G1037" s="76">
        <v>8.8500000000000005E-8</v>
      </c>
      <c r="H1037" s="76">
        <v>3.5699999999999998E-7</v>
      </c>
      <c r="I1037" s="76">
        <v>1.79E-7</v>
      </c>
      <c r="J1037" s="76">
        <v>0</v>
      </c>
      <c r="K1037" s="76">
        <v>1.3300000000000001E-7</v>
      </c>
      <c r="L1037" s="76">
        <v>0</v>
      </c>
      <c r="M1037" s="76">
        <v>4.4199999999999999E-8</v>
      </c>
    </row>
    <row r="1038" spans="3:13" x14ac:dyDescent="0.15">
      <c r="C1038" s="76">
        <v>686</v>
      </c>
      <c r="D1038" s="76">
        <v>2.4600000000000001E-7</v>
      </c>
      <c r="E1038" s="76">
        <v>0</v>
      </c>
      <c r="F1038" s="76">
        <v>0</v>
      </c>
      <c r="G1038" s="76">
        <v>5.4599999999999999E-8</v>
      </c>
      <c r="H1038" s="76">
        <v>4.2399999999999999E-7</v>
      </c>
      <c r="I1038" s="76">
        <v>0</v>
      </c>
      <c r="J1038" s="76">
        <v>0</v>
      </c>
      <c r="K1038" s="76">
        <v>8.1899999999999999E-8</v>
      </c>
      <c r="L1038" s="76">
        <v>0</v>
      </c>
      <c r="M1038" s="76">
        <v>2.73E-8</v>
      </c>
    </row>
    <row r="1039" spans="3:13" x14ac:dyDescent="0.15">
      <c r="C1039" s="76">
        <v>688</v>
      </c>
      <c r="D1039" s="76">
        <v>8.47E-7</v>
      </c>
      <c r="E1039" s="76">
        <v>0</v>
      </c>
      <c r="F1039" s="76">
        <v>0</v>
      </c>
      <c r="G1039" s="76">
        <v>0</v>
      </c>
      <c r="H1039" s="76">
        <v>4.5400000000000002E-7</v>
      </c>
      <c r="I1039" s="76">
        <v>0</v>
      </c>
      <c r="J1039" s="76">
        <v>2.8500000000000002E-7</v>
      </c>
      <c r="K1039" s="76">
        <v>0</v>
      </c>
      <c r="L1039" s="76">
        <v>0</v>
      </c>
      <c r="M1039" s="76">
        <v>0</v>
      </c>
    </row>
    <row r="1040" spans="3:13" x14ac:dyDescent="0.15">
      <c r="C1040" s="76">
        <v>690</v>
      </c>
      <c r="D1040" s="76">
        <v>3.9299999999999999E-7</v>
      </c>
      <c r="E1040" s="76">
        <v>0</v>
      </c>
      <c r="F1040" s="76">
        <v>0</v>
      </c>
      <c r="G1040" s="76">
        <v>0</v>
      </c>
      <c r="H1040" s="76">
        <v>3.1699999999999999E-7</v>
      </c>
      <c r="I1040" s="76">
        <v>0</v>
      </c>
      <c r="J1040" s="76">
        <v>2.03E-7</v>
      </c>
      <c r="K1040" s="76">
        <v>0</v>
      </c>
      <c r="L1040" s="76">
        <v>0</v>
      </c>
      <c r="M1040" s="76">
        <v>0</v>
      </c>
    </row>
    <row r="1041" spans="3:46" x14ac:dyDescent="0.15">
      <c r="C1041" s="76">
        <v>692</v>
      </c>
      <c r="D1041" s="76">
        <v>4.9699999999999996E-7</v>
      </c>
      <c r="E1041" s="76">
        <v>0</v>
      </c>
      <c r="F1041" s="76">
        <v>0</v>
      </c>
      <c r="G1041" s="76">
        <v>0</v>
      </c>
      <c r="H1041" s="76">
        <v>3.8799999999999998E-7</v>
      </c>
      <c r="I1041" s="76">
        <v>0</v>
      </c>
      <c r="J1041" s="76">
        <v>7.1200000000000002E-7</v>
      </c>
      <c r="K1041" s="76">
        <v>0</v>
      </c>
      <c r="L1041" s="76">
        <v>8.6200000000000004E-8</v>
      </c>
      <c r="M1041" s="76">
        <v>2.1500000000000001E-7</v>
      </c>
    </row>
    <row r="1042" spans="3:46" x14ac:dyDescent="0.15">
      <c r="C1042" s="76">
        <v>694</v>
      </c>
      <c r="D1042" s="76">
        <v>1.06E-6</v>
      </c>
      <c r="E1042" s="76">
        <v>0</v>
      </c>
      <c r="F1042" s="76">
        <v>0</v>
      </c>
      <c r="G1042" s="76">
        <v>0</v>
      </c>
      <c r="H1042" s="76">
        <v>6.8199999999999999E-7</v>
      </c>
      <c r="I1042" s="76">
        <v>0</v>
      </c>
      <c r="J1042" s="76">
        <v>2.2600000000000001E-7</v>
      </c>
      <c r="K1042" s="76">
        <v>1.2200000000000001E-7</v>
      </c>
      <c r="L1042" s="76">
        <v>3.0100000000000001E-7</v>
      </c>
      <c r="M1042" s="76">
        <v>2.0200000000000001E-7</v>
      </c>
    </row>
    <row r="1043" spans="3:46" x14ac:dyDescent="0.15">
      <c r="C1043" s="76">
        <v>696</v>
      </c>
      <c r="D1043" s="76">
        <v>3.6300000000000001E-7</v>
      </c>
      <c r="E1043" s="76">
        <v>0</v>
      </c>
      <c r="F1043" s="76">
        <v>0</v>
      </c>
      <c r="G1043" s="76">
        <v>0</v>
      </c>
      <c r="H1043" s="76">
        <v>6.4300000000000003E-7</v>
      </c>
      <c r="I1043" s="76">
        <v>0</v>
      </c>
      <c r="J1043" s="76">
        <v>3.0199999999999998E-7</v>
      </c>
      <c r="K1043" s="76">
        <v>2.0999999999999999E-8</v>
      </c>
      <c r="L1043" s="76">
        <v>4.1899999999999998E-8</v>
      </c>
      <c r="M1043" s="76">
        <v>9.2799999999999997E-8</v>
      </c>
    </row>
    <row r="1044" spans="3:46" x14ac:dyDescent="0.15">
      <c r="C1044" s="76">
        <v>698</v>
      </c>
      <c r="D1044" s="76">
        <v>6.3200000000000005E-7</v>
      </c>
      <c r="E1044" s="76">
        <v>0</v>
      </c>
      <c r="F1044" s="76">
        <v>1.2800000000000001E-7</v>
      </c>
      <c r="G1044" s="76">
        <v>0</v>
      </c>
      <c r="H1044" s="76">
        <v>5.8100000000000003E-7</v>
      </c>
      <c r="I1044" s="76">
        <v>0</v>
      </c>
      <c r="J1044" s="76">
        <v>2.0599999999999999E-7</v>
      </c>
      <c r="K1044" s="76">
        <v>5.1399999999999997E-8</v>
      </c>
      <c r="L1044" s="76">
        <v>1.54E-7</v>
      </c>
      <c r="M1044" s="76">
        <v>7.0999999999999998E-7</v>
      </c>
    </row>
    <row r="1045" spans="3:46" x14ac:dyDescent="0.15">
      <c r="C1045" s="76">
        <v>700</v>
      </c>
      <c r="D1045" s="76">
        <v>3.27E-7</v>
      </c>
      <c r="E1045" s="76">
        <v>0</v>
      </c>
      <c r="F1045" s="76">
        <v>2.3300000000000001E-7</v>
      </c>
      <c r="G1045" s="76">
        <v>0</v>
      </c>
      <c r="H1045" s="76">
        <v>0</v>
      </c>
      <c r="I1045" s="76">
        <v>0</v>
      </c>
      <c r="J1045" s="76">
        <v>4.4900000000000001E-7</v>
      </c>
      <c r="K1045" s="76">
        <v>9.3299999999999995E-8</v>
      </c>
      <c r="L1045" s="76">
        <v>2.8000000000000002E-7</v>
      </c>
      <c r="M1045" s="76">
        <v>8.8399999999999997E-8</v>
      </c>
    </row>
    <row r="1046" spans="3:46" x14ac:dyDescent="0.15">
      <c r="C1046" s="76">
        <v>702</v>
      </c>
      <c r="D1046" s="76">
        <v>0</v>
      </c>
      <c r="E1046" s="76">
        <v>0</v>
      </c>
      <c r="F1046" s="76">
        <v>1.8900000000000001E-7</v>
      </c>
      <c r="G1046" s="76">
        <v>0</v>
      </c>
      <c r="H1046" s="76">
        <v>0</v>
      </c>
      <c r="I1046" s="76">
        <v>1.8900000000000001E-7</v>
      </c>
      <c r="J1046" s="76">
        <v>1.99E-7</v>
      </c>
      <c r="K1046" s="76">
        <v>0</v>
      </c>
      <c r="L1046" s="76">
        <v>0</v>
      </c>
      <c r="M1046" s="76">
        <v>5.69E-8</v>
      </c>
    </row>
    <row r="1047" spans="3:46" x14ac:dyDescent="0.15">
      <c r="C1047" s="76">
        <v>704</v>
      </c>
      <c r="D1047" s="76">
        <v>1.4700000000000001E-7</v>
      </c>
      <c r="E1047" s="76">
        <v>0</v>
      </c>
      <c r="F1047" s="76">
        <v>1.03E-7</v>
      </c>
      <c r="G1047" s="76">
        <v>0</v>
      </c>
      <c r="H1047" s="76">
        <v>8.7299999999999994E-9</v>
      </c>
      <c r="I1047" s="76">
        <v>3.41E-7</v>
      </c>
      <c r="J1047" s="76">
        <v>2.2000000000000001E-7</v>
      </c>
      <c r="K1047" s="76">
        <v>2.9299999999999999E-7</v>
      </c>
      <c r="L1047" s="76">
        <v>4.63E-7</v>
      </c>
      <c r="M1047" s="76">
        <v>1.55E-7</v>
      </c>
    </row>
    <row r="1048" spans="3:46" x14ac:dyDescent="0.15">
      <c r="C1048" s="76">
        <v>706</v>
      </c>
      <c r="D1048" s="76">
        <v>0</v>
      </c>
      <c r="E1048" s="76">
        <v>0</v>
      </c>
      <c r="F1048" s="76">
        <v>0</v>
      </c>
      <c r="G1048" s="76">
        <v>0</v>
      </c>
      <c r="H1048" s="76">
        <v>1.1999999999999999E-7</v>
      </c>
      <c r="I1048" s="76">
        <v>1.3E-7</v>
      </c>
      <c r="J1048" s="76">
        <v>5.54E-8</v>
      </c>
      <c r="K1048" s="76">
        <v>0</v>
      </c>
      <c r="L1048" s="76">
        <v>8.5199999999999995E-7</v>
      </c>
      <c r="M1048" s="76">
        <v>6.4900000000000005E-8</v>
      </c>
    </row>
    <row r="1049" spans="3:46" x14ac:dyDescent="0.15">
      <c r="C1049" s="76">
        <v>708</v>
      </c>
      <c r="D1049" s="76">
        <v>0</v>
      </c>
      <c r="E1049" s="76">
        <v>0</v>
      </c>
      <c r="F1049" s="76">
        <v>9.3800000000000006E-8</v>
      </c>
      <c r="G1049" s="76">
        <v>0</v>
      </c>
      <c r="H1049" s="76">
        <v>9.2299999999999999E-8</v>
      </c>
      <c r="I1049" s="76">
        <v>0</v>
      </c>
      <c r="J1049" s="76">
        <v>9.2299999999999999E-8</v>
      </c>
      <c r="K1049" s="76">
        <v>2.34E-7</v>
      </c>
      <c r="L1049" s="76">
        <v>6.5300000000000004E-7</v>
      </c>
      <c r="M1049" s="76">
        <v>0</v>
      </c>
    </row>
    <row r="1050" spans="3:46" x14ac:dyDescent="0.15">
      <c r="C1050" s="76">
        <v>710</v>
      </c>
      <c r="D1050" s="76">
        <v>0</v>
      </c>
      <c r="E1050" s="76">
        <v>4.6400000000000003E-7</v>
      </c>
      <c r="F1050" s="76">
        <v>1.8699999999999999E-7</v>
      </c>
      <c r="G1050" s="76">
        <v>0</v>
      </c>
      <c r="H1050" s="76">
        <v>0</v>
      </c>
      <c r="I1050" s="76">
        <v>0</v>
      </c>
      <c r="J1050" s="76">
        <v>0</v>
      </c>
      <c r="K1050" s="76">
        <v>8.6499999999999998E-7</v>
      </c>
      <c r="L1050" s="76">
        <v>1.11E-6</v>
      </c>
      <c r="M1050" s="76">
        <v>1.99E-7</v>
      </c>
    </row>
    <row r="1051" spans="3:46" x14ac:dyDescent="0.15">
      <c r="C1051" s="76">
        <v>712</v>
      </c>
      <c r="D1051" s="76">
        <v>7.4400000000000004E-8</v>
      </c>
      <c r="E1051" s="76">
        <v>3.53E-7</v>
      </c>
      <c r="F1051" s="76">
        <v>2.3900000000000001E-7</v>
      </c>
      <c r="G1051" s="76">
        <v>0</v>
      </c>
      <c r="H1051" s="76">
        <v>0</v>
      </c>
      <c r="I1051" s="76">
        <v>1.8300000000000001E-7</v>
      </c>
      <c r="J1051" s="76">
        <v>4.5699999999999999E-8</v>
      </c>
      <c r="K1051" s="76">
        <v>4.5299999999999999E-7</v>
      </c>
      <c r="L1051" s="76">
        <v>1.0899999999999999E-6</v>
      </c>
      <c r="M1051" s="76">
        <v>2.3800000000000001E-8</v>
      </c>
    </row>
    <row r="1052" spans="3:46" x14ac:dyDescent="0.15">
      <c r="C1052" s="76">
        <v>714</v>
      </c>
      <c r="D1052" s="76">
        <v>0</v>
      </c>
      <c r="E1052" s="76">
        <v>3.1E-8</v>
      </c>
      <c r="F1052" s="76">
        <v>0</v>
      </c>
      <c r="G1052" s="76">
        <v>0</v>
      </c>
      <c r="H1052" s="76">
        <v>0</v>
      </c>
      <c r="I1052" s="76">
        <v>1.8900000000000001E-7</v>
      </c>
      <c r="J1052" s="76">
        <v>4.3799999999999998E-7</v>
      </c>
      <c r="K1052" s="76">
        <v>4.4000000000000002E-7</v>
      </c>
      <c r="L1052" s="76">
        <v>4.3599999999999999E-7</v>
      </c>
      <c r="M1052" s="76">
        <v>0</v>
      </c>
    </row>
    <row r="1053" spans="3:46" x14ac:dyDescent="0.15">
      <c r="C1053" s="76">
        <v>716</v>
      </c>
      <c r="D1053" s="76">
        <v>5.0600000000000003E-8</v>
      </c>
      <c r="E1053" s="76">
        <v>9.4300000000000004E-8</v>
      </c>
      <c r="F1053" s="76">
        <v>0</v>
      </c>
      <c r="G1053" s="76">
        <v>0</v>
      </c>
      <c r="H1053" s="76">
        <v>0</v>
      </c>
      <c r="I1053" s="76">
        <v>0</v>
      </c>
      <c r="J1053" s="76">
        <v>2.6199999999999999E-7</v>
      </c>
      <c r="K1053" s="76">
        <v>2.3900000000000001E-7</v>
      </c>
      <c r="L1053" s="76">
        <v>6.8899999999999999E-7</v>
      </c>
      <c r="M1053" s="76">
        <v>0</v>
      </c>
    </row>
    <row r="1054" spans="3:46" x14ac:dyDescent="0.15">
      <c r="C1054" s="81">
        <v>718</v>
      </c>
      <c r="D1054" s="76">
        <v>2.4E-8</v>
      </c>
      <c r="E1054" s="76">
        <v>2.35E-7</v>
      </c>
      <c r="F1054" s="76">
        <v>0</v>
      </c>
      <c r="G1054" s="76">
        <v>7.0399999999999995E-8</v>
      </c>
      <c r="H1054" s="81">
        <v>0</v>
      </c>
      <c r="I1054" s="76">
        <v>2.8200000000000001E-7</v>
      </c>
      <c r="J1054" s="76">
        <v>0</v>
      </c>
      <c r="K1054" s="76">
        <v>7.0500000000000003E-7</v>
      </c>
      <c r="L1054" s="81">
        <v>8.2399999999999997E-7</v>
      </c>
      <c r="M1054" s="76">
        <v>0</v>
      </c>
      <c r="N1054" s="81"/>
      <c r="T1054" s="81"/>
      <c r="W1054" s="81"/>
      <c r="AG1054" s="81"/>
      <c r="AT1054" s="81"/>
    </row>
    <row r="1055" spans="3:46" x14ac:dyDescent="0.15">
      <c r="C1055" s="81">
        <v>720</v>
      </c>
      <c r="D1055" s="76">
        <v>0</v>
      </c>
      <c r="E1055" s="76">
        <v>5.0699999999999997E-7</v>
      </c>
      <c r="F1055" s="76">
        <v>2.7000000000000001E-7</v>
      </c>
      <c r="G1055" s="76">
        <v>4.2599999999999998E-9</v>
      </c>
      <c r="H1055" s="81">
        <v>0</v>
      </c>
      <c r="I1055" s="76">
        <v>1.7E-8</v>
      </c>
      <c r="J1055" s="76">
        <v>0</v>
      </c>
      <c r="K1055" s="76">
        <v>5.0999999999999999E-7</v>
      </c>
      <c r="L1055" s="81">
        <v>8.3500000000000005E-7</v>
      </c>
      <c r="M1055" s="76">
        <v>0</v>
      </c>
      <c r="N1055" s="81"/>
      <c r="T1055" s="81"/>
      <c r="W1055" s="81"/>
      <c r="AG1055" s="81"/>
      <c r="AT1055" s="81"/>
    </row>
    <row r="1056" spans="3:46" x14ac:dyDescent="0.15">
      <c r="C1056" s="81">
        <v>722</v>
      </c>
      <c r="D1056" s="76">
        <v>0</v>
      </c>
      <c r="E1056" s="76">
        <v>1.7700000000000001E-7</v>
      </c>
      <c r="F1056" s="76">
        <v>4.2399999999999999E-7</v>
      </c>
      <c r="G1056" s="76">
        <v>0</v>
      </c>
      <c r="H1056" s="81">
        <v>0</v>
      </c>
      <c r="I1056" s="76">
        <v>0</v>
      </c>
      <c r="J1056" s="76">
        <v>0</v>
      </c>
      <c r="K1056" s="76">
        <v>1.37E-6</v>
      </c>
      <c r="L1056" s="81">
        <v>4.9500000000000003E-7</v>
      </c>
      <c r="M1056" s="76">
        <v>1.4100000000000001E-7</v>
      </c>
      <c r="N1056" s="81"/>
      <c r="T1056" s="81"/>
      <c r="W1056" s="81"/>
      <c r="AG1056" s="81"/>
      <c r="AT1056" s="81"/>
    </row>
    <row r="1057" spans="3:56" x14ac:dyDescent="0.15">
      <c r="C1057" s="81">
        <v>724</v>
      </c>
      <c r="D1057" s="76">
        <v>1.6500000000000001E-7</v>
      </c>
      <c r="E1057" s="76">
        <v>5.5199999999999997E-7</v>
      </c>
      <c r="F1057" s="76">
        <v>2.7300000000000002E-7</v>
      </c>
      <c r="G1057" s="76">
        <v>1.6500000000000001E-7</v>
      </c>
      <c r="H1057" s="81">
        <v>0</v>
      </c>
      <c r="I1057" s="76">
        <v>2.2100000000000001E-7</v>
      </c>
      <c r="J1057" s="76">
        <v>0</v>
      </c>
      <c r="K1057" s="76">
        <v>1.79E-6</v>
      </c>
      <c r="L1057" s="81">
        <v>7.37E-7</v>
      </c>
      <c r="M1057" s="76">
        <v>7.6300000000000004E-7</v>
      </c>
      <c r="N1057" s="81"/>
      <c r="T1057" s="81"/>
      <c r="W1057" s="81"/>
      <c r="AG1057" s="81"/>
      <c r="AT1057" s="81"/>
    </row>
    <row r="1058" spans="3:56" x14ac:dyDescent="0.15">
      <c r="C1058" s="81">
        <v>726</v>
      </c>
      <c r="D1058" s="76">
        <v>5.7000000000000001E-8</v>
      </c>
      <c r="E1058" s="76">
        <v>4.1699999999999999E-7</v>
      </c>
      <c r="F1058" s="76">
        <v>2.3799999999999999E-7</v>
      </c>
      <c r="G1058" s="76">
        <v>5.7000000000000001E-8</v>
      </c>
      <c r="H1058" s="81">
        <v>0</v>
      </c>
      <c r="I1058" s="76">
        <v>5.2E-7</v>
      </c>
      <c r="J1058" s="76">
        <v>0</v>
      </c>
      <c r="K1058" s="76">
        <v>1.44E-6</v>
      </c>
      <c r="L1058" s="81">
        <v>4.3500000000000002E-7</v>
      </c>
      <c r="M1058" s="76">
        <v>2.91E-7</v>
      </c>
      <c r="N1058" s="81"/>
      <c r="T1058" s="81"/>
      <c r="W1058" s="81"/>
      <c r="AG1058" s="81"/>
      <c r="AT1058" s="81"/>
    </row>
    <row r="1059" spans="3:56" x14ac:dyDescent="0.15">
      <c r="C1059" s="81">
        <v>728</v>
      </c>
      <c r="D1059" s="76">
        <v>0</v>
      </c>
      <c r="E1059" s="76">
        <v>4.4799999999999999E-7</v>
      </c>
      <c r="F1059" s="76">
        <v>1.24E-6</v>
      </c>
      <c r="G1059" s="76">
        <v>2.0899999999999999E-8</v>
      </c>
      <c r="H1059" s="81">
        <v>0</v>
      </c>
      <c r="I1059" s="76">
        <v>6.2800000000000006E-8</v>
      </c>
      <c r="J1059" s="76">
        <v>0</v>
      </c>
      <c r="K1059" s="76">
        <v>1.5200000000000001E-6</v>
      </c>
      <c r="L1059" s="81">
        <v>4.58E-7</v>
      </c>
      <c r="M1059" s="76">
        <v>7.61E-7</v>
      </c>
      <c r="N1059" s="81"/>
      <c r="T1059" s="81"/>
      <c r="W1059" s="81"/>
      <c r="AG1059" s="81"/>
      <c r="AT1059" s="81"/>
    </row>
    <row r="1060" spans="3:56" x14ac:dyDescent="0.15">
      <c r="C1060" s="81">
        <v>730</v>
      </c>
      <c r="D1060" s="76">
        <v>0</v>
      </c>
      <c r="E1060" s="76">
        <v>7.0299999999999998E-7</v>
      </c>
      <c r="F1060" s="76">
        <v>4.1000000000000003E-8</v>
      </c>
      <c r="G1060" s="76">
        <v>5.2899999999999997E-8</v>
      </c>
      <c r="H1060" s="81">
        <v>0</v>
      </c>
      <c r="I1060" s="76">
        <v>4.0499999999999999E-7</v>
      </c>
      <c r="J1060" s="76">
        <v>0</v>
      </c>
      <c r="K1060" s="76">
        <v>6.5199999999999996E-7</v>
      </c>
      <c r="L1060" s="81">
        <v>5.2899999999999997E-8</v>
      </c>
      <c r="M1060" s="76">
        <v>3.8700000000000001E-7</v>
      </c>
      <c r="N1060" s="81"/>
      <c r="T1060" s="81"/>
      <c r="W1060" s="81"/>
      <c r="AG1060" s="81"/>
      <c r="AT1060" s="81"/>
    </row>
    <row r="1061" spans="3:56" x14ac:dyDescent="0.15">
      <c r="C1061" s="81">
        <v>732</v>
      </c>
      <c r="D1061" s="76">
        <v>0</v>
      </c>
      <c r="E1061" s="76">
        <v>6.99E-7</v>
      </c>
      <c r="F1061" s="76">
        <v>3.2800000000000003E-8</v>
      </c>
      <c r="G1061" s="76">
        <v>0</v>
      </c>
      <c r="H1061" s="81">
        <v>0</v>
      </c>
      <c r="I1061" s="76">
        <v>5.6400000000000002E-7</v>
      </c>
      <c r="J1061" s="76">
        <v>0</v>
      </c>
      <c r="K1061" s="76">
        <v>1.02E-6</v>
      </c>
      <c r="L1061" s="81">
        <v>1.8400000000000001E-7</v>
      </c>
      <c r="M1061" s="76">
        <v>4.0400000000000002E-7</v>
      </c>
      <c r="N1061" s="81"/>
      <c r="T1061" s="81"/>
      <c r="W1061" s="81"/>
      <c r="AG1061" s="81"/>
      <c r="AT1061" s="81"/>
    </row>
    <row r="1062" spans="3:56" x14ac:dyDescent="0.15">
      <c r="C1062" s="81">
        <v>734</v>
      </c>
      <c r="D1062" s="76">
        <v>0</v>
      </c>
      <c r="E1062" s="76">
        <v>5.06E-7</v>
      </c>
      <c r="F1062" s="76">
        <v>0</v>
      </c>
      <c r="G1062" s="76">
        <v>5.1699999999999998E-7</v>
      </c>
      <c r="H1062" s="81">
        <v>1.3999999999999999E-6</v>
      </c>
      <c r="I1062" s="76">
        <v>1.6500000000000001E-7</v>
      </c>
      <c r="J1062" s="76">
        <v>3.0699999999999997E-8</v>
      </c>
      <c r="K1062" s="76">
        <v>4.8699999999999995E-7</v>
      </c>
      <c r="L1062" s="81">
        <v>2.5899999999999998E-7</v>
      </c>
      <c r="M1062" s="76">
        <v>9.3699999999999999E-8</v>
      </c>
      <c r="N1062" s="81"/>
      <c r="T1062" s="81"/>
      <c r="W1062" s="81"/>
      <c r="AG1062" s="81"/>
      <c r="AT1062" s="81"/>
    </row>
    <row r="1063" spans="3:56" x14ac:dyDescent="0.15">
      <c r="C1063" s="81">
        <v>736</v>
      </c>
      <c r="D1063" s="76">
        <v>1.97E-7</v>
      </c>
      <c r="E1063" s="76">
        <v>2.8200000000000001E-8</v>
      </c>
      <c r="F1063" s="76">
        <v>0</v>
      </c>
      <c r="G1063" s="76">
        <v>2.8200000000000001E-7</v>
      </c>
      <c r="H1063" s="81">
        <v>0</v>
      </c>
      <c r="I1063" s="76">
        <v>1.61E-7</v>
      </c>
      <c r="J1063" s="76">
        <v>2.65E-7</v>
      </c>
      <c r="K1063" s="76">
        <v>9.9999999999999995E-7</v>
      </c>
      <c r="L1063" s="81">
        <v>0</v>
      </c>
      <c r="M1063" s="76">
        <v>4.6199999999999998E-7</v>
      </c>
      <c r="N1063" s="81"/>
      <c r="T1063" s="81"/>
      <c r="W1063" s="81"/>
      <c r="AG1063" s="81"/>
      <c r="AT1063" s="81"/>
    </row>
    <row r="1064" spans="3:56" x14ac:dyDescent="0.15">
      <c r="C1064" s="81">
        <v>738</v>
      </c>
      <c r="D1064" s="76">
        <v>4.2100000000000002E-7</v>
      </c>
      <c r="E1064" s="76">
        <v>4.6100000000000003E-8</v>
      </c>
      <c r="F1064" s="76">
        <v>1.4700000000000001E-7</v>
      </c>
      <c r="G1064" s="76">
        <v>5.5899999999999996E-7</v>
      </c>
      <c r="H1064" s="81">
        <v>0</v>
      </c>
      <c r="I1064" s="76">
        <v>4.6100000000000003E-8</v>
      </c>
      <c r="J1064" s="76">
        <v>0</v>
      </c>
      <c r="K1064" s="76">
        <v>1.0899999999999999E-6</v>
      </c>
      <c r="L1064" s="81">
        <v>0</v>
      </c>
      <c r="M1064" s="76">
        <v>7.6400000000000001E-7</v>
      </c>
      <c r="N1064" s="81"/>
      <c r="T1064" s="81"/>
      <c r="W1064" s="81"/>
      <c r="AG1064" s="81"/>
      <c r="AT1064" s="81"/>
    </row>
    <row r="1065" spans="3:56" x14ac:dyDescent="0.15">
      <c r="C1065" s="81">
        <v>740</v>
      </c>
      <c r="D1065" s="76">
        <v>5.1200000000000002E-8</v>
      </c>
      <c r="E1065" s="76">
        <v>2.8099999999999999E-7</v>
      </c>
      <c r="F1065" s="76">
        <v>7.6899999999999994E-8</v>
      </c>
      <c r="G1065" s="76">
        <v>6.8299999999999996E-7</v>
      </c>
      <c r="H1065" s="81">
        <v>0</v>
      </c>
      <c r="I1065" s="76">
        <v>0</v>
      </c>
      <c r="J1065" s="76">
        <v>3.5100000000000001E-7</v>
      </c>
      <c r="K1065" s="76">
        <v>4.2199999999999999E-7</v>
      </c>
      <c r="L1065" s="81">
        <v>0</v>
      </c>
      <c r="M1065" s="76">
        <v>1.42E-6</v>
      </c>
      <c r="N1065" s="81"/>
      <c r="T1065" s="81"/>
      <c r="W1065" s="81"/>
      <c r="AG1065" s="81"/>
      <c r="AT1065" s="81"/>
    </row>
    <row r="1066" spans="3:56" x14ac:dyDescent="0.15">
      <c r="C1066" s="81">
        <v>742</v>
      </c>
      <c r="D1066" s="76">
        <v>4.8699999999999995E-7</v>
      </c>
      <c r="E1066" s="76">
        <v>5.3900000000000005E-7</v>
      </c>
      <c r="F1066" s="76">
        <v>0</v>
      </c>
      <c r="G1066" s="76">
        <v>5.4600000000000005E-7</v>
      </c>
      <c r="H1066" s="81">
        <v>3.9499999999999998E-7</v>
      </c>
      <c r="I1066" s="76">
        <v>0</v>
      </c>
      <c r="J1066" s="76">
        <v>3.7599999999999998E-7</v>
      </c>
      <c r="K1066" s="76">
        <v>5.6199999999999998E-7</v>
      </c>
      <c r="L1066" s="81">
        <v>1.5099999999999999E-7</v>
      </c>
      <c r="M1066" s="76">
        <v>9.8200000000000008E-7</v>
      </c>
      <c r="N1066" s="81"/>
      <c r="T1066" s="81"/>
      <c r="W1066" s="81"/>
      <c r="AG1066" s="81"/>
      <c r="AT1066" s="81"/>
    </row>
    <row r="1067" spans="3:56" x14ac:dyDescent="0.15">
      <c r="C1067" s="81">
        <v>744</v>
      </c>
      <c r="D1067" s="76">
        <v>4.2500000000000001E-7</v>
      </c>
      <c r="E1067" s="76">
        <v>5.44E-7</v>
      </c>
      <c r="F1067" s="76">
        <v>3.8099999999999997E-8</v>
      </c>
      <c r="G1067" s="76">
        <v>2.9400000000000001E-7</v>
      </c>
      <c r="H1067" s="81">
        <v>3.27E-7</v>
      </c>
      <c r="I1067" s="76">
        <v>0</v>
      </c>
      <c r="J1067" s="76">
        <v>3.7E-7</v>
      </c>
      <c r="K1067" s="76">
        <v>6.2600000000000002E-7</v>
      </c>
      <c r="L1067" s="81">
        <v>0</v>
      </c>
      <c r="M1067" s="76">
        <v>1.53E-6</v>
      </c>
      <c r="N1067" s="81"/>
      <c r="T1067" s="81"/>
      <c r="W1067" s="81"/>
      <c r="AG1067" s="81"/>
      <c r="AT1067" s="81"/>
    </row>
    <row r="1068" spans="3:56" x14ac:dyDescent="0.15">
      <c r="C1068" s="81">
        <v>746</v>
      </c>
      <c r="D1068" s="81">
        <v>8.5499999999999997E-7</v>
      </c>
      <c r="E1068" s="81">
        <v>1.3400000000000001E-6</v>
      </c>
      <c r="F1068" s="81">
        <v>3.8799999999999997E-8</v>
      </c>
      <c r="G1068" s="81">
        <v>5.4000000000000002E-7</v>
      </c>
      <c r="H1068" s="81">
        <v>7.5499999999999997E-7</v>
      </c>
      <c r="I1068" s="81">
        <v>2.4200000000000002E-7</v>
      </c>
      <c r="J1068" s="81">
        <v>1.9399999999999999E-7</v>
      </c>
      <c r="K1068" s="81">
        <v>2.7099999999999998E-7</v>
      </c>
      <c r="L1068" s="81">
        <v>0</v>
      </c>
      <c r="M1068" s="81">
        <v>5.8599999999999998E-7</v>
      </c>
      <c r="N1068" s="81"/>
      <c r="O1068" s="81"/>
      <c r="P1068" s="81"/>
      <c r="Q1068" s="81"/>
      <c r="R1068" s="81"/>
      <c r="S1068" s="81"/>
      <c r="T1068" s="81"/>
      <c r="U1068" s="81"/>
      <c r="V1068" s="81"/>
      <c r="W1068" s="81"/>
      <c r="X1068" s="81"/>
      <c r="Y1068" s="81"/>
      <c r="Z1068" s="81"/>
      <c r="AA1068" s="81"/>
      <c r="AB1068" s="81"/>
      <c r="AC1068" s="81"/>
      <c r="AD1068" s="81"/>
      <c r="AG1068" s="81"/>
      <c r="AH1068" s="81"/>
      <c r="AI1068" s="81"/>
      <c r="AJ1068" s="81"/>
      <c r="AK1068" s="81"/>
      <c r="AL1068" s="81"/>
      <c r="AM1068" s="81"/>
      <c r="AN1068" s="81"/>
      <c r="AO1068" s="81"/>
      <c r="AP1068" s="81"/>
      <c r="AQ1068" s="81"/>
      <c r="AT1068" s="81"/>
      <c r="AU1068" s="81"/>
      <c r="AV1068" s="81"/>
      <c r="AW1068" s="81"/>
      <c r="AX1068" s="81"/>
      <c r="AY1068" s="81"/>
      <c r="AZ1068" s="81"/>
      <c r="BA1068" s="81"/>
      <c r="BB1068" s="81"/>
      <c r="BC1068" s="81"/>
      <c r="BD1068" s="81"/>
    </row>
    <row r="1069" spans="3:56" x14ac:dyDescent="0.15">
      <c r="C1069" s="81">
        <v>748</v>
      </c>
      <c r="D1069" s="76">
        <v>4.7300000000000001E-7</v>
      </c>
      <c r="E1069" s="76">
        <v>4.0600000000000001E-7</v>
      </c>
      <c r="F1069" s="76">
        <v>0</v>
      </c>
      <c r="G1069" s="76">
        <v>1.2100000000000001E-6</v>
      </c>
      <c r="H1069" s="81">
        <v>1.4700000000000001E-7</v>
      </c>
      <c r="I1069" s="76">
        <v>3.0899999999999997E-7</v>
      </c>
      <c r="J1069" s="76">
        <v>1.5699999999999999E-7</v>
      </c>
      <c r="K1069" s="76">
        <v>1.04E-8</v>
      </c>
      <c r="L1069" s="81">
        <v>0</v>
      </c>
      <c r="M1069" s="76">
        <v>5.99E-7</v>
      </c>
      <c r="N1069" s="81"/>
      <c r="T1069" s="81"/>
      <c r="W1069" s="81"/>
      <c r="AG1069" s="81"/>
      <c r="AT1069" s="81"/>
    </row>
    <row r="1070" spans="3:56" x14ac:dyDescent="0.15">
      <c r="C1070" s="76">
        <v>750</v>
      </c>
      <c r="D1070" s="76">
        <v>7.4499999999999999E-8</v>
      </c>
      <c r="E1070" s="76">
        <v>6.8999999999999996E-7</v>
      </c>
      <c r="F1070" s="76">
        <v>0</v>
      </c>
      <c r="G1070" s="76">
        <v>1.3E-6</v>
      </c>
      <c r="H1070" s="76">
        <v>3.7399999999999999E-7</v>
      </c>
      <c r="I1070" s="76">
        <v>1.31E-7</v>
      </c>
      <c r="J1070" s="76">
        <v>0</v>
      </c>
      <c r="K1070" s="76">
        <v>1.49E-7</v>
      </c>
      <c r="L1070" s="76">
        <v>0</v>
      </c>
      <c r="M1070" s="76">
        <v>2.2399999999999999E-7</v>
      </c>
    </row>
    <row r="1071" spans="3:56" x14ac:dyDescent="0.15">
      <c r="C1071" s="76">
        <v>752</v>
      </c>
      <c r="D1071" s="76">
        <v>0</v>
      </c>
      <c r="E1071" s="76">
        <v>3.15E-7</v>
      </c>
      <c r="F1071" s="76">
        <v>0</v>
      </c>
      <c r="G1071" s="76">
        <v>6.7999999999999995E-7</v>
      </c>
      <c r="H1071" s="76">
        <v>9.3900000000000003E-7</v>
      </c>
      <c r="I1071" s="76">
        <v>1.05E-7</v>
      </c>
      <c r="J1071" s="76">
        <v>5.1900000000000002E-8</v>
      </c>
      <c r="K1071" s="76">
        <v>0</v>
      </c>
      <c r="L1071" s="76">
        <v>0</v>
      </c>
      <c r="M1071" s="76">
        <v>5.1900000000000003E-7</v>
      </c>
    </row>
    <row r="1072" spans="3:56" x14ac:dyDescent="0.15">
      <c r="C1072" s="76">
        <v>754</v>
      </c>
      <c r="D1072" s="76">
        <v>0</v>
      </c>
      <c r="E1072" s="76">
        <v>0</v>
      </c>
      <c r="F1072" s="76">
        <v>7.6599999999999995E-7</v>
      </c>
      <c r="G1072" s="76">
        <v>5.7899999999999998E-7</v>
      </c>
      <c r="H1072" s="76">
        <v>9.8700000000000004E-7</v>
      </c>
      <c r="I1072" s="76">
        <v>0</v>
      </c>
      <c r="J1072" s="76">
        <v>6.4300000000000003E-7</v>
      </c>
      <c r="K1072" s="76">
        <v>3.8299999999999998E-7</v>
      </c>
      <c r="L1072" s="76">
        <v>0</v>
      </c>
      <c r="M1072" s="76">
        <v>1.06E-6</v>
      </c>
    </row>
    <row r="1073" spans="2:13" x14ac:dyDescent="0.15">
      <c r="C1073" s="76">
        <v>756</v>
      </c>
      <c r="D1073" s="76">
        <v>4.3700000000000001E-7</v>
      </c>
      <c r="E1073" s="76">
        <v>3.69E-8</v>
      </c>
      <c r="F1073" s="76">
        <v>5.9999999999999995E-8</v>
      </c>
      <c r="G1073" s="76">
        <v>7.8299999999999996E-7</v>
      </c>
      <c r="H1073" s="76">
        <v>1.15E-6</v>
      </c>
      <c r="I1073" s="76">
        <v>0</v>
      </c>
      <c r="J1073" s="76">
        <v>1.5099999999999999E-7</v>
      </c>
      <c r="K1073" s="76">
        <v>2.9999999999999997E-8</v>
      </c>
      <c r="L1073" s="76">
        <v>0</v>
      </c>
      <c r="M1073" s="76">
        <v>2.65E-7</v>
      </c>
    </row>
    <row r="1074" spans="2:13" x14ac:dyDescent="0.15">
      <c r="C1074" s="76">
        <v>758</v>
      </c>
      <c r="D1074" s="76">
        <v>6.7000000000000004E-7</v>
      </c>
      <c r="E1074" s="76">
        <v>2.65E-7</v>
      </c>
      <c r="F1074" s="76">
        <v>0</v>
      </c>
      <c r="G1074" s="76">
        <v>7.9400000000000004E-7</v>
      </c>
      <c r="H1074" s="76">
        <v>1.3E-6</v>
      </c>
      <c r="I1074" s="76">
        <v>0</v>
      </c>
      <c r="J1074" s="76">
        <v>6.7000000000000004E-8</v>
      </c>
      <c r="K1074" s="76">
        <v>0</v>
      </c>
      <c r="L1074" s="76">
        <v>0</v>
      </c>
      <c r="M1074" s="76">
        <v>1.3400000000000001E-7</v>
      </c>
    </row>
    <row r="1075" spans="2:13" x14ac:dyDescent="0.15">
      <c r="C1075" s="76">
        <v>760</v>
      </c>
      <c r="D1075" s="76">
        <v>7.0200000000000007E-8</v>
      </c>
      <c r="E1075" s="76">
        <v>3.39E-7</v>
      </c>
      <c r="F1075" s="76">
        <v>7.0200000000000007E-8</v>
      </c>
      <c r="G1075" s="76">
        <v>9.3399999999999997E-7</v>
      </c>
      <c r="H1075" s="76">
        <v>1.81E-6</v>
      </c>
      <c r="I1075" s="76">
        <v>0</v>
      </c>
      <c r="J1075" s="76">
        <v>1.4000000000000001E-7</v>
      </c>
      <c r="K1075" s="76">
        <v>0</v>
      </c>
      <c r="L1075" s="76">
        <v>0</v>
      </c>
      <c r="M1075" s="76">
        <v>0</v>
      </c>
    </row>
    <row r="1076" spans="2:13" x14ac:dyDescent="0.15">
      <c r="C1076" s="76">
        <v>762</v>
      </c>
      <c r="D1076" s="76">
        <v>4.36E-8</v>
      </c>
      <c r="E1076" s="76">
        <v>1.85E-7</v>
      </c>
      <c r="F1076" s="76">
        <v>1.74E-8</v>
      </c>
      <c r="G1076" s="76">
        <v>1.92E-7</v>
      </c>
      <c r="H1076" s="76">
        <v>1.1599999999999999E-6</v>
      </c>
      <c r="I1076" s="76">
        <v>0</v>
      </c>
      <c r="J1076" s="76">
        <v>7.8000000000000005E-7</v>
      </c>
      <c r="K1076" s="76">
        <v>1.05E-7</v>
      </c>
      <c r="L1076" s="76">
        <v>0</v>
      </c>
      <c r="M1076" s="76">
        <v>0</v>
      </c>
    </row>
    <row r="1077" spans="2:13" x14ac:dyDescent="0.15">
      <c r="C1077" s="76">
        <v>764</v>
      </c>
      <c r="D1077" s="76">
        <v>2.4299999999999999E-7</v>
      </c>
      <c r="E1077" s="76">
        <v>4.0600000000000001E-7</v>
      </c>
      <c r="F1077" s="76">
        <v>1.0700000000000001E-7</v>
      </c>
      <c r="G1077" s="76">
        <v>9.8899999999999998E-7</v>
      </c>
      <c r="H1077" s="76">
        <v>9.0800000000000003E-7</v>
      </c>
      <c r="I1077" s="76">
        <v>3.55E-8</v>
      </c>
      <c r="J1077" s="76">
        <v>3.2500000000000001E-7</v>
      </c>
      <c r="K1077" s="76">
        <v>9.7399999999999991E-7</v>
      </c>
      <c r="L1077" s="76">
        <v>0</v>
      </c>
      <c r="M1077" s="76">
        <v>0</v>
      </c>
    </row>
    <row r="1078" spans="2:13" x14ac:dyDescent="0.15">
      <c r="C1078" s="76">
        <v>766</v>
      </c>
      <c r="D1078" s="76">
        <v>0</v>
      </c>
      <c r="E1078" s="76">
        <v>1.2599999999999999E-7</v>
      </c>
      <c r="F1078" s="76">
        <v>1.0499999999999999E-6</v>
      </c>
      <c r="G1078" s="76">
        <v>5.9100000000000004E-7</v>
      </c>
      <c r="H1078" s="76">
        <v>5.9100000000000004E-7</v>
      </c>
      <c r="I1078" s="76">
        <v>5.5099999999999997E-8</v>
      </c>
      <c r="J1078" s="76">
        <v>0</v>
      </c>
      <c r="K1078" s="76">
        <v>0</v>
      </c>
      <c r="L1078" s="76">
        <v>0</v>
      </c>
      <c r="M1078" s="76">
        <v>0</v>
      </c>
    </row>
    <row r="1079" spans="2:13" x14ac:dyDescent="0.15">
      <c r="C1079" s="76">
        <v>768</v>
      </c>
      <c r="D1079" s="76">
        <v>0</v>
      </c>
      <c r="E1079" s="76">
        <v>5.6500000000000003E-8</v>
      </c>
      <c r="F1079" s="76">
        <v>8.5199999999999995E-7</v>
      </c>
      <c r="G1079" s="76">
        <v>4.15E-7</v>
      </c>
      <c r="H1079" s="76">
        <v>4.15E-7</v>
      </c>
      <c r="I1079" s="76">
        <v>0</v>
      </c>
      <c r="J1079" s="76">
        <v>0</v>
      </c>
      <c r="K1079" s="76">
        <v>0</v>
      </c>
      <c r="L1079" s="76">
        <v>5.4799999999999998E-7</v>
      </c>
      <c r="M1079" s="76">
        <v>0</v>
      </c>
    </row>
    <row r="1080" spans="2:13" x14ac:dyDescent="0.15">
      <c r="C1080" s="76">
        <v>770</v>
      </c>
      <c r="D1080" s="76">
        <v>0</v>
      </c>
      <c r="E1080" s="76">
        <v>0</v>
      </c>
      <c r="F1080" s="76">
        <v>3.65E-9</v>
      </c>
      <c r="G1080" s="76">
        <v>5.6699999999999998E-8</v>
      </c>
      <c r="H1080" s="76">
        <v>3.9000000000000002E-7</v>
      </c>
      <c r="I1080" s="76">
        <v>0</v>
      </c>
      <c r="J1080" s="76">
        <v>0</v>
      </c>
      <c r="K1080" s="76">
        <v>0</v>
      </c>
      <c r="L1080" s="76">
        <v>4.3699999999999996E-9</v>
      </c>
      <c r="M1080" s="76">
        <v>0</v>
      </c>
    </row>
    <row r="1081" spans="2:13" x14ac:dyDescent="0.15">
      <c r="C1081" s="76">
        <v>772</v>
      </c>
      <c r="D1081" s="76">
        <v>0</v>
      </c>
      <c r="E1081" s="76">
        <v>1.12E-7</v>
      </c>
      <c r="F1081" s="76">
        <v>0</v>
      </c>
      <c r="G1081" s="76">
        <v>4.1199999999999998E-7</v>
      </c>
      <c r="H1081" s="76">
        <v>1.77E-6</v>
      </c>
      <c r="I1081" s="76">
        <v>0</v>
      </c>
      <c r="J1081" s="76">
        <v>0</v>
      </c>
      <c r="K1081" s="76">
        <v>0</v>
      </c>
      <c r="L1081" s="76">
        <v>2.23E-7</v>
      </c>
      <c r="M1081" s="76">
        <v>0</v>
      </c>
    </row>
    <row r="1082" spans="2:13" x14ac:dyDescent="0.15">
      <c r="C1082" s="76">
        <v>774</v>
      </c>
      <c r="D1082" s="76">
        <v>6.7999999999999995E-7</v>
      </c>
      <c r="E1082" s="76">
        <v>7.6500000000000003E-8</v>
      </c>
      <c r="F1082" s="76">
        <v>2.5499999999999999E-7</v>
      </c>
      <c r="G1082" s="76">
        <v>1.91E-7</v>
      </c>
      <c r="H1082" s="76">
        <v>1.0300000000000001E-6</v>
      </c>
      <c r="I1082" s="76">
        <v>0</v>
      </c>
      <c r="J1082" s="76">
        <v>0</v>
      </c>
      <c r="K1082" s="76">
        <v>1.6999999999999999E-7</v>
      </c>
      <c r="L1082" s="76">
        <v>1.5300000000000001E-7</v>
      </c>
      <c r="M1082" s="76">
        <v>0</v>
      </c>
    </row>
    <row r="1083" spans="2:13" x14ac:dyDescent="0.15">
      <c r="C1083" s="76">
        <v>776</v>
      </c>
      <c r="D1083" s="76">
        <v>2.1400000000000001E-7</v>
      </c>
      <c r="E1083" s="76">
        <v>0</v>
      </c>
      <c r="F1083" s="76">
        <v>4.1300000000000001E-7</v>
      </c>
      <c r="G1083" s="76">
        <v>5.7400000000000003E-7</v>
      </c>
      <c r="H1083" s="76">
        <v>7.6499999999999998E-7</v>
      </c>
      <c r="I1083" s="76">
        <v>3.8200000000000001E-7</v>
      </c>
      <c r="J1083" s="76">
        <v>7.6499999999999998E-7</v>
      </c>
      <c r="K1083" s="76">
        <v>1.9300000000000001E-8</v>
      </c>
      <c r="L1083" s="76">
        <v>5.8600000000000002E-8</v>
      </c>
      <c r="M1083" s="76">
        <v>3.9099999999999999E-8</v>
      </c>
    </row>
    <row r="1084" spans="2:13" x14ac:dyDescent="0.15">
      <c r="C1084" s="76">
        <v>778</v>
      </c>
      <c r="D1084" s="76">
        <v>5.4000000000000002E-7</v>
      </c>
      <c r="E1084" s="76">
        <v>0</v>
      </c>
      <c r="F1084" s="76">
        <v>7.3300000000000001E-7</v>
      </c>
      <c r="G1084" s="76">
        <v>1.99E-7</v>
      </c>
      <c r="H1084" s="76">
        <v>0</v>
      </c>
      <c r="I1084" s="76">
        <v>0</v>
      </c>
      <c r="J1084" s="76">
        <v>0</v>
      </c>
      <c r="K1084" s="76">
        <v>3.9700000000000002E-7</v>
      </c>
      <c r="L1084" s="76">
        <v>2.3200000000000001E-7</v>
      </c>
      <c r="M1084" s="76">
        <v>1.54E-7</v>
      </c>
    </row>
    <row r="1085" spans="2:13" x14ac:dyDescent="0.15">
      <c r="C1085" s="76">
        <v>780</v>
      </c>
      <c r="D1085" s="76">
        <v>3.2500000000000001E-7</v>
      </c>
      <c r="E1085" s="120">
        <v>0</v>
      </c>
      <c r="F1085" s="120">
        <v>4.1899999999999998E-7</v>
      </c>
      <c r="G1085" s="76">
        <v>3.5499999999999999E-7</v>
      </c>
      <c r="H1085" s="76">
        <v>0</v>
      </c>
      <c r="I1085" s="76">
        <v>0</v>
      </c>
      <c r="J1085" s="76">
        <v>0</v>
      </c>
      <c r="K1085" s="76">
        <v>3.8599999999999999E-7</v>
      </c>
      <c r="L1085" s="76">
        <v>4.8699999999999995E-7</v>
      </c>
      <c r="M1085" s="76">
        <v>0</v>
      </c>
    </row>
    <row r="1086" spans="2:13" x14ac:dyDescent="0.15">
      <c r="B1086" s="76">
        <v>21</v>
      </c>
      <c r="C1086" s="76" t="s">
        <v>561</v>
      </c>
      <c r="D1086" s="76">
        <v>1</v>
      </c>
      <c r="E1086" s="76">
        <v>2</v>
      </c>
      <c r="F1086" s="76">
        <v>3</v>
      </c>
      <c r="G1086" s="76">
        <v>4</v>
      </c>
      <c r="H1086" s="76">
        <v>5</v>
      </c>
      <c r="I1086" s="76">
        <v>6</v>
      </c>
      <c r="J1086" s="76">
        <v>7</v>
      </c>
      <c r="K1086" s="76">
        <v>8</v>
      </c>
      <c r="L1086" s="76">
        <v>9</v>
      </c>
      <c r="M1086" s="76">
        <v>10</v>
      </c>
    </row>
    <row r="1087" spans="2:13" x14ac:dyDescent="0.15">
      <c r="C1087" s="76" t="s">
        <v>556</v>
      </c>
      <c r="D1087" s="76">
        <v>3.5710000000000002</v>
      </c>
      <c r="E1087" s="76">
        <v>3.71</v>
      </c>
      <c r="F1087" s="76">
        <v>3.8090000000000002</v>
      </c>
      <c r="G1087" s="76">
        <v>3.891</v>
      </c>
      <c r="H1087" s="76">
        <v>3.9620000000000002</v>
      </c>
      <c r="I1087" s="76">
        <v>4.0250000000000004</v>
      </c>
      <c r="J1087" s="76">
        <v>4.0830000000000002</v>
      </c>
      <c r="K1087" s="76">
        <v>4.1369999999999996</v>
      </c>
      <c r="L1087" s="76">
        <v>4.1870000000000003</v>
      </c>
      <c r="M1087" s="76">
        <v>4.2329999999999997</v>
      </c>
    </row>
    <row r="1088" spans="2:13" x14ac:dyDescent="0.15">
      <c r="C1088" s="76" t="s">
        <v>562</v>
      </c>
      <c r="D1088" s="76">
        <v>0.08</v>
      </c>
      <c r="E1088" s="76">
        <v>0.16</v>
      </c>
      <c r="F1088" s="76">
        <v>0.24</v>
      </c>
      <c r="G1088" s="76">
        <v>0.32</v>
      </c>
      <c r="H1088" s="76">
        <v>0.4</v>
      </c>
      <c r="I1088" s="76">
        <v>0.48</v>
      </c>
      <c r="J1088" s="76">
        <v>0.56000000000000005</v>
      </c>
      <c r="K1088" s="76">
        <v>0.64</v>
      </c>
      <c r="L1088" s="76">
        <v>0.72</v>
      </c>
      <c r="M1088" s="76">
        <v>0.8</v>
      </c>
    </row>
    <row r="1089" spans="3:13" x14ac:dyDescent="0.15">
      <c r="C1089" s="76" t="s">
        <v>557</v>
      </c>
      <c r="D1089" s="76">
        <v>2</v>
      </c>
      <c r="E1089" s="76">
        <v>4</v>
      </c>
      <c r="F1089" s="76">
        <v>6</v>
      </c>
      <c r="G1089" s="76">
        <v>8</v>
      </c>
      <c r="H1089" s="76">
        <v>10</v>
      </c>
      <c r="I1089" s="76">
        <v>12</v>
      </c>
      <c r="J1089" s="76">
        <v>14</v>
      </c>
      <c r="K1089" s="76">
        <v>16</v>
      </c>
      <c r="L1089" s="76">
        <v>18</v>
      </c>
      <c r="M1089" s="76">
        <v>20</v>
      </c>
    </row>
    <row r="1090" spans="3:13" x14ac:dyDescent="0.15">
      <c r="C1090" s="76" t="s">
        <v>560</v>
      </c>
      <c r="D1090" s="76">
        <v>8.2739999999999991</v>
      </c>
      <c r="E1090" s="76">
        <v>8.4610000000000003</v>
      </c>
      <c r="F1090" s="76">
        <v>8.4830000000000005</v>
      </c>
      <c r="G1090" s="76">
        <v>8.4779999999999998</v>
      </c>
      <c r="H1090" s="76">
        <v>8.4600000000000009</v>
      </c>
      <c r="I1090" s="76">
        <v>8.4410000000000007</v>
      </c>
      <c r="J1090" s="76">
        <v>8.4280000000000008</v>
      </c>
      <c r="K1090" s="76">
        <v>8.4</v>
      </c>
      <c r="L1090" s="76">
        <v>8.3829999999999991</v>
      </c>
      <c r="M1090" s="76">
        <v>8.375</v>
      </c>
    </row>
    <row r="1091" spans="3:13" x14ac:dyDescent="0.15">
      <c r="C1091" s="76" t="s">
        <v>563</v>
      </c>
      <c r="D1091" s="76">
        <v>7.2796750000000001</v>
      </c>
      <c r="E1091" s="76">
        <v>7.1651850000000001</v>
      </c>
      <c r="F1091" s="76">
        <v>6.9963939999999996</v>
      </c>
      <c r="G1091" s="76">
        <v>6.8461949999999998</v>
      </c>
      <c r="H1091" s="76">
        <v>6.7087849999999998</v>
      </c>
      <c r="I1091" s="76">
        <v>6.5880150000000004</v>
      </c>
      <c r="J1091" s="76">
        <v>6.4842180000000003</v>
      </c>
      <c r="K1091" s="76">
        <v>6.378558</v>
      </c>
      <c r="L1091" s="76">
        <v>6.2906000000000004</v>
      </c>
      <c r="M1091" s="76">
        <v>6.2149150000000004</v>
      </c>
    </row>
    <row r="1092" spans="3:13" x14ac:dyDescent="0.15">
      <c r="C1092" s="76" t="s">
        <v>564</v>
      </c>
      <c r="D1092" s="76">
        <v>165.5</v>
      </c>
      <c r="E1092" s="76">
        <v>338.5</v>
      </c>
      <c r="F1092" s="76">
        <v>509</v>
      </c>
      <c r="G1092" s="76">
        <v>678.3</v>
      </c>
      <c r="H1092" s="76">
        <v>846.1</v>
      </c>
      <c r="I1092" s="76">
        <v>1013</v>
      </c>
      <c r="J1092" s="76">
        <v>1180</v>
      </c>
      <c r="K1092" s="76">
        <v>1344</v>
      </c>
      <c r="L1092" s="76">
        <v>1509</v>
      </c>
      <c r="M1092" s="76">
        <v>1675</v>
      </c>
    </row>
    <row r="1093" spans="3:13" x14ac:dyDescent="0.15">
      <c r="C1093" s="76" t="s">
        <v>565</v>
      </c>
      <c r="D1093" s="76">
        <v>165.5</v>
      </c>
      <c r="E1093" s="76">
        <v>338.5</v>
      </c>
      <c r="F1093" s="76">
        <v>509</v>
      </c>
      <c r="G1093" s="76">
        <v>678.3</v>
      </c>
      <c r="H1093" s="76">
        <v>846.1</v>
      </c>
      <c r="I1093" s="76">
        <v>1013</v>
      </c>
      <c r="J1093" s="76">
        <v>1180</v>
      </c>
      <c r="K1093" s="76">
        <v>1344</v>
      </c>
      <c r="L1093" s="76">
        <v>1509</v>
      </c>
      <c r="M1093" s="76">
        <v>1675</v>
      </c>
    </row>
    <row r="1094" spans="3:13" x14ac:dyDescent="0.15">
      <c r="C1094" s="76" t="s">
        <v>566</v>
      </c>
      <c r="D1094" s="76">
        <v>0.13519999999999999</v>
      </c>
      <c r="E1094" s="76">
        <v>0.13519999999999999</v>
      </c>
      <c r="F1094" s="76">
        <v>0.1351</v>
      </c>
      <c r="G1094" s="76">
        <v>0.1351</v>
      </c>
      <c r="H1094" s="76">
        <v>0.13519999999999999</v>
      </c>
      <c r="I1094" s="76">
        <v>0.13519999999999999</v>
      </c>
      <c r="J1094" s="76">
        <v>0.1351</v>
      </c>
      <c r="K1094" s="76">
        <v>0.13519999999999999</v>
      </c>
      <c r="L1094" s="76">
        <v>0.1351</v>
      </c>
      <c r="M1094" s="76">
        <v>0.13519999999999999</v>
      </c>
    </row>
    <row r="1095" spans="3:13" x14ac:dyDescent="0.15">
      <c r="C1095" s="76" t="s">
        <v>567</v>
      </c>
      <c r="D1095" s="76">
        <v>0.1187</v>
      </c>
      <c r="E1095" s="76">
        <v>0.1186</v>
      </c>
      <c r="F1095" s="76">
        <v>0.11849999999999999</v>
      </c>
      <c r="G1095" s="76">
        <v>0.11840000000000001</v>
      </c>
      <c r="H1095" s="76">
        <v>0.1183</v>
      </c>
      <c r="I1095" s="76">
        <v>0.1183</v>
      </c>
      <c r="J1095" s="76">
        <v>0.1183</v>
      </c>
      <c r="K1095" s="76">
        <v>0.1181</v>
      </c>
      <c r="L1095" s="76">
        <v>0.1181</v>
      </c>
      <c r="M1095" s="76">
        <v>0.1183</v>
      </c>
    </row>
    <row r="1096" spans="3:13" x14ac:dyDescent="0.15">
      <c r="C1096" s="76" t="s">
        <v>568</v>
      </c>
      <c r="D1096" s="76">
        <v>9.1264000000000003</v>
      </c>
      <c r="E1096" s="76">
        <v>9.3344000000000005</v>
      </c>
      <c r="F1096" s="76">
        <v>9.3583999999999996</v>
      </c>
      <c r="G1096" s="76">
        <v>9.3658000000000001</v>
      </c>
      <c r="H1096" s="76">
        <v>9.3512000000000004</v>
      </c>
      <c r="I1096" s="76">
        <v>9.3341999999999992</v>
      </c>
      <c r="J1096" s="76">
        <v>9.3259000000000007</v>
      </c>
      <c r="K1096" s="76">
        <v>9.3009000000000004</v>
      </c>
      <c r="L1096" s="76">
        <v>9.2872000000000003</v>
      </c>
      <c r="M1096" s="76">
        <v>9.2636000000000003</v>
      </c>
    </row>
    <row r="1097" spans="3:13" x14ac:dyDescent="0.15">
      <c r="C1097" s="76" t="s">
        <v>569</v>
      </c>
    </row>
    <row r="1098" spans="3:13" x14ac:dyDescent="0.15">
      <c r="C1098" s="76" t="s">
        <v>570</v>
      </c>
      <c r="D1098" s="76">
        <v>4</v>
      </c>
      <c r="E1098" s="76">
        <v>4</v>
      </c>
      <c r="F1098" s="76">
        <v>4</v>
      </c>
      <c r="G1098" s="76">
        <v>4</v>
      </c>
      <c r="H1098" s="76">
        <v>4</v>
      </c>
      <c r="I1098" s="76">
        <v>4</v>
      </c>
      <c r="J1098" s="76">
        <v>4</v>
      </c>
      <c r="K1098" s="76">
        <v>4</v>
      </c>
      <c r="L1098" s="76">
        <v>4</v>
      </c>
      <c r="M1098" s="76">
        <v>4</v>
      </c>
    </row>
    <row r="1099" spans="3:13" x14ac:dyDescent="0.15">
      <c r="C1099" s="76" t="s">
        <v>571</v>
      </c>
      <c r="D1099" s="76">
        <v>100</v>
      </c>
      <c r="E1099" s="76">
        <v>100</v>
      </c>
      <c r="F1099" s="76">
        <v>100</v>
      </c>
      <c r="G1099" s="76">
        <v>100</v>
      </c>
      <c r="H1099" s="76">
        <v>100</v>
      </c>
      <c r="I1099" s="76">
        <v>100</v>
      </c>
      <c r="J1099" s="76">
        <v>100</v>
      </c>
      <c r="K1099" s="76">
        <v>100</v>
      </c>
      <c r="L1099" s="76">
        <v>100</v>
      </c>
      <c r="M1099" s="76">
        <v>100</v>
      </c>
    </row>
    <row r="1100" spans="3:13" x14ac:dyDescent="0.15">
      <c r="C1100" s="76" t="s">
        <v>572</v>
      </c>
      <c r="D1100" s="76" t="s">
        <v>574</v>
      </c>
      <c r="E1100" s="76" t="s">
        <v>574</v>
      </c>
      <c r="F1100" s="76" t="s">
        <v>574</v>
      </c>
      <c r="G1100" s="76" t="s">
        <v>574</v>
      </c>
      <c r="H1100" s="76" t="s">
        <v>574</v>
      </c>
      <c r="I1100" s="76" t="s">
        <v>574</v>
      </c>
      <c r="J1100" s="76" t="s">
        <v>574</v>
      </c>
      <c r="K1100" s="76" t="s">
        <v>574</v>
      </c>
      <c r="L1100" s="76" t="s">
        <v>574</v>
      </c>
      <c r="M1100" s="76" t="s">
        <v>574</v>
      </c>
    </row>
    <row r="1101" spans="3:13" x14ac:dyDescent="0.15">
      <c r="C1101" s="76" t="s">
        <v>573</v>
      </c>
      <c r="D1101" s="76">
        <v>1</v>
      </c>
      <c r="E1101" s="76">
        <v>2</v>
      </c>
      <c r="F1101" s="76">
        <v>3</v>
      </c>
      <c r="G1101" s="76">
        <v>4</v>
      </c>
      <c r="H1101" s="76">
        <v>5</v>
      </c>
      <c r="I1101" s="76">
        <v>6</v>
      </c>
      <c r="J1101" s="76">
        <v>7</v>
      </c>
      <c r="K1101" s="76">
        <v>8</v>
      </c>
      <c r="L1101" s="76">
        <v>9</v>
      </c>
      <c r="M1101" s="76">
        <v>10</v>
      </c>
    </row>
    <row r="1102" spans="3:13" x14ac:dyDescent="0.15">
      <c r="C1102" s="76">
        <v>380</v>
      </c>
      <c r="D1102" s="76">
        <v>1.4200000000000001E-4</v>
      </c>
      <c r="E1102" s="76">
        <v>3.2200000000000002E-4</v>
      </c>
      <c r="F1102" s="76">
        <v>3.6200000000000002E-4</v>
      </c>
      <c r="G1102" s="76">
        <v>3.7500000000000001E-4</v>
      </c>
      <c r="H1102" s="76">
        <v>7.9000000000000001E-4</v>
      </c>
      <c r="I1102" s="76">
        <v>9.9099999999999991E-4</v>
      </c>
      <c r="J1102" s="76">
        <v>9.2599999999999996E-4</v>
      </c>
      <c r="K1102" s="76">
        <v>5.9900000000000003E-4</v>
      </c>
      <c r="L1102" s="76">
        <v>1.8E-3</v>
      </c>
      <c r="M1102" s="76">
        <v>1.5100000000000001E-3</v>
      </c>
    </row>
    <row r="1103" spans="3:13" x14ac:dyDescent="0.15">
      <c r="C1103" s="76">
        <v>382</v>
      </c>
      <c r="D1103" s="76">
        <v>1.8599999999999999E-4</v>
      </c>
      <c r="E1103" s="76">
        <v>2.6899999999999998E-4</v>
      </c>
      <c r="F1103" s="76">
        <v>3.0299999999999999E-4</v>
      </c>
      <c r="G1103" s="76">
        <v>4.7800000000000002E-4</v>
      </c>
      <c r="H1103" s="76">
        <v>5.5999999999999995E-4</v>
      </c>
      <c r="I1103" s="76">
        <v>1.0399999999999999E-3</v>
      </c>
      <c r="J1103" s="76">
        <v>7.7499999999999997E-4</v>
      </c>
      <c r="K1103" s="76">
        <v>6.1300000000000005E-4</v>
      </c>
      <c r="L1103" s="76">
        <v>1.58E-3</v>
      </c>
      <c r="M1103" s="76">
        <v>1.23E-3</v>
      </c>
    </row>
    <row r="1104" spans="3:13" x14ac:dyDescent="0.15">
      <c r="C1104" s="76">
        <v>384</v>
      </c>
      <c r="D1104" s="76">
        <v>1.5200000000000001E-4</v>
      </c>
      <c r="E1104" s="76">
        <v>2.8499999999999999E-4</v>
      </c>
      <c r="F1104" s="76">
        <v>2.3699999999999999E-4</v>
      </c>
      <c r="G1104" s="76">
        <v>5.0600000000000005E-4</v>
      </c>
      <c r="H1104" s="76">
        <v>5.9100000000000005E-4</v>
      </c>
      <c r="I1104" s="76">
        <v>9.990000000000001E-4</v>
      </c>
      <c r="J1104" s="76">
        <v>8.5999999999999998E-4</v>
      </c>
      <c r="K1104" s="76">
        <v>6.38E-4</v>
      </c>
      <c r="L1104" s="76">
        <v>1.31E-3</v>
      </c>
      <c r="M1104" s="76">
        <v>1.5200000000000001E-3</v>
      </c>
    </row>
    <row r="1105" spans="3:13" x14ac:dyDescent="0.15">
      <c r="C1105" s="76">
        <v>386</v>
      </c>
      <c r="D1105" s="76">
        <v>1.2E-4</v>
      </c>
      <c r="E1105" s="76">
        <v>2.13E-4</v>
      </c>
      <c r="F1105" s="76">
        <v>2.33E-4</v>
      </c>
      <c r="G1105" s="76">
        <v>4.2099999999999999E-4</v>
      </c>
      <c r="H1105" s="76">
        <v>5.7200000000000003E-4</v>
      </c>
      <c r="I1105" s="76">
        <v>8.6399999999999997E-4</v>
      </c>
      <c r="J1105" s="76">
        <v>9.1100000000000003E-4</v>
      </c>
      <c r="K1105" s="76">
        <v>6.29E-4</v>
      </c>
      <c r="L1105" s="76">
        <v>1.1199999999999999E-3</v>
      </c>
      <c r="M1105" s="76">
        <v>1.67E-3</v>
      </c>
    </row>
    <row r="1106" spans="3:13" x14ac:dyDescent="0.15">
      <c r="C1106" s="76">
        <v>388</v>
      </c>
      <c r="D1106" s="76">
        <v>1.4100000000000001E-4</v>
      </c>
      <c r="E1106" s="76">
        <v>1.7100000000000001E-4</v>
      </c>
      <c r="F1106" s="76">
        <v>2.9799999999999998E-4</v>
      </c>
      <c r="G1106" s="76">
        <v>3.5199999999999999E-4</v>
      </c>
      <c r="H1106" s="76">
        <v>6.2100000000000002E-4</v>
      </c>
      <c r="I1106" s="76">
        <v>7.8399999999999997E-4</v>
      </c>
      <c r="J1106" s="76">
        <v>9.3700000000000001E-4</v>
      </c>
      <c r="K1106" s="76">
        <v>9.4899999999999997E-4</v>
      </c>
      <c r="L1106" s="76">
        <v>1.2099999999999999E-3</v>
      </c>
      <c r="M1106" s="76">
        <v>1.3600000000000001E-3</v>
      </c>
    </row>
    <row r="1107" spans="3:13" x14ac:dyDescent="0.15">
      <c r="C1107" s="76">
        <v>390</v>
      </c>
      <c r="D1107" s="76">
        <v>1.6000000000000001E-4</v>
      </c>
      <c r="E1107" s="76">
        <v>2.5300000000000002E-4</v>
      </c>
      <c r="F1107" s="76">
        <v>3.2600000000000001E-4</v>
      </c>
      <c r="G1107" s="76">
        <v>3.8499999999999998E-4</v>
      </c>
      <c r="H1107" s="76">
        <v>5.7200000000000003E-4</v>
      </c>
      <c r="I1107" s="76">
        <v>8.0199999999999998E-4</v>
      </c>
      <c r="J1107" s="76">
        <v>1.0200000000000001E-3</v>
      </c>
      <c r="K1107" s="76">
        <v>9.5600000000000004E-4</v>
      </c>
      <c r="L1107" s="76">
        <v>1.34E-3</v>
      </c>
      <c r="M1107" s="76">
        <v>1.17E-3</v>
      </c>
    </row>
    <row r="1108" spans="3:13" x14ac:dyDescent="0.15">
      <c r="C1108" s="76">
        <v>392</v>
      </c>
      <c r="D1108" s="76">
        <v>1.46E-4</v>
      </c>
      <c r="E1108" s="76">
        <v>2.4399999999999999E-4</v>
      </c>
      <c r="F1108" s="76">
        <v>2.1000000000000001E-4</v>
      </c>
      <c r="G1108" s="76">
        <v>4.5399999999999998E-4</v>
      </c>
      <c r="H1108" s="76">
        <v>5.6800000000000004E-4</v>
      </c>
      <c r="I1108" s="76">
        <v>7.4200000000000004E-4</v>
      </c>
      <c r="J1108" s="76">
        <v>9.41E-4</v>
      </c>
      <c r="K1108" s="76">
        <v>9.0899999999999998E-4</v>
      </c>
      <c r="L1108" s="76">
        <v>1.14E-3</v>
      </c>
      <c r="M1108" s="76">
        <v>1.6800000000000001E-3</v>
      </c>
    </row>
    <row r="1109" spans="3:13" x14ac:dyDescent="0.15">
      <c r="C1109" s="76">
        <v>394</v>
      </c>
      <c r="D1109" s="76">
        <v>1.25E-4</v>
      </c>
      <c r="E1109" s="76">
        <v>2.2900000000000001E-4</v>
      </c>
      <c r="F1109" s="76">
        <v>2.42E-4</v>
      </c>
      <c r="G1109" s="76">
        <v>3.6200000000000002E-4</v>
      </c>
      <c r="H1109" s="76">
        <v>1.34E-4</v>
      </c>
      <c r="I1109" s="76">
        <v>7.2900000000000005E-4</v>
      </c>
      <c r="J1109" s="76">
        <v>1.07E-3</v>
      </c>
      <c r="K1109" s="76">
        <v>1.1000000000000001E-3</v>
      </c>
      <c r="L1109" s="76">
        <v>1.34E-3</v>
      </c>
      <c r="M1109" s="76">
        <v>1.56E-3</v>
      </c>
    </row>
    <row r="1110" spans="3:13" x14ac:dyDescent="0.15">
      <c r="C1110" s="76">
        <v>396</v>
      </c>
      <c r="D1110" s="76">
        <v>1.2899999999999999E-4</v>
      </c>
      <c r="E1110" s="76">
        <v>1.7200000000000001E-4</v>
      </c>
      <c r="F1110" s="76">
        <v>2.1800000000000001E-4</v>
      </c>
      <c r="G1110" s="76">
        <v>5.3600000000000002E-4</v>
      </c>
      <c r="H1110" s="76">
        <v>5.5400000000000002E-4</v>
      </c>
      <c r="I1110" s="76">
        <v>6.8900000000000005E-4</v>
      </c>
      <c r="J1110" s="76">
        <v>9.8400000000000007E-4</v>
      </c>
      <c r="K1110" s="76">
        <v>1.24E-3</v>
      </c>
      <c r="L1110" s="76">
        <v>1.1100000000000001E-3</v>
      </c>
      <c r="M1110" s="76">
        <v>1.57E-3</v>
      </c>
    </row>
    <row r="1111" spans="3:13" x14ac:dyDescent="0.15">
      <c r="C1111" s="76">
        <v>398</v>
      </c>
      <c r="D1111" s="76">
        <v>1.2799999999999999E-4</v>
      </c>
      <c r="E1111" s="76">
        <v>1.9699999999999999E-4</v>
      </c>
      <c r="F1111" s="76">
        <v>3.0499999999999999E-4</v>
      </c>
      <c r="G1111" s="76">
        <v>4.9100000000000001E-4</v>
      </c>
      <c r="H1111" s="76">
        <v>5.1800000000000001E-4</v>
      </c>
      <c r="I1111" s="76">
        <v>8.3100000000000003E-4</v>
      </c>
      <c r="J1111" s="76">
        <v>1.09E-3</v>
      </c>
      <c r="K1111" s="76">
        <v>1.1199999999999999E-3</v>
      </c>
      <c r="L1111" s="76">
        <v>1.32E-3</v>
      </c>
      <c r="M1111" s="76">
        <v>1.5399999999999999E-3</v>
      </c>
    </row>
    <row r="1112" spans="3:13" x14ac:dyDescent="0.15">
      <c r="C1112" s="76">
        <v>400</v>
      </c>
      <c r="D1112" s="76">
        <v>1.3100000000000001E-4</v>
      </c>
      <c r="E1112" s="76">
        <v>2.05E-4</v>
      </c>
      <c r="F1112" s="76">
        <v>3.5399999999999999E-4</v>
      </c>
      <c r="G1112" s="76">
        <v>5.3300000000000005E-4</v>
      </c>
      <c r="H1112" s="76">
        <v>5.1800000000000001E-4</v>
      </c>
      <c r="I1112" s="76">
        <v>7.8700000000000005E-4</v>
      </c>
      <c r="J1112" s="76">
        <v>1.14E-3</v>
      </c>
      <c r="K1112" s="76">
        <v>1.0200000000000001E-3</v>
      </c>
      <c r="L1112" s="76">
        <v>1.17E-3</v>
      </c>
      <c r="M1112" s="76">
        <v>1.5900000000000001E-3</v>
      </c>
    </row>
    <row r="1113" spans="3:13" x14ac:dyDescent="0.15">
      <c r="C1113" s="76">
        <v>402</v>
      </c>
      <c r="D1113" s="76">
        <v>1.4200000000000001E-4</v>
      </c>
      <c r="E1113" s="76">
        <v>1.95E-4</v>
      </c>
      <c r="F1113" s="76">
        <v>3.3300000000000002E-4</v>
      </c>
      <c r="G1113" s="76">
        <v>5.2700000000000002E-4</v>
      </c>
      <c r="H1113" s="76">
        <v>6.2399999999999999E-4</v>
      </c>
      <c r="I1113" s="76">
        <v>8.2299999999999995E-4</v>
      </c>
      <c r="J1113" s="76">
        <v>1.09E-3</v>
      </c>
      <c r="K1113" s="76">
        <v>1.23E-3</v>
      </c>
      <c r="L1113" s="76">
        <v>1.3699999999999999E-3</v>
      </c>
      <c r="M1113" s="76">
        <v>1.6199999999999999E-3</v>
      </c>
    </row>
    <row r="1114" spans="3:13" x14ac:dyDescent="0.15">
      <c r="C1114" s="76">
        <v>404</v>
      </c>
      <c r="D1114" s="76">
        <v>1.3999999999999999E-4</v>
      </c>
      <c r="E1114" s="76">
        <v>2.41E-4</v>
      </c>
      <c r="F1114" s="76">
        <v>3.2299999999999999E-4</v>
      </c>
      <c r="G1114" s="76">
        <v>5.5400000000000002E-4</v>
      </c>
      <c r="H1114" s="76">
        <v>5.7600000000000001E-4</v>
      </c>
      <c r="I1114" s="76">
        <v>8.9499999999999996E-4</v>
      </c>
      <c r="J1114" s="76">
        <v>1.09E-3</v>
      </c>
      <c r="K1114" s="76">
        <v>1.1999999999999999E-3</v>
      </c>
      <c r="L1114" s="76">
        <v>1.3699999999999999E-3</v>
      </c>
      <c r="M1114" s="76">
        <v>1.57E-3</v>
      </c>
    </row>
    <row r="1115" spans="3:13" x14ac:dyDescent="0.15">
      <c r="C1115" s="76">
        <v>406</v>
      </c>
      <c r="D1115" s="76">
        <v>1.37E-4</v>
      </c>
      <c r="E1115" s="76">
        <v>2.6899999999999998E-4</v>
      </c>
      <c r="F1115" s="76">
        <v>4.4000000000000002E-4</v>
      </c>
      <c r="G1115" s="76">
        <v>6.0499999999999996E-4</v>
      </c>
      <c r="H1115" s="76">
        <v>7.8200000000000003E-4</v>
      </c>
      <c r="I1115" s="76">
        <v>1E-3</v>
      </c>
      <c r="J1115" s="76">
        <v>1.1000000000000001E-3</v>
      </c>
      <c r="K1115" s="76">
        <v>1.15E-3</v>
      </c>
      <c r="L1115" s="76">
        <v>1.4300000000000001E-3</v>
      </c>
      <c r="M1115" s="76">
        <v>1.6900000000000001E-3</v>
      </c>
    </row>
    <row r="1116" spans="3:13" x14ac:dyDescent="0.15">
      <c r="C1116" s="76">
        <v>408</v>
      </c>
      <c r="D1116" s="76">
        <v>1.5699999999999999E-4</v>
      </c>
      <c r="E1116" s="76">
        <v>2.72E-4</v>
      </c>
      <c r="F1116" s="76">
        <v>4.3600000000000003E-4</v>
      </c>
      <c r="G1116" s="76">
        <v>6.96E-4</v>
      </c>
      <c r="H1116" s="76">
        <v>7.18E-4</v>
      </c>
      <c r="I1116" s="76">
        <v>9.8799999999999995E-4</v>
      </c>
      <c r="J1116" s="76">
        <v>1.2600000000000001E-3</v>
      </c>
      <c r="K1116" s="76">
        <v>1.39E-3</v>
      </c>
      <c r="L1116" s="76">
        <v>1.64E-3</v>
      </c>
      <c r="M1116" s="76">
        <v>1.72E-3</v>
      </c>
    </row>
    <row r="1117" spans="3:13" x14ac:dyDescent="0.15">
      <c r="C1117" s="76">
        <v>410</v>
      </c>
      <c r="D1117" s="76">
        <v>1.6899999999999999E-4</v>
      </c>
      <c r="E1117" s="76">
        <v>2.81E-4</v>
      </c>
      <c r="F1117" s="76">
        <v>4.2099999999999999E-4</v>
      </c>
      <c r="G1117" s="76">
        <v>6.6699999999999995E-4</v>
      </c>
      <c r="H1117" s="76">
        <v>9.8700000000000003E-4</v>
      </c>
      <c r="I1117" s="76">
        <v>1.1100000000000001E-3</v>
      </c>
      <c r="J1117" s="76">
        <v>1.3500000000000001E-3</v>
      </c>
      <c r="K1117" s="76">
        <v>1.5E-3</v>
      </c>
      <c r="L1117" s="76">
        <v>1.6000000000000001E-3</v>
      </c>
      <c r="M1117" s="76">
        <v>2.0200000000000001E-3</v>
      </c>
    </row>
    <row r="1118" spans="3:13" x14ac:dyDescent="0.15">
      <c r="C1118" s="76">
        <v>412</v>
      </c>
      <c r="D1118" s="76">
        <v>1.8599999999999999E-4</v>
      </c>
      <c r="E1118" s="76">
        <v>3.7100000000000002E-4</v>
      </c>
      <c r="F1118" s="76">
        <v>5.9000000000000003E-4</v>
      </c>
      <c r="G1118" s="76">
        <v>7.3700000000000002E-4</v>
      </c>
      <c r="H1118" s="76">
        <v>1.06E-3</v>
      </c>
      <c r="I1118" s="76">
        <v>1.2600000000000001E-3</v>
      </c>
      <c r="J1118" s="76">
        <v>1.48E-3</v>
      </c>
      <c r="K1118" s="76">
        <v>1.57E-3</v>
      </c>
      <c r="L1118" s="76">
        <v>1.7899999999999999E-3</v>
      </c>
      <c r="M1118" s="76">
        <v>2.16E-3</v>
      </c>
    </row>
    <row r="1119" spans="3:13" x14ac:dyDescent="0.15">
      <c r="C1119" s="76">
        <v>414</v>
      </c>
      <c r="D1119" s="76">
        <v>2.3599999999999999E-4</v>
      </c>
      <c r="E1119" s="76">
        <v>4.2700000000000002E-4</v>
      </c>
      <c r="F1119" s="76">
        <v>6.7699999999999998E-4</v>
      </c>
      <c r="G1119" s="76">
        <v>9.0399999999999996E-4</v>
      </c>
      <c r="H1119" s="76">
        <v>1.1900000000000001E-3</v>
      </c>
      <c r="I1119" s="76">
        <v>1.39E-3</v>
      </c>
      <c r="J1119" s="76">
        <v>1.6999999999999999E-3</v>
      </c>
      <c r="K1119" s="76">
        <v>1.9400000000000001E-3</v>
      </c>
      <c r="L1119" s="76">
        <v>2.1299999999999999E-3</v>
      </c>
      <c r="M1119" s="76">
        <v>2.3600000000000001E-3</v>
      </c>
    </row>
    <row r="1120" spans="3:13" x14ac:dyDescent="0.15">
      <c r="C1120" s="76">
        <v>416</v>
      </c>
      <c r="D1120" s="76">
        <v>2.7399999999999999E-4</v>
      </c>
      <c r="E1120" s="76">
        <v>5.1500000000000005E-4</v>
      </c>
      <c r="F1120" s="76">
        <v>7.7200000000000001E-4</v>
      </c>
      <c r="G1120" s="76">
        <v>1.1199999999999999E-3</v>
      </c>
      <c r="H1120" s="76">
        <v>1.3600000000000001E-3</v>
      </c>
      <c r="I1120" s="76">
        <v>1.72E-3</v>
      </c>
      <c r="J1120" s="76">
        <v>1.98E-3</v>
      </c>
      <c r="K1120" s="76">
        <v>2.2899999999999999E-3</v>
      </c>
      <c r="L1120" s="76">
        <v>2.4599999999999999E-3</v>
      </c>
      <c r="M1120" s="76">
        <v>2.7000000000000001E-3</v>
      </c>
    </row>
    <row r="1121" spans="3:13" x14ac:dyDescent="0.15">
      <c r="C1121" s="76">
        <v>418</v>
      </c>
      <c r="D1121" s="76">
        <v>3.1700000000000001E-4</v>
      </c>
      <c r="E1121" s="76">
        <v>6.1499999999999999E-4</v>
      </c>
      <c r="F1121" s="76">
        <v>9.6299999999999999E-4</v>
      </c>
      <c r="G1121" s="76">
        <v>1.2899999999999999E-3</v>
      </c>
      <c r="H1121" s="76">
        <v>1.58E-3</v>
      </c>
      <c r="I1121" s="76">
        <v>1.8799999999999999E-3</v>
      </c>
      <c r="J1121" s="76">
        <v>2.31E-3</v>
      </c>
      <c r="K1121" s="76">
        <v>2.6900000000000001E-3</v>
      </c>
      <c r="L1121" s="76">
        <v>2.8999999999999998E-3</v>
      </c>
      <c r="M1121" s="76">
        <v>3.2000000000000002E-3</v>
      </c>
    </row>
    <row r="1122" spans="3:13" x14ac:dyDescent="0.15">
      <c r="C1122" s="76">
        <v>420</v>
      </c>
      <c r="D1122" s="76">
        <v>3.6099999999999999E-4</v>
      </c>
      <c r="E1122" s="76">
        <v>7.0299999999999996E-4</v>
      </c>
      <c r="F1122" s="76">
        <v>1.14E-3</v>
      </c>
      <c r="G1122" s="76">
        <v>1.5E-3</v>
      </c>
      <c r="H1122" s="76">
        <v>1.89E-3</v>
      </c>
      <c r="I1122" s="76">
        <v>2.2699999999999999E-3</v>
      </c>
      <c r="J1122" s="76">
        <v>2.7299999999999998E-3</v>
      </c>
      <c r="K1122" s="76">
        <v>2.97E-3</v>
      </c>
      <c r="L1122" s="76">
        <v>3.4299999999999999E-3</v>
      </c>
      <c r="M1122" s="76">
        <v>3.8500000000000001E-3</v>
      </c>
    </row>
    <row r="1123" spans="3:13" x14ac:dyDescent="0.15">
      <c r="C1123" s="76">
        <v>422</v>
      </c>
      <c r="D1123" s="76">
        <v>4.5100000000000001E-4</v>
      </c>
      <c r="E1123" s="76">
        <v>8.8800000000000001E-4</v>
      </c>
      <c r="F1123" s="76">
        <v>1.3699999999999999E-3</v>
      </c>
      <c r="G1123" s="76">
        <v>1.8E-3</v>
      </c>
      <c r="H1123" s="76">
        <v>2.3400000000000001E-3</v>
      </c>
      <c r="I1123" s="76">
        <v>2.7699999999999999E-3</v>
      </c>
      <c r="J1123" s="76">
        <v>3.3999999999999998E-3</v>
      </c>
      <c r="K1123" s="76">
        <v>3.8500000000000001E-3</v>
      </c>
      <c r="L1123" s="76">
        <v>4.3E-3</v>
      </c>
      <c r="M1123" s="76">
        <v>4.6800000000000001E-3</v>
      </c>
    </row>
    <row r="1124" spans="3:13" x14ac:dyDescent="0.15">
      <c r="C1124" s="76">
        <v>424</v>
      </c>
      <c r="D1124" s="76">
        <v>5.6400000000000005E-4</v>
      </c>
      <c r="E1124" s="76">
        <v>1.1199999999999999E-3</v>
      </c>
      <c r="F1124" s="76">
        <v>1.7600000000000001E-3</v>
      </c>
      <c r="G1124" s="76">
        <v>2.3E-3</v>
      </c>
      <c r="H1124" s="76">
        <v>2.9199999999999999E-3</v>
      </c>
      <c r="I1124" s="76">
        <v>3.47E-3</v>
      </c>
      <c r="J1124" s="76">
        <v>4.1599999999999996E-3</v>
      </c>
      <c r="K1124" s="76">
        <v>4.7400000000000003E-3</v>
      </c>
      <c r="L1124" s="76">
        <v>5.3E-3</v>
      </c>
      <c r="M1124" s="76">
        <v>6.0200000000000002E-3</v>
      </c>
    </row>
    <row r="1125" spans="3:13" x14ac:dyDescent="0.15">
      <c r="C1125" s="76">
        <v>426</v>
      </c>
      <c r="D1125" s="76">
        <v>7.0699999999999995E-4</v>
      </c>
      <c r="E1125" s="76">
        <v>1.4400000000000001E-3</v>
      </c>
      <c r="F1125" s="76">
        <v>2.2000000000000001E-3</v>
      </c>
      <c r="G1125" s="76">
        <v>2.97E-3</v>
      </c>
      <c r="H1125" s="76">
        <v>3.7499999999999999E-3</v>
      </c>
      <c r="I1125" s="76">
        <v>4.4200000000000003E-3</v>
      </c>
      <c r="J1125" s="76">
        <v>5.2100000000000002E-3</v>
      </c>
      <c r="K1125" s="76">
        <v>6.0499999999999998E-3</v>
      </c>
      <c r="L1125" s="76">
        <v>6.6800000000000002E-3</v>
      </c>
      <c r="M1125" s="76">
        <v>7.43E-3</v>
      </c>
    </row>
    <row r="1126" spans="3:13" x14ac:dyDescent="0.15">
      <c r="C1126" s="76">
        <v>428</v>
      </c>
      <c r="D1126" s="76">
        <v>9.1200000000000005E-4</v>
      </c>
      <c r="E1126" s="76">
        <v>1.8699999999999999E-3</v>
      </c>
      <c r="F1126" s="76">
        <v>2.8900000000000002E-3</v>
      </c>
      <c r="G1126" s="76">
        <v>3.8400000000000001E-3</v>
      </c>
      <c r="H1126" s="76">
        <v>4.8599999999999997E-3</v>
      </c>
      <c r="I1126" s="76">
        <v>5.77E-3</v>
      </c>
      <c r="J1126" s="76">
        <v>6.7499999999999999E-3</v>
      </c>
      <c r="K1126" s="76">
        <v>7.8799999999999999E-3</v>
      </c>
      <c r="L1126" s="76">
        <v>8.7399999999999995E-3</v>
      </c>
      <c r="M1126" s="76">
        <v>9.8200000000000006E-3</v>
      </c>
    </row>
    <row r="1127" spans="3:13" x14ac:dyDescent="0.15">
      <c r="C1127" s="76">
        <v>430</v>
      </c>
      <c r="D1127" s="76">
        <v>1.2199999999999999E-3</v>
      </c>
      <c r="E1127" s="76">
        <v>2.5400000000000002E-3</v>
      </c>
      <c r="F1127" s="76">
        <v>3.8700000000000002E-3</v>
      </c>
      <c r="G1127" s="76">
        <v>5.13E-3</v>
      </c>
      <c r="H1127" s="76">
        <v>6.5300000000000002E-3</v>
      </c>
      <c r="I1127" s="76">
        <v>7.7400000000000004E-3</v>
      </c>
      <c r="J1127" s="76">
        <v>9.0699999999999999E-3</v>
      </c>
      <c r="K1127" s="76">
        <v>1.04E-2</v>
      </c>
      <c r="L1127" s="76">
        <v>1.17E-2</v>
      </c>
      <c r="M1127" s="76">
        <v>1.3100000000000001E-2</v>
      </c>
    </row>
    <row r="1128" spans="3:13" x14ac:dyDescent="0.15">
      <c r="C1128" s="76">
        <v>432</v>
      </c>
      <c r="D1128" s="76">
        <v>1.6800000000000001E-3</v>
      </c>
      <c r="E1128" s="76">
        <v>3.48E-3</v>
      </c>
      <c r="F1128" s="76">
        <v>5.2599999999999999E-3</v>
      </c>
      <c r="G1128" s="76">
        <v>7.0499999999999998E-3</v>
      </c>
      <c r="H1128" s="76">
        <v>8.9200000000000008E-3</v>
      </c>
      <c r="I1128" s="76">
        <v>1.06E-2</v>
      </c>
      <c r="J1128" s="76">
        <v>1.24E-2</v>
      </c>
      <c r="K1128" s="76">
        <v>1.43E-2</v>
      </c>
      <c r="L1128" s="76">
        <v>1.6E-2</v>
      </c>
      <c r="M1128" s="76">
        <v>1.77E-2</v>
      </c>
    </row>
    <row r="1129" spans="3:13" x14ac:dyDescent="0.15">
      <c r="C1129" s="76">
        <v>434</v>
      </c>
      <c r="D1129" s="76">
        <v>2.3400000000000001E-3</v>
      </c>
      <c r="E1129" s="76">
        <v>4.8199999999999996E-3</v>
      </c>
      <c r="F1129" s="76">
        <v>7.3200000000000001E-3</v>
      </c>
      <c r="G1129" s="76">
        <v>9.75E-3</v>
      </c>
      <c r="H1129" s="76">
        <v>1.23E-2</v>
      </c>
      <c r="I1129" s="76">
        <v>1.47E-2</v>
      </c>
      <c r="J1129" s="76">
        <v>1.72E-2</v>
      </c>
      <c r="K1129" s="76">
        <v>1.9699999999999999E-2</v>
      </c>
      <c r="L1129" s="76">
        <v>2.2100000000000002E-2</v>
      </c>
      <c r="M1129" s="76">
        <v>2.4500000000000001E-2</v>
      </c>
    </row>
    <row r="1130" spans="3:13" x14ac:dyDescent="0.15">
      <c r="C1130" s="76">
        <v>436</v>
      </c>
      <c r="D1130" s="76">
        <v>3.3700000000000002E-3</v>
      </c>
      <c r="E1130" s="76">
        <v>6.9199999999999999E-3</v>
      </c>
      <c r="F1130" s="76">
        <v>1.0500000000000001E-2</v>
      </c>
      <c r="G1130" s="76">
        <v>1.4E-2</v>
      </c>
      <c r="H1130" s="76">
        <v>1.7600000000000001E-2</v>
      </c>
      <c r="I1130" s="76">
        <v>2.1000000000000001E-2</v>
      </c>
      <c r="J1130" s="76">
        <v>2.4500000000000001E-2</v>
      </c>
      <c r="K1130" s="76">
        <v>2.81E-2</v>
      </c>
      <c r="L1130" s="76">
        <v>3.1600000000000003E-2</v>
      </c>
      <c r="M1130" s="76">
        <v>3.5099999999999999E-2</v>
      </c>
    </row>
    <row r="1131" spans="3:13" x14ac:dyDescent="0.15">
      <c r="C1131" s="76">
        <v>438</v>
      </c>
      <c r="D1131" s="76">
        <v>4.81E-3</v>
      </c>
      <c r="E1131" s="76">
        <v>9.8600000000000007E-3</v>
      </c>
      <c r="F1131" s="76">
        <v>1.49E-2</v>
      </c>
      <c r="G1131" s="76">
        <v>1.9900000000000001E-2</v>
      </c>
      <c r="H1131" s="76">
        <v>2.5000000000000001E-2</v>
      </c>
      <c r="I1131" s="76">
        <v>0.03</v>
      </c>
      <c r="J1131" s="76">
        <v>3.49E-2</v>
      </c>
      <c r="K1131" s="76">
        <v>3.9899999999999998E-2</v>
      </c>
      <c r="L1131" s="76">
        <v>4.4900000000000002E-2</v>
      </c>
      <c r="M1131" s="76">
        <v>4.99E-2</v>
      </c>
    </row>
    <row r="1132" spans="3:13" x14ac:dyDescent="0.15">
      <c r="C1132" s="76">
        <v>440</v>
      </c>
      <c r="D1132" s="76">
        <v>6.6400000000000001E-3</v>
      </c>
      <c r="E1132" s="76">
        <v>1.3599999999999999E-2</v>
      </c>
      <c r="F1132" s="76">
        <v>2.0500000000000001E-2</v>
      </c>
      <c r="G1132" s="76">
        <v>2.75E-2</v>
      </c>
      <c r="H1132" s="76">
        <v>3.44E-2</v>
      </c>
      <c r="I1132" s="76">
        <v>4.1200000000000001E-2</v>
      </c>
      <c r="J1132" s="76">
        <v>4.8000000000000001E-2</v>
      </c>
      <c r="K1132" s="76">
        <v>5.4899999999999997E-2</v>
      </c>
      <c r="L1132" s="76">
        <v>6.1800000000000001E-2</v>
      </c>
      <c r="M1132" s="76">
        <v>6.8500000000000005E-2</v>
      </c>
    </row>
    <row r="1133" spans="3:13" x14ac:dyDescent="0.15">
      <c r="C1133" s="76">
        <v>442</v>
      </c>
      <c r="D1133" s="76">
        <v>8.8900000000000003E-3</v>
      </c>
      <c r="E1133" s="76">
        <v>1.8200000000000001E-2</v>
      </c>
      <c r="F1133" s="76">
        <v>2.75E-2</v>
      </c>
      <c r="G1133" s="76">
        <v>3.6700000000000003E-2</v>
      </c>
      <c r="H1133" s="76">
        <v>4.5999999999999999E-2</v>
      </c>
      <c r="I1133" s="76">
        <v>5.5100000000000003E-2</v>
      </c>
      <c r="J1133" s="76">
        <v>6.4199999999999993E-2</v>
      </c>
      <c r="K1133" s="76">
        <v>7.3400000000000007E-2</v>
      </c>
      <c r="L1133" s="76">
        <v>8.2500000000000004E-2</v>
      </c>
      <c r="M1133" s="76">
        <v>9.1700000000000004E-2</v>
      </c>
    </row>
    <row r="1134" spans="3:13" x14ac:dyDescent="0.15">
      <c r="C1134" s="76">
        <v>444</v>
      </c>
      <c r="D1134" s="76">
        <v>1.1599999999999999E-2</v>
      </c>
      <c r="E1134" s="76">
        <v>2.3699999999999999E-2</v>
      </c>
      <c r="F1134" s="76">
        <v>3.5799999999999998E-2</v>
      </c>
      <c r="G1134" s="76">
        <v>4.7699999999999999E-2</v>
      </c>
      <c r="H1134" s="76">
        <v>5.9700000000000003E-2</v>
      </c>
      <c r="I1134" s="76">
        <v>7.1599999999999997E-2</v>
      </c>
      <c r="J1134" s="76">
        <v>8.3299999999999999E-2</v>
      </c>
      <c r="K1134" s="76">
        <v>9.5299999999999996E-2</v>
      </c>
      <c r="L1134" s="76">
        <v>0.107</v>
      </c>
      <c r="M1134" s="76">
        <v>0.11899999999999999</v>
      </c>
    </row>
    <row r="1135" spans="3:13" x14ac:dyDescent="0.15">
      <c r="C1135" s="76">
        <v>446</v>
      </c>
      <c r="D1135" s="76">
        <v>1.46E-2</v>
      </c>
      <c r="E1135" s="76">
        <v>2.9899999999999999E-2</v>
      </c>
      <c r="F1135" s="76">
        <v>4.5100000000000001E-2</v>
      </c>
      <c r="G1135" s="76">
        <v>6.0100000000000001E-2</v>
      </c>
      <c r="H1135" s="76">
        <v>7.5200000000000003E-2</v>
      </c>
      <c r="I1135" s="76">
        <v>9.01E-2</v>
      </c>
      <c r="J1135" s="76">
        <v>0.105</v>
      </c>
      <c r="K1135" s="76">
        <v>0.12</v>
      </c>
      <c r="L1135" s="76">
        <v>0.13500000000000001</v>
      </c>
      <c r="M1135" s="76">
        <v>0.14899999999999999</v>
      </c>
    </row>
    <row r="1136" spans="3:13" x14ac:dyDescent="0.15">
      <c r="C1136" s="76">
        <v>448</v>
      </c>
      <c r="D1136" s="76">
        <v>1.78E-2</v>
      </c>
      <c r="E1136" s="76">
        <v>3.6499999999999998E-2</v>
      </c>
      <c r="F1136" s="76">
        <v>5.4899999999999997E-2</v>
      </c>
      <c r="G1136" s="76">
        <v>7.3200000000000001E-2</v>
      </c>
      <c r="H1136" s="76">
        <v>9.1600000000000001E-2</v>
      </c>
      <c r="I1136" s="76">
        <v>0.11</v>
      </c>
      <c r="J1136" s="76">
        <v>0.128</v>
      </c>
      <c r="K1136" s="76">
        <v>0.14599999999999999</v>
      </c>
      <c r="L1136" s="76">
        <v>0.16400000000000001</v>
      </c>
      <c r="M1136" s="76">
        <v>0.18099999999999999</v>
      </c>
    </row>
    <row r="1137" spans="3:13" x14ac:dyDescent="0.15">
      <c r="C1137" s="76">
        <v>450</v>
      </c>
      <c r="D1137" s="76">
        <v>2.12E-2</v>
      </c>
      <c r="E1137" s="76">
        <v>4.3400000000000001E-2</v>
      </c>
      <c r="F1137" s="76">
        <v>6.54E-2</v>
      </c>
      <c r="G1137" s="76">
        <v>8.7099999999999997E-2</v>
      </c>
      <c r="H1137" s="76">
        <v>0.109</v>
      </c>
      <c r="I1137" s="76">
        <v>0.13</v>
      </c>
      <c r="J1137" s="76">
        <v>0.152</v>
      </c>
      <c r="K1137" s="76">
        <v>0.17299999999999999</v>
      </c>
      <c r="L1137" s="76">
        <v>0.19500000000000001</v>
      </c>
      <c r="M1137" s="76">
        <v>0.216</v>
      </c>
    </row>
    <row r="1138" spans="3:13" x14ac:dyDescent="0.15">
      <c r="C1138" s="76">
        <v>452</v>
      </c>
      <c r="D1138" s="76">
        <v>2.41E-2</v>
      </c>
      <c r="E1138" s="76">
        <v>4.9399999999999999E-2</v>
      </c>
      <c r="F1138" s="76">
        <v>7.4300000000000005E-2</v>
      </c>
      <c r="G1138" s="76">
        <v>9.9099999999999994E-2</v>
      </c>
      <c r="H1138" s="76">
        <v>0.124</v>
      </c>
      <c r="I1138" s="76">
        <v>0.14799999999999999</v>
      </c>
      <c r="J1138" s="76">
        <v>0.17199999999999999</v>
      </c>
      <c r="K1138" s="76">
        <v>0.19700000000000001</v>
      </c>
      <c r="L1138" s="76">
        <v>0.221</v>
      </c>
      <c r="M1138" s="76">
        <v>0.245</v>
      </c>
    </row>
    <row r="1139" spans="3:13" x14ac:dyDescent="0.15">
      <c r="C1139" s="76">
        <v>454</v>
      </c>
      <c r="D1139" s="76">
        <v>2.64E-2</v>
      </c>
      <c r="E1139" s="76">
        <v>5.3999999999999999E-2</v>
      </c>
      <c r="F1139" s="76">
        <v>8.1299999999999997E-2</v>
      </c>
      <c r="G1139" s="76">
        <v>0.108</v>
      </c>
      <c r="H1139" s="76">
        <v>0.13500000000000001</v>
      </c>
      <c r="I1139" s="76">
        <v>0.16200000000000001</v>
      </c>
      <c r="J1139" s="76">
        <v>0.189</v>
      </c>
      <c r="K1139" s="76">
        <v>0.215</v>
      </c>
      <c r="L1139" s="76">
        <v>0.24199999999999999</v>
      </c>
      <c r="M1139" s="76">
        <v>0.26800000000000002</v>
      </c>
    </row>
    <row r="1140" spans="3:13" x14ac:dyDescent="0.15">
      <c r="C1140" s="76">
        <v>456</v>
      </c>
      <c r="D1140" s="76">
        <v>2.8000000000000001E-2</v>
      </c>
      <c r="E1140" s="76">
        <v>5.7299999999999997E-2</v>
      </c>
      <c r="F1140" s="76">
        <v>8.6199999999999999E-2</v>
      </c>
      <c r="G1140" s="76">
        <v>0.115</v>
      </c>
      <c r="H1140" s="76">
        <v>0.14299999999999999</v>
      </c>
      <c r="I1140" s="76">
        <v>0.17199999999999999</v>
      </c>
      <c r="J1140" s="76">
        <v>0.2</v>
      </c>
      <c r="K1140" s="76">
        <v>0.22800000000000001</v>
      </c>
      <c r="L1140" s="76">
        <v>0.25600000000000001</v>
      </c>
      <c r="M1140" s="76">
        <v>0.28399999999999997</v>
      </c>
    </row>
    <row r="1141" spans="3:13" x14ac:dyDescent="0.15">
      <c r="C1141" s="76">
        <v>458</v>
      </c>
      <c r="D1141" s="76">
        <v>2.8799999999999999E-2</v>
      </c>
      <c r="E1141" s="76">
        <v>5.8900000000000001E-2</v>
      </c>
      <c r="F1141" s="76">
        <v>8.8700000000000001E-2</v>
      </c>
      <c r="G1141" s="76">
        <v>0.11799999999999999</v>
      </c>
      <c r="H1141" s="76">
        <v>0.14699999999999999</v>
      </c>
      <c r="I1141" s="76">
        <v>0.17699999999999999</v>
      </c>
      <c r="J1141" s="76">
        <v>0.20599999999999999</v>
      </c>
      <c r="K1141" s="76">
        <v>0.23400000000000001</v>
      </c>
      <c r="L1141" s="76">
        <v>0.26300000000000001</v>
      </c>
      <c r="M1141" s="76">
        <v>0.29099999999999998</v>
      </c>
    </row>
    <row r="1142" spans="3:13" x14ac:dyDescent="0.15">
      <c r="C1142" s="76">
        <v>460</v>
      </c>
      <c r="D1142" s="76">
        <v>2.8899999999999999E-2</v>
      </c>
      <c r="E1142" s="76">
        <v>5.91E-2</v>
      </c>
      <c r="F1142" s="76">
        <v>8.8999999999999996E-2</v>
      </c>
      <c r="G1142" s="76">
        <v>0.11899999999999999</v>
      </c>
      <c r="H1142" s="76">
        <v>0.14799999999999999</v>
      </c>
      <c r="I1142" s="76">
        <v>0.17699999999999999</v>
      </c>
      <c r="J1142" s="76">
        <v>0.20599999999999999</v>
      </c>
      <c r="K1142" s="76">
        <v>0.23499999999999999</v>
      </c>
      <c r="L1142" s="76">
        <v>0.26400000000000001</v>
      </c>
      <c r="M1142" s="76">
        <v>0.29199999999999998</v>
      </c>
    </row>
    <row r="1143" spans="3:13" x14ac:dyDescent="0.15">
      <c r="C1143" s="76">
        <v>462</v>
      </c>
      <c r="D1143" s="76">
        <v>2.8299999999999999E-2</v>
      </c>
      <c r="E1143" s="76">
        <v>5.7799999999999997E-2</v>
      </c>
      <c r="F1143" s="76">
        <v>8.7099999999999997E-2</v>
      </c>
      <c r="G1143" s="76">
        <v>0.11600000000000001</v>
      </c>
      <c r="H1143" s="76">
        <v>0.14499999999999999</v>
      </c>
      <c r="I1143" s="76">
        <v>0.17299999999999999</v>
      </c>
      <c r="J1143" s="76">
        <v>0.20200000000000001</v>
      </c>
      <c r="K1143" s="76">
        <v>0.23</v>
      </c>
      <c r="L1143" s="76">
        <v>0.25800000000000001</v>
      </c>
      <c r="M1143" s="76">
        <v>0.28599999999999998</v>
      </c>
    </row>
    <row r="1144" spans="3:13" x14ac:dyDescent="0.15">
      <c r="C1144" s="76">
        <v>464</v>
      </c>
      <c r="D1144" s="76">
        <v>2.69E-2</v>
      </c>
      <c r="E1144" s="76">
        <v>5.5100000000000003E-2</v>
      </c>
      <c r="F1144" s="76">
        <v>8.2900000000000001E-2</v>
      </c>
      <c r="G1144" s="76">
        <v>0.111</v>
      </c>
      <c r="H1144" s="76">
        <v>0.13800000000000001</v>
      </c>
      <c r="I1144" s="76">
        <v>0.16500000000000001</v>
      </c>
      <c r="J1144" s="76">
        <v>0.192</v>
      </c>
      <c r="K1144" s="76">
        <v>0.219</v>
      </c>
      <c r="L1144" s="76">
        <v>0.246</v>
      </c>
      <c r="M1144" s="76">
        <v>0.27300000000000002</v>
      </c>
    </row>
    <row r="1145" spans="3:13" x14ac:dyDescent="0.15">
      <c r="C1145" s="76">
        <v>466</v>
      </c>
      <c r="D1145" s="76">
        <v>2.5499999999999998E-2</v>
      </c>
      <c r="E1145" s="76">
        <v>5.2200000000000003E-2</v>
      </c>
      <c r="F1145" s="76">
        <v>7.85E-2</v>
      </c>
      <c r="G1145" s="76">
        <v>0.105</v>
      </c>
      <c r="H1145" s="76">
        <v>0.13100000000000001</v>
      </c>
      <c r="I1145" s="76">
        <v>0.156</v>
      </c>
      <c r="J1145" s="76">
        <v>0.182</v>
      </c>
      <c r="K1145" s="76">
        <v>0.20799999999999999</v>
      </c>
      <c r="L1145" s="76">
        <v>0.23300000000000001</v>
      </c>
      <c r="M1145" s="76">
        <v>0.25800000000000001</v>
      </c>
    </row>
    <row r="1146" spans="3:13" x14ac:dyDescent="0.15">
      <c r="C1146" s="76">
        <v>468</v>
      </c>
      <c r="D1146" s="76">
        <v>2.3900000000000001E-2</v>
      </c>
      <c r="E1146" s="76">
        <v>4.9000000000000002E-2</v>
      </c>
      <c r="F1146" s="76">
        <v>7.3800000000000004E-2</v>
      </c>
      <c r="G1146" s="76">
        <v>9.8400000000000001E-2</v>
      </c>
      <c r="H1146" s="76">
        <v>0.123</v>
      </c>
      <c r="I1146" s="76">
        <v>0.14699999999999999</v>
      </c>
      <c r="J1146" s="76">
        <v>0.17100000000000001</v>
      </c>
      <c r="K1146" s="76">
        <v>0.19500000000000001</v>
      </c>
      <c r="L1146" s="76">
        <v>0.219</v>
      </c>
      <c r="M1146" s="76">
        <v>0.24299999999999999</v>
      </c>
    </row>
    <row r="1147" spans="3:13" x14ac:dyDescent="0.15">
      <c r="C1147" s="76">
        <v>470</v>
      </c>
      <c r="D1147" s="76">
        <v>2.24E-2</v>
      </c>
      <c r="E1147" s="76">
        <v>4.5900000000000003E-2</v>
      </c>
      <c r="F1147" s="76">
        <v>6.9099999999999995E-2</v>
      </c>
      <c r="G1147" s="76">
        <v>9.2100000000000001E-2</v>
      </c>
      <c r="H1147" s="76">
        <v>0.115</v>
      </c>
      <c r="I1147" s="76">
        <v>0.13800000000000001</v>
      </c>
      <c r="J1147" s="76">
        <v>0.16</v>
      </c>
      <c r="K1147" s="76">
        <v>0.183</v>
      </c>
      <c r="L1147" s="76">
        <v>0.20499999999999999</v>
      </c>
      <c r="M1147" s="76">
        <v>0.22700000000000001</v>
      </c>
    </row>
    <row r="1148" spans="3:13" x14ac:dyDescent="0.15">
      <c r="C1148" s="76">
        <v>472</v>
      </c>
      <c r="D1148" s="76">
        <v>2.1000000000000001E-2</v>
      </c>
      <c r="E1148" s="76">
        <v>4.2999999999999997E-2</v>
      </c>
      <c r="F1148" s="76">
        <v>6.4799999999999996E-2</v>
      </c>
      <c r="G1148" s="76">
        <v>8.6300000000000002E-2</v>
      </c>
      <c r="H1148" s="76">
        <v>0.108</v>
      </c>
      <c r="I1148" s="76">
        <v>0.129</v>
      </c>
      <c r="J1148" s="76">
        <v>0.15</v>
      </c>
      <c r="K1148" s="76">
        <v>0.17100000000000001</v>
      </c>
      <c r="L1148" s="76">
        <v>0.192</v>
      </c>
      <c r="M1148" s="76">
        <v>0.21299999999999999</v>
      </c>
    </row>
    <row r="1149" spans="3:13" x14ac:dyDescent="0.15">
      <c r="C1149" s="76">
        <v>474</v>
      </c>
      <c r="D1149" s="76">
        <v>1.9800000000000002E-2</v>
      </c>
      <c r="E1149" s="76">
        <v>4.0599999999999997E-2</v>
      </c>
      <c r="F1149" s="76">
        <v>6.1100000000000002E-2</v>
      </c>
      <c r="G1149" s="76">
        <v>8.14E-2</v>
      </c>
      <c r="H1149" s="76">
        <v>0.10199999999999999</v>
      </c>
      <c r="I1149" s="76">
        <v>0.122</v>
      </c>
      <c r="J1149" s="76">
        <v>0.14199999999999999</v>
      </c>
      <c r="K1149" s="76">
        <v>0.16200000000000001</v>
      </c>
      <c r="L1149" s="76">
        <v>0.18099999999999999</v>
      </c>
      <c r="M1149" s="76">
        <v>0.20100000000000001</v>
      </c>
    </row>
    <row r="1150" spans="3:13" x14ac:dyDescent="0.15">
      <c r="C1150" s="76">
        <v>476</v>
      </c>
      <c r="D1150" s="76">
        <v>1.8700000000000001E-2</v>
      </c>
      <c r="E1150" s="76">
        <v>3.8199999999999998E-2</v>
      </c>
      <c r="F1150" s="76">
        <v>5.7500000000000002E-2</v>
      </c>
      <c r="G1150" s="76">
        <v>7.6700000000000004E-2</v>
      </c>
      <c r="H1150" s="76">
        <v>9.5799999999999996E-2</v>
      </c>
      <c r="I1150" s="76">
        <v>0.115</v>
      </c>
      <c r="J1150" s="76">
        <v>0.13400000000000001</v>
      </c>
      <c r="K1150" s="76">
        <v>0.152</v>
      </c>
      <c r="L1150" s="76">
        <v>0.17100000000000001</v>
      </c>
      <c r="M1150" s="76">
        <v>0.19</v>
      </c>
    </row>
    <row r="1151" spans="3:13" x14ac:dyDescent="0.15">
      <c r="C1151" s="76">
        <v>478</v>
      </c>
      <c r="D1151" s="76">
        <v>1.7899999999999999E-2</v>
      </c>
      <c r="E1151" s="76">
        <v>3.6600000000000001E-2</v>
      </c>
      <c r="F1151" s="76">
        <v>5.5E-2</v>
      </c>
      <c r="G1151" s="76">
        <v>7.3400000000000007E-2</v>
      </c>
      <c r="H1151" s="76">
        <v>9.1600000000000001E-2</v>
      </c>
      <c r="I1151" s="76">
        <v>0.11</v>
      </c>
      <c r="J1151" s="76">
        <v>0.128</v>
      </c>
      <c r="K1151" s="76">
        <v>0.14599999999999999</v>
      </c>
      <c r="L1151" s="76">
        <v>0.16400000000000001</v>
      </c>
      <c r="M1151" s="76">
        <v>0.18099999999999999</v>
      </c>
    </row>
    <row r="1152" spans="3:13" x14ac:dyDescent="0.15">
      <c r="C1152" s="76">
        <v>480</v>
      </c>
      <c r="D1152" s="76">
        <v>1.72E-2</v>
      </c>
      <c r="E1152" s="76">
        <v>3.5200000000000002E-2</v>
      </c>
      <c r="F1152" s="76">
        <v>5.2900000000000003E-2</v>
      </c>
      <c r="G1152" s="76">
        <v>7.0599999999999996E-2</v>
      </c>
      <c r="H1152" s="76">
        <v>8.7999999999999995E-2</v>
      </c>
      <c r="I1152" s="76">
        <v>0.106</v>
      </c>
      <c r="J1152" s="76">
        <v>0.123</v>
      </c>
      <c r="K1152" s="76">
        <v>0.14000000000000001</v>
      </c>
      <c r="L1152" s="76">
        <v>0.157</v>
      </c>
      <c r="M1152" s="76">
        <v>0.17399999999999999</v>
      </c>
    </row>
    <row r="1153" spans="3:13" x14ac:dyDescent="0.15">
      <c r="C1153" s="76">
        <v>482</v>
      </c>
      <c r="D1153" s="76">
        <v>1.66E-2</v>
      </c>
      <c r="E1153" s="76">
        <v>3.39E-2</v>
      </c>
      <c r="F1153" s="76">
        <v>5.11E-2</v>
      </c>
      <c r="G1153" s="76">
        <v>6.8099999999999994E-2</v>
      </c>
      <c r="H1153" s="76">
        <v>8.4900000000000003E-2</v>
      </c>
      <c r="I1153" s="76">
        <v>0.10199999999999999</v>
      </c>
      <c r="J1153" s="76">
        <v>0.11899999999999999</v>
      </c>
      <c r="K1153" s="76">
        <v>0.13500000000000001</v>
      </c>
      <c r="L1153" s="76">
        <v>0.152</v>
      </c>
      <c r="M1153" s="76">
        <v>0.16800000000000001</v>
      </c>
    </row>
    <row r="1154" spans="3:13" x14ac:dyDescent="0.15">
      <c r="C1154" s="76">
        <v>484</v>
      </c>
      <c r="D1154" s="76">
        <v>1.6E-2</v>
      </c>
      <c r="E1154" s="76">
        <v>3.27E-2</v>
      </c>
      <c r="F1154" s="76">
        <v>4.9200000000000001E-2</v>
      </c>
      <c r="G1154" s="76">
        <v>6.5600000000000006E-2</v>
      </c>
      <c r="H1154" s="76">
        <v>8.1799999999999998E-2</v>
      </c>
      <c r="I1154" s="76">
        <v>9.8000000000000004E-2</v>
      </c>
      <c r="J1154" s="76">
        <v>0.114</v>
      </c>
      <c r="K1154" s="76">
        <v>0.13</v>
      </c>
      <c r="L1154" s="76">
        <v>0.14599999999999999</v>
      </c>
      <c r="M1154" s="76">
        <v>0.16200000000000001</v>
      </c>
    </row>
    <row r="1155" spans="3:13" x14ac:dyDescent="0.15">
      <c r="C1155" s="76">
        <v>486</v>
      </c>
      <c r="D1155" s="76">
        <v>1.54E-2</v>
      </c>
      <c r="E1155" s="76">
        <v>3.1399999999999997E-2</v>
      </c>
      <c r="F1155" s="76">
        <v>4.7199999999999999E-2</v>
      </c>
      <c r="G1155" s="76">
        <v>6.3E-2</v>
      </c>
      <c r="H1155" s="76">
        <v>7.85E-2</v>
      </c>
      <c r="I1155" s="76">
        <v>9.4100000000000003E-2</v>
      </c>
      <c r="J1155" s="76">
        <v>0.11</v>
      </c>
      <c r="K1155" s="76">
        <v>0.125</v>
      </c>
      <c r="L1155" s="76">
        <v>0.14000000000000001</v>
      </c>
      <c r="M1155" s="76">
        <v>0.155</v>
      </c>
    </row>
    <row r="1156" spans="3:13" x14ac:dyDescent="0.15">
      <c r="C1156" s="76">
        <v>488</v>
      </c>
      <c r="D1156" s="76">
        <v>1.4500000000000001E-2</v>
      </c>
      <c r="E1156" s="76">
        <v>2.9700000000000001E-2</v>
      </c>
      <c r="F1156" s="76">
        <v>4.4699999999999997E-2</v>
      </c>
      <c r="G1156" s="76">
        <v>5.96E-2</v>
      </c>
      <c r="H1156" s="76">
        <v>7.4300000000000005E-2</v>
      </c>
      <c r="I1156" s="76">
        <v>8.8999999999999996E-2</v>
      </c>
      <c r="J1156" s="76">
        <v>0.104</v>
      </c>
      <c r="K1156" s="76">
        <v>0.11799999999999999</v>
      </c>
      <c r="L1156" s="76">
        <v>0.13300000000000001</v>
      </c>
      <c r="M1156" s="76">
        <v>0.14699999999999999</v>
      </c>
    </row>
    <row r="1157" spans="3:13" x14ac:dyDescent="0.15">
      <c r="C1157" s="76">
        <v>490</v>
      </c>
      <c r="D1157" s="76">
        <v>1.37E-2</v>
      </c>
      <c r="E1157" s="76">
        <v>2.8000000000000001E-2</v>
      </c>
      <c r="F1157" s="76">
        <v>4.2200000000000001E-2</v>
      </c>
      <c r="G1157" s="76">
        <v>5.62E-2</v>
      </c>
      <c r="H1157" s="76">
        <v>7.0099999999999996E-2</v>
      </c>
      <c r="I1157" s="76">
        <v>8.4099999999999994E-2</v>
      </c>
      <c r="J1157" s="76">
        <v>9.8000000000000004E-2</v>
      </c>
      <c r="K1157" s="76">
        <v>0.112</v>
      </c>
      <c r="L1157" s="76">
        <v>0.125</v>
      </c>
      <c r="M1157" s="76">
        <v>0.13900000000000001</v>
      </c>
    </row>
    <row r="1158" spans="3:13" x14ac:dyDescent="0.15">
      <c r="C1158" s="76">
        <v>492</v>
      </c>
      <c r="D1158" s="76">
        <v>1.29E-2</v>
      </c>
      <c r="E1158" s="76">
        <v>2.63E-2</v>
      </c>
      <c r="F1158" s="76">
        <v>3.9600000000000003E-2</v>
      </c>
      <c r="G1158" s="76">
        <v>5.28E-2</v>
      </c>
      <c r="H1158" s="76">
        <v>6.5699999999999995E-2</v>
      </c>
      <c r="I1158" s="76">
        <v>7.8799999999999995E-2</v>
      </c>
      <c r="J1158" s="76">
        <v>9.1899999999999996E-2</v>
      </c>
      <c r="K1158" s="76">
        <v>0.105</v>
      </c>
      <c r="L1158" s="76">
        <v>0.11700000000000001</v>
      </c>
      <c r="M1158" s="76">
        <v>0.13</v>
      </c>
    </row>
    <row r="1159" spans="3:13" x14ac:dyDescent="0.15">
      <c r="C1159" s="76">
        <v>494</v>
      </c>
      <c r="D1159" s="76">
        <v>1.2E-2</v>
      </c>
      <c r="E1159" s="76">
        <v>2.4500000000000001E-2</v>
      </c>
      <c r="F1159" s="76">
        <v>3.6799999999999999E-2</v>
      </c>
      <c r="G1159" s="76">
        <v>4.9099999999999998E-2</v>
      </c>
      <c r="H1159" s="76">
        <v>6.1100000000000002E-2</v>
      </c>
      <c r="I1159" s="76">
        <v>7.3300000000000004E-2</v>
      </c>
      <c r="J1159" s="76">
        <v>8.5400000000000004E-2</v>
      </c>
      <c r="K1159" s="76">
        <v>9.7299999999999998E-2</v>
      </c>
      <c r="L1159" s="76">
        <v>0.109</v>
      </c>
      <c r="M1159" s="76">
        <v>0.121</v>
      </c>
    </row>
    <row r="1160" spans="3:13" x14ac:dyDescent="0.15">
      <c r="C1160" s="76">
        <v>496</v>
      </c>
      <c r="D1160" s="76">
        <v>1.11E-2</v>
      </c>
      <c r="E1160" s="76">
        <v>2.2700000000000001E-2</v>
      </c>
      <c r="F1160" s="76">
        <v>3.4099999999999998E-2</v>
      </c>
      <c r="G1160" s="76">
        <v>4.5600000000000002E-2</v>
      </c>
      <c r="H1160" s="76">
        <v>5.6599999999999998E-2</v>
      </c>
      <c r="I1160" s="76">
        <v>6.7900000000000002E-2</v>
      </c>
      <c r="J1160" s="76">
        <v>7.9200000000000007E-2</v>
      </c>
      <c r="K1160" s="76">
        <v>9.01E-2</v>
      </c>
      <c r="L1160" s="76">
        <v>0.10100000000000001</v>
      </c>
      <c r="M1160" s="76">
        <v>0.112</v>
      </c>
    </row>
    <row r="1161" spans="3:13" x14ac:dyDescent="0.15">
      <c r="C1161" s="76">
        <v>498</v>
      </c>
      <c r="D1161" s="76">
        <v>1.0200000000000001E-2</v>
      </c>
      <c r="E1161" s="76">
        <v>2.0799999999999999E-2</v>
      </c>
      <c r="F1161" s="76">
        <v>3.1300000000000001E-2</v>
      </c>
      <c r="G1161" s="76">
        <v>4.1799999999999997E-2</v>
      </c>
      <c r="H1161" s="76">
        <v>5.1999999999999998E-2</v>
      </c>
      <c r="I1161" s="76">
        <v>6.2300000000000001E-2</v>
      </c>
      <c r="J1161" s="76">
        <v>7.2599999999999998E-2</v>
      </c>
      <c r="K1161" s="76">
        <v>8.2699999999999996E-2</v>
      </c>
      <c r="L1161" s="76">
        <v>9.2799999999999994E-2</v>
      </c>
      <c r="M1161" s="76">
        <v>0.10299999999999999</v>
      </c>
    </row>
    <row r="1162" spans="3:13" x14ac:dyDescent="0.15">
      <c r="C1162" s="76">
        <v>500</v>
      </c>
      <c r="D1162" s="76">
        <v>9.2300000000000004E-3</v>
      </c>
      <c r="E1162" s="76">
        <v>1.89E-2</v>
      </c>
      <c r="F1162" s="76">
        <v>2.8299999999999999E-2</v>
      </c>
      <c r="G1162" s="76">
        <v>3.7900000000000003E-2</v>
      </c>
      <c r="H1162" s="76">
        <v>4.7199999999999999E-2</v>
      </c>
      <c r="I1162" s="76">
        <v>5.6500000000000002E-2</v>
      </c>
      <c r="J1162" s="76">
        <v>6.5799999999999997E-2</v>
      </c>
      <c r="K1162" s="76">
        <v>7.4999999999999997E-2</v>
      </c>
      <c r="L1162" s="76">
        <v>8.4199999999999997E-2</v>
      </c>
      <c r="M1162" s="76">
        <v>9.3200000000000005E-2</v>
      </c>
    </row>
    <row r="1163" spans="3:13" x14ac:dyDescent="0.15">
      <c r="C1163" s="76">
        <v>502</v>
      </c>
      <c r="D1163" s="76">
        <v>8.3300000000000006E-3</v>
      </c>
      <c r="E1163" s="76">
        <v>1.7000000000000001E-2</v>
      </c>
      <c r="F1163" s="76">
        <v>2.5600000000000001E-2</v>
      </c>
      <c r="G1163" s="76">
        <v>3.4200000000000001E-2</v>
      </c>
      <c r="H1163" s="76">
        <v>4.2500000000000003E-2</v>
      </c>
      <c r="I1163" s="76">
        <v>5.0900000000000001E-2</v>
      </c>
      <c r="J1163" s="76">
        <v>5.9400000000000001E-2</v>
      </c>
      <c r="K1163" s="76">
        <v>6.7699999999999996E-2</v>
      </c>
      <c r="L1163" s="76">
        <v>7.5999999999999998E-2</v>
      </c>
      <c r="M1163" s="76">
        <v>8.4199999999999997E-2</v>
      </c>
    </row>
    <row r="1164" spans="3:13" x14ac:dyDescent="0.15">
      <c r="C1164" s="76">
        <v>504</v>
      </c>
      <c r="D1164" s="76">
        <v>7.5500000000000003E-3</v>
      </c>
      <c r="E1164" s="76">
        <v>1.54E-2</v>
      </c>
      <c r="F1164" s="76">
        <v>2.3199999999999998E-2</v>
      </c>
      <c r="G1164" s="76">
        <v>3.09E-2</v>
      </c>
      <c r="H1164" s="76">
        <v>3.85E-2</v>
      </c>
      <c r="I1164" s="76">
        <v>4.6199999999999998E-2</v>
      </c>
      <c r="J1164" s="76">
        <v>5.3800000000000001E-2</v>
      </c>
      <c r="K1164" s="76">
        <v>6.13E-2</v>
      </c>
      <c r="L1164" s="76">
        <v>6.8900000000000003E-2</v>
      </c>
      <c r="M1164" s="76">
        <v>7.6200000000000004E-2</v>
      </c>
    </row>
    <row r="1165" spans="3:13" x14ac:dyDescent="0.15">
      <c r="C1165" s="76">
        <v>506</v>
      </c>
      <c r="D1165" s="76">
        <v>6.8300000000000001E-3</v>
      </c>
      <c r="E1165" s="76">
        <v>1.4E-2</v>
      </c>
      <c r="F1165" s="76">
        <v>2.1000000000000001E-2</v>
      </c>
      <c r="G1165" s="76">
        <v>2.8000000000000001E-2</v>
      </c>
      <c r="H1165" s="76">
        <v>3.49E-2</v>
      </c>
      <c r="I1165" s="76">
        <v>4.1799999999999997E-2</v>
      </c>
      <c r="J1165" s="76">
        <v>4.8599999999999997E-2</v>
      </c>
      <c r="K1165" s="76">
        <v>5.57E-2</v>
      </c>
      <c r="L1165" s="76">
        <v>6.2300000000000001E-2</v>
      </c>
      <c r="M1165" s="76">
        <v>6.9000000000000006E-2</v>
      </c>
    </row>
    <row r="1166" spans="3:13" x14ac:dyDescent="0.15">
      <c r="C1166" s="76">
        <v>508</v>
      </c>
      <c r="D1166" s="76">
        <v>6.1799999999999997E-3</v>
      </c>
      <c r="E1166" s="76">
        <v>1.26E-2</v>
      </c>
      <c r="F1166" s="76">
        <v>1.9E-2</v>
      </c>
      <c r="G1166" s="76">
        <v>2.53E-2</v>
      </c>
      <c r="H1166" s="76">
        <v>3.1600000000000003E-2</v>
      </c>
      <c r="I1166" s="76">
        <v>3.78E-2</v>
      </c>
      <c r="J1166" s="76">
        <v>4.3999999999999997E-2</v>
      </c>
      <c r="K1166" s="76">
        <v>5.0200000000000002E-2</v>
      </c>
      <c r="L1166" s="76">
        <v>5.6399999999999999E-2</v>
      </c>
      <c r="M1166" s="76">
        <v>6.25E-2</v>
      </c>
    </row>
    <row r="1167" spans="3:13" x14ac:dyDescent="0.15">
      <c r="C1167" s="76">
        <v>510</v>
      </c>
      <c r="D1167" s="76">
        <v>5.6100000000000004E-3</v>
      </c>
      <c r="E1167" s="76">
        <v>1.15E-2</v>
      </c>
      <c r="F1167" s="76">
        <v>1.72E-2</v>
      </c>
      <c r="G1167" s="76">
        <v>2.3099999999999999E-2</v>
      </c>
      <c r="H1167" s="76">
        <v>2.87E-2</v>
      </c>
      <c r="I1167" s="76">
        <v>3.44E-2</v>
      </c>
      <c r="J1167" s="76">
        <v>0.04</v>
      </c>
      <c r="K1167" s="76">
        <v>4.5499999999999999E-2</v>
      </c>
      <c r="L1167" s="76">
        <v>5.1200000000000002E-2</v>
      </c>
      <c r="M1167" s="76">
        <v>5.6800000000000003E-2</v>
      </c>
    </row>
    <row r="1168" spans="3:13" x14ac:dyDescent="0.15">
      <c r="C1168" s="76">
        <v>512</v>
      </c>
      <c r="D1168" s="76">
        <v>5.0600000000000003E-3</v>
      </c>
      <c r="E1168" s="76">
        <v>1.03E-2</v>
      </c>
      <c r="F1168" s="76">
        <v>1.55E-2</v>
      </c>
      <c r="G1168" s="76">
        <v>2.0799999999999999E-2</v>
      </c>
      <c r="H1168" s="76">
        <v>2.5899999999999999E-2</v>
      </c>
      <c r="I1168" s="76">
        <v>3.09E-2</v>
      </c>
      <c r="J1168" s="76">
        <v>3.5999999999999997E-2</v>
      </c>
      <c r="K1168" s="76">
        <v>4.1099999999999998E-2</v>
      </c>
      <c r="L1168" s="76">
        <v>4.6199999999999998E-2</v>
      </c>
      <c r="M1168" s="76">
        <v>5.1200000000000002E-2</v>
      </c>
    </row>
    <row r="1169" spans="3:46" x14ac:dyDescent="0.15">
      <c r="C1169" s="76">
        <v>514</v>
      </c>
      <c r="D1169" s="76">
        <v>4.5999999999999999E-3</v>
      </c>
      <c r="E1169" s="76">
        <v>9.4500000000000001E-3</v>
      </c>
      <c r="F1169" s="76">
        <v>1.4200000000000001E-2</v>
      </c>
      <c r="G1169" s="76">
        <v>1.89E-2</v>
      </c>
      <c r="H1169" s="76">
        <v>2.3599999999999999E-2</v>
      </c>
      <c r="I1169" s="76">
        <v>2.8199999999999999E-2</v>
      </c>
      <c r="J1169" s="76">
        <v>3.2800000000000003E-2</v>
      </c>
      <c r="K1169" s="76">
        <v>3.7499999999999999E-2</v>
      </c>
      <c r="L1169" s="76">
        <v>4.2099999999999999E-2</v>
      </c>
      <c r="M1169" s="76">
        <v>4.6800000000000001E-2</v>
      </c>
    </row>
    <row r="1170" spans="3:46" x14ac:dyDescent="0.15">
      <c r="C1170" s="76">
        <v>516</v>
      </c>
      <c r="D1170" s="76">
        <v>4.2300000000000003E-3</v>
      </c>
      <c r="E1170" s="76">
        <v>8.6899999999999998E-3</v>
      </c>
      <c r="F1170" s="76">
        <v>1.2999999999999999E-2</v>
      </c>
      <c r="G1170" s="76">
        <v>1.7399999999999999E-2</v>
      </c>
      <c r="H1170" s="76">
        <v>2.1700000000000001E-2</v>
      </c>
      <c r="I1170" s="76">
        <v>2.5999999999999999E-2</v>
      </c>
      <c r="J1170" s="76">
        <v>3.0200000000000001E-2</v>
      </c>
      <c r="K1170" s="76">
        <v>3.44E-2</v>
      </c>
      <c r="L1170" s="76">
        <v>3.8699999999999998E-2</v>
      </c>
      <c r="M1170" s="76">
        <v>4.2900000000000001E-2</v>
      </c>
    </row>
    <row r="1171" spans="3:46" x14ac:dyDescent="0.15">
      <c r="C1171" s="81">
        <v>518</v>
      </c>
      <c r="D1171" s="76">
        <v>3.8999999999999998E-3</v>
      </c>
      <c r="E1171" s="76">
        <v>8.0099999999999998E-3</v>
      </c>
      <c r="F1171" s="76">
        <v>1.2E-2</v>
      </c>
      <c r="G1171" s="76">
        <v>1.61E-2</v>
      </c>
      <c r="H1171" s="81">
        <v>0.02</v>
      </c>
      <c r="I1171" s="76">
        <v>2.4E-2</v>
      </c>
      <c r="J1171" s="76">
        <v>2.7799999999999998E-2</v>
      </c>
      <c r="K1171" s="76">
        <v>3.1800000000000002E-2</v>
      </c>
      <c r="L1171" s="81">
        <v>3.5700000000000003E-2</v>
      </c>
      <c r="M1171" s="76">
        <v>3.9699999999999999E-2</v>
      </c>
      <c r="N1171" s="81"/>
      <c r="T1171" s="81"/>
      <c r="W1171" s="81"/>
      <c r="AG1171" s="81"/>
      <c r="AT1171" s="81"/>
    </row>
    <row r="1172" spans="3:46" x14ac:dyDescent="0.15">
      <c r="C1172" s="81">
        <v>520</v>
      </c>
      <c r="D1172" s="76">
        <v>3.62E-3</v>
      </c>
      <c r="E1172" s="76">
        <v>7.4200000000000004E-3</v>
      </c>
      <c r="F1172" s="76">
        <v>1.11E-2</v>
      </c>
      <c r="G1172" s="76">
        <v>1.49E-2</v>
      </c>
      <c r="H1172" s="81">
        <v>1.8599999999999998E-2</v>
      </c>
      <c r="I1172" s="76">
        <v>2.2200000000000001E-2</v>
      </c>
      <c r="J1172" s="76">
        <v>2.58E-2</v>
      </c>
      <c r="K1172" s="76">
        <v>2.9399999999999999E-2</v>
      </c>
      <c r="L1172" s="81">
        <v>3.3099999999999997E-2</v>
      </c>
      <c r="M1172" s="76">
        <v>3.6700000000000003E-2</v>
      </c>
      <c r="N1172" s="81"/>
      <c r="T1172" s="81"/>
      <c r="W1172" s="81"/>
      <c r="AG1172" s="81"/>
      <c r="AT1172" s="81"/>
    </row>
    <row r="1173" spans="3:46" x14ac:dyDescent="0.15">
      <c r="C1173" s="81">
        <v>522</v>
      </c>
      <c r="D1173" s="76">
        <v>3.3500000000000001E-3</v>
      </c>
      <c r="E1173" s="76">
        <v>6.8700000000000002E-3</v>
      </c>
      <c r="F1173" s="76">
        <v>1.03E-2</v>
      </c>
      <c r="G1173" s="76">
        <v>1.38E-2</v>
      </c>
      <c r="H1173" s="81">
        <v>1.7100000000000001E-2</v>
      </c>
      <c r="I1173" s="76">
        <v>2.06E-2</v>
      </c>
      <c r="J1173" s="76">
        <v>2.3800000000000002E-2</v>
      </c>
      <c r="K1173" s="76">
        <v>2.7199999999999998E-2</v>
      </c>
      <c r="L1173" s="81">
        <v>3.0599999999999999E-2</v>
      </c>
      <c r="M1173" s="76">
        <v>3.4000000000000002E-2</v>
      </c>
      <c r="N1173" s="81"/>
      <c r="T1173" s="81"/>
      <c r="W1173" s="81"/>
      <c r="AG1173" s="81"/>
      <c r="AT1173" s="81"/>
    </row>
    <row r="1174" spans="3:46" x14ac:dyDescent="0.15">
      <c r="C1174" s="81">
        <v>524</v>
      </c>
      <c r="D1174" s="76">
        <v>3.0599999999999998E-3</v>
      </c>
      <c r="E1174" s="76">
        <v>6.3E-3</v>
      </c>
      <c r="F1174" s="76">
        <v>9.4400000000000005E-3</v>
      </c>
      <c r="G1174" s="76">
        <v>1.26E-2</v>
      </c>
      <c r="H1174" s="81">
        <v>1.5699999999999999E-2</v>
      </c>
      <c r="I1174" s="76">
        <v>1.8800000000000001E-2</v>
      </c>
      <c r="J1174" s="76">
        <v>2.18E-2</v>
      </c>
      <c r="K1174" s="76">
        <v>2.4899999999999999E-2</v>
      </c>
      <c r="L1174" s="81">
        <v>2.81E-2</v>
      </c>
      <c r="M1174" s="76">
        <v>3.1199999999999999E-2</v>
      </c>
      <c r="N1174" s="81"/>
      <c r="T1174" s="81"/>
      <c r="W1174" s="81"/>
      <c r="AG1174" s="81"/>
      <c r="AT1174" s="81"/>
    </row>
    <row r="1175" spans="3:46" x14ac:dyDescent="0.15">
      <c r="C1175" s="81">
        <v>526</v>
      </c>
      <c r="D1175" s="76">
        <v>2.82E-3</v>
      </c>
      <c r="E1175" s="76">
        <v>5.8100000000000001E-3</v>
      </c>
      <c r="F1175" s="76">
        <v>8.7100000000000007E-3</v>
      </c>
      <c r="G1175" s="76">
        <v>1.1599999999999999E-2</v>
      </c>
      <c r="H1175" s="81">
        <v>1.4500000000000001E-2</v>
      </c>
      <c r="I1175" s="76">
        <v>1.7399999999999999E-2</v>
      </c>
      <c r="J1175" s="76">
        <v>2.01E-2</v>
      </c>
      <c r="K1175" s="76">
        <v>2.3E-2</v>
      </c>
      <c r="L1175" s="81">
        <v>2.5899999999999999E-2</v>
      </c>
      <c r="M1175" s="76">
        <v>2.87E-2</v>
      </c>
      <c r="N1175" s="81"/>
      <c r="T1175" s="81"/>
      <c r="W1175" s="81"/>
      <c r="AG1175" s="81"/>
      <c r="AT1175" s="81"/>
    </row>
    <row r="1176" spans="3:46" x14ac:dyDescent="0.15">
      <c r="C1176" s="81">
        <v>528</v>
      </c>
      <c r="D1176" s="76">
        <v>2.6099999999999999E-3</v>
      </c>
      <c r="E1176" s="76">
        <v>5.3800000000000002E-3</v>
      </c>
      <c r="F1176" s="76">
        <v>8.0599999999999995E-3</v>
      </c>
      <c r="G1176" s="76">
        <v>1.0699999999999999E-2</v>
      </c>
      <c r="H1176" s="81">
        <v>1.34E-2</v>
      </c>
      <c r="I1176" s="76">
        <v>1.61E-2</v>
      </c>
      <c r="J1176" s="76">
        <v>1.8599999999999998E-2</v>
      </c>
      <c r="K1176" s="76">
        <v>2.1299999999999999E-2</v>
      </c>
      <c r="L1176" s="81">
        <v>2.3900000000000001E-2</v>
      </c>
      <c r="M1176" s="76">
        <v>2.6599999999999999E-2</v>
      </c>
      <c r="N1176" s="81"/>
      <c r="T1176" s="81"/>
      <c r="W1176" s="81"/>
      <c r="AG1176" s="81"/>
      <c r="AT1176" s="81"/>
    </row>
    <row r="1177" spans="3:46" x14ac:dyDescent="0.15">
      <c r="C1177" s="81">
        <v>530</v>
      </c>
      <c r="D1177" s="76">
        <v>2.3999999999999998E-3</v>
      </c>
      <c r="E1177" s="76">
        <v>4.9399999999999999E-3</v>
      </c>
      <c r="F1177" s="76">
        <v>7.4099999999999999E-3</v>
      </c>
      <c r="G1177" s="76">
        <v>9.8700000000000003E-3</v>
      </c>
      <c r="H1177" s="81">
        <v>1.23E-2</v>
      </c>
      <c r="I1177" s="76">
        <v>1.4800000000000001E-2</v>
      </c>
      <c r="J1177" s="76">
        <v>1.7100000000000001E-2</v>
      </c>
      <c r="K1177" s="76">
        <v>1.9599999999999999E-2</v>
      </c>
      <c r="L1177" s="81">
        <v>2.1999999999999999E-2</v>
      </c>
      <c r="M1177" s="76">
        <v>2.4400000000000002E-2</v>
      </c>
      <c r="N1177" s="81"/>
      <c r="T1177" s="81"/>
      <c r="W1177" s="81"/>
      <c r="AG1177" s="81"/>
      <c r="AT1177" s="81"/>
    </row>
    <row r="1178" spans="3:46" x14ac:dyDescent="0.15">
      <c r="C1178" s="81">
        <v>532</v>
      </c>
      <c r="D1178" s="76">
        <v>2.2000000000000001E-3</v>
      </c>
      <c r="E1178" s="76">
        <v>4.5300000000000002E-3</v>
      </c>
      <c r="F1178" s="76">
        <v>6.7799999999999996E-3</v>
      </c>
      <c r="G1178" s="76">
        <v>9.0500000000000008E-3</v>
      </c>
      <c r="H1178" s="81">
        <v>1.1299999999999999E-2</v>
      </c>
      <c r="I1178" s="76">
        <v>1.3599999999999999E-2</v>
      </c>
      <c r="J1178" s="76">
        <v>1.5699999999999999E-2</v>
      </c>
      <c r="K1178" s="76">
        <v>1.7899999999999999E-2</v>
      </c>
      <c r="L1178" s="81">
        <v>2.0199999999999999E-2</v>
      </c>
      <c r="M1178" s="76">
        <v>2.24E-2</v>
      </c>
      <c r="N1178" s="81"/>
      <c r="T1178" s="81"/>
      <c r="W1178" s="81"/>
      <c r="AG1178" s="81"/>
      <c r="AT1178" s="81"/>
    </row>
    <row r="1179" spans="3:46" x14ac:dyDescent="0.15">
      <c r="C1179" s="81">
        <v>534</v>
      </c>
      <c r="D1179" s="76">
        <v>2E-3</v>
      </c>
      <c r="E1179" s="76">
        <v>4.13E-3</v>
      </c>
      <c r="F1179" s="76">
        <v>6.1799999999999997E-3</v>
      </c>
      <c r="G1179" s="76">
        <v>8.2400000000000008E-3</v>
      </c>
      <c r="H1179" s="81">
        <v>1.03E-2</v>
      </c>
      <c r="I1179" s="76">
        <v>1.23E-2</v>
      </c>
      <c r="J1179" s="76">
        <v>1.43E-2</v>
      </c>
      <c r="K1179" s="76">
        <v>1.6299999999999999E-2</v>
      </c>
      <c r="L1179" s="81">
        <v>1.84E-2</v>
      </c>
      <c r="M1179" s="76">
        <v>2.0400000000000001E-2</v>
      </c>
      <c r="N1179" s="81"/>
      <c r="T1179" s="81"/>
      <c r="W1179" s="81"/>
      <c r="AG1179" s="81"/>
      <c r="AT1179" s="81"/>
    </row>
    <row r="1180" spans="3:46" x14ac:dyDescent="0.15">
      <c r="C1180" s="81">
        <v>536</v>
      </c>
      <c r="D1180" s="76">
        <v>1.8E-3</v>
      </c>
      <c r="E1180" s="76">
        <v>3.7299999999999998E-3</v>
      </c>
      <c r="F1180" s="76">
        <v>5.5999999999999999E-3</v>
      </c>
      <c r="G1180" s="76">
        <v>7.4099999999999999E-3</v>
      </c>
      <c r="H1180" s="81">
        <v>9.2700000000000005E-3</v>
      </c>
      <c r="I1180" s="76">
        <v>1.11E-2</v>
      </c>
      <c r="J1180" s="76">
        <v>1.29E-2</v>
      </c>
      <c r="K1180" s="76">
        <v>1.47E-2</v>
      </c>
      <c r="L1180" s="81">
        <v>1.6500000000000001E-2</v>
      </c>
      <c r="M1180" s="76">
        <v>1.84E-2</v>
      </c>
      <c r="N1180" s="81"/>
      <c r="T1180" s="81"/>
      <c r="W1180" s="81"/>
      <c r="AG1180" s="81"/>
      <c r="AT1180" s="81"/>
    </row>
    <row r="1181" spans="3:46" x14ac:dyDescent="0.15">
      <c r="C1181" s="81">
        <v>538</v>
      </c>
      <c r="D1181" s="76">
        <v>1.65E-3</v>
      </c>
      <c r="E1181" s="76">
        <v>3.3800000000000002E-3</v>
      </c>
      <c r="F1181" s="76">
        <v>5.0699999999999999E-3</v>
      </c>
      <c r="G1181" s="76">
        <v>6.7499999999999999E-3</v>
      </c>
      <c r="H1181" s="81">
        <v>8.43E-3</v>
      </c>
      <c r="I1181" s="76">
        <v>1.01E-2</v>
      </c>
      <c r="J1181" s="76">
        <v>1.17E-2</v>
      </c>
      <c r="K1181" s="76">
        <v>1.3299999999999999E-2</v>
      </c>
      <c r="L1181" s="81">
        <v>1.4999999999999999E-2</v>
      </c>
      <c r="M1181" s="76">
        <v>1.67E-2</v>
      </c>
      <c r="N1181" s="81"/>
      <c r="T1181" s="81"/>
      <c r="W1181" s="81"/>
      <c r="AG1181" s="81"/>
      <c r="AT1181" s="81"/>
    </row>
    <row r="1182" spans="3:46" x14ac:dyDescent="0.15">
      <c r="C1182" s="81">
        <v>540</v>
      </c>
      <c r="D1182" s="76">
        <v>1.5E-3</v>
      </c>
      <c r="E1182" s="76">
        <v>3.0799999999999998E-3</v>
      </c>
      <c r="F1182" s="76">
        <v>4.6100000000000004E-3</v>
      </c>
      <c r="G1182" s="76">
        <v>6.13E-3</v>
      </c>
      <c r="H1182" s="81">
        <v>7.6600000000000001E-3</v>
      </c>
      <c r="I1182" s="76">
        <v>9.2200000000000008E-3</v>
      </c>
      <c r="J1182" s="76">
        <v>1.06E-2</v>
      </c>
      <c r="K1182" s="76">
        <v>1.21E-2</v>
      </c>
      <c r="L1182" s="81">
        <v>1.3599999999999999E-2</v>
      </c>
      <c r="M1182" s="76">
        <v>1.52E-2</v>
      </c>
      <c r="N1182" s="81"/>
      <c r="T1182" s="81"/>
      <c r="W1182" s="81"/>
      <c r="AG1182" s="81"/>
      <c r="AT1182" s="81"/>
    </row>
    <row r="1183" spans="3:46" x14ac:dyDescent="0.15">
      <c r="C1183" s="81">
        <v>542</v>
      </c>
      <c r="D1183" s="76">
        <v>1.3600000000000001E-3</v>
      </c>
      <c r="E1183" s="76">
        <v>2.8E-3</v>
      </c>
      <c r="F1183" s="76">
        <v>4.2100000000000002E-3</v>
      </c>
      <c r="G1183" s="76">
        <v>5.5799999999999999E-3</v>
      </c>
      <c r="H1183" s="81">
        <v>6.9699999999999996E-3</v>
      </c>
      <c r="I1183" s="76">
        <v>8.3899999999999999E-3</v>
      </c>
      <c r="J1183" s="76">
        <v>9.6900000000000007E-3</v>
      </c>
      <c r="K1183" s="76">
        <v>1.0999999999999999E-2</v>
      </c>
      <c r="L1183" s="81">
        <v>1.24E-2</v>
      </c>
      <c r="M1183" s="76">
        <v>1.38E-2</v>
      </c>
      <c r="N1183" s="81"/>
      <c r="T1183" s="81"/>
      <c r="W1183" s="81"/>
      <c r="AG1183" s="81"/>
      <c r="AT1183" s="81"/>
    </row>
    <row r="1184" spans="3:46" x14ac:dyDescent="0.15">
      <c r="C1184" s="81">
        <v>544</v>
      </c>
      <c r="D1184" s="76">
        <v>1.23E-3</v>
      </c>
      <c r="E1184" s="76">
        <v>2.5699999999999998E-3</v>
      </c>
      <c r="F1184" s="76">
        <v>3.8300000000000001E-3</v>
      </c>
      <c r="G1184" s="76">
        <v>5.0899999999999999E-3</v>
      </c>
      <c r="H1184" s="81">
        <v>6.3E-3</v>
      </c>
      <c r="I1184" s="76">
        <v>7.6400000000000001E-3</v>
      </c>
      <c r="J1184" s="76">
        <v>8.8400000000000006E-3</v>
      </c>
      <c r="K1184" s="76">
        <v>0.01</v>
      </c>
      <c r="L1184" s="81">
        <v>1.1299999999999999E-2</v>
      </c>
      <c r="M1184" s="76">
        <v>1.26E-2</v>
      </c>
      <c r="N1184" s="81"/>
      <c r="T1184" s="81"/>
      <c r="W1184" s="81"/>
      <c r="AG1184" s="81"/>
      <c r="AT1184" s="81"/>
    </row>
    <row r="1185" spans="3:56" x14ac:dyDescent="0.15">
      <c r="C1185" s="81">
        <v>546</v>
      </c>
      <c r="D1185" s="81">
        <v>1.1199999999999999E-3</v>
      </c>
      <c r="E1185" s="81">
        <v>2.2699999999999999E-3</v>
      </c>
      <c r="F1185" s="81">
        <v>3.4499999999999999E-3</v>
      </c>
      <c r="G1185" s="81">
        <v>4.5799999999999999E-3</v>
      </c>
      <c r="H1185" s="81">
        <v>5.6800000000000002E-3</v>
      </c>
      <c r="I1185" s="81">
        <v>6.8500000000000002E-3</v>
      </c>
      <c r="J1185" s="81">
        <v>7.9799999999999992E-3</v>
      </c>
      <c r="K1185" s="81">
        <v>8.9899999999999997E-3</v>
      </c>
      <c r="L1185" s="81">
        <v>1.0200000000000001E-2</v>
      </c>
      <c r="M1185" s="81">
        <v>1.1299999999999999E-2</v>
      </c>
      <c r="N1185" s="81"/>
      <c r="O1185" s="81"/>
      <c r="P1185" s="81"/>
      <c r="Q1185" s="81"/>
      <c r="R1185" s="81"/>
      <c r="S1185" s="81"/>
      <c r="T1185" s="81"/>
      <c r="U1185" s="81"/>
      <c r="V1185" s="81"/>
      <c r="W1185" s="81"/>
      <c r="X1185" s="81"/>
      <c r="Y1185" s="81"/>
      <c r="Z1185" s="81"/>
      <c r="AA1185" s="81"/>
      <c r="AB1185" s="81"/>
      <c r="AC1185" s="81"/>
      <c r="AD1185" s="81"/>
      <c r="AG1185" s="81"/>
      <c r="AH1185" s="81"/>
      <c r="AI1185" s="81"/>
      <c r="AJ1185" s="81"/>
      <c r="AK1185" s="81"/>
      <c r="AL1185" s="81"/>
      <c r="AM1185" s="81"/>
      <c r="AN1185" s="81"/>
      <c r="AO1185" s="81"/>
      <c r="AP1185" s="81"/>
      <c r="AQ1185" s="81"/>
      <c r="AT1185" s="81"/>
      <c r="AU1185" s="81"/>
      <c r="AV1185" s="81"/>
      <c r="AW1185" s="81"/>
      <c r="AX1185" s="81"/>
      <c r="AY1185" s="81"/>
      <c r="AZ1185" s="81"/>
      <c r="BA1185" s="81"/>
      <c r="BB1185" s="81"/>
      <c r="BC1185" s="81"/>
      <c r="BD1185" s="81"/>
    </row>
    <row r="1186" spans="3:56" x14ac:dyDescent="0.15">
      <c r="C1186" s="81">
        <v>548</v>
      </c>
      <c r="D1186" s="76">
        <v>1.0200000000000001E-3</v>
      </c>
      <c r="E1186" s="76">
        <v>2.0799999999999998E-3</v>
      </c>
      <c r="F1186" s="76">
        <v>3.1199999999999999E-3</v>
      </c>
      <c r="G1186" s="76">
        <v>4.1399999999999996E-3</v>
      </c>
      <c r="H1186" s="81">
        <v>5.1500000000000001E-3</v>
      </c>
      <c r="I1186" s="76">
        <v>6.2399999999999999E-3</v>
      </c>
      <c r="J1186" s="76">
        <v>7.26E-3</v>
      </c>
      <c r="K1186" s="76">
        <v>8.1899999999999994E-3</v>
      </c>
      <c r="L1186" s="81">
        <v>9.1999999999999998E-3</v>
      </c>
      <c r="M1186" s="76">
        <v>1.03E-2</v>
      </c>
      <c r="N1186" s="81"/>
      <c r="T1186" s="81"/>
      <c r="W1186" s="81"/>
      <c r="AG1186" s="81"/>
      <c r="AT1186" s="81"/>
    </row>
    <row r="1187" spans="3:56" x14ac:dyDescent="0.15">
      <c r="C1187" s="76">
        <v>550</v>
      </c>
      <c r="D1187" s="76">
        <v>9.2900000000000003E-4</v>
      </c>
      <c r="E1187" s="76">
        <v>1.89E-3</v>
      </c>
      <c r="F1187" s="76">
        <v>2.8500000000000001E-3</v>
      </c>
      <c r="G1187" s="76">
        <v>3.7699999999999999E-3</v>
      </c>
      <c r="H1187" s="76">
        <v>4.6800000000000001E-3</v>
      </c>
      <c r="I1187" s="76">
        <v>5.6699999999999997E-3</v>
      </c>
      <c r="J1187" s="76">
        <v>6.6299999999999996E-3</v>
      </c>
      <c r="K1187" s="76">
        <v>7.45E-3</v>
      </c>
      <c r="L1187" s="76">
        <v>8.4100000000000008E-3</v>
      </c>
      <c r="M1187" s="76">
        <v>9.3600000000000003E-3</v>
      </c>
    </row>
    <row r="1188" spans="3:56" x14ac:dyDescent="0.15">
      <c r="C1188" s="76">
        <v>552</v>
      </c>
      <c r="D1188" s="76">
        <v>8.4900000000000004E-4</v>
      </c>
      <c r="E1188" s="76">
        <v>1.73E-3</v>
      </c>
      <c r="F1188" s="76">
        <v>2.5999999999999999E-3</v>
      </c>
      <c r="G1188" s="76">
        <v>3.4399999999999999E-3</v>
      </c>
      <c r="H1188" s="76">
        <v>4.28E-3</v>
      </c>
      <c r="I1188" s="76">
        <v>5.1399999999999996E-3</v>
      </c>
      <c r="J1188" s="76">
        <v>6.0299999999999998E-3</v>
      </c>
      <c r="K1188" s="76">
        <v>6.7400000000000003E-3</v>
      </c>
      <c r="L1188" s="76">
        <v>7.6600000000000001E-3</v>
      </c>
      <c r="M1188" s="76">
        <v>8.5500000000000003E-3</v>
      </c>
    </row>
    <row r="1189" spans="3:56" x14ac:dyDescent="0.15">
      <c r="C1189" s="76">
        <v>554</v>
      </c>
      <c r="D1189" s="76">
        <v>7.7800000000000005E-4</v>
      </c>
      <c r="E1189" s="76">
        <v>1.58E-3</v>
      </c>
      <c r="F1189" s="76">
        <v>2.3700000000000001E-3</v>
      </c>
      <c r="G1189" s="76">
        <v>3.14E-3</v>
      </c>
      <c r="H1189" s="76">
        <v>3.9100000000000003E-3</v>
      </c>
      <c r="I1189" s="76">
        <v>4.7000000000000002E-3</v>
      </c>
      <c r="J1189" s="76">
        <v>5.4799999999999996E-3</v>
      </c>
      <c r="K1189" s="76">
        <v>6.1399999999999996E-3</v>
      </c>
      <c r="L1189" s="76">
        <v>6.9699999999999996E-3</v>
      </c>
      <c r="M1189" s="76">
        <v>7.7999999999999996E-3</v>
      </c>
    </row>
    <row r="1190" spans="3:56" x14ac:dyDescent="0.15">
      <c r="C1190" s="76">
        <v>556</v>
      </c>
      <c r="D1190" s="76">
        <v>7.1199999999999996E-4</v>
      </c>
      <c r="E1190" s="76">
        <v>1.42E-3</v>
      </c>
      <c r="F1190" s="76">
        <v>2.16E-3</v>
      </c>
      <c r="G1190" s="76">
        <v>2.8600000000000001E-3</v>
      </c>
      <c r="H1190" s="76">
        <v>3.5400000000000002E-3</v>
      </c>
      <c r="I1190" s="76">
        <v>4.28E-3</v>
      </c>
      <c r="J1190" s="76">
        <v>5.0699999999999999E-3</v>
      </c>
      <c r="K1190" s="76">
        <v>5.64E-3</v>
      </c>
      <c r="L1190" s="76">
        <v>6.3899999999999998E-3</v>
      </c>
      <c r="M1190" s="76">
        <v>7.11E-3</v>
      </c>
    </row>
    <row r="1191" spans="3:56" x14ac:dyDescent="0.15">
      <c r="C1191" s="76">
        <v>558</v>
      </c>
      <c r="D1191" s="76">
        <v>6.4400000000000004E-4</v>
      </c>
      <c r="E1191" s="76">
        <v>1.2999999999999999E-3</v>
      </c>
      <c r="F1191" s="76">
        <v>1.98E-3</v>
      </c>
      <c r="G1191" s="76">
        <v>2.5799999999999998E-3</v>
      </c>
      <c r="H1191" s="76">
        <v>3.2299999999999998E-3</v>
      </c>
      <c r="I1191" s="76">
        <v>3.8800000000000002E-3</v>
      </c>
      <c r="J1191" s="76">
        <v>4.5900000000000003E-3</v>
      </c>
      <c r="K1191" s="76">
        <v>5.0899999999999999E-3</v>
      </c>
      <c r="L1191" s="76">
        <v>5.7299999999999999E-3</v>
      </c>
      <c r="M1191" s="76">
        <v>6.4700000000000001E-3</v>
      </c>
    </row>
    <row r="1192" spans="3:56" x14ac:dyDescent="0.15">
      <c r="C1192" s="76">
        <v>560</v>
      </c>
      <c r="D1192" s="76">
        <v>5.9199999999999997E-4</v>
      </c>
      <c r="E1192" s="76">
        <v>1.1999999999999999E-3</v>
      </c>
      <c r="F1192" s="76">
        <v>1.8E-3</v>
      </c>
      <c r="G1192" s="76">
        <v>2.3600000000000001E-3</v>
      </c>
      <c r="H1192" s="76">
        <v>2.9499999999999999E-3</v>
      </c>
      <c r="I1192" s="76">
        <v>3.5200000000000001E-3</v>
      </c>
      <c r="J1192" s="76">
        <v>4.2700000000000004E-3</v>
      </c>
      <c r="K1192" s="76">
        <v>4.6800000000000001E-3</v>
      </c>
      <c r="L1192" s="76">
        <v>5.2599999999999999E-3</v>
      </c>
      <c r="M1192" s="76">
        <v>5.9500000000000004E-3</v>
      </c>
    </row>
    <row r="1193" spans="3:56" x14ac:dyDescent="0.15">
      <c r="C1193" s="76">
        <v>562</v>
      </c>
      <c r="D1193" s="76">
        <v>5.4699999999999996E-4</v>
      </c>
      <c r="E1193" s="76">
        <v>1.09E-3</v>
      </c>
      <c r="F1193" s="76">
        <v>1.64E-3</v>
      </c>
      <c r="G1193" s="76">
        <v>2.1700000000000001E-3</v>
      </c>
      <c r="H1193" s="76">
        <v>2.7000000000000001E-3</v>
      </c>
      <c r="I1193" s="76">
        <v>3.2399999999999998E-3</v>
      </c>
      <c r="J1193" s="76">
        <v>3.8800000000000002E-3</v>
      </c>
      <c r="K1193" s="76">
        <v>4.28E-3</v>
      </c>
      <c r="L1193" s="76">
        <v>4.7800000000000004E-3</v>
      </c>
      <c r="M1193" s="76">
        <v>5.3800000000000002E-3</v>
      </c>
    </row>
    <row r="1194" spans="3:56" x14ac:dyDescent="0.15">
      <c r="C1194" s="76">
        <v>564</v>
      </c>
      <c r="D1194" s="76">
        <v>5.0199999999999995E-4</v>
      </c>
      <c r="E1194" s="76">
        <v>9.9099999999999991E-4</v>
      </c>
      <c r="F1194" s="76">
        <v>1.5100000000000001E-3</v>
      </c>
      <c r="G1194" s="76">
        <v>1.99E-3</v>
      </c>
      <c r="H1194" s="76">
        <v>2.5100000000000001E-3</v>
      </c>
      <c r="I1194" s="76">
        <v>2.97E-3</v>
      </c>
      <c r="J1194" s="76">
        <v>3.5699999999999998E-3</v>
      </c>
      <c r="K1194" s="76">
        <v>3.9399999999999999E-3</v>
      </c>
      <c r="L1194" s="76">
        <v>4.4099999999999999E-3</v>
      </c>
      <c r="M1194" s="76">
        <v>4.9899999999999996E-3</v>
      </c>
    </row>
    <row r="1195" spans="3:56" x14ac:dyDescent="0.15">
      <c r="C1195" s="76">
        <v>566</v>
      </c>
      <c r="D1195" s="76">
        <v>4.6500000000000003E-4</v>
      </c>
      <c r="E1195" s="76">
        <v>9.0499999999999999E-4</v>
      </c>
      <c r="F1195" s="76">
        <v>1.39E-3</v>
      </c>
      <c r="G1195" s="76">
        <v>1.83E-3</v>
      </c>
      <c r="H1195" s="76">
        <v>2.3400000000000001E-3</v>
      </c>
      <c r="I1195" s="76">
        <v>2.7100000000000002E-3</v>
      </c>
      <c r="J1195" s="76">
        <v>3.3E-3</v>
      </c>
      <c r="K1195" s="76">
        <v>3.64E-3</v>
      </c>
      <c r="L1195" s="76">
        <v>4.0200000000000001E-3</v>
      </c>
      <c r="M1195" s="76">
        <v>4.6499999999999996E-3</v>
      </c>
    </row>
    <row r="1196" spans="3:56" x14ac:dyDescent="0.15">
      <c r="C1196" s="76">
        <v>568</v>
      </c>
      <c r="D1196" s="76">
        <v>4.26E-4</v>
      </c>
      <c r="E1196" s="76">
        <v>8.34E-4</v>
      </c>
      <c r="F1196" s="76">
        <v>1.2800000000000001E-3</v>
      </c>
      <c r="G1196" s="76">
        <v>1.6999999999999999E-3</v>
      </c>
      <c r="H1196" s="76">
        <v>2.0999999999999999E-3</v>
      </c>
      <c r="I1196" s="76">
        <v>2.5100000000000001E-3</v>
      </c>
      <c r="J1196" s="76">
        <v>3.0000000000000001E-3</v>
      </c>
      <c r="K1196" s="76">
        <v>3.3400000000000001E-3</v>
      </c>
      <c r="L1196" s="76">
        <v>3.7799999999999999E-3</v>
      </c>
      <c r="M1196" s="76">
        <v>4.1700000000000001E-3</v>
      </c>
    </row>
    <row r="1197" spans="3:56" x14ac:dyDescent="0.15">
      <c r="C1197" s="76">
        <v>570</v>
      </c>
      <c r="D1197" s="76">
        <v>3.9800000000000002E-4</v>
      </c>
      <c r="E1197" s="76">
        <v>7.7999999999999999E-4</v>
      </c>
      <c r="F1197" s="76">
        <v>1.17E-3</v>
      </c>
      <c r="G1197" s="76">
        <v>1.5299999999999999E-3</v>
      </c>
      <c r="H1197" s="76">
        <v>1.98E-3</v>
      </c>
      <c r="I1197" s="76">
        <v>2.32E-3</v>
      </c>
      <c r="J1197" s="76">
        <v>2.7799999999999999E-3</v>
      </c>
      <c r="K1197" s="76">
        <v>3.1099999999999999E-3</v>
      </c>
      <c r="L1197" s="76">
        <v>3.4299999999999999E-3</v>
      </c>
      <c r="M1197" s="76">
        <v>3.9100000000000003E-3</v>
      </c>
    </row>
    <row r="1198" spans="3:56" x14ac:dyDescent="0.15">
      <c r="C1198" s="76">
        <v>572</v>
      </c>
      <c r="D1198" s="76">
        <v>3.6699999999999998E-4</v>
      </c>
      <c r="E1198" s="76">
        <v>7.1900000000000002E-4</v>
      </c>
      <c r="F1198" s="76">
        <v>1.08E-3</v>
      </c>
      <c r="G1198" s="76">
        <v>1.4300000000000001E-3</v>
      </c>
      <c r="H1198" s="76">
        <v>1.8500000000000001E-3</v>
      </c>
      <c r="I1198" s="76">
        <v>2.1299999999999999E-3</v>
      </c>
      <c r="J1198" s="76">
        <v>2.64E-3</v>
      </c>
      <c r="K1198" s="76">
        <v>2.8900000000000002E-3</v>
      </c>
      <c r="L1198" s="76">
        <v>3.2299999999999998E-3</v>
      </c>
      <c r="M1198" s="76">
        <v>3.65E-3</v>
      </c>
    </row>
    <row r="1199" spans="3:56" x14ac:dyDescent="0.15">
      <c r="C1199" s="76">
        <v>574</v>
      </c>
      <c r="D1199" s="76">
        <v>3.4000000000000002E-4</v>
      </c>
      <c r="E1199" s="76">
        <v>6.6500000000000001E-4</v>
      </c>
      <c r="F1199" s="76">
        <v>1E-3</v>
      </c>
      <c r="G1199" s="76">
        <v>1.34E-3</v>
      </c>
      <c r="H1199" s="76">
        <v>1.6800000000000001E-3</v>
      </c>
      <c r="I1199" s="76">
        <v>1.98E-3</v>
      </c>
      <c r="J1199" s="76">
        <v>2.4199999999999998E-3</v>
      </c>
      <c r="K1199" s="76">
        <v>2.7200000000000002E-3</v>
      </c>
      <c r="L1199" s="76">
        <v>2.97E-3</v>
      </c>
      <c r="M1199" s="76">
        <v>3.3300000000000001E-3</v>
      </c>
    </row>
    <row r="1200" spans="3:56" x14ac:dyDescent="0.15">
      <c r="C1200" s="76">
        <v>576</v>
      </c>
      <c r="D1200" s="76">
        <v>3.21E-4</v>
      </c>
      <c r="E1200" s="76">
        <v>6.1300000000000005E-4</v>
      </c>
      <c r="F1200" s="76">
        <v>8.9700000000000001E-4</v>
      </c>
      <c r="G1200" s="76">
        <v>1.23E-3</v>
      </c>
      <c r="H1200" s="76">
        <v>1.56E-3</v>
      </c>
      <c r="I1200" s="76">
        <v>1.8500000000000001E-3</v>
      </c>
      <c r="J1200" s="76">
        <v>2.2399999999999998E-3</v>
      </c>
      <c r="K1200" s="76">
        <v>2.5300000000000001E-3</v>
      </c>
      <c r="L1200" s="76">
        <v>2.7299999999999998E-3</v>
      </c>
      <c r="M1200" s="76">
        <v>3.1199999999999999E-3</v>
      </c>
    </row>
    <row r="1201" spans="3:13" x14ac:dyDescent="0.15">
      <c r="C1201" s="76">
        <v>578</v>
      </c>
      <c r="D1201" s="76">
        <v>2.9799999999999998E-4</v>
      </c>
      <c r="E1201" s="76">
        <v>5.71E-4</v>
      </c>
      <c r="F1201" s="76">
        <v>8.8500000000000004E-4</v>
      </c>
      <c r="G1201" s="76">
        <v>1.14E-3</v>
      </c>
      <c r="H1201" s="76">
        <v>1.42E-3</v>
      </c>
      <c r="I1201" s="76">
        <v>1.6999999999999999E-3</v>
      </c>
      <c r="J1201" s="76">
        <v>2.0200000000000001E-3</v>
      </c>
      <c r="K1201" s="76">
        <v>2.3500000000000001E-3</v>
      </c>
      <c r="L1201" s="76">
        <v>2.48E-3</v>
      </c>
      <c r="M1201" s="76">
        <v>2.8700000000000002E-3</v>
      </c>
    </row>
    <row r="1202" spans="3:13" x14ac:dyDescent="0.15">
      <c r="C1202" s="76">
        <v>580</v>
      </c>
      <c r="D1202" s="76">
        <v>2.72E-4</v>
      </c>
      <c r="E1202" s="76">
        <v>5.2599999999999999E-4</v>
      </c>
      <c r="F1202" s="76">
        <v>8.0900000000000004E-4</v>
      </c>
      <c r="G1202" s="76">
        <v>1.0300000000000001E-3</v>
      </c>
      <c r="H1202" s="76">
        <v>1.2999999999999999E-3</v>
      </c>
      <c r="I1202" s="76">
        <v>1.56E-3</v>
      </c>
      <c r="J1202" s="76">
        <v>1.8500000000000001E-3</v>
      </c>
      <c r="K1202" s="76">
        <v>2.0899999999999998E-3</v>
      </c>
      <c r="L1202" s="76">
        <v>2.33E-3</v>
      </c>
      <c r="M1202" s="76">
        <v>2.5799999999999998E-3</v>
      </c>
    </row>
    <row r="1203" spans="3:13" x14ac:dyDescent="0.15">
      <c r="C1203" s="76">
        <v>582</v>
      </c>
      <c r="D1203" s="76">
        <v>2.5300000000000002E-4</v>
      </c>
      <c r="E1203" s="76">
        <v>4.7600000000000002E-4</v>
      </c>
      <c r="F1203" s="76">
        <v>7.9299999999999998E-4</v>
      </c>
      <c r="G1203" s="76">
        <v>9.4799999999999995E-4</v>
      </c>
      <c r="H1203" s="76">
        <v>1.2099999999999999E-3</v>
      </c>
      <c r="I1203" s="76">
        <v>1.4499999999999999E-3</v>
      </c>
      <c r="J1203" s="76">
        <v>1.6900000000000001E-3</v>
      </c>
      <c r="K1203" s="76">
        <v>1.99E-3</v>
      </c>
      <c r="L1203" s="76">
        <v>2.0999999999999999E-3</v>
      </c>
      <c r="M1203" s="76">
        <v>2.3999999999999998E-3</v>
      </c>
    </row>
    <row r="1204" spans="3:13" x14ac:dyDescent="0.15">
      <c r="C1204" s="76">
        <v>584</v>
      </c>
      <c r="D1204" s="76">
        <v>2.31E-4</v>
      </c>
      <c r="E1204" s="76">
        <v>4.4999999999999999E-4</v>
      </c>
      <c r="F1204" s="76">
        <v>6.8900000000000005E-4</v>
      </c>
      <c r="G1204" s="76">
        <v>9.0200000000000002E-4</v>
      </c>
      <c r="H1204" s="76">
        <v>1.1199999999999999E-3</v>
      </c>
      <c r="I1204" s="76">
        <v>1.31E-3</v>
      </c>
      <c r="J1204" s="76">
        <v>1.5499999999999999E-3</v>
      </c>
      <c r="K1204" s="76">
        <v>1.8799999999999999E-3</v>
      </c>
      <c r="L1204" s="76">
        <v>1.9400000000000001E-3</v>
      </c>
      <c r="M1204" s="76">
        <v>2.2100000000000002E-3</v>
      </c>
    </row>
    <row r="1205" spans="3:13" x14ac:dyDescent="0.15">
      <c r="C1205" s="76">
        <v>586</v>
      </c>
      <c r="D1205" s="76">
        <v>2.14E-4</v>
      </c>
      <c r="E1205" s="76">
        <v>4.2900000000000002E-4</v>
      </c>
      <c r="F1205" s="76">
        <v>6.2399999999999999E-4</v>
      </c>
      <c r="G1205" s="76">
        <v>8.3000000000000001E-4</v>
      </c>
      <c r="H1205" s="76">
        <v>1.0300000000000001E-3</v>
      </c>
      <c r="I1205" s="76">
        <v>1.2099999999999999E-3</v>
      </c>
      <c r="J1205" s="76">
        <v>1.4300000000000001E-3</v>
      </c>
      <c r="K1205" s="76">
        <v>1.67E-3</v>
      </c>
      <c r="L1205" s="76">
        <v>1.7899999999999999E-3</v>
      </c>
      <c r="M1205" s="76">
        <v>2.0500000000000002E-3</v>
      </c>
    </row>
    <row r="1206" spans="3:13" x14ac:dyDescent="0.15">
      <c r="C1206" s="76">
        <v>588</v>
      </c>
      <c r="D1206" s="76">
        <v>1.94E-4</v>
      </c>
      <c r="E1206" s="76">
        <v>3.48E-4</v>
      </c>
      <c r="F1206" s="76">
        <v>5.6599999999999999E-4</v>
      </c>
      <c r="G1206" s="76">
        <v>7.7099999999999998E-4</v>
      </c>
      <c r="H1206" s="76">
        <v>9.7400000000000004E-4</v>
      </c>
      <c r="I1206" s="76">
        <v>1.1800000000000001E-3</v>
      </c>
      <c r="J1206" s="76">
        <v>1.2099999999999999E-3</v>
      </c>
      <c r="K1206" s="76">
        <v>1.5499999999999999E-3</v>
      </c>
      <c r="L1206" s="76">
        <v>1.6100000000000001E-3</v>
      </c>
      <c r="M1206" s="76">
        <v>1.8500000000000001E-3</v>
      </c>
    </row>
    <row r="1207" spans="3:13" x14ac:dyDescent="0.15">
      <c r="C1207" s="76">
        <v>590</v>
      </c>
      <c r="D1207" s="76">
        <v>1.74E-4</v>
      </c>
      <c r="E1207" s="76">
        <v>3.4000000000000002E-4</v>
      </c>
      <c r="F1207" s="76">
        <v>5.1900000000000004E-4</v>
      </c>
      <c r="G1207" s="76">
        <v>6.8199999999999999E-4</v>
      </c>
      <c r="H1207" s="76">
        <v>8.8599999999999996E-4</v>
      </c>
      <c r="I1207" s="76">
        <v>9.2800000000000001E-4</v>
      </c>
      <c r="J1207" s="76">
        <v>1.16E-3</v>
      </c>
      <c r="K1207" s="76">
        <v>1.41E-3</v>
      </c>
      <c r="L1207" s="76">
        <v>1.4599999999999999E-3</v>
      </c>
      <c r="M1207" s="76">
        <v>1.67E-3</v>
      </c>
    </row>
    <row r="1208" spans="3:13" x14ac:dyDescent="0.15">
      <c r="C1208" s="76">
        <v>592</v>
      </c>
      <c r="D1208" s="76">
        <v>1.6000000000000001E-4</v>
      </c>
      <c r="E1208" s="76">
        <v>3.1E-4</v>
      </c>
      <c r="F1208" s="76">
        <v>4.7600000000000002E-4</v>
      </c>
      <c r="G1208" s="76">
        <v>6.4400000000000004E-4</v>
      </c>
      <c r="H1208" s="76">
        <v>8.1499999999999997E-4</v>
      </c>
      <c r="I1208" s="76">
        <v>9.2199999999999997E-4</v>
      </c>
      <c r="J1208" s="76">
        <v>1.0399999999999999E-3</v>
      </c>
      <c r="K1208" s="76">
        <v>1.2600000000000001E-3</v>
      </c>
      <c r="L1208" s="76">
        <v>1.3500000000000001E-3</v>
      </c>
      <c r="M1208" s="76">
        <v>1.5399999999999999E-3</v>
      </c>
    </row>
    <row r="1209" spans="3:13" x14ac:dyDescent="0.15">
      <c r="C1209" s="76">
        <v>594</v>
      </c>
      <c r="D1209" s="76">
        <v>1.44E-4</v>
      </c>
      <c r="E1209" s="76">
        <v>2.9799999999999998E-4</v>
      </c>
      <c r="F1209" s="76">
        <v>4.44E-4</v>
      </c>
      <c r="G1209" s="76">
        <v>5.9599999999999996E-4</v>
      </c>
      <c r="H1209" s="76">
        <v>7.6199999999999998E-4</v>
      </c>
      <c r="I1209" s="76">
        <v>8.52E-4</v>
      </c>
      <c r="J1209" s="76">
        <v>9.6500000000000004E-4</v>
      </c>
      <c r="K1209" s="76">
        <v>1.09E-3</v>
      </c>
      <c r="L1209" s="76">
        <v>1.23E-3</v>
      </c>
      <c r="M1209" s="76">
        <v>1.3799999999999999E-3</v>
      </c>
    </row>
    <row r="1210" spans="3:13" x14ac:dyDescent="0.15">
      <c r="C1210" s="76">
        <v>596</v>
      </c>
      <c r="D1210" s="76">
        <v>1.2899999999999999E-4</v>
      </c>
      <c r="E1210" s="76">
        <v>2.7799999999999998E-4</v>
      </c>
      <c r="F1210" s="76">
        <v>3.9100000000000002E-4</v>
      </c>
      <c r="G1210" s="76">
        <v>5.4500000000000002E-4</v>
      </c>
      <c r="H1210" s="76">
        <v>6.8800000000000003E-4</v>
      </c>
      <c r="I1210" s="76">
        <v>7.4299999999999995E-4</v>
      </c>
      <c r="J1210" s="76">
        <v>8.4500000000000005E-4</v>
      </c>
      <c r="K1210" s="76">
        <v>1.06E-3</v>
      </c>
      <c r="L1210" s="76">
        <v>1.1199999999999999E-3</v>
      </c>
      <c r="M1210" s="76">
        <v>1.2199999999999999E-3</v>
      </c>
    </row>
    <row r="1211" spans="3:13" x14ac:dyDescent="0.15">
      <c r="C1211" s="76">
        <v>598</v>
      </c>
      <c r="D1211" s="76">
        <v>1.17E-4</v>
      </c>
      <c r="E1211" s="76">
        <v>2.5700000000000001E-4</v>
      </c>
      <c r="F1211" s="76">
        <v>3.6900000000000002E-4</v>
      </c>
      <c r="G1211" s="76">
        <v>5.2300000000000003E-4</v>
      </c>
      <c r="H1211" s="76">
        <v>6.4300000000000002E-4</v>
      </c>
      <c r="I1211" s="76">
        <v>6.8999999999999997E-4</v>
      </c>
      <c r="J1211" s="76">
        <v>7.5500000000000003E-4</v>
      </c>
      <c r="K1211" s="76">
        <v>1.01E-3</v>
      </c>
      <c r="L1211" s="76">
        <v>1.0399999999999999E-3</v>
      </c>
      <c r="M1211" s="76">
        <v>1.2600000000000001E-3</v>
      </c>
    </row>
    <row r="1212" spans="3:13" x14ac:dyDescent="0.15">
      <c r="C1212" s="76">
        <v>600</v>
      </c>
      <c r="D1212" s="76">
        <v>1E-4</v>
      </c>
      <c r="E1212" s="76">
        <v>2.3499999999999999E-4</v>
      </c>
      <c r="F1212" s="76">
        <v>3.3700000000000001E-4</v>
      </c>
      <c r="G1212" s="76">
        <v>4.5300000000000001E-4</v>
      </c>
      <c r="H1212" s="76">
        <v>5.8200000000000005E-4</v>
      </c>
      <c r="I1212" s="76">
        <v>6.87E-4</v>
      </c>
      <c r="J1212" s="76">
        <v>7.4100000000000001E-4</v>
      </c>
      <c r="K1212" s="76">
        <v>9.2900000000000003E-4</v>
      </c>
      <c r="L1212" s="76">
        <v>1.0399999999999999E-3</v>
      </c>
      <c r="M1212" s="76">
        <v>9.4700000000000003E-4</v>
      </c>
    </row>
    <row r="1213" spans="3:13" x14ac:dyDescent="0.15">
      <c r="C1213" s="76">
        <v>602</v>
      </c>
      <c r="D1213" s="76">
        <v>9.4400000000000004E-5</v>
      </c>
      <c r="E1213" s="76">
        <v>2.1699999999999999E-4</v>
      </c>
      <c r="F1213" s="76">
        <v>3.1500000000000001E-4</v>
      </c>
      <c r="G1213" s="76">
        <v>4.5899999999999999E-4</v>
      </c>
      <c r="H1213" s="76">
        <v>5.2999999999999998E-4</v>
      </c>
      <c r="I1213" s="76">
        <v>6.3599999999999996E-4</v>
      </c>
      <c r="J1213" s="76">
        <v>6.96E-4</v>
      </c>
      <c r="K1213" s="76">
        <v>8.3100000000000003E-4</v>
      </c>
      <c r="L1213" s="76">
        <v>9.0600000000000001E-4</v>
      </c>
      <c r="M1213" s="76">
        <v>1.06E-3</v>
      </c>
    </row>
    <row r="1214" spans="3:13" x14ac:dyDescent="0.15">
      <c r="C1214" s="76">
        <v>604</v>
      </c>
      <c r="D1214" s="76">
        <v>9.0600000000000007E-5</v>
      </c>
      <c r="E1214" s="76">
        <v>1.9699999999999999E-4</v>
      </c>
      <c r="F1214" s="76">
        <v>3.0499999999999999E-4</v>
      </c>
      <c r="G1214" s="76">
        <v>4.17E-4</v>
      </c>
      <c r="H1214" s="76">
        <v>4.4900000000000002E-4</v>
      </c>
      <c r="I1214" s="76">
        <v>6.2E-4</v>
      </c>
      <c r="J1214" s="76">
        <v>6.4899999999999995E-4</v>
      </c>
      <c r="K1214" s="76">
        <v>7.3999999999999999E-4</v>
      </c>
      <c r="L1214" s="76">
        <v>8.4999999999999995E-4</v>
      </c>
      <c r="M1214" s="76">
        <v>1.0200000000000001E-3</v>
      </c>
    </row>
    <row r="1215" spans="3:13" x14ac:dyDescent="0.15">
      <c r="C1215" s="76">
        <v>606</v>
      </c>
      <c r="D1215" s="76">
        <v>8.1299999999999997E-5</v>
      </c>
      <c r="E1215" s="76">
        <v>1.8900000000000001E-4</v>
      </c>
      <c r="F1215" s="76">
        <v>2.9100000000000003E-4</v>
      </c>
      <c r="G1215" s="76">
        <v>3.8000000000000002E-4</v>
      </c>
      <c r="H1215" s="76">
        <v>4.26E-4</v>
      </c>
      <c r="I1215" s="76">
        <v>5.7700000000000004E-4</v>
      </c>
      <c r="J1215" s="76">
        <v>6.3900000000000003E-4</v>
      </c>
      <c r="K1215" s="76">
        <v>7.3399999999999995E-4</v>
      </c>
      <c r="L1215" s="76">
        <v>7.5100000000000004E-4</v>
      </c>
      <c r="M1215" s="76">
        <v>8.3299999999999997E-4</v>
      </c>
    </row>
    <row r="1216" spans="3:13" x14ac:dyDescent="0.15">
      <c r="C1216" s="76">
        <v>608</v>
      </c>
      <c r="D1216" s="76">
        <v>6.4700000000000001E-5</v>
      </c>
      <c r="E1216" s="76">
        <v>1.7899999999999999E-4</v>
      </c>
      <c r="F1216" s="76">
        <v>2.4699999999999999E-4</v>
      </c>
      <c r="G1216" s="76">
        <v>3.6600000000000001E-4</v>
      </c>
      <c r="H1216" s="76">
        <v>2.7900000000000001E-4</v>
      </c>
      <c r="I1216" s="76">
        <v>5.2800000000000004E-4</v>
      </c>
      <c r="J1216" s="76">
        <v>5.4900000000000001E-4</v>
      </c>
      <c r="K1216" s="76">
        <v>6.3100000000000005E-4</v>
      </c>
      <c r="L1216" s="76">
        <v>6.9099999999999999E-4</v>
      </c>
      <c r="M1216" s="76">
        <v>6.8800000000000003E-4</v>
      </c>
    </row>
    <row r="1217" spans="3:13" x14ac:dyDescent="0.15">
      <c r="C1217" s="76">
        <v>610</v>
      </c>
      <c r="D1217" s="76">
        <v>6.2700000000000006E-5</v>
      </c>
      <c r="E1217" s="76">
        <v>1.65E-4</v>
      </c>
      <c r="F1217" s="76">
        <v>2.5700000000000001E-4</v>
      </c>
      <c r="G1217" s="76">
        <v>3.5399999999999999E-4</v>
      </c>
      <c r="H1217" s="76">
        <v>4.3399999999999998E-4</v>
      </c>
      <c r="I1217" s="76">
        <v>4.66E-4</v>
      </c>
      <c r="J1217" s="76">
        <v>5.22E-4</v>
      </c>
      <c r="K1217" s="76">
        <v>5.7700000000000004E-4</v>
      </c>
      <c r="L1217" s="76">
        <v>6.6600000000000003E-4</v>
      </c>
      <c r="M1217" s="76">
        <v>6.6799999999999997E-4</v>
      </c>
    </row>
    <row r="1218" spans="3:13" x14ac:dyDescent="0.15">
      <c r="C1218" s="76">
        <v>612</v>
      </c>
      <c r="D1218" s="76">
        <v>5.9599999999999999E-5</v>
      </c>
      <c r="E1218" s="76">
        <v>1.5300000000000001E-4</v>
      </c>
      <c r="F1218" s="76">
        <v>2.22E-4</v>
      </c>
      <c r="G1218" s="76">
        <v>3.1799999999999998E-4</v>
      </c>
      <c r="H1218" s="76">
        <v>4.2400000000000001E-4</v>
      </c>
      <c r="I1218" s="76">
        <v>4.3600000000000003E-4</v>
      </c>
      <c r="J1218" s="76">
        <v>4.6299999999999998E-4</v>
      </c>
      <c r="K1218" s="76">
        <v>5.62E-4</v>
      </c>
      <c r="L1218" s="76">
        <v>6.2E-4</v>
      </c>
      <c r="M1218" s="76">
        <v>5.9800000000000001E-4</v>
      </c>
    </row>
    <row r="1219" spans="3:13" x14ac:dyDescent="0.15">
      <c r="C1219" s="76">
        <v>614</v>
      </c>
      <c r="D1219" s="76">
        <v>4.9799999999999998E-5</v>
      </c>
      <c r="E1219" s="76">
        <v>1.4200000000000001E-4</v>
      </c>
      <c r="F1219" s="76">
        <v>2.0699999999999999E-4</v>
      </c>
      <c r="G1219" s="76">
        <v>2.6899999999999998E-4</v>
      </c>
      <c r="H1219" s="76">
        <v>3.3599999999999998E-4</v>
      </c>
      <c r="I1219" s="76">
        <v>4.3399999999999998E-4</v>
      </c>
      <c r="J1219" s="76">
        <v>4.3100000000000001E-4</v>
      </c>
      <c r="K1219" s="76">
        <v>5.4000000000000001E-4</v>
      </c>
      <c r="L1219" s="76">
        <v>5.8500000000000002E-4</v>
      </c>
      <c r="M1219" s="76">
        <v>5.3399999999999997E-4</v>
      </c>
    </row>
    <row r="1220" spans="3:13" x14ac:dyDescent="0.15">
      <c r="C1220" s="76">
        <v>616</v>
      </c>
      <c r="D1220" s="76">
        <v>4.8900000000000003E-5</v>
      </c>
      <c r="E1220" s="76">
        <v>1.3899999999999999E-4</v>
      </c>
      <c r="F1220" s="76">
        <v>1.84E-4</v>
      </c>
      <c r="G1220" s="76">
        <v>2.6600000000000001E-4</v>
      </c>
      <c r="H1220" s="76">
        <v>2.9700000000000001E-4</v>
      </c>
      <c r="I1220" s="76">
        <v>4.2400000000000001E-4</v>
      </c>
      <c r="J1220" s="76">
        <v>3.9300000000000001E-4</v>
      </c>
      <c r="K1220" s="76">
        <v>4.6700000000000002E-4</v>
      </c>
      <c r="L1220" s="76">
        <v>5.5199999999999997E-4</v>
      </c>
      <c r="M1220" s="76">
        <v>5.1800000000000001E-4</v>
      </c>
    </row>
    <row r="1221" spans="3:13" x14ac:dyDescent="0.15">
      <c r="C1221" s="76">
        <v>618</v>
      </c>
      <c r="D1221" s="76">
        <v>4.6900000000000002E-5</v>
      </c>
      <c r="E1221" s="76">
        <v>1.16E-4</v>
      </c>
      <c r="F1221" s="76">
        <v>1.4999999999999999E-4</v>
      </c>
      <c r="G1221" s="76">
        <v>2.2699999999999999E-4</v>
      </c>
      <c r="H1221" s="76">
        <v>3.0299999999999999E-4</v>
      </c>
      <c r="I1221" s="76">
        <v>4.0299999999999998E-4</v>
      </c>
      <c r="J1221" s="76">
        <v>3.4099999999999999E-4</v>
      </c>
      <c r="K1221" s="76">
        <v>3.8999999999999999E-4</v>
      </c>
      <c r="L1221" s="76">
        <v>4.75E-4</v>
      </c>
      <c r="M1221" s="76">
        <v>5.3200000000000003E-4</v>
      </c>
    </row>
    <row r="1222" spans="3:13" x14ac:dyDescent="0.15">
      <c r="C1222" s="76">
        <v>620</v>
      </c>
      <c r="D1222" s="76">
        <v>3.7100000000000001E-5</v>
      </c>
      <c r="E1222" s="76">
        <v>1.25E-4</v>
      </c>
      <c r="F1222" s="76">
        <v>1.6100000000000001E-4</v>
      </c>
      <c r="G1222" s="76">
        <v>2.22E-4</v>
      </c>
      <c r="H1222" s="76">
        <v>2.32E-4</v>
      </c>
      <c r="I1222" s="76">
        <v>3.59E-4</v>
      </c>
      <c r="J1222" s="76">
        <v>3.77E-4</v>
      </c>
      <c r="K1222" s="76">
        <v>3.1100000000000002E-4</v>
      </c>
      <c r="L1222" s="76">
        <v>4.66E-4</v>
      </c>
      <c r="M1222" s="76">
        <v>4.8899999999999996E-4</v>
      </c>
    </row>
    <row r="1223" spans="3:13" x14ac:dyDescent="0.15">
      <c r="C1223" s="76">
        <v>622</v>
      </c>
      <c r="D1223" s="76">
        <v>3.82E-5</v>
      </c>
      <c r="E1223" s="76">
        <v>1.08E-4</v>
      </c>
      <c r="F1223" s="76">
        <v>1.18E-4</v>
      </c>
      <c r="G1223" s="76">
        <v>2.1000000000000001E-4</v>
      </c>
      <c r="H1223" s="76">
        <v>2.6400000000000002E-4</v>
      </c>
      <c r="I1223" s="76">
        <v>3.59E-4</v>
      </c>
      <c r="J1223" s="76">
        <v>3.8000000000000002E-4</v>
      </c>
      <c r="K1223" s="76">
        <v>3.2600000000000001E-4</v>
      </c>
      <c r="L1223" s="76">
        <v>4.3199999999999998E-4</v>
      </c>
      <c r="M1223" s="76">
        <v>4.0700000000000003E-4</v>
      </c>
    </row>
    <row r="1224" spans="3:13" x14ac:dyDescent="0.15">
      <c r="C1224" s="76">
        <v>624</v>
      </c>
      <c r="D1224" s="76">
        <v>3.6100000000000003E-5</v>
      </c>
      <c r="E1224" s="76">
        <v>1.0399999999999999E-4</v>
      </c>
      <c r="F1224" s="76">
        <v>1.1400000000000001E-4</v>
      </c>
      <c r="G1224" s="76">
        <v>1.7899999999999999E-4</v>
      </c>
      <c r="H1224" s="76">
        <v>2.32E-4</v>
      </c>
      <c r="I1224" s="76">
        <v>3.3300000000000002E-4</v>
      </c>
      <c r="J1224" s="76">
        <v>3.8200000000000002E-4</v>
      </c>
      <c r="K1224" s="76">
        <v>2.9599999999999998E-4</v>
      </c>
      <c r="L1224" s="76">
        <v>4.0000000000000002E-4</v>
      </c>
      <c r="M1224" s="76">
        <v>3.6000000000000002E-4</v>
      </c>
    </row>
    <row r="1225" spans="3:13" x14ac:dyDescent="0.15">
      <c r="C1225" s="76">
        <v>626</v>
      </c>
      <c r="D1225" s="76">
        <v>3.6600000000000002E-5</v>
      </c>
      <c r="E1225" s="76">
        <v>8.2700000000000004E-5</v>
      </c>
      <c r="F1225" s="76">
        <v>1.2E-4</v>
      </c>
      <c r="G1225" s="76">
        <v>1.3999999999999999E-4</v>
      </c>
      <c r="H1225" s="76">
        <v>1.94E-4</v>
      </c>
      <c r="I1225" s="76">
        <v>2.9500000000000001E-4</v>
      </c>
      <c r="J1225" s="76">
        <v>3.2000000000000003E-4</v>
      </c>
      <c r="K1225" s="76">
        <v>3.0400000000000002E-4</v>
      </c>
      <c r="L1225" s="76">
        <v>2.8800000000000001E-4</v>
      </c>
      <c r="M1225" s="76">
        <v>4.0200000000000001E-4</v>
      </c>
    </row>
    <row r="1226" spans="3:13" x14ac:dyDescent="0.15">
      <c r="C1226" s="76">
        <v>628</v>
      </c>
      <c r="D1226" s="76">
        <v>4.5300000000000003E-5</v>
      </c>
      <c r="E1226" s="76">
        <v>7.5500000000000006E-5</v>
      </c>
      <c r="F1226" s="76">
        <v>1.08E-4</v>
      </c>
      <c r="G1226" s="76">
        <v>1.3300000000000001E-4</v>
      </c>
      <c r="H1226" s="76">
        <v>1.66E-4</v>
      </c>
      <c r="I1226" s="76">
        <v>2.9599999999999998E-4</v>
      </c>
      <c r="J1226" s="76">
        <v>3.01E-4</v>
      </c>
      <c r="K1226" s="76">
        <v>2.6699999999999998E-4</v>
      </c>
      <c r="L1226" s="76">
        <v>3.6099999999999999E-4</v>
      </c>
      <c r="M1226" s="76">
        <v>4.0200000000000001E-4</v>
      </c>
    </row>
    <row r="1227" spans="3:13" x14ac:dyDescent="0.15">
      <c r="C1227" s="76">
        <v>630</v>
      </c>
      <c r="D1227" s="76">
        <v>4.18E-5</v>
      </c>
      <c r="E1227" s="76">
        <v>1.02E-4</v>
      </c>
      <c r="F1227" s="76">
        <v>1.07E-4</v>
      </c>
      <c r="G1227" s="76">
        <v>1.15E-4</v>
      </c>
      <c r="H1227" s="76">
        <v>1.8200000000000001E-4</v>
      </c>
      <c r="I1227" s="76">
        <v>3.0400000000000002E-4</v>
      </c>
      <c r="J1227" s="76">
        <v>2.2599999999999999E-4</v>
      </c>
      <c r="K1227" s="76">
        <v>2.41E-4</v>
      </c>
      <c r="L1227" s="76">
        <v>3.8000000000000002E-4</v>
      </c>
      <c r="M1227" s="76">
        <v>3.5100000000000002E-4</v>
      </c>
    </row>
    <row r="1228" spans="3:13" x14ac:dyDescent="0.15">
      <c r="C1228" s="76">
        <v>632</v>
      </c>
      <c r="D1228" s="76">
        <v>4.3399999999999998E-5</v>
      </c>
      <c r="E1228" s="76">
        <v>7.5400000000000003E-5</v>
      </c>
      <c r="F1228" s="76">
        <v>9.2399999999999996E-5</v>
      </c>
      <c r="G1228" s="76">
        <v>9.31E-5</v>
      </c>
      <c r="H1228" s="76">
        <v>1.55E-4</v>
      </c>
      <c r="I1228" s="76">
        <v>2.03E-4</v>
      </c>
      <c r="J1228" s="76">
        <v>2.1800000000000001E-4</v>
      </c>
      <c r="K1228" s="76">
        <v>2.3599999999999999E-4</v>
      </c>
      <c r="L1228" s="76">
        <v>3.4900000000000003E-4</v>
      </c>
      <c r="M1228" s="76">
        <v>3.4200000000000002E-4</v>
      </c>
    </row>
    <row r="1229" spans="3:13" x14ac:dyDescent="0.15">
      <c r="C1229" s="76">
        <v>634</v>
      </c>
      <c r="D1229" s="76">
        <v>4.0200000000000001E-5</v>
      </c>
      <c r="E1229" s="76">
        <v>5.8600000000000001E-5</v>
      </c>
      <c r="F1229" s="76">
        <v>8.0400000000000003E-5</v>
      </c>
      <c r="G1229" s="76">
        <v>1.0900000000000001E-4</v>
      </c>
      <c r="H1229" s="76">
        <v>1.63E-4</v>
      </c>
      <c r="I1229" s="76">
        <v>1.95E-4</v>
      </c>
      <c r="J1229" s="76">
        <v>2.4699999999999999E-4</v>
      </c>
      <c r="K1229" s="76">
        <v>1.6699999999999999E-4</v>
      </c>
      <c r="L1229" s="76">
        <v>3.4900000000000003E-4</v>
      </c>
      <c r="M1229" s="76">
        <v>3.7800000000000003E-4</v>
      </c>
    </row>
    <row r="1230" spans="3:13" x14ac:dyDescent="0.15">
      <c r="C1230" s="76">
        <v>636</v>
      </c>
      <c r="D1230" s="76">
        <v>4.1100000000000003E-5</v>
      </c>
      <c r="E1230" s="76">
        <v>6.6199999999999996E-5</v>
      </c>
      <c r="F1230" s="76">
        <v>5.5399999999999998E-5</v>
      </c>
      <c r="G1230" s="76">
        <v>8.9699999999999998E-5</v>
      </c>
      <c r="H1230" s="76">
        <v>1.47E-4</v>
      </c>
      <c r="I1230" s="76">
        <v>1.75E-4</v>
      </c>
      <c r="J1230" s="76">
        <v>2.33E-4</v>
      </c>
      <c r="K1230" s="76">
        <v>1.7000000000000001E-4</v>
      </c>
      <c r="L1230" s="76">
        <v>3.7399999999999998E-4</v>
      </c>
      <c r="M1230" s="76">
        <v>3.1500000000000001E-4</v>
      </c>
    </row>
    <row r="1231" spans="3:13" x14ac:dyDescent="0.15">
      <c r="C1231" s="76">
        <v>638</v>
      </c>
      <c r="D1231" s="76">
        <v>3.6399999999999997E-5</v>
      </c>
      <c r="E1231" s="76">
        <v>5.5000000000000002E-5</v>
      </c>
      <c r="F1231" s="76">
        <v>5.0500000000000001E-5</v>
      </c>
      <c r="G1231" s="76">
        <v>2.6299999999999999E-5</v>
      </c>
      <c r="H1231" s="76">
        <v>1.9799999999999999E-4</v>
      </c>
      <c r="I1231" s="76">
        <v>1.64E-4</v>
      </c>
      <c r="J1231" s="76">
        <v>1.8599999999999999E-4</v>
      </c>
      <c r="K1231" s="76">
        <v>2.5399999999999999E-4</v>
      </c>
      <c r="L1231" s="76">
        <v>3.8299999999999999E-4</v>
      </c>
      <c r="M1231" s="76">
        <v>3.6200000000000002E-4</v>
      </c>
    </row>
    <row r="1232" spans="3:13" x14ac:dyDescent="0.15">
      <c r="C1232" s="76">
        <v>640</v>
      </c>
      <c r="D1232" s="76">
        <v>3.96E-5</v>
      </c>
      <c r="E1232" s="76">
        <v>4.9499999999999997E-5</v>
      </c>
      <c r="F1232" s="76">
        <v>5.2299999999999997E-5</v>
      </c>
      <c r="G1232" s="76">
        <v>7.8999999999999996E-5</v>
      </c>
      <c r="H1232" s="76">
        <v>1.6899999999999999E-4</v>
      </c>
      <c r="I1232" s="76">
        <v>1.4200000000000001E-4</v>
      </c>
      <c r="J1232" s="76">
        <v>1.9699999999999999E-4</v>
      </c>
      <c r="K1232" s="76">
        <v>2.3900000000000001E-4</v>
      </c>
      <c r="L1232" s="76">
        <v>3.6400000000000001E-4</v>
      </c>
      <c r="M1232" s="76">
        <v>2.9599999999999998E-4</v>
      </c>
    </row>
    <row r="1233" spans="3:13" x14ac:dyDescent="0.15">
      <c r="C1233" s="76">
        <v>642</v>
      </c>
      <c r="D1233" s="76">
        <v>4.0800000000000002E-5</v>
      </c>
      <c r="E1233" s="76">
        <v>5.5600000000000003E-5</v>
      </c>
      <c r="F1233" s="76">
        <v>4.6900000000000002E-5</v>
      </c>
      <c r="G1233" s="76">
        <v>8.8200000000000003E-5</v>
      </c>
      <c r="H1233" s="76">
        <v>1.9799999999999999E-4</v>
      </c>
      <c r="I1233" s="76">
        <v>1.3200000000000001E-4</v>
      </c>
      <c r="J1233" s="76">
        <v>1.8100000000000001E-4</v>
      </c>
      <c r="K1233" s="76">
        <v>2.7799999999999998E-4</v>
      </c>
      <c r="L1233" s="76">
        <v>3.86E-4</v>
      </c>
      <c r="M1233" s="76">
        <v>3.4600000000000001E-4</v>
      </c>
    </row>
    <row r="1234" spans="3:13" x14ac:dyDescent="0.15">
      <c r="C1234" s="76">
        <v>644</v>
      </c>
      <c r="D1234" s="76">
        <v>4.71E-5</v>
      </c>
      <c r="E1234" s="76">
        <v>5.9200000000000002E-5</v>
      </c>
      <c r="F1234" s="76">
        <v>6.3399999999999996E-5</v>
      </c>
      <c r="G1234" s="76">
        <v>1.0399999999999999E-4</v>
      </c>
      <c r="H1234" s="76">
        <v>2.12E-4</v>
      </c>
      <c r="I1234" s="76">
        <v>1.2E-4</v>
      </c>
      <c r="J1234" s="76">
        <v>1.3100000000000001E-4</v>
      </c>
      <c r="K1234" s="76">
        <v>2.7099999999999997E-4</v>
      </c>
      <c r="L1234" s="76">
        <v>4.1300000000000001E-4</v>
      </c>
      <c r="M1234" s="76">
        <v>2.99E-4</v>
      </c>
    </row>
    <row r="1235" spans="3:13" x14ac:dyDescent="0.15">
      <c r="C1235" s="76">
        <v>646</v>
      </c>
      <c r="D1235" s="76">
        <v>4.3900000000000003E-5</v>
      </c>
      <c r="E1235" s="76">
        <v>7.1600000000000006E-5</v>
      </c>
      <c r="F1235" s="76">
        <v>5.2899999999999998E-5</v>
      </c>
      <c r="G1235" s="76">
        <v>8.2299999999999995E-5</v>
      </c>
      <c r="H1235" s="76">
        <v>2.04E-4</v>
      </c>
      <c r="I1235" s="76">
        <v>9.7200000000000004E-5</v>
      </c>
      <c r="J1235" s="76">
        <v>1.1E-4</v>
      </c>
      <c r="K1235" s="76">
        <v>2.43E-4</v>
      </c>
      <c r="L1235" s="76">
        <v>3.7199999999999999E-4</v>
      </c>
      <c r="M1235" s="76">
        <v>3.9199999999999999E-4</v>
      </c>
    </row>
    <row r="1236" spans="3:13" x14ac:dyDescent="0.15">
      <c r="C1236" s="76">
        <v>648</v>
      </c>
      <c r="D1236" s="76">
        <v>3.68E-5</v>
      </c>
      <c r="E1236" s="76">
        <v>5.5300000000000002E-5</v>
      </c>
      <c r="F1236" s="76">
        <v>7.9200000000000001E-5</v>
      </c>
      <c r="G1236" s="76">
        <v>5.3900000000000002E-5</v>
      </c>
      <c r="H1236" s="76">
        <v>1.73E-4</v>
      </c>
      <c r="I1236" s="76">
        <v>9.6000000000000002E-5</v>
      </c>
      <c r="J1236" s="76">
        <v>1.4100000000000001E-4</v>
      </c>
      <c r="K1236" s="76">
        <v>2.52E-4</v>
      </c>
      <c r="L1236" s="76">
        <v>4.0000000000000002E-4</v>
      </c>
      <c r="M1236" s="76">
        <v>2.9E-4</v>
      </c>
    </row>
    <row r="1237" spans="3:13" x14ac:dyDescent="0.15">
      <c r="C1237" s="76">
        <v>650</v>
      </c>
      <c r="D1237" s="76">
        <v>3.5800000000000003E-5</v>
      </c>
      <c r="E1237" s="76">
        <v>5.1199999999999998E-5</v>
      </c>
      <c r="F1237" s="76">
        <v>5.9299999999999998E-5</v>
      </c>
      <c r="G1237" s="76">
        <v>6.7600000000000003E-5</v>
      </c>
      <c r="H1237" s="76">
        <v>1.5699999999999999E-4</v>
      </c>
      <c r="I1237" s="76">
        <v>6.1699999999999995E-5</v>
      </c>
      <c r="J1237" s="76">
        <v>9.1700000000000006E-5</v>
      </c>
      <c r="K1237" s="76">
        <v>1.4999999999999999E-4</v>
      </c>
      <c r="L1237" s="76">
        <v>3.5399999999999999E-4</v>
      </c>
      <c r="M1237" s="76">
        <v>2.2599999999999999E-4</v>
      </c>
    </row>
    <row r="1238" spans="3:13" x14ac:dyDescent="0.15">
      <c r="C1238" s="76">
        <v>652</v>
      </c>
      <c r="D1238" s="76">
        <v>4.3800000000000001E-5</v>
      </c>
      <c r="E1238" s="76">
        <v>5.8900000000000002E-5</v>
      </c>
      <c r="F1238" s="76">
        <v>5.2899999999999998E-5</v>
      </c>
      <c r="G1238" s="76">
        <v>7.5500000000000006E-5</v>
      </c>
      <c r="H1238" s="76">
        <v>1.7899999999999999E-4</v>
      </c>
      <c r="I1238" s="76">
        <v>8.9699999999999998E-5</v>
      </c>
      <c r="J1238" s="76">
        <v>1.0399999999999999E-4</v>
      </c>
      <c r="K1238" s="76">
        <v>1.8000000000000001E-4</v>
      </c>
      <c r="L1238" s="76">
        <v>3.5500000000000001E-4</v>
      </c>
      <c r="M1238" s="76">
        <v>2.5700000000000001E-4</v>
      </c>
    </row>
    <row r="1239" spans="3:13" x14ac:dyDescent="0.15">
      <c r="C1239" s="76">
        <v>654</v>
      </c>
      <c r="D1239" s="76">
        <v>3.7599999999999999E-5</v>
      </c>
      <c r="E1239" s="76">
        <v>6.6600000000000006E-5</v>
      </c>
      <c r="F1239" s="76">
        <v>4.8600000000000002E-5</v>
      </c>
      <c r="G1239" s="76">
        <v>9.2299999999999994E-5</v>
      </c>
      <c r="H1239" s="76">
        <v>1.84E-4</v>
      </c>
      <c r="I1239" s="76">
        <v>7.3899999999999994E-5</v>
      </c>
      <c r="J1239" s="76">
        <v>1.3999999999999999E-4</v>
      </c>
      <c r="K1239" s="76">
        <v>2.2499999999999999E-4</v>
      </c>
      <c r="L1239" s="76">
        <v>3.7599999999999998E-4</v>
      </c>
      <c r="M1239" s="76">
        <v>2.4000000000000001E-4</v>
      </c>
    </row>
    <row r="1240" spans="3:13" x14ac:dyDescent="0.15">
      <c r="C1240" s="76">
        <v>656</v>
      </c>
      <c r="D1240" s="76">
        <v>3.6600000000000002E-5</v>
      </c>
      <c r="E1240" s="76">
        <v>5.6199999999999997E-5</v>
      </c>
      <c r="F1240" s="76">
        <v>4.5599999999999997E-5</v>
      </c>
      <c r="G1240" s="76">
        <v>9.4699999999999998E-5</v>
      </c>
      <c r="H1240" s="76">
        <v>1.47E-4</v>
      </c>
      <c r="I1240" s="76">
        <v>4.3699999999999998E-5</v>
      </c>
      <c r="J1240" s="76">
        <v>1.18E-4</v>
      </c>
      <c r="K1240" s="76">
        <v>1.9699999999999999E-4</v>
      </c>
      <c r="L1240" s="76">
        <v>2.8499999999999999E-4</v>
      </c>
      <c r="M1240" s="76">
        <v>1.7799999999999999E-4</v>
      </c>
    </row>
    <row r="1241" spans="3:13" x14ac:dyDescent="0.15">
      <c r="C1241" s="76">
        <v>658</v>
      </c>
      <c r="D1241" s="76">
        <v>2.9300000000000001E-5</v>
      </c>
      <c r="E1241" s="76">
        <v>5.7299999999999997E-5</v>
      </c>
      <c r="F1241" s="76">
        <v>3.2299999999999999E-5</v>
      </c>
      <c r="G1241" s="76">
        <v>1.03E-4</v>
      </c>
      <c r="H1241" s="76">
        <v>1.3799999999999999E-4</v>
      </c>
      <c r="I1241" s="76">
        <v>3.7599999999999999E-5</v>
      </c>
      <c r="J1241" s="76">
        <v>1.6899999999999999E-4</v>
      </c>
      <c r="K1241" s="76">
        <v>2.13E-4</v>
      </c>
      <c r="L1241" s="76">
        <v>3.3199999999999999E-4</v>
      </c>
      <c r="M1241" s="76">
        <v>2.4000000000000001E-4</v>
      </c>
    </row>
    <row r="1242" spans="3:13" x14ac:dyDescent="0.15">
      <c r="C1242" s="76">
        <v>660</v>
      </c>
      <c r="D1242" s="76">
        <v>3.3300000000000003E-5</v>
      </c>
      <c r="E1242" s="76">
        <v>7.1899999999999999E-5</v>
      </c>
      <c r="F1242" s="76">
        <v>6.8300000000000007E-5</v>
      </c>
      <c r="G1242" s="76">
        <v>8.0500000000000005E-5</v>
      </c>
      <c r="H1242" s="76">
        <v>1.55E-4</v>
      </c>
      <c r="I1242" s="76">
        <v>6.8700000000000003E-5</v>
      </c>
      <c r="J1242" s="76">
        <v>1.15E-4</v>
      </c>
      <c r="K1242" s="76">
        <v>2.7099999999999997E-4</v>
      </c>
      <c r="L1242" s="76">
        <v>3.1100000000000002E-4</v>
      </c>
      <c r="M1242" s="76">
        <v>2.2000000000000001E-4</v>
      </c>
    </row>
    <row r="1243" spans="3:13" x14ac:dyDescent="0.15">
      <c r="C1243" s="76">
        <v>662</v>
      </c>
      <c r="D1243" s="76">
        <v>2.58E-5</v>
      </c>
      <c r="E1243" s="76">
        <v>4.8099999999999997E-5</v>
      </c>
      <c r="F1243" s="76">
        <v>8.1500000000000002E-5</v>
      </c>
      <c r="G1243" s="76">
        <v>1.22E-4</v>
      </c>
      <c r="H1243" s="76">
        <v>1.6000000000000001E-4</v>
      </c>
      <c r="I1243" s="76">
        <v>8.0799999999999999E-5</v>
      </c>
      <c r="J1243" s="76">
        <v>1.44E-4</v>
      </c>
      <c r="K1243" s="76">
        <v>2.7700000000000001E-4</v>
      </c>
      <c r="L1243" s="76">
        <v>2.7099999999999997E-4</v>
      </c>
      <c r="M1243" s="76">
        <v>2.3699999999999999E-4</v>
      </c>
    </row>
    <row r="1244" spans="3:13" x14ac:dyDescent="0.15">
      <c r="C1244" s="76">
        <v>664</v>
      </c>
      <c r="D1244" s="76">
        <v>2.5400000000000001E-5</v>
      </c>
      <c r="E1244" s="76">
        <v>6.1699999999999995E-5</v>
      </c>
      <c r="F1244" s="76">
        <v>7.6199999999999995E-5</v>
      </c>
      <c r="G1244" s="76">
        <v>9.0199999999999997E-5</v>
      </c>
      <c r="H1244" s="76">
        <v>1.73E-4</v>
      </c>
      <c r="I1244" s="76">
        <v>4.0800000000000002E-5</v>
      </c>
      <c r="J1244" s="76">
        <v>1.4100000000000001E-4</v>
      </c>
      <c r="K1244" s="76">
        <v>2.02E-4</v>
      </c>
      <c r="L1244" s="76">
        <v>1.2999999999999999E-4</v>
      </c>
      <c r="M1244" s="76">
        <v>2.8499999999999999E-4</v>
      </c>
    </row>
    <row r="1245" spans="3:13" x14ac:dyDescent="0.15">
      <c r="C1245" s="76">
        <v>666</v>
      </c>
      <c r="D1245" s="76">
        <v>3.0899999999999999E-5</v>
      </c>
      <c r="E1245" s="76">
        <v>6.2000000000000003E-5</v>
      </c>
      <c r="F1245" s="76">
        <v>6.0300000000000002E-5</v>
      </c>
      <c r="G1245" s="76">
        <v>1.16E-4</v>
      </c>
      <c r="H1245" s="76">
        <v>1.3300000000000001E-4</v>
      </c>
      <c r="I1245" s="76">
        <v>8.5199999999999997E-5</v>
      </c>
      <c r="J1245" s="76">
        <v>1.2300000000000001E-4</v>
      </c>
      <c r="K1245" s="76">
        <v>2.3499999999999999E-4</v>
      </c>
      <c r="L1245" s="76">
        <v>1.6200000000000001E-4</v>
      </c>
      <c r="M1245" s="76">
        <v>2.3499999999999999E-4</v>
      </c>
    </row>
    <row r="1246" spans="3:13" x14ac:dyDescent="0.15">
      <c r="C1246" s="76">
        <v>668</v>
      </c>
      <c r="D1246" s="76">
        <v>3.3899999999999997E-5</v>
      </c>
      <c r="E1246" s="76">
        <v>7.5799999999999999E-5</v>
      </c>
      <c r="F1246" s="76">
        <v>5.8100000000000003E-5</v>
      </c>
      <c r="G1246" s="76">
        <v>8.7200000000000005E-5</v>
      </c>
      <c r="H1246" s="76">
        <v>1.25E-4</v>
      </c>
      <c r="I1246" s="76">
        <v>1.21E-4</v>
      </c>
      <c r="J1246" s="76">
        <v>1.5799999999999999E-4</v>
      </c>
      <c r="K1246" s="76">
        <v>2.3699999999999999E-4</v>
      </c>
      <c r="L1246" s="76">
        <v>1.35E-4</v>
      </c>
      <c r="M1246" s="76">
        <v>1.92E-4</v>
      </c>
    </row>
    <row r="1247" spans="3:13" x14ac:dyDescent="0.15">
      <c r="C1247" s="76">
        <v>670</v>
      </c>
      <c r="D1247" s="76">
        <v>2.3300000000000001E-5</v>
      </c>
      <c r="E1247" s="76">
        <v>2.9E-5</v>
      </c>
      <c r="F1247" s="76">
        <v>6.3700000000000003E-5</v>
      </c>
      <c r="G1247" s="76">
        <v>1.1E-4</v>
      </c>
      <c r="H1247" s="76">
        <v>1.3799999999999999E-4</v>
      </c>
      <c r="I1247" s="76">
        <v>2.13E-4</v>
      </c>
      <c r="J1247" s="76">
        <v>1.9699999999999999E-4</v>
      </c>
      <c r="K1247" s="76">
        <v>2.1699999999999999E-4</v>
      </c>
      <c r="L1247" s="76">
        <v>6.6500000000000004E-5</v>
      </c>
      <c r="M1247" s="76">
        <v>2.41E-4</v>
      </c>
    </row>
    <row r="1248" spans="3:13" x14ac:dyDescent="0.15">
      <c r="C1248" s="76">
        <v>672</v>
      </c>
      <c r="D1248" s="76">
        <v>2.37E-5</v>
      </c>
      <c r="E1248" s="76">
        <v>5.3499999999999999E-5</v>
      </c>
      <c r="F1248" s="76">
        <v>5.66E-5</v>
      </c>
      <c r="G1248" s="76">
        <v>1.06E-4</v>
      </c>
      <c r="H1248" s="76">
        <v>1.13E-4</v>
      </c>
      <c r="I1248" s="76">
        <v>5.3699999999999997E-5</v>
      </c>
      <c r="J1248" s="76">
        <v>1.5200000000000001E-4</v>
      </c>
      <c r="K1248" s="76">
        <v>1.7000000000000001E-4</v>
      </c>
      <c r="L1248" s="76">
        <v>1.63E-4</v>
      </c>
      <c r="M1248" s="76">
        <v>1.9900000000000001E-4</v>
      </c>
    </row>
    <row r="1249" spans="3:13" x14ac:dyDescent="0.15">
      <c r="C1249" s="76">
        <v>674</v>
      </c>
      <c r="D1249" s="76">
        <v>2.4600000000000002E-5</v>
      </c>
      <c r="E1249" s="76">
        <v>5.3300000000000001E-5</v>
      </c>
      <c r="F1249" s="76">
        <v>6.8999999999999997E-5</v>
      </c>
      <c r="G1249" s="76">
        <v>1.06E-4</v>
      </c>
      <c r="H1249" s="76">
        <v>1.1E-4</v>
      </c>
      <c r="I1249" s="76">
        <v>1.4899999999999999E-4</v>
      </c>
      <c r="J1249" s="76">
        <v>1.46E-4</v>
      </c>
      <c r="K1249" s="76">
        <v>1.07E-4</v>
      </c>
      <c r="L1249" s="76">
        <v>9.6600000000000003E-5</v>
      </c>
      <c r="M1249" s="76">
        <v>1.95E-4</v>
      </c>
    </row>
    <row r="1250" spans="3:13" x14ac:dyDescent="0.15">
      <c r="C1250" s="76">
        <v>676</v>
      </c>
      <c r="D1250" s="76">
        <v>2.3499999999999999E-5</v>
      </c>
      <c r="E1250" s="76">
        <v>5.2599999999999998E-5</v>
      </c>
      <c r="F1250" s="76">
        <v>6.86E-5</v>
      </c>
      <c r="G1250" s="76">
        <v>8.7700000000000004E-5</v>
      </c>
      <c r="H1250" s="76">
        <v>1.03E-4</v>
      </c>
      <c r="I1250" s="76">
        <v>1.44E-4</v>
      </c>
      <c r="J1250" s="76">
        <v>1.1900000000000001E-4</v>
      </c>
      <c r="K1250" s="76">
        <v>1.2799999999999999E-4</v>
      </c>
      <c r="L1250" s="76">
        <v>6.8300000000000007E-5</v>
      </c>
      <c r="M1250" s="76">
        <v>2.1499999999999999E-4</v>
      </c>
    </row>
    <row r="1251" spans="3:13" x14ac:dyDescent="0.15">
      <c r="C1251" s="76">
        <v>678</v>
      </c>
      <c r="D1251" s="76">
        <v>2.6100000000000001E-5</v>
      </c>
      <c r="E1251" s="76">
        <v>3.3200000000000001E-5</v>
      </c>
      <c r="F1251" s="76">
        <v>6.1600000000000007E-5</v>
      </c>
      <c r="G1251" s="76">
        <v>8.3100000000000001E-5</v>
      </c>
      <c r="H1251" s="76">
        <v>7.9200000000000001E-5</v>
      </c>
      <c r="I1251" s="76">
        <v>2.03E-4</v>
      </c>
      <c r="J1251" s="76">
        <v>1.5200000000000001E-4</v>
      </c>
      <c r="K1251" s="76">
        <v>1.8799999999999999E-4</v>
      </c>
      <c r="L1251" s="76">
        <v>5.0500000000000001E-5</v>
      </c>
      <c r="M1251" s="76">
        <v>1.2300000000000001E-4</v>
      </c>
    </row>
    <row r="1252" spans="3:13" x14ac:dyDescent="0.15">
      <c r="C1252" s="76">
        <v>680</v>
      </c>
      <c r="D1252" s="76">
        <v>2.1100000000000001E-5</v>
      </c>
      <c r="E1252" s="76">
        <v>4.4100000000000001E-5</v>
      </c>
      <c r="F1252" s="76">
        <v>5.3000000000000001E-5</v>
      </c>
      <c r="G1252" s="76">
        <v>7.1099999999999994E-5</v>
      </c>
      <c r="H1252" s="76">
        <v>8.9300000000000002E-5</v>
      </c>
      <c r="I1252" s="76">
        <v>1.94E-4</v>
      </c>
      <c r="J1252" s="76">
        <v>1.44E-4</v>
      </c>
      <c r="K1252" s="76">
        <v>1.84E-4</v>
      </c>
      <c r="L1252" s="76">
        <v>1.5999999999999999E-5</v>
      </c>
      <c r="M1252" s="76">
        <v>1.63E-4</v>
      </c>
    </row>
    <row r="1253" spans="3:13" x14ac:dyDescent="0.15">
      <c r="C1253" s="76">
        <v>682</v>
      </c>
      <c r="D1253" s="76">
        <v>2.6299999999999999E-5</v>
      </c>
      <c r="E1253" s="76">
        <v>2.1999999999999999E-5</v>
      </c>
      <c r="F1253" s="76">
        <v>5.8300000000000001E-5</v>
      </c>
      <c r="G1253" s="76">
        <v>9.0199999999999997E-5</v>
      </c>
      <c r="H1253" s="76">
        <v>9.8999999999999994E-5</v>
      </c>
      <c r="I1253" s="76">
        <v>1.5899999999999999E-4</v>
      </c>
      <c r="J1253" s="76">
        <v>1.3300000000000001E-4</v>
      </c>
      <c r="K1253" s="76">
        <v>1.4300000000000001E-4</v>
      </c>
      <c r="L1253" s="76">
        <v>9.6799999999999995E-5</v>
      </c>
      <c r="M1253" s="76">
        <v>1.02E-4</v>
      </c>
    </row>
    <row r="1254" spans="3:13" x14ac:dyDescent="0.15">
      <c r="C1254" s="76">
        <v>684</v>
      </c>
      <c r="D1254" s="76">
        <v>1.4600000000000001E-5</v>
      </c>
      <c r="E1254" s="76">
        <v>2.4300000000000001E-5</v>
      </c>
      <c r="F1254" s="76">
        <v>5.0300000000000003E-5</v>
      </c>
      <c r="G1254" s="76">
        <v>9.7600000000000001E-5</v>
      </c>
      <c r="H1254" s="76">
        <v>8.5799999999999998E-5</v>
      </c>
      <c r="I1254" s="76">
        <v>1.7899999999999999E-4</v>
      </c>
      <c r="J1254" s="76">
        <v>1.1E-4</v>
      </c>
      <c r="K1254" s="76">
        <v>1.7200000000000001E-4</v>
      </c>
      <c r="L1254" s="76">
        <v>9.0099999999999995E-5</v>
      </c>
      <c r="M1254" s="76">
        <v>1.85E-4</v>
      </c>
    </row>
    <row r="1255" spans="3:13" x14ac:dyDescent="0.15">
      <c r="C1255" s="76">
        <v>686</v>
      </c>
      <c r="D1255" s="76">
        <v>1.3900000000000001E-5</v>
      </c>
      <c r="E1255" s="76">
        <v>2.5000000000000001E-5</v>
      </c>
      <c r="F1255" s="76">
        <v>5.0000000000000002E-5</v>
      </c>
      <c r="G1255" s="76">
        <v>7.2100000000000004E-5</v>
      </c>
      <c r="H1255" s="76">
        <v>6.86E-5</v>
      </c>
      <c r="I1255" s="76">
        <v>1.66E-4</v>
      </c>
      <c r="J1255" s="76">
        <v>1.3999999999999999E-4</v>
      </c>
      <c r="K1255" s="76">
        <v>1.7000000000000001E-4</v>
      </c>
      <c r="L1255" s="76">
        <v>1.06E-4</v>
      </c>
      <c r="M1255" s="76">
        <v>1.7899999999999999E-4</v>
      </c>
    </row>
    <row r="1256" spans="3:13" x14ac:dyDescent="0.15">
      <c r="C1256" s="76">
        <v>688</v>
      </c>
      <c r="D1256" s="76">
        <v>1.03E-5</v>
      </c>
      <c r="E1256" s="76">
        <v>2.7100000000000001E-5</v>
      </c>
      <c r="F1256" s="76">
        <v>7.2899999999999997E-5</v>
      </c>
      <c r="G1256" s="76">
        <v>7.6199999999999995E-5</v>
      </c>
      <c r="H1256" s="76">
        <v>7.3200000000000004E-5</v>
      </c>
      <c r="I1256" s="76">
        <v>1.3300000000000001E-4</v>
      </c>
      <c r="J1256" s="76">
        <v>1.5200000000000001E-4</v>
      </c>
      <c r="K1256" s="76">
        <v>1.5699999999999999E-4</v>
      </c>
      <c r="L1256" s="76">
        <v>6.1600000000000007E-5</v>
      </c>
      <c r="M1256" s="76">
        <v>7.7200000000000006E-5</v>
      </c>
    </row>
    <row r="1257" spans="3:13" x14ac:dyDescent="0.15">
      <c r="C1257" s="76">
        <v>690</v>
      </c>
      <c r="D1257" s="76">
        <v>9.8900000000000002E-6</v>
      </c>
      <c r="E1257" s="76">
        <v>1.42E-5</v>
      </c>
      <c r="F1257" s="76">
        <v>2.7100000000000001E-5</v>
      </c>
      <c r="G1257" s="76">
        <v>5.5000000000000002E-5</v>
      </c>
      <c r="H1257" s="76">
        <v>7.9300000000000003E-5</v>
      </c>
      <c r="I1257" s="76">
        <v>2.03E-4</v>
      </c>
      <c r="J1257" s="76">
        <v>1.1E-4</v>
      </c>
      <c r="K1257" s="76">
        <v>1.2899999999999999E-4</v>
      </c>
      <c r="L1257" s="76">
        <v>8.1699999999999994E-5</v>
      </c>
      <c r="M1257" s="76">
        <v>0</v>
      </c>
    </row>
    <row r="1258" spans="3:13" x14ac:dyDescent="0.15">
      <c r="C1258" s="76">
        <v>692</v>
      </c>
      <c r="D1258" s="76">
        <v>9.2699999999999993E-6</v>
      </c>
      <c r="E1258" s="76">
        <v>1.95E-5</v>
      </c>
      <c r="F1258" s="76">
        <v>4.5099999999999998E-5</v>
      </c>
      <c r="G1258" s="76">
        <v>5.7299999999999997E-5</v>
      </c>
      <c r="H1258" s="76">
        <v>3.1900000000000003E-5</v>
      </c>
      <c r="I1258" s="76">
        <v>1.4799999999999999E-4</v>
      </c>
      <c r="J1258" s="76">
        <v>7.3100000000000001E-5</v>
      </c>
      <c r="K1258" s="76">
        <v>1.34E-4</v>
      </c>
      <c r="L1258" s="76">
        <v>7.4300000000000004E-5</v>
      </c>
      <c r="M1258" s="76">
        <v>1.74E-4</v>
      </c>
    </row>
    <row r="1259" spans="3:13" x14ac:dyDescent="0.15">
      <c r="C1259" s="76">
        <v>694</v>
      </c>
      <c r="D1259" s="76">
        <v>3.2200000000000001E-6</v>
      </c>
      <c r="E1259" s="76">
        <v>1.95E-5</v>
      </c>
      <c r="F1259" s="76">
        <v>4.21E-5</v>
      </c>
      <c r="G1259" s="76">
        <v>3.9499999999999998E-5</v>
      </c>
      <c r="H1259" s="76">
        <v>5.3399999999999997E-5</v>
      </c>
      <c r="I1259" s="76">
        <v>1.8699999999999999E-4</v>
      </c>
      <c r="J1259" s="76">
        <v>6.7899999999999997E-5</v>
      </c>
      <c r="K1259" s="76">
        <v>1.2999999999999999E-4</v>
      </c>
      <c r="L1259" s="76">
        <v>1.47E-4</v>
      </c>
      <c r="M1259" s="76">
        <v>1.85E-4</v>
      </c>
    </row>
    <row r="1260" spans="3:13" x14ac:dyDescent="0.15">
      <c r="C1260" s="76">
        <v>696</v>
      </c>
      <c r="D1260" s="76">
        <v>5.6999999999999996E-6</v>
      </c>
      <c r="E1260" s="76">
        <v>2.0100000000000001E-5</v>
      </c>
      <c r="F1260" s="76">
        <v>5.2099999999999999E-5</v>
      </c>
      <c r="G1260" s="76">
        <v>5.5999999999999999E-5</v>
      </c>
      <c r="H1260" s="76">
        <v>6.2600000000000002E-6</v>
      </c>
      <c r="I1260" s="76">
        <v>1.84E-4</v>
      </c>
      <c r="J1260" s="76">
        <v>7.8899999999999993E-5</v>
      </c>
      <c r="K1260" s="76">
        <v>8.1799999999999996E-5</v>
      </c>
      <c r="L1260" s="76">
        <v>1.36E-4</v>
      </c>
      <c r="M1260" s="76">
        <v>2.16E-5</v>
      </c>
    </row>
    <row r="1261" spans="3:13" x14ac:dyDescent="0.15">
      <c r="C1261" s="76">
        <v>698</v>
      </c>
      <c r="D1261" s="76">
        <v>6.1700000000000002E-6</v>
      </c>
      <c r="E1261" s="76">
        <v>5.2700000000000004E-6</v>
      </c>
      <c r="F1261" s="76">
        <v>5.3000000000000001E-5</v>
      </c>
      <c r="G1261" s="76">
        <v>5.7299999999999997E-5</v>
      </c>
      <c r="H1261" s="76">
        <v>1.7099999999999999E-6</v>
      </c>
      <c r="I1261" s="76">
        <v>1.44E-4</v>
      </c>
      <c r="J1261" s="76">
        <v>8.8800000000000004E-5</v>
      </c>
      <c r="K1261" s="76">
        <v>1.15E-4</v>
      </c>
      <c r="L1261" s="76">
        <v>2.2000000000000001E-4</v>
      </c>
      <c r="M1261" s="76">
        <v>3.6699999999999998E-5</v>
      </c>
    </row>
    <row r="1262" spans="3:13" x14ac:dyDescent="0.15">
      <c r="C1262" s="76">
        <v>700</v>
      </c>
      <c r="D1262" s="76">
        <v>3.19E-6</v>
      </c>
      <c r="E1262" s="76">
        <v>1.5999999999999999E-5</v>
      </c>
      <c r="F1262" s="76">
        <v>3.9499999999999998E-5</v>
      </c>
      <c r="G1262" s="76">
        <v>2.65E-5</v>
      </c>
      <c r="H1262" s="76">
        <v>6.0299999999999999E-6</v>
      </c>
      <c r="I1262" s="76">
        <v>1.7100000000000001E-4</v>
      </c>
      <c r="J1262" s="76">
        <v>9.2700000000000004E-5</v>
      </c>
      <c r="K1262" s="76">
        <v>1.47E-4</v>
      </c>
      <c r="L1262" s="76">
        <v>2.1000000000000001E-4</v>
      </c>
      <c r="M1262" s="76">
        <v>1.18E-4</v>
      </c>
    </row>
    <row r="1263" spans="3:13" x14ac:dyDescent="0.15">
      <c r="C1263" s="76">
        <v>702</v>
      </c>
      <c r="D1263" s="76">
        <v>5.1699999999999996E-6</v>
      </c>
      <c r="E1263" s="76">
        <v>6.2199999999999997E-6</v>
      </c>
      <c r="F1263" s="76">
        <v>3.5599999999999998E-5</v>
      </c>
      <c r="G1263" s="76">
        <v>4.4400000000000002E-5</v>
      </c>
      <c r="H1263" s="76">
        <v>3.5299999999999997E-5</v>
      </c>
      <c r="I1263" s="76">
        <v>1.5200000000000001E-4</v>
      </c>
      <c r="J1263" s="76">
        <v>9.3599999999999998E-5</v>
      </c>
      <c r="K1263" s="76">
        <v>1E-4</v>
      </c>
      <c r="L1263" s="76">
        <v>2.8800000000000001E-4</v>
      </c>
      <c r="M1263" s="76">
        <v>9.8800000000000003E-5</v>
      </c>
    </row>
    <row r="1264" spans="3:13" x14ac:dyDescent="0.15">
      <c r="C1264" s="76">
        <v>704</v>
      </c>
      <c r="D1264" s="76">
        <v>7.3100000000000003E-6</v>
      </c>
      <c r="E1264" s="76">
        <v>6.2999999999999998E-6</v>
      </c>
      <c r="F1264" s="76">
        <v>8.9400000000000005E-5</v>
      </c>
      <c r="G1264" s="76">
        <v>4.0500000000000002E-5</v>
      </c>
      <c r="H1264" s="76">
        <v>4.0899999999999998E-5</v>
      </c>
      <c r="I1264" s="76">
        <v>9.4199999999999999E-5</v>
      </c>
      <c r="J1264" s="76">
        <v>6.3600000000000001E-5</v>
      </c>
      <c r="K1264" s="76">
        <v>8.4400000000000005E-5</v>
      </c>
      <c r="L1264" s="76">
        <v>1.8799999999999999E-4</v>
      </c>
      <c r="M1264" s="76">
        <v>1.9899999999999999E-5</v>
      </c>
    </row>
    <row r="1265" spans="3:13" x14ac:dyDescent="0.15">
      <c r="C1265" s="76">
        <v>706</v>
      </c>
      <c r="D1265" s="76">
        <v>7.7100000000000007E-6</v>
      </c>
      <c r="E1265" s="76">
        <v>3.8699999999999999E-5</v>
      </c>
      <c r="F1265" s="76">
        <v>4.4400000000000002E-5</v>
      </c>
      <c r="G1265" s="76">
        <v>5.1400000000000003E-5</v>
      </c>
      <c r="H1265" s="76">
        <v>7.3100000000000001E-5</v>
      </c>
      <c r="I1265" s="76">
        <v>6.7199999999999994E-5</v>
      </c>
      <c r="J1265" s="76">
        <v>1.27E-4</v>
      </c>
      <c r="K1265" s="76">
        <v>1.2899999999999999E-4</v>
      </c>
      <c r="L1265" s="76">
        <v>2.3800000000000001E-4</v>
      </c>
      <c r="M1265" s="76">
        <v>3.6000000000000001E-5</v>
      </c>
    </row>
    <row r="1266" spans="3:13" x14ac:dyDescent="0.15">
      <c r="C1266" s="76">
        <v>708</v>
      </c>
      <c r="D1266" s="76">
        <v>1.1399999999999999E-5</v>
      </c>
      <c r="E1266" s="76">
        <v>3.0599999999999998E-5</v>
      </c>
      <c r="F1266" s="76">
        <v>4.1199999999999999E-5</v>
      </c>
      <c r="G1266" s="76">
        <v>5.9599999999999999E-5</v>
      </c>
      <c r="H1266" s="76">
        <v>5.8499999999999999E-5</v>
      </c>
      <c r="I1266" s="76">
        <v>5.1100000000000002E-5</v>
      </c>
      <c r="J1266" s="76">
        <v>1.3200000000000001E-4</v>
      </c>
      <c r="K1266" s="76">
        <v>1.22E-4</v>
      </c>
      <c r="L1266" s="76">
        <v>2.1699999999999999E-4</v>
      </c>
      <c r="M1266" s="76">
        <v>1.03E-4</v>
      </c>
    </row>
    <row r="1267" spans="3:13" x14ac:dyDescent="0.15">
      <c r="C1267" s="76">
        <v>710</v>
      </c>
      <c r="D1267" s="76">
        <v>7.1300000000000003E-6</v>
      </c>
      <c r="E1267" s="76">
        <v>1.11E-5</v>
      </c>
      <c r="F1267" s="76">
        <v>1.95E-5</v>
      </c>
      <c r="G1267" s="76">
        <v>3.29E-5</v>
      </c>
      <c r="H1267" s="76">
        <v>7.0699999999999997E-5</v>
      </c>
      <c r="I1267" s="76">
        <v>4.2899999999999996E-6</v>
      </c>
      <c r="J1267" s="76">
        <v>1.75E-4</v>
      </c>
      <c r="K1267" s="76">
        <v>1.1400000000000001E-4</v>
      </c>
      <c r="L1267" s="76">
        <v>2.6400000000000002E-4</v>
      </c>
      <c r="M1267" s="76">
        <v>5.9200000000000002E-5</v>
      </c>
    </row>
    <row r="1268" spans="3:13" x14ac:dyDescent="0.15">
      <c r="C1268" s="76">
        <v>712</v>
      </c>
      <c r="D1268" s="76">
        <v>1.0200000000000001E-5</v>
      </c>
      <c r="E1268" s="76">
        <v>2.7399999999999999E-5</v>
      </c>
      <c r="F1268" s="76">
        <v>2.16E-5</v>
      </c>
      <c r="G1268" s="76">
        <v>6.1299999999999999E-5</v>
      </c>
      <c r="H1268" s="76">
        <v>6.1699999999999995E-5</v>
      </c>
      <c r="I1268" s="76">
        <v>1.9799999999999999E-4</v>
      </c>
      <c r="J1268" s="76">
        <v>8.3499999999999997E-5</v>
      </c>
      <c r="K1268" s="76">
        <v>1.45E-4</v>
      </c>
      <c r="L1268" s="76">
        <v>3.0499999999999999E-4</v>
      </c>
      <c r="M1268" s="76">
        <v>1.6000000000000001E-4</v>
      </c>
    </row>
    <row r="1269" spans="3:13" x14ac:dyDescent="0.15">
      <c r="C1269" s="76">
        <v>714</v>
      </c>
      <c r="D1269" s="76">
        <v>1.33E-5</v>
      </c>
      <c r="E1269" s="76">
        <v>4.2799999999999997E-5</v>
      </c>
      <c r="F1269" s="76">
        <v>2.02E-5</v>
      </c>
      <c r="G1269" s="76">
        <v>2.5199999999999999E-5</v>
      </c>
      <c r="H1269" s="76">
        <v>9.1500000000000001E-5</v>
      </c>
      <c r="I1269" s="76">
        <v>4.9299999999999999E-5</v>
      </c>
      <c r="J1269" s="76">
        <v>1.36E-4</v>
      </c>
      <c r="K1269" s="76">
        <v>3.2499999999999999E-4</v>
      </c>
      <c r="L1269" s="76">
        <v>2.5799999999999998E-4</v>
      </c>
      <c r="M1269" s="76">
        <v>1.22E-4</v>
      </c>
    </row>
    <row r="1270" spans="3:13" x14ac:dyDescent="0.15">
      <c r="C1270" s="76">
        <v>716</v>
      </c>
      <c r="D1270" s="76">
        <v>1.7600000000000001E-5</v>
      </c>
      <c r="E1270" s="76">
        <v>3.6699999999999998E-5</v>
      </c>
      <c r="F1270" s="76">
        <v>1.6699999999999999E-5</v>
      </c>
      <c r="G1270" s="76">
        <v>6.0399999999999998E-5</v>
      </c>
      <c r="H1270" s="76">
        <v>7.8999999999999996E-5</v>
      </c>
      <c r="I1270" s="76">
        <v>6.1299999999999999E-5</v>
      </c>
      <c r="J1270" s="76">
        <v>9.0600000000000007E-5</v>
      </c>
      <c r="K1270" s="76">
        <v>1.5699999999999999E-4</v>
      </c>
      <c r="L1270" s="76">
        <v>2.0100000000000001E-4</v>
      </c>
      <c r="M1270" s="76">
        <v>1.76E-4</v>
      </c>
    </row>
    <row r="1271" spans="3:13" x14ac:dyDescent="0.15">
      <c r="C1271" s="76">
        <v>718</v>
      </c>
      <c r="D1271" s="76">
        <v>2.26E-5</v>
      </c>
      <c r="E1271" s="76">
        <v>5.1400000000000003E-5</v>
      </c>
      <c r="F1271" s="76">
        <v>5.75E-6</v>
      </c>
      <c r="G1271" s="76">
        <v>7.9499999999999994E-5</v>
      </c>
      <c r="H1271" s="76">
        <v>5.0099999999999998E-5</v>
      </c>
      <c r="I1271" s="76">
        <v>9.4700000000000008E-6</v>
      </c>
      <c r="J1271" s="76">
        <v>1.13E-4</v>
      </c>
      <c r="K1271" s="76">
        <v>8.6399999999999999E-5</v>
      </c>
      <c r="L1271" s="76">
        <v>2.1599999999999999E-4</v>
      </c>
      <c r="M1271" s="76">
        <v>2.05E-4</v>
      </c>
    </row>
    <row r="1272" spans="3:13" x14ac:dyDescent="0.15">
      <c r="C1272" s="76">
        <v>720</v>
      </c>
      <c r="D1272" s="76">
        <v>1.0900000000000001E-5</v>
      </c>
      <c r="E1272" s="76">
        <v>5.6199999999999997E-5</v>
      </c>
      <c r="F1272" s="76">
        <v>2.1500000000000001E-5</v>
      </c>
      <c r="G1272" s="76">
        <v>4.6300000000000001E-5</v>
      </c>
      <c r="H1272" s="76">
        <v>8.1100000000000006E-5</v>
      </c>
      <c r="I1272" s="76">
        <v>0</v>
      </c>
      <c r="J1272" s="76">
        <v>7.9099999999999998E-5</v>
      </c>
      <c r="K1272" s="76">
        <v>1E-4</v>
      </c>
      <c r="L1272" s="76">
        <v>2.2100000000000001E-4</v>
      </c>
      <c r="M1272" s="76">
        <v>2.52E-4</v>
      </c>
    </row>
    <row r="1273" spans="3:13" x14ac:dyDescent="0.15">
      <c r="C1273" s="76">
        <v>722</v>
      </c>
      <c r="D1273" s="76">
        <v>1.3200000000000001E-5</v>
      </c>
      <c r="E1273" s="76">
        <v>6.7600000000000003E-5</v>
      </c>
      <c r="F1273" s="76">
        <v>2.9499999999999999E-5</v>
      </c>
      <c r="G1273" s="76">
        <v>8.3200000000000003E-5</v>
      </c>
      <c r="H1273" s="76">
        <v>9.0000000000000006E-5</v>
      </c>
      <c r="I1273" s="76">
        <v>5.5799999999999999E-6</v>
      </c>
      <c r="J1273" s="76">
        <v>1.4300000000000001E-4</v>
      </c>
      <c r="K1273" s="76">
        <v>1.54E-4</v>
      </c>
      <c r="L1273" s="76">
        <v>2.1499999999999999E-4</v>
      </c>
      <c r="M1273" s="76">
        <v>2.92E-4</v>
      </c>
    </row>
    <row r="1274" spans="3:13" x14ac:dyDescent="0.15">
      <c r="C1274" s="76">
        <v>724</v>
      </c>
      <c r="D1274" s="76">
        <v>2.4000000000000001E-5</v>
      </c>
      <c r="E1274" s="76">
        <v>5.7500000000000002E-5</v>
      </c>
      <c r="F1274" s="76">
        <v>1.52E-5</v>
      </c>
      <c r="G1274" s="76">
        <v>5.5699999999999999E-5</v>
      </c>
      <c r="H1274" s="76">
        <v>1.12E-4</v>
      </c>
      <c r="I1274" s="76">
        <v>1.9199999999999999E-5</v>
      </c>
      <c r="J1274" s="76">
        <v>1.11E-4</v>
      </c>
      <c r="K1274" s="76">
        <v>1.4200000000000001E-4</v>
      </c>
      <c r="L1274" s="76">
        <v>1.9599999999999999E-4</v>
      </c>
      <c r="M1274" s="76">
        <v>2.7E-4</v>
      </c>
    </row>
    <row r="1275" spans="3:13" x14ac:dyDescent="0.15">
      <c r="C1275" s="76">
        <v>726</v>
      </c>
      <c r="D1275" s="76">
        <v>1.7099999999999999E-5</v>
      </c>
      <c r="E1275" s="76">
        <v>7.1899999999999999E-5</v>
      </c>
      <c r="F1275" s="76">
        <v>3.9299999999999996E-6</v>
      </c>
      <c r="G1275" s="76">
        <v>7.7100000000000004E-5</v>
      </c>
      <c r="H1275" s="76">
        <v>1.44E-4</v>
      </c>
      <c r="I1275" s="76">
        <v>2.8099999999999999E-5</v>
      </c>
      <c r="J1275" s="76">
        <v>1.3899999999999999E-4</v>
      </c>
      <c r="K1275" s="76">
        <v>1.6100000000000001E-4</v>
      </c>
      <c r="L1275" s="76">
        <v>2.7399999999999999E-4</v>
      </c>
      <c r="M1275" s="76">
        <v>3.6600000000000001E-4</v>
      </c>
    </row>
    <row r="1276" spans="3:13" x14ac:dyDescent="0.15">
      <c r="C1276" s="76">
        <v>728</v>
      </c>
      <c r="D1276" s="76">
        <v>2.5199999999999999E-5</v>
      </c>
      <c r="E1276" s="76">
        <v>7.0699999999999997E-5</v>
      </c>
      <c r="F1276" s="76">
        <v>7.7799999999999994E-5</v>
      </c>
      <c r="G1276" s="76">
        <v>5.9700000000000001E-5</v>
      </c>
      <c r="H1276" s="76">
        <v>8.2299999999999995E-5</v>
      </c>
      <c r="I1276" s="76">
        <v>3.3800000000000002E-5</v>
      </c>
      <c r="J1276" s="76">
        <v>1.94E-4</v>
      </c>
      <c r="K1276" s="76">
        <v>1.74E-4</v>
      </c>
      <c r="L1276" s="76">
        <v>1.8000000000000001E-4</v>
      </c>
      <c r="M1276" s="76">
        <v>1.9699999999999999E-4</v>
      </c>
    </row>
    <row r="1277" spans="3:13" x14ac:dyDescent="0.15">
      <c r="C1277" s="76">
        <v>730</v>
      </c>
      <c r="D1277" s="76">
        <v>2.3200000000000001E-5</v>
      </c>
      <c r="E1277" s="76">
        <v>7.2299999999999996E-5</v>
      </c>
      <c r="F1277" s="76">
        <v>3.0599999999999998E-5</v>
      </c>
      <c r="G1277" s="76">
        <v>4.0200000000000001E-5</v>
      </c>
      <c r="H1277" s="76">
        <v>4.8999999999999998E-5</v>
      </c>
      <c r="I1277" s="76">
        <v>4.5000000000000003E-5</v>
      </c>
      <c r="J1277" s="76">
        <v>1.47E-4</v>
      </c>
      <c r="K1277" s="76">
        <v>1.92E-4</v>
      </c>
      <c r="L1277" s="76">
        <v>1.75E-4</v>
      </c>
      <c r="M1277" s="76">
        <v>2.0100000000000001E-4</v>
      </c>
    </row>
    <row r="1278" spans="3:13" x14ac:dyDescent="0.15">
      <c r="C1278" s="76">
        <v>732</v>
      </c>
      <c r="D1278" s="76">
        <v>2.41E-5</v>
      </c>
      <c r="E1278" s="76">
        <v>7.6299999999999998E-5</v>
      </c>
      <c r="F1278" s="76">
        <v>3.1099999999999997E-5</v>
      </c>
      <c r="G1278" s="76">
        <v>6.6400000000000001E-5</v>
      </c>
      <c r="H1278" s="76">
        <v>7.5799999999999999E-5</v>
      </c>
      <c r="I1278" s="76">
        <v>2.5900000000000002E-6</v>
      </c>
      <c r="J1278" s="76">
        <v>1.5799999999999999E-4</v>
      </c>
      <c r="K1278" s="76">
        <v>2.0000000000000001E-4</v>
      </c>
      <c r="L1278" s="76">
        <v>1.4899999999999999E-4</v>
      </c>
      <c r="M1278" s="76">
        <v>3.2899999999999997E-4</v>
      </c>
    </row>
    <row r="1279" spans="3:13" x14ac:dyDescent="0.15">
      <c r="C1279" s="76">
        <v>734</v>
      </c>
      <c r="D1279" s="76">
        <v>2.48E-5</v>
      </c>
      <c r="E1279" s="76">
        <v>6.41E-5</v>
      </c>
      <c r="F1279" s="76">
        <v>5.6700000000000003E-5</v>
      </c>
      <c r="G1279" s="76">
        <v>8.0599999999999994E-5</v>
      </c>
      <c r="H1279" s="76">
        <v>1.46E-4</v>
      </c>
      <c r="I1279" s="76">
        <v>2.8200000000000001E-5</v>
      </c>
      <c r="J1279" s="76">
        <v>1.7000000000000001E-4</v>
      </c>
      <c r="K1279" s="76">
        <v>1.4200000000000001E-4</v>
      </c>
      <c r="L1279" s="76">
        <v>1.7200000000000001E-4</v>
      </c>
      <c r="M1279" s="76">
        <v>2.7999999999999998E-4</v>
      </c>
    </row>
    <row r="1280" spans="3:13" x14ac:dyDescent="0.15">
      <c r="C1280" s="76">
        <v>736</v>
      </c>
      <c r="D1280" s="76">
        <v>2.1800000000000001E-5</v>
      </c>
      <c r="E1280" s="76">
        <v>6.6699999999999995E-5</v>
      </c>
      <c r="F1280" s="76">
        <v>4.3099999999999997E-5</v>
      </c>
      <c r="G1280" s="76">
        <v>7.64E-5</v>
      </c>
      <c r="H1280" s="76">
        <v>1.17E-4</v>
      </c>
      <c r="I1280" s="76">
        <v>6.4200000000000002E-5</v>
      </c>
      <c r="J1280" s="76">
        <v>2.1599999999999999E-4</v>
      </c>
      <c r="K1280" s="76">
        <v>1.8000000000000001E-4</v>
      </c>
      <c r="L1280" s="76">
        <v>1.05E-4</v>
      </c>
      <c r="M1280" s="76">
        <v>2.8400000000000002E-4</v>
      </c>
    </row>
    <row r="1281" spans="3:46" x14ac:dyDescent="0.15">
      <c r="C1281" s="76">
        <v>738</v>
      </c>
      <c r="D1281" s="76">
        <v>2.6100000000000001E-5</v>
      </c>
      <c r="E1281" s="76">
        <v>5.7099999999999999E-5</v>
      </c>
      <c r="F1281" s="76">
        <v>6.7799999999999995E-5</v>
      </c>
      <c r="G1281" s="76">
        <v>4.7800000000000003E-5</v>
      </c>
      <c r="H1281" s="76">
        <v>1.34E-4</v>
      </c>
      <c r="I1281" s="76">
        <v>3.6399999999999997E-5</v>
      </c>
      <c r="J1281" s="76">
        <v>1.7899999999999999E-4</v>
      </c>
      <c r="K1281" s="76">
        <v>2.3000000000000001E-4</v>
      </c>
      <c r="L1281" s="76">
        <v>7.25E-5</v>
      </c>
      <c r="M1281" s="76">
        <v>2.7599999999999999E-4</v>
      </c>
    </row>
    <row r="1282" spans="3:46" x14ac:dyDescent="0.15">
      <c r="C1282" s="76">
        <v>740</v>
      </c>
      <c r="D1282" s="76">
        <v>2.0800000000000001E-5</v>
      </c>
      <c r="E1282" s="76">
        <v>4.7299999999999998E-5</v>
      </c>
      <c r="F1282" s="76">
        <v>4.0800000000000002E-5</v>
      </c>
      <c r="G1282" s="76">
        <v>3.0700000000000001E-5</v>
      </c>
      <c r="H1282" s="76">
        <v>1.5699999999999999E-4</v>
      </c>
      <c r="I1282" s="76">
        <v>4.99E-5</v>
      </c>
      <c r="J1282" s="76">
        <v>1.7200000000000001E-4</v>
      </c>
      <c r="K1282" s="76">
        <v>2.43E-4</v>
      </c>
      <c r="L1282" s="76">
        <v>6.7700000000000006E-5</v>
      </c>
      <c r="M1282" s="76">
        <v>2.5700000000000001E-4</v>
      </c>
    </row>
    <row r="1283" spans="3:46" x14ac:dyDescent="0.15">
      <c r="C1283" s="76">
        <v>742</v>
      </c>
      <c r="D1283" s="76">
        <v>2.8399999999999999E-5</v>
      </c>
      <c r="E1283" s="76">
        <v>6.2199999999999994E-5</v>
      </c>
      <c r="F1283" s="76">
        <v>6.5900000000000003E-5</v>
      </c>
      <c r="G1283" s="76">
        <v>4.46E-5</v>
      </c>
      <c r="H1283" s="76">
        <v>1.3200000000000001E-4</v>
      </c>
      <c r="I1283" s="76">
        <v>1.06E-4</v>
      </c>
      <c r="J1283" s="76">
        <v>1.95E-4</v>
      </c>
      <c r="K1283" s="76">
        <v>2.43E-4</v>
      </c>
      <c r="L1283" s="76">
        <v>3.9899999999999999E-6</v>
      </c>
      <c r="M1283" s="76">
        <v>2.2599999999999999E-4</v>
      </c>
    </row>
    <row r="1284" spans="3:46" x14ac:dyDescent="0.15">
      <c r="C1284" s="76">
        <v>744</v>
      </c>
      <c r="D1284" s="76">
        <v>2.4499999999999999E-5</v>
      </c>
      <c r="E1284" s="76">
        <v>6.05E-5</v>
      </c>
      <c r="F1284" s="76">
        <v>7.7999999999999999E-5</v>
      </c>
      <c r="G1284" s="76">
        <v>2.7900000000000001E-5</v>
      </c>
      <c r="H1284" s="76">
        <v>1.18E-4</v>
      </c>
      <c r="I1284" s="76">
        <v>9.5400000000000001E-5</v>
      </c>
      <c r="J1284" s="76">
        <v>2.02E-4</v>
      </c>
      <c r="K1284" s="76">
        <v>2.2599999999999999E-4</v>
      </c>
      <c r="L1284" s="76">
        <v>2.27E-5</v>
      </c>
      <c r="M1284" s="76">
        <v>2.8699999999999998E-4</v>
      </c>
    </row>
    <row r="1285" spans="3:46" x14ac:dyDescent="0.15">
      <c r="C1285" s="76">
        <v>746</v>
      </c>
      <c r="D1285" s="76">
        <v>2.0699999999999998E-5</v>
      </c>
      <c r="E1285" s="76">
        <v>5.1400000000000003E-5</v>
      </c>
      <c r="F1285" s="76">
        <v>3.2499999999999997E-5</v>
      </c>
      <c r="G1285" s="76">
        <v>7.3700000000000002E-5</v>
      </c>
      <c r="H1285" s="76">
        <v>9.5199999999999997E-5</v>
      </c>
      <c r="I1285" s="76">
        <v>1.02E-4</v>
      </c>
      <c r="J1285" s="76">
        <v>2.1499999999999999E-4</v>
      </c>
      <c r="K1285" s="76">
        <v>2.1000000000000001E-4</v>
      </c>
      <c r="L1285" s="76">
        <v>7.36E-5</v>
      </c>
      <c r="M1285" s="76">
        <v>2.52E-4</v>
      </c>
    </row>
    <row r="1286" spans="3:46" x14ac:dyDescent="0.15">
      <c r="C1286" s="76">
        <v>748</v>
      </c>
      <c r="D1286" s="76">
        <v>1.7399999999999999E-5</v>
      </c>
      <c r="E1286" s="76">
        <v>8.53E-5</v>
      </c>
      <c r="F1286" s="76">
        <v>3.9100000000000002E-5</v>
      </c>
      <c r="G1286" s="76">
        <v>4.7700000000000001E-5</v>
      </c>
      <c r="H1286" s="76">
        <v>7.3700000000000002E-5</v>
      </c>
      <c r="I1286" s="76">
        <v>4.5399999999999999E-5</v>
      </c>
      <c r="J1286" s="76">
        <v>1.9599999999999999E-4</v>
      </c>
      <c r="K1286" s="76">
        <v>2.61E-4</v>
      </c>
      <c r="L1286" s="76">
        <v>1.11E-4</v>
      </c>
      <c r="M1286" s="76">
        <v>2.32E-4</v>
      </c>
    </row>
    <row r="1287" spans="3:46" x14ac:dyDescent="0.15">
      <c r="C1287" s="76">
        <v>750</v>
      </c>
      <c r="D1287" s="76">
        <v>1.7E-5</v>
      </c>
      <c r="E1287" s="76">
        <v>9.7200000000000001E-6</v>
      </c>
      <c r="F1287" s="76">
        <v>6.1699999999999995E-5</v>
      </c>
      <c r="G1287" s="76">
        <v>4.74E-5</v>
      </c>
      <c r="H1287" s="76">
        <v>5.8799999999999999E-5</v>
      </c>
      <c r="I1287" s="76">
        <v>1.11E-4</v>
      </c>
      <c r="J1287" s="76">
        <v>2.5300000000000002E-4</v>
      </c>
      <c r="K1287" s="76">
        <v>1.9900000000000001E-4</v>
      </c>
      <c r="L1287" s="76">
        <v>6.7899999999999997E-5</v>
      </c>
      <c r="M1287" s="76">
        <v>2.2100000000000001E-4</v>
      </c>
    </row>
    <row r="1288" spans="3:46" x14ac:dyDescent="0.15">
      <c r="C1288" s="81">
        <v>752</v>
      </c>
      <c r="D1288" s="76">
        <v>2.0000000000000002E-5</v>
      </c>
      <c r="E1288" s="76">
        <v>2.5700000000000001E-5</v>
      </c>
      <c r="F1288" s="76">
        <v>2.73E-5</v>
      </c>
      <c r="G1288" s="76">
        <v>4.18E-5</v>
      </c>
      <c r="H1288" s="81">
        <v>5.5300000000000002E-5</v>
      </c>
      <c r="I1288" s="76">
        <v>1.03E-4</v>
      </c>
      <c r="J1288" s="76">
        <v>2.0599999999999999E-4</v>
      </c>
      <c r="K1288" s="76">
        <v>3.2699999999999998E-4</v>
      </c>
      <c r="L1288" s="81">
        <v>8.7100000000000003E-5</v>
      </c>
      <c r="M1288" s="76">
        <v>1.63E-4</v>
      </c>
      <c r="N1288" s="81"/>
      <c r="T1288" s="81"/>
      <c r="W1288" s="81"/>
      <c r="AG1288" s="81"/>
      <c r="AT1288" s="81"/>
    </row>
    <row r="1289" spans="3:46" x14ac:dyDescent="0.15">
      <c r="C1289" s="81">
        <v>754</v>
      </c>
      <c r="D1289" s="76">
        <v>1.26E-5</v>
      </c>
      <c r="E1289" s="76">
        <v>2.7500000000000001E-5</v>
      </c>
      <c r="F1289" s="76">
        <v>2.3200000000000001E-5</v>
      </c>
      <c r="G1289" s="76">
        <v>4.46E-5</v>
      </c>
      <c r="H1289" s="81">
        <v>8.2799999999999993E-5</v>
      </c>
      <c r="I1289" s="76">
        <v>1.6100000000000001E-4</v>
      </c>
      <c r="J1289" s="76">
        <v>1.3100000000000001E-4</v>
      </c>
      <c r="K1289" s="76">
        <v>1.8900000000000001E-4</v>
      </c>
      <c r="L1289" s="81">
        <v>7.0500000000000006E-5</v>
      </c>
      <c r="M1289" s="76">
        <v>1.64E-4</v>
      </c>
      <c r="N1289" s="81"/>
      <c r="T1289" s="81"/>
      <c r="W1289" s="81"/>
      <c r="AG1289" s="81"/>
      <c r="AT1289" s="81"/>
    </row>
    <row r="1290" spans="3:46" x14ac:dyDescent="0.15">
      <c r="C1290" s="81">
        <v>756</v>
      </c>
      <c r="D1290" s="76">
        <v>8.9900000000000003E-6</v>
      </c>
      <c r="E1290" s="76">
        <v>1.95E-5</v>
      </c>
      <c r="F1290" s="76">
        <v>1.33E-5</v>
      </c>
      <c r="G1290" s="76">
        <v>3.8699999999999999E-5</v>
      </c>
      <c r="H1290" s="81">
        <v>1.0900000000000001E-5</v>
      </c>
      <c r="I1290" s="76">
        <v>1.3300000000000001E-4</v>
      </c>
      <c r="J1290" s="76">
        <v>1.7200000000000001E-4</v>
      </c>
      <c r="K1290" s="76">
        <v>2.13E-4</v>
      </c>
      <c r="L1290" s="81">
        <v>1.16E-4</v>
      </c>
      <c r="M1290" s="76">
        <v>1.5100000000000001E-4</v>
      </c>
      <c r="N1290" s="81"/>
      <c r="T1290" s="81"/>
      <c r="W1290" s="81"/>
      <c r="AG1290" s="81"/>
      <c r="AT1290" s="81"/>
    </row>
    <row r="1291" spans="3:46" x14ac:dyDescent="0.15">
      <c r="C1291" s="81">
        <v>758</v>
      </c>
      <c r="D1291" s="76">
        <v>1.3900000000000001E-5</v>
      </c>
      <c r="E1291" s="76">
        <v>2.5400000000000001E-5</v>
      </c>
      <c r="F1291" s="76">
        <v>3.6000000000000001E-5</v>
      </c>
      <c r="G1291" s="76">
        <v>4.6100000000000002E-5</v>
      </c>
      <c r="H1291" s="81">
        <v>3.3899999999999997E-5</v>
      </c>
      <c r="I1291" s="76">
        <v>1.16E-4</v>
      </c>
      <c r="J1291" s="76">
        <v>1.83E-4</v>
      </c>
      <c r="K1291" s="76">
        <v>1.5799999999999999E-4</v>
      </c>
      <c r="L1291" s="81">
        <v>8.1100000000000006E-5</v>
      </c>
      <c r="M1291" s="76">
        <v>1.18E-4</v>
      </c>
      <c r="N1291" s="81"/>
      <c r="T1291" s="81"/>
      <c r="W1291" s="81"/>
      <c r="AG1291" s="81"/>
      <c r="AT1291" s="81"/>
    </row>
    <row r="1292" spans="3:46" x14ac:dyDescent="0.15">
      <c r="C1292" s="81">
        <v>760</v>
      </c>
      <c r="D1292" s="76">
        <v>2.4499999999999999E-5</v>
      </c>
      <c r="E1292" s="76">
        <v>1.24E-5</v>
      </c>
      <c r="F1292" s="76">
        <v>6.28E-6</v>
      </c>
      <c r="G1292" s="76">
        <v>6.1199999999999997E-5</v>
      </c>
      <c r="H1292" s="81">
        <v>3.4700000000000003E-5</v>
      </c>
      <c r="I1292" s="76">
        <v>1.13E-4</v>
      </c>
      <c r="J1292" s="76">
        <v>1.8599999999999999E-4</v>
      </c>
      <c r="K1292" s="76">
        <v>2.1100000000000001E-4</v>
      </c>
      <c r="L1292" s="81">
        <v>1.2999999999999999E-4</v>
      </c>
      <c r="M1292" s="76">
        <v>5.7099999999999999E-5</v>
      </c>
      <c r="N1292" s="81"/>
      <c r="T1292" s="81"/>
      <c r="W1292" s="81"/>
      <c r="AG1292" s="81"/>
      <c r="AT1292" s="81"/>
    </row>
    <row r="1293" spans="3:46" x14ac:dyDescent="0.15">
      <c r="C1293" s="81">
        <v>762</v>
      </c>
      <c r="D1293" s="76">
        <v>1.29E-5</v>
      </c>
      <c r="E1293" s="76">
        <v>4.75E-7</v>
      </c>
      <c r="F1293" s="76">
        <v>3.4E-5</v>
      </c>
      <c r="G1293" s="76">
        <v>6.86E-5</v>
      </c>
      <c r="H1293" s="81">
        <v>3.3399999999999999E-5</v>
      </c>
      <c r="I1293" s="76">
        <v>1.34E-4</v>
      </c>
      <c r="J1293" s="76">
        <v>1.4899999999999999E-4</v>
      </c>
      <c r="K1293" s="76">
        <v>2.0100000000000001E-4</v>
      </c>
      <c r="L1293" s="81">
        <v>1.2899999999999999E-4</v>
      </c>
      <c r="M1293" s="76">
        <v>1.3899999999999999E-4</v>
      </c>
      <c r="N1293" s="81"/>
      <c r="T1293" s="81"/>
      <c r="W1293" s="81"/>
      <c r="AG1293" s="81"/>
      <c r="AT1293" s="81"/>
    </row>
    <row r="1294" spans="3:46" x14ac:dyDescent="0.15">
      <c r="C1294" s="81">
        <v>764</v>
      </c>
      <c r="D1294" s="76">
        <v>4.3000000000000003E-6</v>
      </c>
      <c r="E1294" s="76">
        <v>1.9400000000000001E-6</v>
      </c>
      <c r="F1294" s="76">
        <v>1.27E-5</v>
      </c>
      <c r="G1294" s="76">
        <v>4.9400000000000001E-5</v>
      </c>
      <c r="H1294" s="81">
        <v>3.7700000000000002E-5</v>
      </c>
      <c r="I1294" s="76">
        <v>1.02E-4</v>
      </c>
      <c r="J1294" s="76">
        <v>1.34E-4</v>
      </c>
      <c r="K1294" s="76">
        <v>1.1E-4</v>
      </c>
      <c r="L1294" s="81">
        <v>1.37E-4</v>
      </c>
      <c r="M1294" s="76">
        <v>1.8900000000000001E-4</v>
      </c>
      <c r="N1294" s="81"/>
      <c r="T1294" s="81"/>
      <c r="W1294" s="81"/>
      <c r="AG1294" s="81"/>
      <c r="AT1294" s="81"/>
    </row>
    <row r="1295" spans="3:46" x14ac:dyDescent="0.15">
      <c r="C1295" s="81">
        <v>766</v>
      </c>
      <c r="D1295" s="76">
        <v>1.5099999999999999E-6</v>
      </c>
      <c r="E1295" s="76">
        <v>3.01E-6</v>
      </c>
      <c r="F1295" s="76">
        <v>9.5400000000000001E-6</v>
      </c>
      <c r="G1295" s="76">
        <v>5.9899999999999999E-5</v>
      </c>
      <c r="H1295" s="81">
        <v>0</v>
      </c>
      <c r="I1295" s="76">
        <v>6.9099999999999999E-5</v>
      </c>
      <c r="J1295" s="76">
        <v>1.6799999999999999E-4</v>
      </c>
      <c r="K1295" s="76">
        <v>1.3799999999999999E-4</v>
      </c>
      <c r="L1295" s="81">
        <v>1.9000000000000001E-4</v>
      </c>
      <c r="M1295" s="76">
        <v>1.9599999999999999E-4</v>
      </c>
      <c r="N1295" s="81"/>
      <c r="T1295" s="81"/>
      <c r="W1295" s="81"/>
      <c r="AG1295" s="81"/>
      <c r="AT1295" s="81"/>
    </row>
    <row r="1296" spans="3:46" x14ac:dyDescent="0.15">
      <c r="C1296" s="81">
        <v>768</v>
      </c>
      <c r="D1296" s="76">
        <v>6.2400000000000004E-6</v>
      </c>
      <c r="E1296" s="76">
        <v>0</v>
      </c>
      <c r="F1296" s="76">
        <v>3.18E-5</v>
      </c>
      <c r="G1296" s="76">
        <v>8.2000000000000001E-5</v>
      </c>
      <c r="H1296" s="81">
        <v>0</v>
      </c>
      <c r="I1296" s="76">
        <v>1.07E-4</v>
      </c>
      <c r="J1296" s="76">
        <v>1.3100000000000001E-4</v>
      </c>
      <c r="K1296" s="76">
        <v>1.05E-4</v>
      </c>
      <c r="L1296" s="81">
        <v>1.9599999999999999E-4</v>
      </c>
      <c r="M1296" s="76">
        <v>5.4799999999999997E-5</v>
      </c>
      <c r="N1296" s="81"/>
      <c r="T1296" s="81"/>
      <c r="W1296" s="81"/>
      <c r="AG1296" s="81"/>
      <c r="AT1296" s="81"/>
    </row>
    <row r="1297" spans="2:56" x14ac:dyDescent="0.15">
      <c r="C1297" s="81">
        <v>770</v>
      </c>
      <c r="D1297" s="76">
        <v>4.9800000000000003E-8</v>
      </c>
      <c r="E1297" s="76">
        <v>0</v>
      </c>
      <c r="F1297" s="76">
        <v>2.1800000000000001E-5</v>
      </c>
      <c r="G1297" s="76">
        <v>9.5400000000000001E-5</v>
      </c>
      <c r="H1297" s="81">
        <v>1.45E-5</v>
      </c>
      <c r="I1297" s="76">
        <v>1.4799999999999999E-4</v>
      </c>
      <c r="J1297" s="76">
        <v>9.7700000000000003E-5</v>
      </c>
      <c r="K1297" s="76">
        <v>6.9200000000000002E-5</v>
      </c>
      <c r="L1297" s="81">
        <v>2.42E-4</v>
      </c>
      <c r="M1297" s="76">
        <v>9.98E-5</v>
      </c>
      <c r="N1297" s="81"/>
      <c r="T1297" s="81"/>
      <c r="W1297" s="81"/>
      <c r="AG1297" s="81"/>
      <c r="AT1297" s="81"/>
    </row>
    <row r="1298" spans="2:56" x14ac:dyDescent="0.15">
      <c r="C1298" s="81">
        <v>772</v>
      </c>
      <c r="D1298" s="76">
        <v>0</v>
      </c>
      <c r="E1298" s="76">
        <v>0</v>
      </c>
      <c r="F1298" s="76">
        <v>2.51E-5</v>
      </c>
      <c r="G1298" s="76">
        <v>5.4700000000000001E-5</v>
      </c>
      <c r="H1298" s="81">
        <v>3.5200000000000002E-5</v>
      </c>
      <c r="I1298" s="76">
        <v>9.3999999999999994E-5</v>
      </c>
      <c r="J1298" s="76">
        <v>1E-4</v>
      </c>
      <c r="K1298" s="76">
        <v>7.2000000000000002E-5</v>
      </c>
      <c r="L1298" s="81">
        <v>2.2599999999999999E-4</v>
      </c>
      <c r="M1298" s="76">
        <v>9.48E-5</v>
      </c>
      <c r="N1298" s="81"/>
      <c r="T1298" s="81"/>
      <c r="W1298" s="81"/>
      <c r="AG1298" s="81"/>
      <c r="AT1298" s="81"/>
    </row>
    <row r="1299" spans="2:56" x14ac:dyDescent="0.15">
      <c r="C1299" s="81">
        <v>774</v>
      </c>
      <c r="D1299" s="76">
        <v>2.3300000000000001E-6</v>
      </c>
      <c r="E1299" s="76">
        <v>0</v>
      </c>
      <c r="F1299" s="76">
        <v>3.0199999999999999E-5</v>
      </c>
      <c r="G1299" s="76">
        <v>8.8700000000000001E-5</v>
      </c>
      <c r="H1299" s="81">
        <v>0</v>
      </c>
      <c r="I1299" s="76">
        <v>1.27E-4</v>
      </c>
      <c r="J1299" s="76">
        <v>3.5200000000000002E-5</v>
      </c>
      <c r="K1299" s="76">
        <v>1.5999999999999999E-5</v>
      </c>
      <c r="L1299" s="81">
        <v>2.2000000000000001E-4</v>
      </c>
      <c r="M1299" s="76">
        <v>0</v>
      </c>
      <c r="N1299" s="81"/>
      <c r="T1299" s="81"/>
      <c r="W1299" s="81"/>
      <c r="AG1299" s="81"/>
      <c r="AT1299" s="81"/>
    </row>
    <row r="1300" spans="2:56" x14ac:dyDescent="0.15">
      <c r="C1300" s="81">
        <v>776</v>
      </c>
      <c r="D1300" s="76">
        <v>2.1299999999999999E-6</v>
      </c>
      <c r="E1300" s="76">
        <v>0</v>
      </c>
      <c r="F1300" s="76">
        <v>2.5899999999999999E-5</v>
      </c>
      <c r="G1300" s="76">
        <v>1.27E-4</v>
      </c>
      <c r="H1300" s="81">
        <v>0</v>
      </c>
      <c r="I1300" s="76">
        <v>1.37E-4</v>
      </c>
      <c r="J1300" s="76">
        <v>5.1100000000000002E-5</v>
      </c>
      <c r="K1300" s="76">
        <v>9.4199999999999999E-5</v>
      </c>
      <c r="L1300" s="81">
        <v>2.5999999999999998E-4</v>
      </c>
      <c r="M1300" s="76">
        <v>3.4999999999999997E-5</v>
      </c>
      <c r="N1300" s="81"/>
      <c r="T1300" s="81"/>
      <c r="W1300" s="81"/>
      <c r="AG1300" s="81"/>
      <c r="AT1300" s="81"/>
    </row>
    <row r="1301" spans="2:56" x14ac:dyDescent="0.15">
      <c r="C1301" s="81">
        <v>778</v>
      </c>
      <c r="D1301" s="76">
        <v>1.49E-5</v>
      </c>
      <c r="E1301" s="76">
        <v>0</v>
      </c>
      <c r="F1301" s="76">
        <v>3.2100000000000001E-5</v>
      </c>
      <c r="G1301" s="76">
        <v>1.22E-4</v>
      </c>
      <c r="H1301" s="81">
        <v>0</v>
      </c>
      <c r="I1301" s="76">
        <v>1.2899999999999999E-4</v>
      </c>
      <c r="J1301" s="76">
        <v>7.3999999999999996E-5</v>
      </c>
      <c r="K1301" s="76">
        <v>1.6200000000000001E-5</v>
      </c>
      <c r="L1301" s="81">
        <v>2.9999999999999997E-4</v>
      </c>
      <c r="M1301" s="76">
        <v>7.8899999999999993E-5</v>
      </c>
      <c r="N1301" s="81"/>
      <c r="T1301" s="81"/>
      <c r="W1301" s="81"/>
      <c r="AG1301" s="81"/>
      <c r="AT1301" s="81"/>
    </row>
    <row r="1302" spans="2:56" x14ac:dyDescent="0.15">
      <c r="C1302" s="81">
        <v>780</v>
      </c>
      <c r="D1302" s="81">
        <v>7.2599999999999999E-6</v>
      </c>
      <c r="E1302" s="81">
        <v>0</v>
      </c>
      <c r="F1302" s="120">
        <v>5.0800000000000002E-5</v>
      </c>
      <c r="G1302" s="81">
        <v>1.15E-4</v>
      </c>
      <c r="H1302" s="81">
        <v>0</v>
      </c>
      <c r="I1302" s="81">
        <v>1.17E-4</v>
      </c>
      <c r="J1302" s="81">
        <v>1.12E-4</v>
      </c>
      <c r="K1302" s="81">
        <v>3.4E-5</v>
      </c>
      <c r="L1302" s="81">
        <v>3.5500000000000001E-4</v>
      </c>
      <c r="M1302" s="81">
        <v>3.7700000000000002E-5</v>
      </c>
      <c r="N1302" s="81"/>
      <c r="O1302" s="81"/>
      <c r="P1302" s="81"/>
      <c r="Q1302" s="81"/>
      <c r="R1302" s="81"/>
      <c r="S1302" s="81"/>
      <c r="T1302" s="81"/>
      <c r="U1302" s="81"/>
      <c r="V1302" s="81"/>
      <c r="W1302" s="81"/>
      <c r="X1302" s="81"/>
      <c r="Y1302" s="81"/>
      <c r="Z1302" s="81"/>
      <c r="AA1302" s="81"/>
      <c r="AB1302" s="81"/>
      <c r="AC1302" s="81"/>
      <c r="AD1302" s="81"/>
      <c r="AG1302" s="81"/>
      <c r="AH1302" s="81"/>
      <c r="AI1302" s="81"/>
      <c r="AJ1302" s="81"/>
      <c r="AK1302" s="81"/>
      <c r="AL1302" s="81"/>
      <c r="AM1302" s="81"/>
      <c r="AN1302" s="81"/>
      <c r="AO1302" s="81"/>
      <c r="AP1302" s="81"/>
      <c r="AQ1302" s="81"/>
      <c r="AT1302" s="81"/>
      <c r="AU1302" s="81"/>
      <c r="AV1302" s="81"/>
      <c r="AW1302" s="81"/>
      <c r="AX1302" s="81"/>
      <c r="AY1302" s="81"/>
      <c r="AZ1302" s="81"/>
      <c r="BA1302" s="81"/>
      <c r="BB1302" s="81"/>
      <c r="BC1302" s="81"/>
      <c r="BD1302" s="81"/>
    </row>
    <row r="1303" spans="2:56" x14ac:dyDescent="0.15">
      <c r="B1303" s="76">
        <v>22</v>
      </c>
      <c r="C1303" s="81" t="s">
        <v>561</v>
      </c>
      <c r="D1303" s="76">
        <v>1</v>
      </c>
      <c r="E1303" s="76">
        <v>2</v>
      </c>
      <c r="F1303" s="76">
        <v>3</v>
      </c>
      <c r="G1303" s="76">
        <v>4</v>
      </c>
      <c r="H1303" s="81">
        <v>5</v>
      </c>
      <c r="I1303" s="76">
        <v>6</v>
      </c>
      <c r="J1303" s="76">
        <v>7</v>
      </c>
      <c r="K1303" s="76">
        <v>8</v>
      </c>
      <c r="L1303" s="81">
        <v>9</v>
      </c>
      <c r="M1303" s="76">
        <v>10</v>
      </c>
      <c r="N1303" s="81"/>
      <c r="T1303" s="81"/>
      <c r="W1303" s="81"/>
      <c r="AG1303" s="81"/>
      <c r="AT1303" s="81"/>
    </row>
    <row r="1304" spans="2:56" x14ac:dyDescent="0.15">
      <c r="C1304" s="76" t="s">
        <v>556</v>
      </c>
      <c r="D1304" s="76">
        <v>3.57</v>
      </c>
      <c r="E1304" s="76">
        <v>3.7080000000000002</v>
      </c>
      <c r="F1304" s="76">
        <v>3.806</v>
      </c>
      <c r="G1304" s="76">
        <v>3.8860000000000001</v>
      </c>
      <c r="H1304" s="76">
        <v>3.956</v>
      </c>
      <c r="I1304" s="76">
        <v>4.0190000000000001</v>
      </c>
      <c r="J1304" s="76">
        <v>4.0759999999999996</v>
      </c>
      <c r="K1304" s="76">
        <v>4.1280000000000001</v>
      </c>
      <c r="L1304" s="76">
        <v>4.1769999999999996</v>
      </c>
      <c r="M1304" s="76">
        <v>4.2220000000000004</v>
      </c>
    </row>
    <row r="1305" spans="2:56" x14ac:dyDescent="0.15">
      <c r="C1305" s="76" t="s">
        <v>562</v>
      </c>
      <c r="D1305" s="76">
        <v>0.08</v>
      </c>
      <c r="E1305" s="76">
        <v>0.16</v>
      </c>
      <c r="F1305" s="76">
        <v>0.24</v>
      </c>
      <c r="G1305" s="76">
        <v>0.32</v>
      </c>
      <c r="H1305" s="76">
        <v>0.4</v>
      </c>
      <c r="I1305" s="76">
        <v>0.48</v>
      </c>
      <c r="J1305" s="76">
        <v>0.56000000000000005</v>
      </c>
      <c r="K1305" s="76">
        <v>0.64</v>
      </c>
      <c r="L1305" s="76">
        <v>0.72</v>
      </c>
      <c r="M1305" s="76">
        <v>0.8</v>
      </c>
    </row>
    <row r="1306" spans="2:56" x14ac:dyDescent="0.15">
      <c r="C1306" s="76" t="s">
        <v>557</v>
      </c>
      <c r="D1306" s="76">
        <v>2</v>
      </c>
      <c r="E1306" s="76">
        <v>4</v>
      </c>
      <c r="F1306" s="76">
        <v>6</v>
      </c>
      <c r="G1306" s="76">
        <v>8</v>
      </c>
      <c r="H1306" s="76">
        <v>10</v>
      </c>
      <c r="I1306" s="76">
        <v>12</v>
      </c>
      <c r="J1306" s="76">
        <v>14</v>
      </c>
      <c r="K1306" s="76">
        <v>16</v>
      </c>
      <c r="L1306" s="76">
        <v>18</v>
      </c>
      <c r="M1306" s="76">
        <v>20</v>
      </c>
    </row>
    <row r="1307" spans="2:56" x14ac:dyDescent="0.15">
      <c r="C1307" s="76" t="s">
        <v>560</v>
      </c>
      <c r="D1307" s="76">
        <v>8.2750000000000004</v>
      </c>
      <c r="E1307" s="76">
        <v>8.4570000000000007</v>
      </c>
      <c r="F1307" s="76">
        <v>8.4659999999999993</v>
      </c>
      <c r="G1307" s="76">
        <v>8.4580000000000002</v>
      </c>
      <c r="H1307" s="76">
        <v>8.4600000000000009</v>
      </c>
      <c r="I1307" s="76">
        <v>8.4329999999999998</v>
      </c>
      <c r="J1307" s="76">
        <v>8.407</v>
      </c>
      <c r="K1307" s="76">
        <v>8.4060000000000006</v>
      </c>
      <c r="L1307" s="76">
        <v>8.3780000000000001</v>
      </c>
      <c r="M1307" s="76">
        <v>8.3550000000000004</v>
      </c>
    </row>
    <row r="1308" spans="2:56" x14ac:dyDescent="0.15">
      <c r="C1308" s="76" t="s">
        <v>563</v>
      </c>
      <c r="D1308" s="76">
        <v>7.2809739999999996</v>
      </c>
      <c r="E1308" s="76">
        <v>7.1644139999999998</v>
      </c>
      <c r="F1308" s="76">
        <v>6.9880959999999996</v>
      </c>
      <c r="G1308" s="76">
        <v>6.8374009999999998</v>
      </c>
      <c r="H1308" s="76">
        <v>6.718229</v>
      </c>
      <c r="I1308" s="76">
        <v>6.5923550000000004</v>
      </c>
      <c r="J1308" s="76">
        <v>6.4801979999999997</v>
      </c>
      <c r="K1308" s="76">
        <v>6.3970180000000001</v>
      </c>
      <c r="L1308" s="76">
        <v>6.301488</v>
      </c>
      <c r="M1308" s="76">
        <v>6.2163269999999997</v>
      </c>
    </row>
    <row r="1309" spans="2:56" x14ac:dyDescent="0.15">
      <c r="C1309" s="76" t="s">
        <v>564</v>
      </c>
      <c r="D1309" s="76">
        <v>165.5</v>
      </c>
      <c r="E1309" s="76">
        <v>338.3</v>
      </c>
      <c r="F1309" s="120">
        <v>508</v>
      </c>
      <c r="G1309" s="76">
        <v>676.7</v>
      </c>
      <c r="H1309" s="76">
        <v>846.1</v>
      </c>
      <c r="I1309" s="76">
        <v>1012</v>
      </c>
      <c r="J1309" s="76">
        <v>1177</v>
      </c>
      <c r="K1309" s="76">
        <v>1345</v>
      </c>
      <c r="L1309" s="76">
        <v>1508</v>
      </c>
      <c r="M1309" s="76">
        <v>1671</v>
      </c>
    </row>
    <row r="1310" spans="2:56" x14ac:dyDescent="0.15">
      <c r="C1310" s="76" t="s">
        <v>565</v>
      </c>
      <c r="D1310" s="76">
        <v>165.5</v>
      </c>
      <c r="E1310" s="76">
        <v>338.3</v>
      </c>
      <c r="F1310" s="120">
        <v>508</v>
      </c>
      <c r="G1310" s="76">
        <v>676.7</v>
      </c>
      <c r="H1310" s="76">
        <v>846.1</v>
      </c>
      <c r="I1310" s="76">
        <v>1012</v>
      </c>
      <c r="J1310" s="76">
        <v>1177</v>
      </c>
      <c r="K1310" s="76">
        <v>1345</v>
      </c>
      <c r="L1310" s="76">
        <v>1508</v>
      </c>
      <c r="M1310" s="76">
        <v>1671</v>
      </c>
    </row>
    <row r="1311" spans="2:56" x14ac:dyDescent="0.15">
      <c r="C1311" s="76" t="s">
        <v>566</v>
      </c>
      <c r="D1311" s="76">
        <v>0.1353</v>
      </c>
      <c r="E1311" s="76">
        <v>0.13519999999999999</v>
      </c>
      <c r="F1311" s="76">
        <v>0.13519999999999999</v>
      </c>
      <c r="G1311" s="76">
        <v>0.13519999999999999</v>
      </c>
      <c r="H1311" s="76">
        <v>0.13519999999999999</v>
      </c>
      <c r="I1311" s="76">
        <v>0.1351</v>
      </c>
      <c r="J1311" s="76">
        <v>0.1351</v>
      </c>
      <c r="K1311" s="76">
        <v>0.1353</v>
      </c>
      <c r="L1311" s="76">
        <v>0.1353</v>
      </c>
      <c r="M1311" s="76">
        <v>0.13519999999999999</v>
      </c>
    </row>
    <row r="1312" spans="2:56" x14ac:dyDescent="0.15">
      <c r="C1312" s="76" t="s">
        <v>567</v>
      </c>
      <c r="D1312" s="76">
        <v>0.11840000000000001</v>
      </c>
      <c r="E1312" s="76">
        <v>0.1183</v>
      </c>
      <c r="F1312" s="76">
        <v>0.11799999999999999</v>
      </c>
      <c r="G1312" s="76">
        <v>0.11799999999999999</v>
      </c>
      <c r="H1312" s="76">
        <v>0.11799999999999999</v>
      </c>
      <c r="I1312" s="76">
        <v>0.1179</v>
      </c>
      <c r="J1312" s="76">
        <v>0.1177</v>
      </c>
      <c r="K1312" s="76">
        <v>0.1179</v>
      </c>
      <c r="L1312" s="76">
        <v>0.1178</v>
      </c>
      <c r="M1312" s="76">
        <v>0.1177</v>
      </c>
    </row>
    <row r="1313" spans="3:13" x14ac:dyDescent="0.15">
      <c r="C1313" s="76" t="s">
        <v>568</v>
      </c>
      <c r="D1313" s="76">
        <v>9.1390999999999991</v>
      </c>
      <c r="E1313" s="76">
        <v>9.3439999999999994</v>
      </c>
      <c r="F1313" s="76">
        <v>9.3733000000000004</v>
      </c>
      <c r="G1313" s="76">
        <v>9.3670000000000009</v>
      </c>
      <c r="H1313" s="76">
        <v>9.3736999999999995</v>
      </c>
      <c r="I1313" s="76">
        <v>9.3488000000000007</v>
      </c>
      <c r="J1313" s="76">
        <v>9.3353999999999999</v>
      </c>
      <c r="K1313" s="76">
        <v>9.3163999999999998</v>
      </c>
      <c r="L1313" s="76">
        <v>9.2885000000000009</v>
      </c>
      <c r="M1313" s="76">
        <v>9.2652999999999999</v>
      </c>
    </row>
    <row r="1314" spans="3:13" x14ac:dyDescent="0.15">
      <c r="C1314" s="76" t="s">
        <v>569</v>
      </c>
    </row>
    <row r="1315" spans="3:13" x14ac:dyDescent="0.15">
      <c r="C1315" s="76" t="s">
        <v>570</v>
      </c>
      <c r="D1315" s="76">
        <v>4</v>
      </c>
      <c r="E1315" s="76">
        <v>4</v>
      </c>
      <c r="F1315" s="76">
        <v>4</v>
      </c>
      <c r="G1315" s="76">
        <v>4</v>
      </c>
      <c r="H1315" s="76">
        <v>4</v>
      </c>
      <c r="I1315" s="76">
        <v>4</v>
      </c>
      <c r="J1315" s="76">
        <v>4</v>
      </c>
      <c r="K1315" s="76">
        <v>4</v>
      </c>
      <c r="L1315" s="76">
        <v>4</v>
      </c>
      <c r="M1315" s="76">
        <v>4</v>
      </c>
    </row>
    <row r="1316" spans="3:13" x14ac:dyDescent="0.15">
      <c r="C1316" s="76" t="s">
        <v>571</v>
      </c>
      <c r="D1316" s="76">
        <v>100</v>
      </c>
      <c r="E1316" s="76">
        <v>100</v>
      </c>
      <c r="F1316" s="76">
        <v>100</v>
      </c>
      <c r="G1316" s="76">
        <v>100</v>
      </c>
      <c r="H1316" s="76">
        <v>100</v>
      </c>
      <c r="I1316" s="76">
        <v>100</v>
      </c>
      <c r="J1316" s="76">
        <v>100</v>
      </c>
      <c r="K1316" s="76">
        <v>100</v>
      </c>
      <c r="L1316" s="76">
        <v>100</v>
      </c>
      <c r="M1316" s="76">
        <v>100</v>
      </c>
    </row>
    <row r="1317" spans="3:13" x14ac:dyDescent="0.15">
      <c r="C1317" s="76" t="s">
        <v>572</v>
      </c>
      <c r="D1317" s="76" t="s">
        <v>574</v>
      </c>
      <c r="E1317" s="76" t="s">
        <v>574</v>
      </c>
      <c r="F1317" s="76" t="s">
        <v>574</v>
      </c>
      <c r="G1317" s="76" t="s">
        <v>574</v>
      </c>
      <c r="H1317" s="76" t="s">
        <v>574</v>
      </c>
      <c r="I1317" s="76" t="s">
        <v>574</v>
      </c>
      <c r="J1317" s="76" t="s">
        <v>574</v>
      </c>
      <c r="K1317" s="76" t="s">
        <v>574</v>
      </c>
      <c r="L1317" s="76" t="s">
        <v>574</v>
      </c>
      <c r="M1317" s="76" t="s">
        <v>574</v>
      </c>
    </row>
    <row r="1318" spans="3:13" x14ac:dyDescent="0.15">
      <c r="C1318" s="76" t="s">
        <v>573</v>
      </c>
      <c r="D1318" s="76">
        <v>1</v>
      </c>
      <c r="E1318" s="76">
        <v>2</v>
      </c>
      <c r="F1318" s="76">
        <v>3</v>
      </c>
      <c r="G1318" s="76">
        <v>4</v>
      </c>
      <c r="H1318" s="76">
        <v>5</v>
      </c>
      <c r="I1318" s="76">
        <v>6</v>
      </c>
      <c r="J1318" s="76">
        <v>7</v>
      </c>
      <c r="K1318" s="76">
        <v>8</v>
      </c>
      <c r="L1318" s="76">
        <v>9</v>
      </c>
      <c r="M1318" s="76">
        <v>10</v>
      </c>
    </row>
    <row r="1319" spans="3:13" x14ac:dyDescent="0.15">
      <c r="C1319" s="76">
        <v>380</v>
      </c>
      <c r="D1319" s="76">
        <v>1.8900000000000001E-4</v>
      </c>
      <c r="E1319" s="76">
        <v>3.3E-4</v>
      </c>
      <c r="F1319" s="76">
        <v>5.1000000000000004E-4</v>
      </c>
      <c r="G1319" s="76">
        <v>5.4900000000000001E-4</v>
      </c>
      <c r="H1319" s="76">
        <v>1.16E-3</v>
      </c>
      <c r="I1319" s="76">
        <v>3.1799999999999998E-4</v>
      </c>
      <c r="J1319" s="76">
        <v>1.72E-3</v>
      </c>
      <c r="K1319" s="76">
        <v>1.48E-3</v>
      </c>
      <c r="L1319" s="76">
        <v>5.8699999999999996E-4</v>
      </c>
      <c r="M1319" s="76">
        <v>1.4499999999999999E-3</v>
      </c>
    </row>
    <row r="1320" spans="3:13" x14ac:dyDescent="0.15">
      <c r="C1320" s="76">
        <v>382</v>
      </c>
      <c r="D1320" s="76">
        <v>1.7699999999999999E-4</v>
      </c>
      <c r="E1320" s="76">
        <v>1.93E-4</v>
      </c>
      <c r="F1320" s="76">
        <v>3.9199999999999999E-4</v>
      </c>
      <c r="G1320" s="76">
        <v>5.0000000000000001E-4</v>
      </c>
      <c r="H1320" s="76">
        <v>1.06E-3</v>
      </c>
      <c r="I1320" s="76">
        <v>5.9999999999999995E-4</v>
      </c>
      <c r="J1320" s="76">
        <v>1.33E-3</v>
      </c>
      <c r="K1320" s="76">
        <v>1.3500000000000001E-3</v>
      </c>
      <c r="L1320" s="76">
        <v>5.9599999999999996E-4</v>
      </c>
      <c r="M1320" s="76">
        <v>1.1199999999999999E-3</v>
      </c>
    </row>
    <row r="1321" spans="3:13" x14ac:dyDescent="0.15">
      <c r="C1321" s="76">
        <v>384</v>
      </c>
      <c r="D1321" s="76">
        <v>1.7100000000000001E-4</v>
      </c>
      <c r="E1321" s="76">
        <v>2.31E-4</v>
      </c>
      <c r="F1321" s="76">
        <v>3.3700000000000001E-4</v>
      </c>
      <c r="G1321" s="76">
        <v>6.0800000000000003E-4</v>
      </c>
      <c r="H1321" s="76">
        <v>9.0799999999999995E-4</v>
      </c>
      <c r="I1321" s="76">
        <v>4.6999999999999999E-4</v>
      </c>
      <c r="J1321" s="76">
        <v>1.2999999999999999E-3</v>
      </c>
      <c r="K1321" s="76">
        <v>1.33E-3</v>
      </c>
      <c r="L1321" s="76">
        <v>7.9500000000000003E-4</v>
      </c>
      <c r="M1321" s="76">
        <v>9.8200000000000002E-4</v>
      </c>
    </row>
    <row r="1322" spans="3:13" x14ac:dyDescent="0.15">
      <c r="C1322" s="76">
        <v>386</v>
      </c>
      <c r="D1322" s="76">
        <v>1.8799999999999999E-4</v>
      </c>
      <c r="E1322" s="76">
        <v>2.7900000000000001E-4</v>
      </c>
      <c r="F1322" s="76">
        <v>3.6000000000000002E-4</v>
      </c>
      <c r="G1322" s="76">
        <v>4.8299999999999998E-4</v>
      </c>
      <c r="H1322" s="76">
        <v>9.7400000000000004E-4</v>
      </c>
      <c r="I1322" s="76">
        <v>4.7600000000000002E-4</v>
      </c>
      <c r="J1322" s="76">
        <v>1.0300000000000001E-3</v>
      </c>
      <c r="K1322" s="76">
        <v>1.33E-3</v>
      </c>
      <c r="L1322" s="76">
        <v>9.5500000000000001E-4</v>
      </c>
      <c r="M1322" s="76">
        <v>1.0200000000000001E-3</v>
      </c>
    </row>
    <row r="1323" spans="3:13" x14ac:dyDescent="0.15">
      <c r="C1323" s="76">
        <v>388</v>
      </c>
      <c r="D1323" s="76">
        <v>1.5100000000000001E-4</v>
      </c>
      <c r="E1323" s="76">
        <v>2.2000000000000001E-4</v>
      </c>
      <c r="F1323" s="76">
        <v>4.1199999999999999E-4</v>
      </c>
      <c r="G1323" s="76">
        <v>5.8699999999999996E-4</v>
      </c>
      <c r="H1323" s="76">
        <v>1.09E-3</v>
      </c>
      <c r="I1323" s="76">
        <v>5.4199999999999995E-4</v>
      </c>
      <c r="J1323" s="76">
        <v>9.6000000000000002E-4</v>
      </c>
      <c r="K1323" s="76">
        <v>1.06E-3</v>
      </c>
      <c r="L1323" s="76">
        <v>8.8900000000000003E-4</v>
      </c>
      <c r="M1323" s="76">
        <v>1.0200000000000001E-3</v>
      </c>
    </row>
    <row r="1324" spans="3:13" x14ac:dyDescent="0.15">
      <c r="C1324" s="76">
        <v>390</v>
      </c>
      <c r="D1324" s="76">
        <v>1.5699999999999999E-4</v>
      </c>
      <c r="E1324" s="76">
        <v>1.9100000000000001E-4</v>
      </c>
      <c r="F1324" s="76">
        <v>3.6099999999999999E-4</v>
      </c>
      <c r="G1324" s="76">
        <v>5.9199999999999997E-4</v>
      </c>
      <c r="H1324" s="76">
        <v>1.01E-3</v>
      </c>
      <c r="I1324" s="76">
        <v>6.5099999999999999E-4</v>
      </c>
      <c r="J1324" s="76">
        <v>8.7100000000000003E-4</v>
      </c>
      <c r="K1324" s="76">
        <v>9.8700000000000003E-4</v>
      </c>
      <c r="L1324" s="76">
        <v>9.59E-4</v>
      </c>
      <c r="M1324" s="76">
        <v>1.0200000000000001E-3</v>
      </c>
    </row>
    <row r="1325" spans="3:13" x14ac:dyDescent="0.15">
      <c r="C1325" s="76">
        <v>392</v>
      </c>
      <c r="D1325" s="76">
        <v>1.5899999999999999E-4</v>
      </c>
      <c r="E1325" s="76">
        <v>1.9000000000000001E-4</v>
      </c>
      <c r="F1325" s="76">
        <v>3.7399999999999998E-4</v>
      </c>
      <c r="G1325" s="76">
        <v>5.71E-4</v>
      </c>
      <c r="H1325" s="76">
        <v>9.3800000000000003E-4</v>
      </c>
      <c r="I1325" s="76">
        <v>7.2800000000000002E-4</v>
      </c>
      <c r="J1325" s="76">
        <v>1.0300000000000001E-3</v>
      </c>
      <c r="K1325" s="76">
        <v>1.0499999999999999E-3</v>
      </c>
      <c r="L1325" s="76">
        <v>1E-3</v>
      </c>
      <c r="M1325" s="76">
        <v>7.45E-4</v>
      </c>
    </row>
    <row r="1326" spans="3:13" x14ac:dyDescent="0.15">
      <c r="C1326" s="76">
        <v>394</v>
      </c>
      <c r="D1326" s="76">
        <v>1.35E-4</v>
      </c>
      <c r="E1326" s="76">
        <v>1.4899999999999999E-4</v>
      </c>
      <c r="F1326" s="76">
        <v>3.7599999999999998E-4</v>
      </c>
      <c r="G1326" s="76">
        <v>5.0600000000000005E-4</v>
      </c>
      <c r="H1326" s="76">
        <v>8.3199999999999995E-4</v>
      </c>
      <c r="I1326" s="76">
        <v>7.6999999999999996E-4</v>
      </c>
      <c r="J1326" s="76">
        <v>1.09E-3</v>
      </c>
      <c r="K1326" s="76">
        <v>1.08E-3</v>
      </c>
      <c r="L1326" s="76">
        <v>1.2099999999999999E-3</v>
      </c>
      <c r="M1326" s="76">
        <v>6.8199999999999999E-4</v>
      </c>
    </row>
    <row r="1327" spans="3:13" x14ac:dyDescent="0.15">
      <c r="C1327" s="76">
        <v>396</v>
      </c>
      <c r="D1327" s="76">
        <v>1.64E-4</v>
      </c>
      <c r="E1327" s="76">
        <v>1.2400000000000001E-4</v>
      </c>
      <c r="F1327" s="76">
        <v>4.06E-4</v>
      </c>
      <c r="G1327" s="76">
        <v>5.9900000000000003E-4</v>
      </c>
      <c r="H1327" s="76">
        <v>8.3600000000000005E-4</v>
      </c>
      <c r="I1327" s="76">
        <v>7.5900000000000002E-4</v>
      </c>
      <c r="J1327" s="76">
        <v>1.2700000000000001E-3</v>
      </c>
      <c r="K1327" s="76">
        <v>8.7600000000000004E-4</v>
      </c>
      <c r="L1327" s="76">
        <v>1.0200000000000001E-3</v>
      </c>
      <c r="M1327" s="76">
        <v>1.0499999999999999E-3</v>
      </c>
    </row>
    <row r="1328" spans="3:13" x14ac:dyDescent="0.15">
      <c r="C1328" s="76">
        <v>398</v>
      </c>
      <c r="D1328" s="76">
        <v>1.6100000000000001E-4</v>
      </c>
      <c r="E1328" s="76">
        <v>1.7899999999999999E-4</v>
      </c>
      <c r="F1328" s="76">
        <v>3.8499999999999998E-4</v>
      </c>
      <c r="G1328" s="76">
        <v>5.0900000000000001E-4</v>
      </c>
      <c r="H1328" s="76">
        <v>8.83E-4</v>
      </c>
      <c r="I1328" s="76">
        <v>6.6E-4</v>
      </c>
      <c r="J1328" s="76">
        <v>1.5299999999999999E-3</v>
      </c>
      <c r="K1328" s="76">
        <v>7.8399999999999997E-4</v>
      </c>
      <c r="L1328" s="76">
        <v>1.3799999999999999E-3</v>
      </c>
      <c r="M1328" s="76">
        <v>9.41E-4</v>
      </c>
    </row>
    <row r="1329" spans="3:13" x14ac:dyDescent="0.15">
      <c r="C1329" s="76">
        <v>400</v>
      </c>
      <c r="D1329" s="76">
        <v>1.3899999999999999E-4</v>
      </c>
      <c r="E1329" s="76">
        <v>2.22E-4</v>
      </c>
      <c r="F1329" s="76">
        <v>3.1700000000000001E-4</v>
      </c>
      <c r="G1329" s="76">
        <v>4.4999999999999999E-4</v>
      </c>
      <c r="H1329" s="76">
        <v>8.4199999999999998E-4</v>
      </c>
      <c r="I1329" s="76">
        <v>7.7300000000000003E-4</v>
      </c>
      <c r="J1329" s="76">
        <v>1.08E-3</v>
      </c>
      <c r="K1329" s="76">
        <v>9.8200000000000002E-4</v>
      </c>
      <c r="L1329" s="76">
        <v>1.3799999999999999E-3</v>
      </c>
      <c r="M1329" s="76">
        <v>1.08E-3</v>
      </c>
    </row>
    <row r="1330" spans="3:13" x14ac:dyDescent="0.15">
      <c r="C1330" s="76">
        <v>402</v>
      </c>
      <c r="D1330" s="76">
        <v>1.45E-4</v>
      </c>
      <c r="E1330" s="76">
        <v>2.5799999999999998E-4</v>
      </c>
      <c r="F1330" s="76">
        <v>3.8400000000000001E-4</v>
      </c>
      <c r="G1330" s="76">
        <v>5.31E-4</v>
      </c>
      <c r="H1330" s="76">
        <v>7.1699999999999997E-4</v>
      </c>
      <c r="I1330" s="76">
        <v>8.1300000000000003E-4</v>
      </c>
      <c r="J1330" s="76">
        <v>1.1000000000000001E-3</v>
      </c>
      <c r="K1330" s="76">
        <v>1.0499999999999999E-3</v>
      </c>
      <c r="L1330" s="76">
        <v>1.34E-3</v>
      </c>
      <c r="M1330" s="76">
        <v>1.23E-3</v>
      </c>
    </row>
    <row r="1331" spans="3:13" x14ac:dyDescent="0.15">
      <c r="C1331" s="76">
        <v>404</v>
      </c>
      <c r="D1331" s="76">
        <v>1.4200000000000001E-4</v>
      </c>
      <c r="E1331" s="76">
        <v>2.6800000000000001E-4</v>
      </c>
      <c r="F1331" s="76">
        <v>4.0000000000000002E-4</v>
      </c>
      <c r="G1331" s="76">
        <v>5.6700000000000001E-4</v>
      </c>
      <c r="H1331" s="76">
        <v>6.6600000000000003E-4</v>
      </c>
      <c r="I1331" s="76">
        <v>8.25E-4</v>
      </c>
      <c r="J1331" s="76">
        <v>1.07E-3</v>
      </c>
      <c r="K1331" s="76">
        <v>1E-3</v>
      </c>
      <c r="L1331" s="76">
        <v>1.5E-3</v>
      </c>
      <c r="M1331" s="76">
        <v>1.39E-3</v>
      </c>
    </row>
    <row r="1332" spans="3:13" x14ac:dyDescent="0.15">
      <c r="C1332" s="76">
        <v>406</v>
      </c>
      <c r="D1332" s="76">
        <v>1.34E-4</v>
      </c>
      <c r="E1332" s="76">
        <v>2.5099999999999998E-4</v>
      </c>
      <c r="F1332" s="76">
        <v>4.7800000000000002E-4</v>
      </c>
      <c r="G1332" s="76">
        <v>6.4899999999999995E-4</v>
      </c>
      <c r="H1332" s="76">
        <v>7.85E-4</v>
      </c>
      <c r="I1332" s="76">
        <v>9.2100000000000005E-4</v>
      </c>
      <c r="J1332" s="76">
        <v>9.9400000000000009E-4</v>
      </c>
      <c r="K1332" s="76">
        <v>1.0300000000000001E-3</v>
      </c>
      <c r="L1332" s="76">
        <v>1.6000000000000001E-3</v>
      </c>
      <c r="M1332" s="76">
        <v>1.0399999999999999E-3</v>
      </c>
    </row>
    <row r="1333" spans="3:13" x14ac:dyDescent="0.15">
      <c r="C1333" s="76">
        <v>408</v>
      </c>
      <c r="D1333" s="76">
        <v>1.65E-4</v>
      </c>
      <c r="E1333" s="76">
        <v>2.7E-4</v>
      </c>
      <c r="F1333" s="76">
        <v>5.1500000000000005E-4</v>
      </c>
      <c r="G1333" s="76">
        <v>6.7500000000000004E-4</v>
      </c>
      <c r="H1333" s="76">
        <v>7.6999999999999996E-4</v>
      </c>
      <c r="I1333" s="76">
        <v>9.5799999999999998E-4</v>
      </c>
      <c r="J1333" s="76">
        <v>1.24E-3</v>
      </c>
      <c r="K1333" s="76">
        <v>1.2199999999999999E-3</v>
      </c>
      <c r="L1333" s="76">
        <v>1.74E-3</v>
      </c>
      <c r="M1333" s="76">
        <v>1.33E-3</v>
      </c>
    </row>
    <row r="1334" spans="3:13" x14ac:dyDescent="0.15">
      <c r="C1334" s="76">
        <v>410</v>
      </c>
      <c r="D1334" s="76">
        <v>1.76E-4</v>
      </c>
      <c r="E1334" s="76">
        <v>3.3599999999999998E-4</v>
      </c>
      <c r="F1334" s="76">
        <v>5.1400000000000003E-4</v>
      </c>
      <c r="G1334" s="76">
        <v>7.5799999999999999E-4</v>
      </c>
      <c r="H1334" s="76">
        <v>9.68E-4</v>
      </c>
      <c r="I1334" s="76">
        <v>1.07E-3</v>
      </c>
      <c r="J1334" s="76">
        <v>1.34E-3</v>
      </c>
      <c r="K1334" s="76">
        <v>1.42E-3</v>
      </c>
      <c r="L1334" s="76">
        <v>1.89E-3</v>
      </c>
      <c r="M1334" s="76">
        <v>1.6800000000000001E-3</v>
      </c>
    </row>
    <row r="1335" spans="3:13" x14ac:dyDescent="0.15">
      <c r="C1335" s="76">
        <v>412</v>
      </c>
      <c r="D1335" s="76">
        <v>2.02E-4</v>
      </c>
      <c r="E1335" s="76">
        <v>3.8400000000000001E-4</v>
      </c>
      <c r="F1335" s="76">
        <v>5.6599999999999999E-4</v>
      </c>
      <c r="G1335" s="76">
        <v>7.8899999999999999E-4</v>
      </c>
      <c r="H1335" s="76">
        <v>9.7900000000000005E-4</v>
      </c>
      <c r="I1335" s="76">
        <v>1.15E-3</v>
      </c>
      <c r="J1335" s="76">
        <v>1.5100000000000001E-3</v>
      </c>
      <c r="K1335" s="76">
        <v>1.6999999999999999E-3</v>
      </c>
      <c r="L1335" s="76">
        <v>1.98E-3</v>
      </c>
      <c r="M1335" s="76">
        <v>2.0600000000000002E-3</v>
      </c>
    </row>
    <row r="1336" spans="3:13" x14ac:dyDescent="0.15">
      <c r="C1336" s="76">
        <v>414</v>
      </c>
      <c r="D1336" s="76">
        <v>2.22E-4</v>
      </c>
      <c r="E1336" s="76">
        <v>4.7699999999999999E-4</v>
      </c>
      <c r="F1336" s="76">
        <v>6.9099999999999999E-4</v>
      </c>
      <c r="G1336" s="76">
        <v>9.3400000000000004E-4</v>
      </c>
      <c r="H1336" s="76">
        <v>1.14E-3</v>
      </c>
      <c r="I1336" s="76">
        <v>1.42E-3</v>
      </c>
      <c r="J1336" s="76">
        <v>1.74E-3</v>
      </c>
      <c r="K1336" s="76">
        <v>1.6999999999999999E-3</v>
      </c>
      <c r="L1336" s="76">
        <v>2.2499999999999998E-3</v>
      </c>
      <c r="M1336" s="76">
        <v>2.3E-3</v>
      </c>
    </row>
    <row r="1337" spans="3:13" x14ac:dyDescent="0.15">
      <c r="C1337" s="76">
        <v>416</v>
      </c>
      <c r="D1337" s="76">
        <v>2.6499999999999999E-4</v>
      </c>
      <c r="E1337" s="76">
        <v>5.3600000000000002E-4</v>
      </c>
      <c r="F1337" s="76">
        <v>8.3699999999999996E-4</v>
      </c>
      <c r="G1337" s="76">
        <v>1.09E-3</v>
      </c>
      <c r="H1337" s="76">
        <v>1.2700000000000001E-3</v>
      </c>
      <c r="I1337" s="76">
        <v>1.65E-3</v>
      </c>
      <c r="J1337" s="76">
        <v>1.9300000000000001E-3</v>
      </c>
      <c r="K1337" s="76">
        <v>2.0899999999999998E-3</v>
      </c>
      <c r="L1337" s="76">
        <v>2.6900000000000001E-3</v>
      </c>
      <c r="M1337" s="76">
        <v>2.7599999999999999E-3</v>
      </c>
    </row>
    <row r="1338" spans="3:13" x14ac:dyDescent="0.15">
      <c r="C1338" s="76">
        <v>418</v>
      </c>
      <c r="D1338" s="76">
        <v>3.0499999999999999E-4</v>
      </c>
      <c r="E1338" s="76">
        <v>6.3599999999999996E-4</v>
      </c>
      <c r="F1338" s="76">
        <v>9.8700000000000003E-4</v>
      </c>
      <c r="G1338" s="76">
        <v>1.2800000000000001E-3</v>
      </c>
      <c r="H1338" s="76">
        <v>1.5900000000000001E-3</v>
      </c>
      <c r="I1338" s="76">
        <v>2.0100000000000001E-3</v>
      </c>
      <c r="J1338" s="76">
        <v>2.2200000000000002E-3</v>
      </c>
      <c r="K1338" s="76">
        <v>2.65E-3</v>
      </c>
      <c r="L1338" s="76">
        <v>3.1099999999999999E-3</v>
      </c>
      <c r="M1338" s="76">
        <v>3.29E-3</v>
      </c>
    </row>
    <row r="1339" spans="3:13" x14ac:dyDescent="0.15">
      <c r="C1339" s="76">
        <v>420</v>
      </c>
      <c r="D1339" s="76">
        <v>3.7599999999999998E-4</v>
      </c>
      <c r="E1339" s="76">
        <v>7.7800000000000005E-4</v>
      </c>
      <c r="F1339" s="76">
        <v>1.16E-3</v>
      </c>
      <c r="G1339" s="76">
        <v>1.49E-3</v>
      </c>
      <c r="H1339" s="76">
        <v>1.9300000000000001E-3</v>
      </c>
      <c r="I1339" s="76">
        <v>2.3500000000000001E-3</v>
      </c>
      <c r="J1339" s="76">
        <v>2.7200000000000002E-3</v>
      </c>
      <c r="K1339" s="76">
        <v>3.0100000000000001E-3</v>
      </c>
      <c r="L1339" s="76">
        <v>3.5999999999999999E-3</v>
      </c>
      <c r="M1339" s="76">
        <v>3.8400000000000001E-3</v>
      </c>
    </row>
    <row r="1340" spans="3:13" x14ac:dyDescent="0.15">
      <c r="C1340" s="76">
        <v>422</v>
      </c>
      <c r="D1340" s="76">
        <v>4.4299999999999998E-4</v>
      </c>
      <c r="E1340" s="76">
        <v>9.3899999999999995E-4</v>
      </c>
      <c r="F1340" s="76">
        <v>1.39E-3</v>
      </c>
      <c r="G1340" s="76">
        <v>1.81E-3</v>
      </c>
      <c r="H1340" s="76">
        <v>2.3400000000000001E-3</v>
      </c>
      <c r="I1340" s="76">
        <v>2.8600000000000001E-3</v>
      </c>
      <c r="J1340" s="76">
        <v>3.2599999999999999E-3</v>
      </c>
      <c r="K1340" s="76">
        <v>3.7100000000000002E-3</v>
      </c>
      <c r="L1340" s="76">
        <v>4.4099999999999999E-3</v>
      </c>
      <c r="M1340" s="76">
        <v>4.81E-3</v>
      </c>
    </row>
    <row r="1341" spans="3:13" x14ac:dyDescent="0.15">
      <c r="C1341" s="76">
        <v>424</v>
      </c>
      <c r="D1341" s="76">
        <v>5.5199999999999997E-4</v>
      </c>
      <c r="E1341" s="76">
        <v>1.16E-3</v>
      </c>
      <c r="F1341" s="76">
        <v>1.74E-3</v>
      </c>
      <c r="G1341" s="76">
        <v>2.2699999999999999E-3</v>
      </c>
      <c r="H1341" s="76">
        <v>2.8700000000000002E-3</v>
      </c>
      <c r="I1341" s="76">
        <v>3.5599999999999998E-3</v>
      </c>
      <c r="J1341" s="76">
        <v>4.0600000000000002E-3</v>
      </c>
      <c r="K1341" s="76">
        <v>4.7699999999999999E-3</v>
      </c>
      <c r="L1341" s="76">
        <v>5.2700000000000004E-3</v>
      </c>
      <c r="M1341" s="76">
        <v>5.9300000000000004E-3</v>
      </c>
    </row>
    <row r="1342" spans="3:13" x14ac:dyDescent="0.15">
      <c r="C1342" s="76">
        <v>426</v>
      </c>
      <c r="D1342" s="76">
        <v>7.1100000000000004E-4</v>
      </c>
      <c r="E1342" s="76">
        <v>1.47E-3</v>
      </c>
      <c r="F1342" s="76">
        <v>2.2200000000000002E-3</v>
      </c>
      <c r="G1342" s="76">
        <v>2.9099999999999998E-3</v>
      </c>
      <c r="H1342" s="76">
        <v>3.64E-3</v>
      </c>
      <c r="I1342" s="76">
        <v>4.4600000000000004E-3</v>
      </c>
      <c r="J1342" s="76">
        <v>5.1399999999999996E-3</v>
      </c>
      <c r="K1342" s="76">
        <v>6.0099999999999997E-3</v>
      </c>
      <c r="L1342" s="76">
        <v>6.7799999999999996E-3</v>
      </c>
      <c r="M1342" s="76">
        <v>7.5100000000000002E-3</v>
      </c>
    </row>
    <row r="1343" spans="3:13" x14ac:dyDescent="0.15">
      <c r="C1343" s="76">
        <v>428</v>
      </c>
      <c r="D1343" s="76">
        <v>9.2000000000000003E-4</v>
      </c>
      <c r="E1343" s="76">
        <v>1.92E-3</v>
      </c>
      <c r="F1343" s="76">
        <v>2.8700000000000002E-3</v>
      </c>
      <c r="G1343" s="76">
        <v>3.8E-3</v>
      </c>
      <c r="H1343" s="76">
        <v>4.81E-3</v>
      </c>
      <c r="I1343" s="76">
        <v>5.9199999999999999E-3</v>
      </c>
      <c r="J1343" s="76">
        <v>6.7000000000000002E-3</v>
      </c>
      <c r="K1343" s="76">
        <v>7.8600000000000007E-3</v>
      </c>
      <c r="L1343" s="76">
        <v>8.8500000000000002E-3</v>
      </c>
      <c r="M1343" s="76">
        <v>9.75E-3</v>
      </c>
    </row>
    <row r="1344" spans="3:13" x14ac:dyDescent="0.15">
      <c r="C1344" s="76">
        <v>430</v>
      </c>
      <c r="D1344" s="76">
        <v>1.24E-3</v>
      </c>
      <c r="E1344" s="76">
        <v>2.5699999999999998E-3</v>
      </c>
      <c r="F1344" s="76">
        <v>3.8899999999999998E-3</v>
      </c>
      <c r="G1344" s="76">
        <v>5.13E-3</v>
      </c>
      <c r="H1344" s="76">
        <v>6.4900000000000001E-3</v>
      </c>
      <c r="I1344" s="76">
        <v>7.8799999999999999E-3</v>
      </c>
      <c r="J1344" s="76">
        <v>9.0100000000000006E-3</v>
      </c>
      <c r="K1344" s="76">
        <v>1.0500000000000001E-2</v>
      </c>
      <c r="L1344" s="76">
        <v>1.18E-2</v>
      </c>
      <c r="M1344" s="76">
        <v>1.3100000000000001E-2</v>
      </c>
    </row>
    <row r="1345" spans="3:13" x14ac:dyDescent="0.15">
      <c r="C1345" s="76">
        <v>432</v>
      </c>
      <c r="D1345" s="76">
        <v>1.6999999999999999E-3</v>
      </c>
      <c r="E1345" s="76">
        <v>3.5200000000000001E-3</v>
      </c>
      <c r="F1345" s="76">
        <v>5.3E-3</v>
      </c>
      <c r="G1345" s="76">
        <v>7.0600000000000003E-3</v>
      </c>
      <c r="H1345" s="76">
        <v>8.8699999999999994E-3</v>
      </c>
      <c r="I1345" s="76">
        <v>1.0800000000000001E-2</v>
      </c>
      <c r="J1345" s="76">
        <v>1.24E-2</v>
      </c>
      <c r="K1345" s="76">
        <v>1.4200000000000001E-2</v>
      </c>
      <c r="L1345" s="76">
        <v>1.61E-2</v>
      </c>
      <c r="M1345" s="76">
        <v>1.7899999999999999E-2</v>
      </c>
    </row>
    <row r="1346" spans="3:13" x14ac:dyDescent="0.15">
      <c r="C1346" s="76">
        <v>434</v>
      </c>
      <c r="D1346" s="76">
        <v>2.3400000000000001E-3</v>
      </c>
      <c r="E1346" s="76">
        <v>4.8900000000000002E-3</v>
      </c>
      <c r="F1346" s="76">
        <v>7.3699999999999998E-3</v>
      </c>
      <c r="G1346" s="76">
        <v>9.7800000000000005E-3</v>
      </c>
      <c r="H1346" s="76">
        <v>1.24E-2</v>
      </c>
      <c r="I1346" s="76">
        <v>1.49E-2</v>
      </c>
      <c r="J1346" s="76">
        <v>1.7299999999999999E-2</v>
      </c>
      <c r="K1346" s="76">
        <v>1.9900000000000001E-2</v>
      </c>
      <c r="L1346" s="76">
        <v>2.23E-2</v>
      </c>
      <c r="M1346" s="76">
        <v>2.4899999999999999E-2</v>
      </c>
    </row>
    <row r="1347" spans="3:13" x14ac:dyDescent="0.15">
      <c r="C1347" s="76">
        <v>436</v>
      </c>
      <c r="D1347" s="76">
        <v>3.3999999999999998E-3</v>
      </c>
      <c r="E1347" s="76">
        <v>6.9699999999999996E-3</v>
      </c>
      <c r="F1347" s="76">
        <v>1.0500000000000001E-2</v>
      </c>
      <c r="G1347" s="76">
        <v>1.4E-2</v>
      </c>
      <c r="H1347" s="76">
        <v>1.7600000000000001E-2</v>
      </c>
      <c r="I1347" s="76">
        <v>2.1299999999999999E-2</v>
      </c>
      <c r="J1347" s="76">
        <v>2.47E-2</v>
      </c>
      <c r="K1347" s="76">
        <v>2.8400000000000002E-2</v>
      </c>
      <c r="L1347" s="76">
        <v>3.1800000000000002E-2</v>
      </c>
      <c r="M1347" s="76">
        <v>3.5499999999999997E-2</v>
      </c>
    </row>
    <row r="1348" spans="3:13" x14ac:dyDescent="0.15">
      <c r="C1348" s="76">
        <v>438</v>
      </c>
      <c r="D1348" s="76">
        <v>4.8399999999999997E-3</v>
      </c>
      <c r="E1348" s="76">
        <v>9.9600000000000001E-3</v>
      </c>
      <c r="F1348" s="76">
        <v>1.4999999999999999E-2</v>
      </c>
      <c r="G1348" s="76">
        <v>0.02</v>
      </c>
      <c r="H1348" s="76">
        <v>2.5100000000000001E-2</v>
      </c>
      <c r="I1348" s="76">
        <v>3.0300000000000001E-2</v>
      </c>
      <c r="J1348" s="76">
        <v>3.5200000000000002E-2</v>
      </c>
      <c r="K1348" s="76">
        <v>4.0300000000000002E-2</v>
      </c>
      <c r="L1348" s="76">
        <v>4.53E-2</v>
      </c>
      <c r="M1348" s="76">
        <v>5.0299999999999997E-2</v>
      </c>
    </row>
    <row r="1349" spans="3:13" x14ac:dyDescent="0.15">
      <c r="C1349" s="76">
        <v>440</v>
      </c>
      <c r="D1349" s="76">
        <v>6.6899999999999998E-3</v>
      </c>
      <c r="E1349" s="76">
        <v>1.37E-2</v>
      </c>
      <c r="F1349" s="76">
        <v>2.07E-2</v>
      </c>
      <c r="G1349" s="76">
        <v>2.76E-2</v>
      </c>
      <c r="H1349" s="76">
        <v>3.4599999999999999E-2</v>
      </c>
      <c r="I1349" s="76">
        <v>4.1599999999999998E-2</v>
      </c>
      <c r="J1349" s="76">
        <v>4.8300000000000003E-2</v>
      </c>
      <c r="K1349" s="76">
        <v>5.5399999999999998E-2</v>
      </c>
      <c r="L1349" s="76">
        <v>6.2199999999999998E-2</v>
      </c>
      <c r="M1349" s="76">
        <v>6.9199999999999998E-2</v>
      </c>
    </row>
    <row r="1350" spans="3:13" x14ac:dyDescent="0.15">
      <c r="C1350" s="76">
        <v>442</v>
      </c>
      <c r="D1350" s="76">
        <v>8.9499999999999996E-3</v>
      </c>
      <c r="E1350" s="76">
        <v>1.84E-2</v>
      </c>
      <c r="F1350" s="76">
        <v>2.7699999999999999E-2</v>
      </c>
      <c r="G1350" s="76">
        <v>3.6999999999999998E-2</v>
      </c>
      <c r="H1350" s="76">
        <v>4.6300000000000001E-2</v>
      </c>
      <c r="I1350" s="76">
        <v>5.5599999999999997E-2</v>
      </c>
      <c r="J1350" s="76">
        <v>6.4500000000000002E-2</v>
      </c>
      <c r="K1350" s="76">
        <v>7.3999999999999996E-2</v>
      </c>
      <c r="L1350" s="76">
        <v>8.3000000000000004E-2</v>
      </c>
      <c r="M1350" s="76">
        <v>9.2399999999999996E-2</v>
      </c>
    </row>
    <row r="1351" spans="3:13" x14ac:dyDescent="0.15">
      <c r="C1351" s="76">
        <v>444</v>
      </c>
      <c r="D1351" s="76">
        <v>1.1599999999999999E-2</v>
      </c>
      <c r="E1351" s="76">
        <v>2.3900000000000001E-2</v>
      </c>
      <c r="F1351" s="76">
        <v>3.5999999999999997E-2</v>
      </c>
      <c r="G1351" s="76">
        <v>4.8099999999999997E-2</v>
      </c>
      <c r="H1351" s="76">
        <v>6.0199999999999997E-2</v>
      </c>
      <c r="I1351" s="76">
        <v>7.2099999999999997E-2</v>
      </c>
      <c r="J1351" s="76">
        <v>8.4000000000000005E-2</v>
      </c>
      <c r="K1351" s="76">
        <v>9.6000000000000002E-2</v>
      </c>
      <c r="L1351" s="76">
        <v>0.108</v>
      </c>
      <c r="M1351" s="76">
        <v>0.12</v>
      </c>
    </row>
    <row r="1352" spans="3:13" x14ac:dyDescent="0.15">
      <c r="C1352" s="76">
        <v>446</v>
      </c>
      <c r="D1352" s="76">
        <v>1.47E-2</v>
      </c>
      <c r="E1352" s="76">
        <v>3.0099999999999998E-2</v>
      </c>
      <c r="F1352" s="76">
        <v>4.53E-2</v>
      </c>
      <c r="G1352" s="76">
        <v>6.0499999999999998E-2</v>
      </c>
      <c r="H1352" s="76">
        <v>7.5600000000000001E-2</v>
      </c>
      <c r="I1352" s="76">
        <v>9.0700000000000003E-2</v>
      </c>
      <c r="J1352" s="76">
        <v>0.106</v>
      </c>
      <c r="K1352" s="76">
        <v>0.121</v>
      </c>
      <c r="L1352" s="76">
        <v>0.13500000000000001</v>
      </c>
      <c r="M1352" s="76">
        <v>0.15</v>
      </c>
    </row>
    <row r="1353" spans="3:13" x14ac:dyDescent="0.15">
      <c r="C1353" s="76">
        <v>448</v>
      </c>
      <c r="D1353" s="76">
        <v>1.7899999999999999E-2</v>
      </c>
      <c r="E1353" s="76">
        <v>3.6700000000000003E-2</v>
      </c>
      <c r="F1353" s="76">
        <v>5.5199999999999999E-2</v>
      </c>
      <c r="G1353" s="76">
        <v>7.3700000000000002E-2</v>
      </c>
      <c r="H1353" s="76">
        <v>9.2100000000000001E-2</v>
      </c>
      <c r="I1353" s="76">
        <v>0.11</v>
      </c>
      <c r="J1353" s="76">
        <v>0.129</v>
      </c>
      <c r="K1353" s="76">
        <v>0.14699999999999999</v>
      </c>
      <c r="L1353" s="76">
        <v>0.16500000000000001</v>
      </c>
      <c r="M1353" s="76">
        <v>0.183</v>
      </c>
    </row>
    <row r="1354" spans="3:13" x14ac:dyDescent="0.15">
      <c r="C1354" s="76">
        <v>450</v>
      </c>
      <c r="D1354" s="76">
        <v>2.1299999999999999E-2</v>
      </c>
      <c r="E1354" s="76">
        <v>4.36E-2</v>
      </c>
      <c r="F1354" s="76">
        <v>6.5699999999999995E-2</v>
      </c>
      <c r="G1354" s="76">
        <v>8.7599999999999997E-2</v>
      </c>
      <c r="H1354" s="76">
        <v>0.11</v>
      </c>
      <c r="I1354" s="76">
        <v>0.13100000000000001</v>
      </c>
      <c r="J1354" s="76">
        <v>0.153</v>
      </c>
      <c r="K1354" s="76">
        <v>0.17399999999999999</v>
      </c>
      <c r="L1354" s="76">
        <v>0.19600000000000001</v>
      </c>
      <c r="M1354" s="76">
        <v>0.217</v>
      </c>
    </row>
    <row r="1355" spans="3:13" x14ac:dyDescent="0.15">
      <c r="C1355" s="76">
        <v>452</v>
      </c>
      <c r="D1355" s="76">
        <v>2.4199999999999999E-2</v>
      </c>
      <c r="E1355" s="76">
        <v>4.9599999999999998E-2</v>
      </c>
      <c r="F1355" s="76">
        <v>7.46E-2</v>
      </c>
      <c r="G1355" s="76">
        <v>9.9599999999999994E-2</v>
      </c>
      <c r="H1355" s="76">
        <v>0.124</v>
      </c>
      <c r="I1355" s="76">
        <v>0.14899999999999999</v>
      </c>
      <c r="J1355" s="76">
        <v>0.17299999999999999</v>
      </c>
      <c r="K1355" s="76">
        <v>0.19800000000000001</v>
      </c>
      <c r="L1355" s="76">
        <v>0.222</v>
      </c>
      <c r="M1355" s="76">
        <v>0.247</v>
      </c>
    </row>
    <row r="1356" spans="3:13" x14ac:dyDescent="0.15">
      <c r="C1356" s="76">
        <v>454</v>
      </c>
      <c r="D1356" s="76">
        <v>2.6499999999999999E-2</v>
      </c>
      <c r="E1356" s="76">
        <v>5.4199999999999998E-2</v>
      </c>
      <c r="F1356" s="76">
        <v>8.1600000000000006E-2</v>
      </c>
      <c r="G1356" s="76">
        <v>0.109</v>
      </c>
      <c r="H1356" s="76">
        <v>0.13600000000000001</v>
      </c>
      <c r="I1356" s="76">
        <v>0.16300000000000001</v>
      </c>
      <c r="J1356" s="76">
        <v>0.19</v>
      </c>
      <c r="K1356" s="76">
        <v>0.216</v>
      </c>
      <c r="L1356" s="76">
        <v>0.24199999999999999</v>
      </c>
      <c r="M1356" s="76">
        <v>0.26900000000000002</v>
      </c>
    </row>
    <row r="1357" spans="3:13" x14ac:dyDescent="0.15">
      <c r="C1357" s="76">
        <v>456</v>
      </c>
      <c r="D1357" s="76">
        <v>2.81E-2</v>
      </c>
      <c r="E1357" s="76">
        <v>5.7500000000000002E-2</v>
      </c>
      <c r="F1357" s="76">
        <v>8.6499999999999994E-2</v>
      </c>
      <c r="G1357" s="76">
        <v>0.115</v>
      </c>
      <c r="H1357" s="76">
        <v>0.14399999999999999</v>
      </c>
      <c r="I1357" s="76">
        <v>0.17199999999999999</v>
      </c>
      <c r="J1357" s="76">
        <v>0.20100000000000001</v>
      </c>
      <c r="K1357" s="76">
        <v>0.22900000000000001</v>
      </c>
      <c r="L1357" s="76">
        <v>0.25700000000000001</v>
      </c>
      <c r="M1357" s="76">
        <v>0.28499999999999998</v>
      </c>
    </row>
    <row r="1358" spans="3:13" x14ac:dyDescent="0.15">
      <c r="C1358" s="76">
        <v>458</v>
      </c>
      <c r="D1358" s="76">
        <v>2.8899999999999999E-2</v>
      </c>
      <c r="E1358" s="76">
        <v>5.91E-2</v>
      </c>
      <c r="F1358" s="76">
        <v>8.8900000000000007E-2</v>
      </c>
      <c r="G1358" s="76">
        <v>0.11799999999999999</v>
      </c>
      <c r="H1358" s="76">
        <v>0.14799999999999999</v>
      </c>
      <c r="I1358" s="76">
        <v>0.17699999999999999</v>
      </c>
      <c r="J1358" s="76">
        <v>0.20599999999999999</v>
      </c>
      <c r="K1358" s="76">
        <v>0.23499999999999999</v>
      </c>
      <c r="L1358" s="76">
        <v>0.26400000000000001</v>
      </c>
      <c r="M1358" s="76">
        <v>0.29299999999999998</v>
      </c>
    </row>
    <row r="1359" spans="3:13" x14ac:dyDescent="0.15">
      <c r="C1359" s="76">
        <v>460</v>
      </c>
      <c r="D1359" s="76">
        <v>2.9000000000000001E-2</v>
      </c>
      <c r="E1359" s="76">
        <v>5.9200000000000003E-2</v>
      </c>
      <c r="F1359" s="76">
        <v>8.9099999999999999E-2</v>
      </c>
      <c r="G1359" s="76">
        <v>0.11899999999999999</v>
      </c>
      <c r="H1359" s="76">
        <v>0.14799999999999999</v>
      </c>
      <c r="I1359" s="76">
        <v>0.17799999999999999</v>
      </c>
      <c r="J1359" s="76">
        <v>0.20699999999999999</v>
      </c>
      <c r="K1359" s="76">
        <v>0.23599999999999999</v>
      </c>
      <c r="L1359" s="76">
        <v>0.26500000000000001</v>
      </c>
      <c r="M1359" s="76">
        <v>0.29399999999999998</v>
      </c>
    </row>
    <row r="1360" spans="3:13" x14ac:dyDescent="0.15">
      <c r="C1360" s="76">
        <v>462</v>
      </c>
      <c r="D1360" s="76">
        <v>2.8299999999999999E-2</v>
      </c>
      <c r="E1360" s="76">
        <v>5.8000000000000003E-2</v>
      </c>
      <c r="F1360" s="76">
        <v>8.72E-2</v>
      </c>
      <c r="G1360" s="76">
        <v>0.11600000000000001</v>
      </c>
      <c r="H1360" s="76">
        <v>0.14499999999999999</v>
      </c>
      <c r="I1360" s="76">
        <v>0.17399999999999999</v>
      </c>
      <c r="J1360" s="76">
        <v>0.20200000000000001</v>
      </c>
      <c r="K1360" s="76">
        <v>0.23100000000000001</v>
      </c>
      <c r="L1360" s="76">
        <v>0.25900000000000001</v>
      </c>
      <c r="M1360" s="76">
        <v>0.28699999999999998</v>
      </c>
    </row>
    <row r="1361" spans="3:13" x14ac:dyDescent="0.15">
      <c r="C1361" s="76">
        <v>464</v>
      </c>
      <c r="D1361" s="76">
        <v>2.7E-2</v>
      </c>
      <c r="E1361" s="76">
        <v>5.5199999999999999E-2</v>
      </c>
      <c r="F1361" s="76">
        <v>8.3099999999999993E-2</v>
      </c>
      <c r="G1361" s="76">
        <v>0.111</v>
      </c>
      <c r="H1361" s="76">
        <v>0.13800000000000001</v>
      </c>
      <c r="I1361" s="76">
        <v>0.16600000000000001</v>
      </c>
      <c r="J1361" s="76">
        <v>0.193</v>
      </c>
      <c r="K1361" s="76">
        <v>0.22</v>
      </c>
      <c r="L1361" s="76">
        <v>0.247</v>
      </c>
      <c r="M1361" s="76">
        <v>0.27300000000000002</v>
      </c>
    </row>
    <row r="1362" spans="3:13" x14ac:dyDescent="0.15">
      <c r="C1362" s="76">
        <v>466</v>
      </c>
      <c r="D1362" s="76">
        <v>2.5499999999999998E-2</v>
      </c>
      <c r="E1362" s="76">
        <v>5.2200000000000003E-2</v>
      </c>
      <c r="F1362" s="76">
        <v>7.85E-2</v>
      </c>
      <c r="G1362" s="76">
        <v>0.105</v>
      </c>
      <c r="H1362" s="76">
        <v>0.13100000000000001</v>
      </c>
      <c r="I1362" s="76">
        <v>0.157</v>
      </c>
      <c r="J1362" s="76">
        <v>0.182</v>
      </c>
      <c r="K1362" s="76">
        <v>0.20799999999999999</v>
      </c>
      <c r="L1362" s="76">
        <v>0.23300000000000001</v>
      </c>
      <c r="M1362" s="76">
        <v>0.25900000000000001</v>
      </c>
    </row>
    <row r="1363" spans="3:13" x14ac:dyDescent="0.15">
      <c r="C1363" s="76">
        <v>468</v>
      </c>
      <c r="D1363" s="76">
        <v>2.4E-2</v>
      </c>
      <c r="E1363" s="76">
        <v>4.9000000000000002E-2</v>
      </c>
      <c r="F1363" s="76">
        <v>7.3800000000000004E-2</v>
      </c>
      <c r="G1363" s="76">
        <v>9.8400000000000001E-2</v>
      </c>
      <c r="H1363" s="76">
        <v>0.123</v>
      </c>
      <c r="I1363" s="76">
        <v>0.14699999999999999</v>
      </c>
      <c r="J1363" s="76">
        <v>0.17100000000000001</v>
      </c>
      <c r="K1363" s="76">
        <v>0.19500000000000001</v>
      </c>
      <c r="L1363" s="76">
        <v>0.219</v>
      </c>
      <c r="M1363" s="76">
        <v>0.24299999999999999</v>
      </c>
    </row>
    <row r="1364" spans="3:13" x14ac:dyDescent="0.15">
      <c r="C1364" s="76">
        <v>470</v>
      </c>
      <c r="D1364" s="76">
        <v>2.24E-2</v>
      </c>
      <c r="E1364" s="76">
        <v>4.5900000000000003E-2</v>
      </c>
      <c r="F1364" s="76">
        <v>6.9099999999999995E-2</v>
      </c>
      <c r="G1364" s="76">
        <v>9.2100000000000001E-2</v>
      </c>
      <c r="H1364" s="76">
        <v>0.115</v>
      </c>
      <c r="I1364" s="76">
        <v>0.13800000000000001</v>
      </c>
      <c r="J1364" s="76">
        <v>0.16</v>
      </c>
      <c r="K1364" s="76">
        <v>0.183</v>
      </c>
      <c r="L1364" s="76">
        <v>0.20499999999999999</v>
      </c>
      <c r="M1364" s="76">
        <v>0.22800000000000001</v>
      </c>
    </row>
    <row r="1365" spans="3:13" x14ac:dyDescent="0.15">
      <c r="C1365" s="76">
        <v>472</v>
      </c>
      <c r="D1365" s="76">
        <v>2.1000000000000001E-2</v>
      </c>
      <c r="E1365" s="76">
        <v>4.2999999999999997E-2</v>
      </c>
      <c r="F1365" s="76">
        <v>6.4699999999999994E-2</v>
      </c>
      <c r="G1365" s="76">
        <v>8.6300000000000002E-2</v>
      </c>
      <c r="H1365" s="76">
        <v>0.108</v>
      </c>
      <c r="I1365" s="76">
        <v>0.129</v>
      </c>
      <c r="J1365" s="76">
        <v>0.15</v>
      </c>
      <c r="K1365" s="76">
        <v>0.17100000000000001</v>
      </c>
      <c r="L1365" s="76">
        <v>0.192</v>
      </c>
      <c r="M1365" s="76">
        <v>0.21299999999999999</v>
      </c>
    </row>
    <row r="1366" spans="3:13" x14ac:dyDescent="0.15">
      <c r="C1366" s="76">
        <v>474</v>
      </c>
      <c r="D1366" s="76">
        <v>1.9800000000000002E-2</v>
      </c>
      <c r="E1366" s="76">
        <v>4.0500000000000001E-2</v>
      </c>
      <c r="F1366" s="76">
        <v>6.0999999999999999E-2</v>
      </c>
      <c r="G1366" s="76">
        <v>8.14E-2</v>
      </c>
      <c r="H1366" s="76">
        <v>0.10199999999999999</v>
      </c>
      <c r="I1366" s="76">
        <v>0.122</v>
      </c>
      <c r="J1366" s="76">
        <v>0.14199999999999999</v>
      </c>
      <c r="K1366" s="76">
        <v>0.16200000000000001</v>
      </c>
      <c r="L1366" s="76">
        <v>0.18099999999999999</v>
      </c>
      <c r="M1366" s="76">
        <v>0.20100000000000001</v>
      </c>
    </row>
    <row r="1367" spans="3:13" x14ac:dyDescent="0.15">
      <c r="C1367" s="76">
        <v>476</v>
      </c>
      <c r="D1367" s="76">
        <v>1.8700000000000001E-2</v>
      </c>
      <c r="E1367" s="76">
        <v>3.8199999999999998E-2</v>
      </c>
      <c r="F1367" s="76">
        <v>5.7500000000000002E-2</v>
      </c>
      <c r="G1367" s="76">
        <v>7.6600000000000001E-2</v>
      </c>
      <c r="H1367" s="76">
        <v>9.5699999999999993E-2</v>
      </c>
      <c r="I1367" s="76">
        <v>0.115</v>
      </c>
      <c r="J1367" s="76">
        <v>0.13400000000000001</v>
      </c>
      <c r="K1367" s="76">
        <v>0.152</v>
      </c>
      <c r="L1367" s="76">
        <v>0.17100000000000001</v>
      </c>
      <c r="M1367" s="76">
        <v>0.189</v>
      </c>
    </row>
    <row r="1368" spans="3:13" x14ac:dyDescent="0.15">
      <c r="C1368" s="76">
        <v>478</v>
      </c>
      <c r="D1368" s="76">
        <v>1.7899999999999999E-2</v>
      </c>
      <c r="E1368" s="76">
        <v>3.6499999999999998E-2</v>
      </c>
      <c r="F1368" s="76">
        <v>5.5E-2</v>
      </c>
      <c r="G1368" s="76">
        <v>7.3200000000000001E-2</v>
      </c>
      <c r="H1368" s="76">
        <v>9.1499999999999998E-2</v>
      </c>
      <c r="I1368" s="76">
        <v>0.11</v>
      </c>
      <c r="J1368" s="76">
        <v>0.128</v>
      </c>
      <c r="K1368" s="76">
        <v>0.14599999999999999</v>
      </c>
      <c r="L1368" s="76">
        <v>0.16400000000000001</v>
      </c>
      <c r="M1368" s="76">
        <v>0.18099999999999999</v>
      </c>
    </row>
    <row r="1369" spans="3:13" x14ac:dyDescent="0.15">
      <c r="C1369" s="76">
        <v>480</v>
      </c>
      <c r="D1369" s="76">
        <v>1.72E-2</v>
      </c>
      <c r="E1369" s="76">
        <v>3.5099999999999999E-2</v>
      </c>
      <c r="F1369" s="76">
        <v>5.28E-2</v>
      </c>
      <c r="G1369" s="76">
        <v>7.0400000000000004E-2</v>
      </c>
      <c r="H1369" s="76">
        <v>8.7999999999999995E-2</v>
      </c>
      <c r="I1369" s="76">
        <v>0.105</v>
      </c>
      <c r="J1369" s="76">
        <v>0.123</v>
      </c>
      <c r="K1369" s="76">
        <v>0.14000000000000001</v>
      </c>
      <c r="L1369" s="76">
        <v>0.157</v>
      </c>
      <c r="M1369" s="76">
        <v>0.17399999999999999</v>
      </c>
    </row>
    <row r="1370" spans="3:13" x14ac:dyDescent="0.15">
      <c r="C1370" s="76">
        <v>482</v>
      </c>
      <c r="D1370" s="76">
        <v>1.66E-2</v>
      </c>
      <c r="E1370" s="76">
        <v>3.39E-2</v>
      </c>
      <c r="F1370" s="76">
        <v>5.0999999999999997E-2</v>
      </c>
      <c r="G1370" s="76">
        <v>6.8000000000000005E-2</v>
      </c>
      <c r="H1370" s="76">
        <v>8.4900000000000003E-2</v>
      </c>
      <c r="I1370" s="76">
        <v>0.10199999999999999</v>
      </c>
      <c r="J1370" s="76">
        <v>0.11799999999999999</v>
      </c>
      <c r="K1370" s="76">
        <v>0.13500000000000001</v>
      </c>
      <c r="L1370" s="76">
        <v>0.152</v>
      </c>
      <c r="M1370" s="76">
        <v>0.16800000000000001</v>
      </c>
    </row>
    <row r="1371" spans="3:13" x14ac:dyDescent="0.15">
      <c r="C1371" s="76">
        <v>484</v>
      </c>
      <c r="D1371" s="76">
        <v>1.5900000000000001E-2</v>
      </c>
      <c r="E1371" s="76">
        <v>3.2599999999999997E-2</v>
      </c>
      <c r="F1371" s="76">
        <v>4.9099999999999998E-2</v>
      </c>
      <c r="G1371" s="76">
        <v>6.54E-2</v>
      </c>
      <c r="H1371" s="76">
        <v>8.1699999999999995E-2</v>
      </c>
      <c r="I1371" s="76">
        <v>9.7799999999999998E-2</v>
      </c>
      <c r="J1371" s="76">
        <v>0.114</v>
      </c>
      <c r="K1371" s="76">
        <v>0.13</v>
      </c>
      <c r="L1371" s="76">
        <v>0.14599999999999999</v>
      </c>
      <c r="M1371" s="76">
        <v>0.16200000000000001</v>
      </c>
    </row>
    <row r="1372" spans="3:13" x14ac:dyDescent="0.15">
      <c r="C1372" s="76">
        <v>486</v>
      </c>
      <c r="D1372" s="76">
        <v>1.5299999999999999E-2</v>
      </c>
      <c r="E1372" s="76">
        <v>3.1399999999999997E-2</v>
      </c>
      <c r="F1372" s="76">
        <v>4.7100000000000003E-2</v>
      </c>
      <c r="G1372" s="76">
        <v>6.2700000000000006E-2</v>
      </c>
      <c r="H1372" s="76">
        <v>7.8399999999999997E-2</v>
      </c>
      <c r="I1372" s="76">
        <v>9.3799999999999994E-2</v>
      </c>
      <c r="J1372" s="76">
        <v>0.109</v>
      </c>
      <c r="K1372" s="76">
        <v>0.125</v>
      </c>
      <c r="L1372" s="76">
        <v>0.14000000000000001</v>
      </c>
      <c r="M1372" s="76">
        <v>0.155</v>
      </c>
    </row>
    <row r="1373" spans="3:13" x14ac:dyDescent="0.15">
      <c r="C1373" s="76">
        <v>488</v>
      </c>
      <c r="D1373" s="76">
        <v>1.4500000000000001E-2</v>
      </c>
      <c r="E1373" s="76">
        <v>2.9700000000000001E-2</v>
      </c>
      <c r="F1373" s="76">
        <v>4.4600000000000001E-2</v>
      </c>
      <c r="G1373" s="76">
        <v>5.9400000000000001E-2</v>
      </c>
      <c r="H1373" s="76">
        <v>7.4200000000000002E-2</v>
      </c>
      <c r="I1373" s="76">
        <v>8.8800000000000004E-2</v>
      </c>
      <c r="J1373" s="76">
        <v>0.10299999999999999</v>
      </c>
      <c r="K1373" s="76">
        <v>0.11799999999999999</v>
      </c>
      <c r="L1373" s="76">
        <v>0.13200000000000001</v>
      </c>
      <c r="M1373" s="76">
        <v>0.14599999999999999</v>
      </c>
    </row>
    <row r="1374" spans="3:13" x14ac:dyDescent="0.15">
      <c r="C1374" s="76">
        <v>490</v>
      </c>
      <c r="D1374" s="76">
        <v>1.37E-2</v>
      </c>
      <c r="E1374" s="76">
        <v>2.8000000000000001E-2</v>
      </c>
      <c r="F1374" s="76">
        <v>4.2099999999999999E-2</v>
      </c>
      <c r="G1374" s="76">
        <v>5.6099999999999997E-2</v>
      </c>
      <c r="H1374" s="76">
        <v>6.9900000000000004E-2</v>
      </c>
      <c r="I1374" s="76">
        <v>8.3799999999999999E-2</v>
      </c>
      <c r="J1374" s="76">
        <v>9.7600000000000006E-2</v>
      </c>
      <c r="K1374" s="76">
        <v>0.111</v>
      </c>
      <c r="L1374" s="76">
        <v>0.125</v>
      </c>
      <c r="M1374" s="76">
        <v>0.13800000000000001</v>
      </c>
    </row>
    <row r="1375" spans="3:13" x14ac:dyDescent="0.15">
      <c r="C1375" s="76">
        <v>492</v>
      </c>
      <c r="D1375" s="76">
        <v>1.2800000000000001E-2</v>
      </c>
      <c r="E1375" s="76">
        <v>2.63E-2</v>
      </c>
      <c r="F1375" s="76">
        <v>3.95E-2</v>
      </c>
      <c r="G1375" s="76">
        <v>5.2600000000000001E-2</v>
      </c>
      <c r="H1375" s="76">
        <v>6.5600000000000006E-2</v>
      </c>
      <c r="I1375" s="76">
        <v>7.8600000000000003E-2</v>
      </c>
      <c r="J1375" s="76">
        <v>9.1600000000000001E-2</v>
      </c>
      <c r="K1375" s="76">
        <v>0.104</v>
      </c>
      <c r="L1375" s="76">
        <v>0.11700000000000001</v>
      </c>
      <c r="M1375" s="76">
        <v>0.13</v>
      </c>
    </row>
    <row r="1376" spans="3:13" x14ac:dyDescent="0.15">
      <c r="C1376" s="76">
        <v>494</v>
      </c>
      <c r="D1376" s="76">
        <v>1.1900000000000001E-2</v>
      </c>
      <c r="E1376" s="76">
        <v>2.4400000000000002E-2</v>
      </c>
      <c r="F1376" s="76">
        <v>3.6700000000000003E-2</v>
      </c>
      <c r="G1376" s="76">
        <v>4.8899999999999999E-2</v>
      </c>
      <c r="H1376" s="76">
        <v>6.0999999999999999E-2</v>
      </c>
      <c r="I1376" s="76">
        <v>7.3099999999999998E-2</v>
      </c>
      <c r="J1376" s="76">
        <v>8.5099999999999995E-2</v>
      </c>
      <c r="K1376" s="76">
        <v>9.7000000000000003E-2</v>
      </c>
      <c r="L1376" s="76">
        <v>0.109</v>
      </c>
      <c r="M1376" s="76">
        <v>0.121</v>
      </c>
    </row>
    <row r="1377" spans="3:13" x14ac:dyDescent="0.15">
      <c r="C1377" s="76">
        <v>496</v>
      </c>
      <c r="D1377" s="76">
        <v>1.11E-2</v>
      </c>
      <c r="E1377" s="76">
        <v>2.2599999999999999E-2</v>
      </c>
      <c r="F1377" s="76">
        <v>3.4000000000000002E-2</v>
      </c>
      <c r="G1377" s="76">
        <v>4.53E-2</v>
      </c>
      <c r="H1377" s="76">
        <v>5.6500000000000002E-2</v>
      </c>
      <c r="I1377" s="76">
        <v>6.7699999999999996E-2</v>
      </c>
      <c r="J1377" s="76">
        <v>7.8899999999999998E-2</v>
      </c>
      <c r="K1377" s="76">
        <v>8.9899999999999994E-2</v>
      </c>
      <c r="L1377" s="76">
        <v>0.10100000000000001</v>
      </c>
      <c r="M1377" s="76">
        <v>0.112</v>
      </c>
    </row>
    <row r="1378" spans="3:13" x14ac:dyDescent="0.15">
      <c r="C1378" s="76">
        <v>498</v>
      </c>
      <c r="D1378" s="76">
        <v>1.0200000000000001E-2</v>
      </c>
      <c r="E1378" s="76">
        <v>2.0799999999999999E-2</v>
      </c>
      <c r="F1378" s="76">
        <v>3.1199999999999999E-2</v>
      </c>
      <c r="G1378" s="76">
        <v>4.1599999999999998E-2</v>
      </c>
      <c r="H1378" s="76">
        <v>5.1900000000000002E-2</v>
      </c>
      <c r="I1378" s="76">
        <v>6.2199999999999998E-2</v>
      </c>
      <c r="J1378" s="76">
        <v>7.2400000000000006E-2</v>
      </c>
      <c r="K1378" s="76">
        <v>8.2600000000000007E-2</v>
      </c>
      <c r="L1378" s="76">
        <v>9.2600000000000002E-2</v>
      </c>
      <c r="M1378" s="76">
        <v>0.10199999999999999</v>
      </c>
    </row>
    <row r="1379" spans="3:13" x14ac:dyDescent="0.15">
      <c r="C1379" s="76">
        <v>500</v>
      </c>
      <c r="D1379" s="76">
        <v>9.2099999999999994E-3</v>
      </c>
      <c r="E1379" s="76">
        <v>1.8800000000000001E-2</v>
      </c>
      <c r="F1379" s="76">
        <v>2.8299999999999999E-2</v>
      </c>
      <c r="G1379" s="76">
        <v>3.7699999999999997E-2</v>
      </c>
      <c r="H1379" s="76">
        <v>4.7E-2</v>
      </c>
      <c r="I1379" s="76">
        <v>5.6399999999999999E-2</v>
      </c>
      <c r="J1379" s="76">
        <v>6.5500000000000003E-2</v>
      </c>
      <c r="K1379" s="76">
        <v>7.4899999999999994E-2</v>
      </c>
      <c r="L1379" s="76">
        <v>8.3900000000000002E-2</v>
      </c>
      <c r="M1379" s="76">
        <v>9.2899999999999996E-2</v>
      </c>
    </row>
    <row r="1380" spans="3:13" x14ac:dyDescent="0.15">
      <c r="C1380" s="76">
        <v>502</v>
      </c>
      <c r="D1380" s="76">
        <v>8.3000000000000001E-3</v>
      </c>
      <c r="E1380" s="76">
        <v>1.7000000000000001E-2</v>
      </c>
      <c r="F1380" s="76">
        <v>2.5499999999999998E-2</v>
      </c>
      <c r="G1380" s="76">
        <v>3.4000000000000002E-2</v>
      </c>
      <c r="H1380" s="76">
        <v>4.2500000000000003E-2</v>
      </c>
      <c r="I1380" s="76">
        <v>5.0900000000000001E-2</v>
      </c>
      <c r="J1380" s="76">
        <v>5.9200000000000003E-2</v>
      </c>
      <c r="K1380" s="76">
        <v>6.7500000000000004E-2</v>
      </c>
      <c r="L1380" s="76">
        <v>7.5700000000000003E-2</v>
      </c>
      <c r="M1380" s="76">
        <v>8.3799999999999999E-2</v>
      </c>
    </row>
    <row r="1381" spans="3:13" x14ac:dyDescent="0.15">
      <c r="C1381" s="76">
        <v>504</v>
      </c>
      <c r="D1381" s="76">
        <v>7.5199999999999998E-3</v>
      </c>
      <c r="E1381" s="76">
        <v>1.54E-2</v>
      </c>
      <c r="F1381" s="76">
        <v>2.3199999999999998E-2</v>
      </c>
      <c r="G1381" s="76">
        <v>3.0800000000000001E-2</v>
      </c>
      <c r="H1381" s="76">
        <v>3.8399999999999997E-2</v>
      </c>
      <c r="I1381" s="76">
        <v>4.6100000000000002E-2</v>
      </c>
      <c r="J1381" s="76">
        <v>5.3600000000000002E-2</v>
      </c>
      <c r="K1381" s="76">
        <v>6.1400000000000003E-2</v>
      </c>
      <c r="L1381" s="76">
        <v>6.8599999999999994E-2</v>
      </c>
      <c r="M1381" s="76">
        <v>7.5999999999999998E-2</v>
      </c>
    </row>
    <row r="1382" spans="3:13" x14ac:dyDescent="0.15">
      <c r="C1382" s="76">
        <v>506</v>
      </c>
      <c r="D1382" s="76">
        <v>6.8100000000000001E-3</v>
      </c>
      <c r="E1382" s="76">
        <v>1.3899999999999999E-2</v>
      </c>
      <c r="F1382" s="76">
        <v>2.0899999999999998E-2</v>
      </c>
      <c r="G1382" s="76">
        <v>2.7900000000000001E-2</v>
      </c>
      <c r="H1382" s="76">
        <v>3.4799999999999998E-2</v>
      </c>
      <c r="I1382" s="76">
        <v>4.1799999999999997E-2</v>
      </c>
      <c r="J1382" s="76">
        <v>4.8500000000000001E-2</v>
      </c>
      <c r="K1382" s="76">
        <v>5.5399999999999998E-2</v>
      </c>
      <c r="L1382" s="76">
        <v>6.2100000000000002E-2</v>
      </c>
      <c r="M1382" s="76">
        <v>6.8900000000000003E-2</v>
      </c>
    </row>
    <row r="1383" spans="3:13" x14ac:dyDescent="0.15">
      <c r="C1383" s="76">
        <v>508</v>
      </c>
      <c r="D1383" s="76">
        <v>6.1599999999999997E-3</v>
      </c>
      <c r="E1383" s="76">
        <v>1.26E-2</v>
      </c>
      <c r="F1383" s="76">
        <v>1.89E-2</v>
      </c>
      <c r="G1383" s="76">
        <v>2.53E-2</v>
      </c>
      <c r="H1383" s="76">
        <v>3.15E-2</v>
      </c>
      <c r="I1383" s="76">
        <v>3.78E-2</v>
      </c>
      <c r="J1383" s="76">
        <v>4.3900000000000002E-2</v>
      </c>
      <c r="K1383" s="76">
        <v>5.0200000000000002E-2</v>
      </c>
      <c r="L1383" s="76">
        <v>5.62E-2</v>
      </c>
      <c r="M1383" s="76">
        <v>6.2300000000000001E-2</v>
      </c>
    </row>
    <row r="1384" spans="3:13" x14ac:dyDescent="0.15">
      <c r="C1384" s="76">
        <v>510</v>
      </c>
      <c r="D1384" s="76">
        <v>5.5999999999999999E-3</v>
      </c>
      <c r="E1384" s="76">
        <v>1.15E-2</v>
      </c>
      <c r="F1384" s="76">
        <v>1.72E-2</v>
      </c>
      <c r="G1384" s="76">
        <v>2.29E-2</v>
      </c>
      <c r="H1384" s="76">
        <v>2.86E-2</v>
      </c>
      <c r="I1384" s="76">
        <v>3.44E-2</v>
      </c>
      <c r="J1384" s="76">
        <v>3.9899999999999998E-2</v>
      </c>
      <c r="K1384" s="76">
        <v>4.5600000000000002E-2</v>
      </c>
      <c r="L1384" s="76">
        <v>5.11E-2</v>
      </c>
      <c r="M1384" s="76">
        <v>5.6500000000000002E-2</v>
      </c>
    </row>
    <row r="1385" spans="3:13" x14ac:dyDescent="0.15">
      <c r="C1385" s="76">
        <v>512</v>
      </c>
      <c r="D1385" s="76">
        <v>5.0400000000000002E-3</v>
      </c>
      <c r="E1385" s="76">
        <v>1.03E-2</v>
      </c>
      <c r="F1385" s="76">
        <v>1.55E-2</v>
      </c>
      <c r="G1385" s="76">
        <v>2.07E-2</v>
      </c>
      <c r="H1385" s="76">
        <v>2.58E-2</v>
      </c>
      <c r="I1385" s="76">
        <v>3.1E-2</v>
      </c>
      <c r="J1385" s="76">
        <v>3.5900000000000001E-2</v>
      </c>
      <c r="K1385" s="76">
        <v>4.1099999999999998E-2</v>
      </c>
      <c r="L1385" s="76">
        <v>4.5999999999999999E-2</v>
      </c>
      <c r="M1385" s="76">
        <v>5.0999999999999997E-2</v>
      </c>
    </row>
    <row r="1386" spans="3:13" x14ac:dyDescent="0.15">
      <c r="C1386" s="76">
        <v>514</v>
      </c>
      <c r="D1386" s="76">
        <v>4.6100000000000004E-3</v>
      </c>
      <c r="E1386" s="76">
        <v>9.4400000000000005E-3</v>
      </c>
      <c r="F1386" s="76">
        <v>1.41E-2</v>
      </c>
      <c r="G1386" s="76">
        <v>1.8800000000000001E-2</v>
      </c>
      <c r="H1386" s="76">
        <v>2.35E-2</v>
      </c>
      <c r="I1386" s="76">
        <v>2.8400000000000002E-2</v>
      </c>
      <c r="J1386" s="76">
        <v>3.2800000000000003E-2</v>
      </c>
      <c r="K1386" s="76">
        <v>3.7400000000000003E-2</v>
      </c>
      <c r="L1386" s="76">
        <v>4.2000000000000003E-2</v>
      </c>
      <c r="M1386" s="76">
        <v>4.6600000000000003E-2</v>
      </c>
    </row>
    <row r="1387" spans="3:13" x14ac:dyDescent="0.15">
      <c r="C1387" s="76">
        <v>516</v>
      </c>
      <c r="D1387" s="76">
        <v>4.2399999999999998E-3</v>
      </c>
      <c r="E1387" s="76">
        <v>8.6700000000000006E-3</v>
      </c>
      <c r="F1387" s="76">
        <v>1.2999999999999999E-2</v>
      </c>
      <c r="G1387" s="76">
        <v>1.7299999999999999E-2</v>
      </c>
      <c r="H1387" s="76">
        <v>2.1600000000000001E-2</v>
      </c>
      <c r="I1387" s="76">
        <v>2.5999999999999999E-2</v>
      </c>
      <c r="J1387" s="76">
        <v>3.0099999999999998E-2</v>
      </c>
      <c r="K1387" s="76">
        <v>3.4299999999999997E-2</v>
      </c>
      <c r="L1387" s="76">
        <v>3.85E-2</v>
      </c>
      <c r="M1387" s="76">
        <v>4.2799999999999998E-2</v>
      </c>
    </row>
    <row r="1388" spans="3:13" x14ac:dyDescent="0.15">
      <c r="C1388" s="76">
        <v>518</v>
      </c>
      <c r="D1388" s="76">
        <v>3.9100000000000003E-3</v>
      </c>
      <c r="E1388" s="76">
        <v>8.0099999999999998E-3</v>
      </c>
      <c r="F1388" s="76">
        <v>1.2E-2</v>
      </c>
      <c r="G1388" s="76">
        <v>1.6E-2</v>
      </c>
      <c r="H1388" s="76">
        <v>0.02</v>
      </c>
      <c r="I1388" s="76">
        <v>2.4E-2</v>
      </c>
      <c r="J1388" s="76">
        <v>2.7799999999999998E-2</v>
      </c>
      <c r="K1388" s="76">
        <v>3.1699999999999999E-2</v>
      </c>
      <c r="L1388" s="76">
        <v>3.56E-2</v>
      </c>
      <c r="M1388" s="76">
        <v>3.95E-2</v>
      </c>
    </row>
    <row r="1389" spans="3:13" x14ac:dyDescent="0.15">
      <c r="C1389" s="76">
        <v>520</v>
      </c>
      <c r="D1389" s="76">
        <v>3.62E-3</v>
      </c>
      <c r="E1389" s="76">
        <v>7.4099999999999999E-3</v>
      </c>
      <c r="F1389" s="76">
        <v>1.11E-2</v>
      </c>
      <c r="G1389" s="76">
        <v>1.4800000000000001E-2</v>
      </c>
      <c r="H1389" s="76">
        <v>1.84E-2</v>
      </c>
      <c r="I1389" s="76">
        <v>2.2200000000000001E-2</v>
      </c>
      <c r="J1389" s="76">
        <v>2.5700000000000001E-2</v>
      </c>
      <c r="K1389" s="76">
        <v>2.93E-2</v>
      </c>
      <c r="L1389" s="76">
        <v>3.3000000000000002E-2</v>
      </c>
      <c r="M1389" s="76">
        <v>3.6499999999999998E-2</v>
      </c>
    </row>
    <row r="1390" spans="3:13" x14ac:dyDescent="0.15">
      <c r="C1390" s="76">
        <v>522</v>
      </c>
      <c r="D1390" s="76">
        <v>3.3500000000000001E-3</v>
      </c>
      <c r="E1390" s="76">
        <v>6.8700000000000002E-3</v>
      </c>
      <c r="F1390" s="76">
        <v>1.0200000000000001E-2</v>
      </c>
      <c r="G1390" s="76">
        <v>1.37E-2</v>
      </c>
      <c r="H1390" s="76">
        <v>1.7100000000000001E-2</v>
      </c>
      <c r="I1390" s="76">
        <v>2.06E-2</v>
      </c>
      <c r="J1390" s="76">
        <v>2.3800000000000002E-2</v>
      </c>
      <c r="K1390" s="76">
        <v>2.7199999999999998E-2</v>
      </c>
      <c r="L1390" s="76">
        <v>3.0499999999999999E-2</v>
      </c>
      <c r="M1390" s="76">
        <v>3.3799999999999997E-2</v>
      </c>
    </row>
    <row r="1391" spans="3:13" x14ac:dyDescent="0.15">
      <c r="C1391" s="76">
        <v>524</v>
      </c>
      <c r="D1391" s="76">
        <v>3.0799999999999998E-3</v>
      </c>
      <c r="E1391" s="76">
        <v>6.3E-3</v>
      </c>
      <c r="F1391" s="76">
        <v>9.3900000000000008E-3</v>
      </c>
      <c r="G1391" s="76">
        <v>1.2500000000000001E-2</v>
      </c>
      <c r="H1391" s="76">
        <v>1.5699999999999999E-2</v>
      </c>
      <c r="I1391" s="76">
        <v>1.89E-2</v>
      </c>
      <c r="J1391" s="76">
        <v>2.18E-2</v>
      </c>
      <c r="K1391" s="76">
        <v>2.4899999999999999E-2</v>
      </c>
      <c r="L1391" s="76">
        <v>2.7900000000000001E-2</v>
      </c>
      <c r="M1391" s="76">
        <v>3.1E-2</v>
      </c>
    </row>
    <row r="1392" spans="3:13" x14ac:dyDescent="0.15">
      <c r="C1392" s="76">
        <v>526</v>
      </c>
      <c r="D1392" s="76">
        <v>2.8400000000000001E-3</v>
      </c>
      <c r="E1392" s="76">
        <v>5.7999999999999996E-3</v>
      </c>
      <c r="F1392" s="76">
        <v>8.6700000000000006E-3</v>
      </c>
      <c r="G1392" s="76">
        <v>1.1599999999999999E-2</v>
      </c>
      <c r="H1392" s="76">
        <v>1.4500000000000001E-2</v>
      </c>
      <c r="I1392" s="76">
        <v>1.7399999999999999E-2</v>
      </c>
      <c r="J1392" s="76">
        <v>0.02</v>
      </c>
      <c r="K1392" s="76">
        <v>2.29E-2</v>
      </c>
      <c r="L1392" s="76">
        <v>2.58E-2</v>
      </c>
      <c r="M1392" s="76">
        <v>2.87E-2</v>
      </c>
    </row>
    <row r="1393" spans="3:46" x14ac:dyDescent="0.15">
      <c r="C1393" s="76">
        <v>528</v>
      </c>
      <c r="D1393" s="76">
        <v>2.6199999999999999E-3</v>
      </c>
      <c r="E1393" s="76">
        <v>5.3600000000000002E-3</v>
      </c>
      <c r="F1393" s="76">
        <v>8.0199999999999994E-3</v>
      </c>
      <c r="G1393" s="76">
        <v>1.0699999999999999E-2</v>
      </c>
      <c r="H1393" s="76">
        <v>1.34E-2</v>
      </c>
      <c r="I1393" s="76">
        <v>1.61E-2</v>
      </c>
      <c r="J1393" s="76">
        <v>1.8499999999999999E-2</v>
      </c>
      <c r="K1393" s="76">
        <v>2.12E-2</v>
      </c>
      <c r="L1393" s="76">
        <v>2.3800000000000002E-2</v>
      </c>
      <c r="M1393" s="76">
        <v>2.6499999999999999E-2</v>
      </c>
    </row>
    <row r="1394" spans="3:46" x14ac:dyDescent="0.15">
      <c r="C1394" s="76">
        <v>530</v>
      </c>
      <c r="D1394" s="76">
        <v>2.4099999999999998E-3</v>
      </c>
      <c r="E1394" s="76">
        <v>4.9199999999999999E-3</v>
      </c>
      <c r="F1394" s="76">
        <v>7.3499999999999998E-3</v>
      </c>
      <c r="G1394" s="76">
        <v>9.8600000000000007E-3</v>
      </c>
      <c r="H1394" s="76">
        <v>1.23E-2</v>
      </c>
      <c r="I1394" s="76">
        <v>1.4800000000000001E-2</v>
      </c>
      <c r="J1394" s="76">
        <v>1.7100000000000001E-2</v>
      </c>
      <c r="K1394" s="76">
        <v>1.9400000000000001E-2</v>
      </c>
      <c r="L1394" s="76">
        <v>2.1899999999999999E-2</v>
      </c>
      <c r="M1394" s="76">
        <v>2.4299999999999999E-2</v>
      </c>
    </row>
    <row r="1395" spans="3:46" x14ac:dyDescent="0.15">
      <c r="C1395" s="76">
        <v>532</v>
      </c>
      <c r="D1395" s="76">
        <v>2.2100000000000002E-3</v>
      </c>
      <c r="E1395" s="76">
        <v>4.5100000000000001E-3</v>
      </c>
      <c r="F1395" s="76">
        <v>6.7299999999999999E-3</v>
      </c>
      <c r="G1395" s="76">
        <v>8.9999999999999993E-3</v>
      </c>
      <c r="H1395" s="76">
        <v>1.1299999999999999E-2</v>
      </c>
      <c r="I1395" s="76">
        <v>1.3599999999999999E-2</v>
      </c>
      <c r="J1395" s="76">
        <v>1.5699999999999999E-2</v>
      </c>
      <c r="K1395" s="76">
        <v>1.78E-2</v>
      </c>
      <c r="L1395" s="76">
        <v>0.02</v>
      </c>
      <c r="M1395" s="76">
        <v>2.23E-2</v>
      </c>
    </row>
    <row r="1396" spans="3:46" x14ac:dyDescent="0.15">
      <c r="C1396" s="76">
        <v>534</v>
      </c>
      <c r="D1396" s="76">
        <v>2.0200000000000001E-3</v>
      </c>
      <c r="E1396" s="76">
        <v>4.1000000000000003E-3</v>
      </c>
      <c r="F1396" s="76">
        <v>6.13E-3</v>
      </c>
      <c r="G1396" s="76">
        <v>8.2199999999999999E-3</v>
      </c>
      <c r="H1396" s="76">
        <v>1.03E-2</v>
      </c>
      <c r="I1396" s="76">
        <v>1.24E-2</v>
      </c>
      <c r="J1396" s="76">
        <v>1.43E-2</v>
      </c>
      <c r="K1396" s="76">
        <v>1.6199999999999999E-2</v>
      </c>
      <c r="L1396" s="76">
        <v>1.83E-2</v>
      </c>
      <c r="M1396" s="76">
        <v>2.0299999999999999E-2</v>
      </c>
    </row>
    <row r="1397" spans="3:46" x14ac:dyDescent="0.15">
      <c r="C1397" s="76">
        <v>536</v>
      </c>
      <c r="D1397" s="76">
        <v>1.82E-3</v>
      </c>
      <c r="E1397" s="76">
        <v>3.6900000000000001E-3</v>
      </c>
      <c r="F1397" s="76">
        <v>5.5300000000000002E-3</v>
      </c>
      <c r="G1397" s="76">
        <v>7.4000000000000003E-3</v>
      </c>
      <c r="H1397" s="76">
        <v>9.2599999999999991E-3</v>
      </c>
      <c r="I1397" s="76">
        <v>1.11E-2</v>
      </c>
      <c r="J1397" s="76">
        <v>1.2800000000000001E-2</v>
      </c>
      <c r="K1397" s="76">
        <v>1.46E-2</v>
      </c>
      <c r="L1397" s="76">
        <v>1.6500000000000001E-2</v>
      </c>
      <c r="M1397" s="76">
        <v>1.83E-2</v>
      </c>
    </row>
    <row r="1398" spans="3:46" x14ac:dyDescent="0.15">
      <c r="C1398" s="76">
        <v>538</v>
      </c>
      <c r="D1398" s="76">
        <v>1.66E-3</v>
      </c>
      <c r="E1398" s="76">
        <v>3.3600000000000001E-3</v>
      </c>
      <c r="F1398" s="76">
        <v>5.0499999999999998E-3</v>
      </c>
      <c r="G1398" s="76">
        <v>6.7299999999999999E-3</v>
      </c>
      <c r="H1398" s="76">
        <v>8.4200000000000004E-3</v>
      </c>
      <c r="I1398" s="76">
        <v>1.01E-2</v>
      </c>
      <c r="J1398" s="76">
        <v>1.17E-2</v>
      </c>
      <c r="K1398" s="76">
        <v>1.3299999999999999E-2</v>
      </c>
      <c r="L1398" s="76">
        <v>1.4999999999999999E-2</v>
      </c>
      <c r="M1398" s="76">
        <v>1.67E-2</v>
      </c>
    </row>
    <row r="1399" spans="3:46" x14ac:dyDescent="0.15">
      <c r="C1399" s="76">
        <v>540</v>
      </c>
      <c r="D1399" s="76">
        <v>1.5100000000000001E-3</v>
      </c>
      <c r="E1399" s="76">
        <v>3.0500000000000002E-3</v>
      </c>
      <c r="F1399" s="76">
        <v>4.5700000000000003E-3</v>
      </c>
      <c r="G1399" s="76">
        <v>6.1199999999999996E-3</v>
      </c>
      <c r="H1399" s="76">
        <v>7.6899999999999998E-3</v>
      </c>
      <c r="I1399" s="76">
        <v>9.1999999999999998E-3</v>
      </c>
      <c r="J1399" s="76">
        <v>1.0699999999999999E-2</v>
      </c>
      <c r="K1399" s="76">
        <v>1.21E-2</v>
      </c>
      <c r="L1399" s="76">
        <v>1.3599999999999999E-2</v>
      </c>
      <c r="M1399" s="76">
        <v>1.52E-2</v>
      </c>
    </row>
    <row r="1400" spans="3:46" x14ac:dyDescent="0.15">
      <c r="C1400" s="76">
        <v>542</v>
      </c>
      <c r="D1400" s="76">
        <v>1.3699999999999999E-3</v>
      </c>
      <c r="E1400" s="76">
        <v>2.7799999999999999E-3</v>
      </c>
      <c r="F1400" s="76">
        <v>4.1700000000000001E-3</v>
      </c>
      <c r="G1400" s="76">
        <v>5.5799999999999999E-3</v>
      </c>
      <c r="H1400" s="76">
        <v>7.0400000000000003E-3</v>
      </c>
      <c r="I1400" s="76">
        <v>8.3499999999999998E-3</v>
      </c>
      <c r="J1400" s="76">
        <v>9.6900000000000007E-3</v>
      </c>
      <c r="K1400" s="76">
        <v>1.11E-2</v>
      </c>
      <c r="L1400" s="76">
        <v>1.24E-2</v>
      </c>
      <c r="M1400" s="76">
        <v>1.38E-2</v>
      </c>
    </row>
    <row r="1401" spans="3:46" x14ac:dyDescent="0.15">
      <c r="C1401" s="76">
        <v>544</v>
      </c>
      <c r="D1401" s="76">
        <v>1.25E-3</v>
      </c>
      <c r="E1401" s="76">
        <v>2.5300000000000001E-3</v>
      </c>
      <c r="F1401" s="76">
        <v>3.81E-3</v>
      </c>
      <c r="G1401" s="76">
        <v>5.0499999999999998E-3</v>
      </c>
      <c r="H1401" s="76">
        <v>6.3800000000000003E-3</v>
      </c>
      <c r="I1401" s="76">
        <v>7.5599999999999999E-3</v>
      </c>
      <c r="J1401" s="76">
        <v>8.8100000000000001E-3</v>
      </c>
      <c r="K1401" s="76">
        <v>9.9699999999999997E-3</v>
      </c>
      <c r="L1401" s="76">
        <v>1.1299999999999999E-2</v>
      </c>
      <c r="M1401" s="76">
        <v>1.26E-2</v>
      </c>
    </row>
    <row r="1402" spans="3:46" x14ac:dyDescent="0.15">
      <c r="C1402" s="76">
        <v>546</v>
      </c>
      <c r="D1402" s="76">
        <v>1.1299999999999999E-3</v>
      </c>
      <c r="E1402" s="76">
        <v>2.2799999999999999E-3</v>
      </c>
      <c r="F1402" s="76">
        <v>3.4199999999999999E-3</v>
      </c>
      <c r="G1402" s="76">
        <v>4.5799999999999999E-3</v>
      </c>
      <c r="H1402" s="76">
        <v>5.7800000000000004E-3</v>
      </c>
      <c r="I1402" s="76">
        <v>6.7999999999999996E-3</v>
      </c>
      <c r="J1402" s="76">
        <v>7.9500000000000005E-3</v>
      </c>
      <c r="K1402" s="76">
        <v>9.1500000000000001E-3</v>
      </c>
      <c r="L1402" s="76">
        <v>1.0200000000000001E-2</v>
      </c>
      <c r="M1402" s="76">
        <v>1.14E-2</v>
      </c>
    </row>
    <row r="1403" spans="3:46" x14ac:dyDescent="0.15">
      <c r="C1403" s="76">
        <v>548</v>
      </c>
      <c r="D1403" s="76">
        <v>1.0200000000000001E-3</v>
      </c>
      <c r="E1403" s="76">
        <v>2.0699999999999998E-3</v>
      </c>
      <c r="F1403" s="76">
        <v>3.1099999999999999E-3</v>
      </c>
      <c r="G1403" s="76">
        <v>4.15E-3</v>
      </c>
      <c r="H1403" s="76">
        <v>5.2300000000000003E-3</v>
      </c>
      <c r="I1403" s="76">
        <v>6.13E-3</v>
      </c>
      <c r="J1403" s="76">
        <v>7.1999999999999998E-3</v>
      </c>
      <c r="K1403" s="76">
        <v>8.2400000000000008E-3</v>
      </c>
      <c r="L1403" s="76">
        <v>9.2099999999999994E-3</v>
      </c>
      <c r="M1403" s="76">
        <v>1.03E-2</v>
      </c>
    </row>
    <row r="1404" spans="3:46" x14ac:dyDescent="0.15">
      <c r="C1404" s="76">
        <v>550</v>
      </c>
      <c r="D1404" s="76">
        <v>9.3800000000000003E-4</v>
      </c>
      <c r="E1404" s="76">
        <v>1.8799999999999999E-3</v>
      </c>
      <c r="F1404" s="76">
        <v>2.8500000000000001E-3</v>
      </c>
      <c r="G1404" s="76">
        <v>3.79E-3</v>
      </c>
      <c r="H1404" s="76">
        <v>4.7600000000000003E-3</v>
      </c>
      <c r="I1404" s="76">
        <v>5.5900000000000004E-3</v>
      </c>
      <c r="J1404" s="76">
        <v>6.5700000000000003E-3</v>
      </c>
      <c r="K1404" s="76">
        <v>7.5100000000000002E-3</v>
      </c>
      <c r="L1404" s="76">
        <v>8.4100000000000008E-3</v>
      </c>
      <c r="M1404" s="76">
        <v>9.3699999999999999E-3</v>
      </c>
    </row>
    <row r="1405" spans="3:46" x14ac:dyDescent="0.15">
      <c r="C1405" s="81">
        <v>552</v>
      </c>
      <c r="D1405" s="76">
        <v>8.5400000000000005E-4</v>
      </c>
      <c r="E1405" s="76">
        <v>1.7099999999999999E-3</v>
      </c>
      <c r="F1405" s="76">
        <v>2.5999999999999999E-3</v>
      </c>
      <c r="G1405" s="76">
        <v>3.4499999999999999E-3</v>
      </c>
      <c r="H1405" s="81">
        <v>4.3400000000000001E-3</v>
      </c>
      <c r="I1405" s="76">
        <v>5.0899999999999999E-3</v>
      </c>
      <c r="J1405" s="76">
        <v>5.9800000000000001E-3</v>
      </c>
      <c r="K1405" s="76">
        <v>6.8700000000000002E-3</v>
      </c>
      <c r="L1405" s="81">
        <v>7.7200000000000003E-3</v>
      </c>
      <c r="M1405" s="76">
        <v>8.5699999999999995E-3</v>
      </c>
      <c r="N1405" s="81"/>
      <c r="T1405" s="81"/>
      <c r="W1405" s="81"/>
      <c r="AG1405" s="81"/>
      <c r="AT1405" s="81"/>
    </row>
    <row r="1406" spans="3:46" x14ac:dyDescent="0.15">
      <c r="C1406" s="81">
        <v>554</v>
      </c>
      <c r="D1406" s="76">
        <v>7.7499999999999997E-4</v>
      </c>
      <c r="E1406" s="76">
        <v>1.56E-3</v>
      </c>
      <c r="F1406" s="76">
        <v>2.3700000000000001E-3</v>
      </c>
      <c r="G1406" s="76">
        <v>3.1199999999999999E-3</v>
      </c>
      <c r="H1406" s="81">
        <v>3.96E-3</v>
      </c>
      <c r="I1406" s="76">
        <v>4.6100000000000004E-3</v>
      </c>
      <c r="J1406" s="76">
        <v>5.47E-3</v>
      </c>
      <c r="K1406" s="76">
        <v>6.3099999999999996E-3</v>
      </c>
      <c r="L1406" s="81">
        <v>7.0099999999999997E-3</v>
      </c>
      <c r="M1406" s="76">
        <v>7.8300000000000002E-3</v>
      </c>
      <c r="N1406" s="81"/>
      <c r="T1406" s="81"/>
      <c r="W1406" s="81"/>
      <c r="AG1406" s="81"/>
      <c r="AT1406" s="81"/>
    </row>
    <row r="1407" spans="3:46" x14ac:dyDescent="0.15">
      <c r="C1407" s="81">
        <v>556</v>
      </c>
      <c r="D1407" s="76">
        <v>7.0600000000000003E-4</v>
      </c>
      <c r="E1407" s="76">
        <v>1.42E-3</v>
      </c>
      <c r="F1407" s="76">
        <v>2.1700000000000001E-3</v>
      </c>
      <c r="G1407" s="76">
        <v>2.8600000000000001E-3</v>
      </c>
      <c r="H1407" s="81">
        <v>3.6099999999999999E-3</v>
      </c>
      <c r="I1407" s="76">
        <v>4.1999999999999997E-3</v>
      </c>
      <c r="J1407" s="76">
        <v>4.96E-3</v>
      </c>
      <c r="K1407" s="76">
        <v>5.7299999999999999E-3</v>
      </c>
      <c r="L1407" s="81">
        <v>6.4099999999999999E-3</v>
      </c>
      <c r="M1407" s="76">
        <v>7.1399999999999996E-3</v>
      </c>
      <c r="N1407" s="81"/>
      <c r="T1407" s="81"/>
      <c r="W1407" s="81"/>
      <c r="AG1407" s="81"/>
      <c r="AT1407" s="81"/>
    </row>
    <row r="1408" spans="3:46" x14ac:dyDescent="0.15">
      <c r="C1408" s="81">
        <v>558</v>
      </c>
      <c r="D1408" s="76">
        <v>6.38E-4</v>
      </c>
      <c r="E1408" s="76">
        <v>1.2800000000000001E-3</v>
      </c>
      <c r="F1408" s="76">
        <v>1.9400000000000001E-3</v>
      </c>
      <c r="G1408" s="76">
        <v>2.6099999999999999E-3</v>
      </c>
      <c r="H1408" s="81">
        <v>3.3E-3</v>
      </c>
      <c r="I1408" s="76">
        <v>3.8E-3</v>
      </c>
      <c r="J1408" s="76">
        <v>4.5399999999999998E-3</v>
      </c>
      <c r="K1408" s="76">
        <v>5.2500000000000003E-3</v>
      </c>
      <c r="L1408" s="81">
        <v>5.8700000000000002E-3</v>
      </c>
      <c r="M1408" s="76">
        <v>6.3699999999999998E-3</v>
      </c>
      <c r="N1408" s="81"/>
      <c r="T1408" s="81"/>
      <c r="W1408" s="81"/>
      <c r="AG1408" s="81"/>
      <c r="AT1408" s="81"/>
    </row>
    <row r="1409" spans="3:56" x14ac:dyDescent="0.15">
      <c r="C1409" s="81">
        <v>560</v>
      </c>
      <c r="D1409" s="76">
        <v>5.7899999999999998E-4</v>
      </c>
      <c r="E1409" s="76">
        <v>1.1800000000000001E-3</v>
      </c>
      <c r="F1409" s="76">
        <v>1.81E-3</v>
      </c>
      <c r="G1409" s="76">
        <v>2.3900000000000002E-3</v>
      </c>
      <c r="H1409" s="81">
        <v>3.0300000000000001E-3</v>
      </c>
      <c r="I1409" s="76">
        <v>3.47E-3</v>
      </c>
      <c r="J1409" s="76">
        <v>4.13E-3</v>
      </c>
      <c r="K1409" s="76">
        <v>4.7999999999999996E-3</v>
      </c>
      <c r="L1409" s="81">
        <v>5.3299999999999997E-3</v>
      </c>
      <c r="M1409" s="76">
        <v>5.8700000000000002E-3</v>
      </c>
      <c r="N1409" s="81"/>
      <c r="T1409" s="81"/>
      <c r="W1409" s="81"/>
      <c r="AG1409" s="81"/>
      <c r="AT1409" s="81"/>
    </row>
    <row r="1410" spans="3:56" x14ac:dyDescent="0.15">
      <c r="C1410" s="81">
        <v>562</v>
      </c>
      <c r="D1410" s="76">
        <v>5.3399999999999997E-4</v>
      </c>
      <c r="E1410" s="76">
        <v>1.1000000000000001E-3</v>
      </c>
      <c r="F1410" s="76">
        <v>1.65E-3</v>
      </c>
      <c r="G1410" s="76">
        <v>2.1700000000000001E-3</v>
      </c>
      <c r="H1410" s="81">
        <v>2.7699999999999999E-3</v>
      </c>
      <c r="I1410" s="76">
        <v>3.16E-3</v>
      </c>
      <c r="J1410" s="76">
        <v>3.79E-3</v>
      </c>
      <c r="K1410" s="76">
        <v>4.4200000000000003E-3</v>
      </c>
      <c r="L1410" s="81">
        <v>4.8700000000000002E-3</v>
      </c>
      <c r="M1410" s="76">
        <v>5.3400000000000001E-3</v>
      </c>
      <c r="N1410" s="81"/>
      <c r="T1410" s="81"/>
      <c r="W1410" s="81"/>
      <c r="AG1410" s="81"/>
      <c r="AT1410" s="81"/>
    </row>
    <row r="1411" spans="3:56" x14ac:dyDescent="0.15">
      <c r="C1411" s="81">
        <v>564</v>
      </c>
      <c r="D1411" s="76">
        <v>4.9200000000000003E-4</v>
      </c>
      <c r="E1411" s="76">
        <v>1.01E-3</v>
      </c>
      <c r="F1411" s="76">
        <v>1.5100000000000001E-3</v>
      </c>
      <c r="G1411" s="76">
        <v>1.99E-3</v>
      </c>
      <c r="H1411" s="81">
        <v>2.5200000000000001E-3</v>
      </c>
      <c r="I1411" s="76">
        <v>2.9399999999999999E-3</v>
      </c>
      <c r="J1411" s="76">
        <v>3.47E-3</v>
      </c>
      <c r="K1411" s="76">
        <v>4.0499999999999998E-3</v>
      </c>
      <c r="L1411" s="81">
        <v>4.4799999999999996E-3</v>
      </c>
      <c r="M1411" s="76">
        <v>4.9300000000000004E-3</v>
      </c>
      <c r="N1411" s="81"/>
      <c r="T1411" s="81"/>
      <c r="W1411" s="81"/>
      <c r="AG1411" s="81"/>
      <c r="AT1411" s="81"/>
    </row>
    <row r="1412" spans="3:56" x14ac:dyDescent="0.15">
      <c r="C1412" s="81">
        <v>566</v>
      </c>
      <c r="D1412" s="76">
        <v>4.4999999999999999E-4</v>
      </c>
      <c r="E1412" s="76">
        <v>9.1100000000000003E-4</v>
      </c>
      <c r="F1412" s="76">
        <v>1.4E-3</v>
      </c>
      <c r="G1412" s="76">
        <v>1.83E-3</v>
      </c>
      <c r="H1412" s="81">
        <v>2.33E-3</v>
      </c>
      <c r="I1412" s="76">
        <v>2.7000000000000001E-3</v>
      </c>
      <c r="J1412" s="76">
        <v>3.2399999999999998E-3</v>
      </c>
      <c r="K1412" s="76">
        <v>3.7499999999999999E-3</v>
      </c>
      <c r="L1412" s="81">
        <v>4.1399999999999996E-3</v>
      </c>
      <c r="M1412" s="76">
        <v>4.5300000000000002E-3</v>
      </c>
      <c r="N1412" s="81"/>
      <c r="T1412" s="81"/>
      <c r="W1412" s="81"/>
      <c r="AG1412" s="81"/>
      <c r="AT1412" s="81"/>
    </row>
    <row r="1413" spans="3:56" x14ac:dyDescent="0.15">
      <c r="C1413" s="81">
        <v>568</v>
      </c>
      <c r="D1413" s="76">
        <v>4.0999999999999999E-4</v>
      </c>
      <c r="E1413" s="76">
        <v>8.4099999999999995E-4</v>
      </c>
      <c r="F1413" s="76">
        <v>1.2800000000000001E-3</v>
      </c>
      <c r="G1413" s="76">
        <v>1.6999999999999999E-3</v>
      </c>
      <c r="H1413" s="81">
        <v>2.1700000000000001E-3</v>
      </c>
      <c r="I1413" s="76">
        <v>2.47E-3</v>
      </c>
      <c r="J1413" s="76">
        <v>2.97E-3</v>
      </c>
      <c r="K1413" s="76">
        <v>3.5300000000000002E-3</v>
      </c>
      <c r="L1413" s="81">
        <v>3.8300000000000001E-3</v>
      </c>
      <c r="M1413" s="76">
        <v>4.1099999999999999E-3</v>
      </c>
      <c r="N1413" s="81"/>
      <c r="T1413" s="81"/>
      <c r="W1413" s="81"/>
      <c r="AG1413" s="81"/>
      <c r="AT1413" s="81"/>
    </row>
    <row r="1414" spans="3:56" x14ac:dyDescent="0.15">
      <c r="C1414" s="81">
        <v>570</v>
      </c>
      <c r="D1414" s="76">
        <v>3.8299999999999999E-4</v>
      </c>
      <c r="E1414" s="76">
        <v>7.8100000000000001E-4</v>
      </c>
      <c r="F1414" s="76">
        <v>1.1900000000000001E-3</v>
      </c>
      <c r="G1414" s="76">
        <v>1.5299999999999999E-3</v>
      </c>
      <c r="H1414" s="81">
        <v>1.99E-3</v>
      </c>
      <c r="I1414" s="76">
        <v>2.3E-3</v>
      </c>
      <c r="J1414" s="76">
        <v>2.6800000000000001E-3</v>
      </c>
      <c r="K1414" s="76">
        <v>3.2399999999999998E-3</v>
      </c>
      <c r="L1414" s="81">
        <v>3.5599999999999998E-3</v>
      </c>
      <c r="M1414" s="76">
        <v>3.8400000000000001E-3</v>
      </c>
      <c r="N1414" s="81"/>
      <c r="T1414" s="81"/>
      <c r="W1414" s="81"/>
      <c r="AG1414" s="81"/>
      <c r="AT1414" s="81"/>
    </row>
    <row r="1415" spans="3:56" x14ac:dyDescent="0.15">
      <c r="C1415" s="81">
        <v>572</v>
      </c>
      <c r="D1415" s="76">
        <v>3.4699999999999998E-4</v>
      </c>
      <c r="E1415" s="76">
        <v>7.3899999999999997E-4</v>
      </c>
      <c r="F1415" s="76">
        <v>1.1100000000000001E-3</v>
      </c>
      <c r="G1415" s="76">
        <v>1.41E-3</v>
      </c>
      <c r="H1415" s="81">
        <v>1.8799999999999999E-3</v>
      </c>
      <c r="I1415" s="76">
        <v>2.15E-3</v>
      </c>
      <c r="J1415" s="76">
        <v>2.5400000000000002E-3</v>
      </c>
      <c r="K1415" s="76">
        <v>3.0200000000000001E-3</v>
      </c>
      <c r="L1415" s="81">
        <v>3.31E-3</v>
      </c>
      <c r="M1415" s="76">
        <v>3.5699999999999998E-3</v>
      </c>
      <c r="N1415" s="81"/>
      <c r="T1415" s="81"/>
      <c r="W1415" s="81"/>
      <c r="AG1415" s="81"/>
      <c r="AT1415" s="81"/>
    </row>
    <row r="1416" spans="3:56" x14ac:dyDescent="0.15">
      <c r="C1416" s="81">
        <v>574</v>
      </c>
      <c r="D1416" s="76">
        <v>3.2699999999999998E-4</v>
      </c>
      <c r="E1416" s="76">
        <v>6.9499999999999998E-4</v>
      </c>
      <c r="F1416" s="76">
        <v>1.0300000000000001E-3</v>
      </c>
      <c r="G1416" s="76">
        <v>1.33E-3</v>
      </c>
      <c r="H1416" s="81">
        <v>1.6800000000000001E-3</v>
      </c>
      <c r="I1416" s="76">
        <v>1.99E-3</v>
      </c>
      <c r="J1416" s="76">
        <v>2.3500000000000001E-3</v>
      </c>
      <c r="K1416" s="76">
        <v>2.7599999999999999E-3</v>
      </c>
      <c r="L1416" s="81">
        <v>3.0300000000000001E-3</v>
      </c>
      <c r="M1416" s="76">
        <v>3.2699999999999999E-3</v>
      </c>
      <c r="N1416" s="81"/>
      <c r="T1416" s="81"/>
      <c r="W1416" s="81"/>
      <c r="AG1416" s="81"/>
      <c r="AT1416" s="81"/>
    </row>
    <row r="1417" spans="3:56" x14ac:dyDescent="0.15">
      <c r="C1417" s="81">
        <v>576</v>
      </c>
      <c r="D1417" s="76">
        <v>2.9799999999999998E-4</v>
      </c>
      <c r="E1417" s="76">
        <v>6.38E-4</v>
      </c>
      <c r="F1417" s="76">
        <v>9.5100000000000002E-4</v>
      </c>
      <c r="G1417" s="76">
        <v>1.24E-3</v>
      </c>
      <c r="H1417" s="81">
        <v>1.5499999999999999E-3</v>
      </c>
      <c r="I1417" s="76">
        <v>1.8500000000000001E-3</v>
      </c>
      <c r="J1417" s="76">
        <v>2.1800000000000001E-3</v>
      </c>
      <c r="K1417" s="76">
        <v>2.5699999999999998E-3</v>
      </c>
      <c r="L1417" s="81">
        <v>2.81E-3</v>
      </c>
      <c r="M1417" s="76">
        <v>2.98E-3</v>
      </c>
      <c r="N1417" s="81"/>
      <c r="T1417" s="81"/>
      <c r="W1417" s="81"/>
      <c r="AG1417" s="81"/>
      <c r="AT1417" s="81"/>
    </row>
    <row r="1418" spans="3:56" x14ac:dyDescent="0.15">
      <c r="C1418" s="81">
        <v>578</v>
      </c>
      <c r="D1418" s="76">
        <v>2.7399999999999999E-4</v>
      </c>
      <c r="E1418" s="76">
        <v>5.9100000000000005E-4</v>
      </c>
      <c r="F1418" s="76">
        <v>8.8500000000000004E-4</v>
      </c>
      <c r="G1418" s="76">
        <v>1.1299999999999999E-3</v>
      </c>
      <c r="H1418" s="81">
        <v>1.42E-3</v>
      </c>
      <c r="I1418" s="76">
        <v>1.73E-3</v>
      </c>
      <c r="J1418" s="76">
        <v>1.9599999999999999E-3</v>
      </c>
      <c r="K1418" s="76">
        <v>2.3900000000000002E-3</v>
      </c>
      <c r="L1418" s="81">
        <v>2.6700000000000001E-3</v>
      </c>
      <c r="M1418" s="76">
        <v>2.5699999999999998E-3</v>
      </c>
      <c r="N1418" s="81"/>
      <c r="T1418" s="81"/>
      <c r="W1418" s="81"/>
      <c r="AG1418" s="81"/>
      <c r="AT1418" s="81"/>
    </row>
    <row r="1419" spans="3:56" x14ac:dyDescent="0.15">
      <c r="C1419" s="81">
        <v>580</v>
      </c>
      <c r="D1419" s="81">
        <v>2.5700000000000001E-4</v>
      </c>
      <c r="E1419" s="81">
        <v>5.4199999999999995E-4</v>
      </c>
      <c r="F1419" s="81">
        <v>7.9100000000000004E-4</v>
      </c>
      <c r="G1419" s="81">
        <v>1.0499999999999999E-3</v>
      </c>
      <c r="H1419" s="81">
        <v>1.33E-3</v>
      </c>
      <c r="I1419" s="81">
        <v>1.58E-3</v>
      </c>
      <c r="J1419" s="81">
        <v>1.82E-3</v>
      </c>
      <c r="K1419" s="81">
        <v>2.1900000000000001E-3</v>
      </c>
      <c r="L1419" s="81">
        <v>2.4099999999999998E-3</v>
      </c>
      <c r="M1419" s="81">
        <v>2.65E-3</v>
      </c>
      <c r="N1419" s="81"/>
      <c r="O1419" s="81"/>
      <c r="P1419" s="81"/>
      <c r="Q1419" s="81"/>
      <c r="R1419" s="81"/>
      <c r="S1419" s="81"/>
      <c r="T1419" s="81"/>
      <c r="U1419" s="81"/>
      <c r="V1419" s="81"/>
      <c r="W1419" s="81"/>
      <c r="X1419" s="81"/>
      <c r="Y1419" s="81"/>
      <c r="Z1419" s="81"/>
      <c r="AA1419" s="81"/>
      <c r="AB1419" s="81"/>
      <c r="AC1419" s="81"/>
      <c r="AD1419" s="81"/>
      <c r="AG1419" s="81"/>
      <c r="AH1419" s="81"/>
      <c r="AI1419" s="81"/>
      <c r="AJ1419" s="81"/>
      <c r="AK1419" s="81"/>
      <c r="AL1419" s="81"/>
      <c r="AM1419" s="81"/>
      <c r="AN1419" s="81"/>
      <c r="AO1419" s="81"/>
      <c r="AP1419" s="81"/>
      <c r="AQ1419" s="81"/>
      <c r="AT1419" s="81"/>
      <c r="AU1419" s="81"/>
      <c r="AV1419" s="81"/>
      <c r="AW1419" s="81"/>
      <c r="AX1419" s="81"/>
      <c r="AY1419" s="81"/>
      <c r="AZ1419" s="81"/>
      <c r="BA1419" s="81"/>
      <c r="BB1419" s="81"/>
      <c r="BC1419" s="81"/>
      <c r="BD1419" s="81"/>
    </row>
    <row r="1420" spans="3:56" x14ac:dyDescent="0.15">
      <c r="C1420" s="81">
        <v>582</v>
      </c>
      <c r="D1420" s="76">
        <v>2.4399999999999999E-4</v>
      </c>
      <c r="E1420" s="76">
        <v>5.0199999999999995E-4</v>
      </c>
      <c r="F1420" s="76">
        <v>7.5500000000000003E-4</v>
      </c>
      <c r="G1420" s="76">
        <v>9.8299999999999993E-4</v>
      </c>
      <c r="H1420" s="81">
        <v>1.24E-3</v>
      </c>
      <c r="I1420" s="76">
        <v>1.4599999999999999E-3</v>
      </c>
      <c r="J1420" s="76">
        <v>1.67E-3</v>
      </c>
      <c r="K1420" s="76">
        <v>2.0100000000000001E-3</v>
      </c>
      <c r="L1420" s="81">
        <v>2.2000000000000001E-3</v>
      </c>
      <c r="M1420" s="76">
        <v>2.33E-3</v>
      </c>
      <c r="N1420" s="81"/>
      <c r="T1420" s="81"/>
      <c r="W1420" s="81"/>
      <c r="AG1420" s="81"/>
      <c r="AT1420" s="81"/>
    </row>
    <row r="1421" spans="3:56" x14ac:dyDescent="0.15">
      <c r="C1421" s="76">
        <v>584</v>
      </c>
      <c r="D1421" s="76">
        <v>2.2800000000000001E-4</v>
      </c>
      <c r="E1421" s="76">
        <v>4.73E-4</v>
      </c>
      <c r="F1421" s="76">
        <v>7.1000000000000002E-4</v>
      </c>
      <c r="G1421" s="76">
        <v>9.0300000000000005E-4</v>
      </c>
      <c r="H1421" s="76">
        <v>1.14E-3</v>
      </c>
      <c r="I1421" s="76">
        <v>1.3500000000000001E-3</v>
      </c>
      <c r="J1421" s="76">
        <v>1.5399999999999999E-3</v>
      </c>
      <c r="K1421" s="76">
        <v>1.82E-3</v>
      </c>
      <c r="L1421" s="76">
        <v>2.0100000000000001E-3</v>
      </c>
      <c r="M1421" s="76">
        <v>2.1299999999999999E-3</v>
      </c>
    </row>
    <row r="1422" spans="3:56" x14ac:dyDescent="0.15">
      <c r="C1422" s="76">
        <v>586</v>
      </c>
      <c r="D1422" s="76">
        <v>2.05E-4</v>
      </c>
      <c r="E1422" s="76">
        <v>4.5199999999999998E-4</v>
      </c>
      <c r="F1422" s="76">
        <v>6.3599999999999996E-4</v>
      </c>
      <c r="G1422" s="76">
        <v>8.0999999999999996E-4</v>
      </c>
      <c r="H1422" s="76">
        <v>1.0300000000000001E-3</v>
      </c>
      <c r="I1422" s="76">
        <v>1.2800000000000001E-3</v>
      </c>
      <c r="J1422" s="76">
        <v>1.3600000000000001E-3</v>
      </c>
      <c r="K1422" s="76">
        <v>1.67E-3</v>
      </c>
      <c r="L1422" s="76">
        <v>1.81E-3</v>
      </c>
      <c r="M1422" s="76">
        <v>1.9599999999999999E-3</v>
      </c>
    </row>
    <row r="1423" spans="3:56" x14ac:dyDescent="0.15">
      <c r="C1423" s="76">
        <v>588</v>
      </c>
      <c r="D1423" s="76">
        <v>1.8200000000000001E-4</v>
      </c>
      <c r="E1423" s="76">
        <v>4.2099999999999999E-4</v>
      </c>
      <c r="F1423" s="76">
        <v>6.02E-4</v>
      </c>
      <c r="G1423" s="76">
        <v>7.6800000000000002E-4</v>
      </c>
      <c r="H1423" s="76">
        <v>9.2900000000000003E-4</v>
      </c>
      <c r="I1423" s="76">
        <v>1.1999999999999999E-3</v>
      </c>
      <c r="J1423" s="76">
        <v>1.25E-3</v>
      </c>
      <c r="K1423" s="76">
        <v>1.49E-3</v>
      </c>
      <c r="L1423" s="76">
        <v>1.6100000000000001E-3</v>
      </c>
      <c r="M1423" s="76">
        <v>1.81E-3</v>
      </c>
    </row>
    <row r="1424" spans="3:56" x14ac:dyDescent="0.15">
      <c r="C1424" s="76">
        <v>590</v>
      </c>
      <c r="D1424" s="76">
        <v>1.63E-4</v>
      </c>
      <c r="E1424" s="76">
        <v>3.8299999999999999E-4</v>
      </c>
      <c r="F1424" s="76">
        <v>5.2800000000000004E-4</v>
      </c>
      <c r="G1424" s="76">
        <v>7.2599999999999997E-4</v>
      </c>
      <c r="H1424" s="76">
        <v>8.6600000000000002E-4</v>
      </c>
      <c r="I1424" s="76">
        <v>1.1000000000000001E-3</v>
      </c>
      <c r="J1424" s="76">
        <v>1.1800000000000001E-3</v>
      </c>
      <c r="K1424" s="76">
        <v>1.33E-3</v>
      </c>
      <c r="L1424" s="76">
        <v>1.5200000000000001E-3</v>
      </c>
      <c r="M1424" s="76">
        <v>1.6000000000000001E-3</v>
      </c>
    </row>
    <row r="1425" spans="3:13" x14ac:dyDescent="0.15">
      <c r="C1425" s="76">
        <v>592</v>
      </c>
      <c r="D1425" s="76">
        <v>1.5100000000000001E-4</v>
      </c>
      <c r="E1425" s="76">
        <v>3.5100000000000002E-4</v>
      </c>
      <c r="F1425" s="76">
        <v>4.8999999999999998E-4</v>
      </c>
      <c r="G1425" s="76">
        <v>6.3500000000000004E-4</v>
      </c>
      <c r="H1425" s="76">
        <v>7.8100000000000001E-4</v>
      </c>
      <c r="I1425" s="76">
        <v>9.4600000000000001E-4</v>
      </c>
      <c r="J1425" s="76">
        <v>1.0399999999999999E-3</v>
      </c>
      <c r="K1425" s="76">
        <v>1.23E-3</v>
      </c>
      <c r="L1425" s="76">
        <v>1.3799999999999999E-3</v>
      </c>
      <c r="M1425" s="76">
        <v>1.49E-3</v>
      </c>
    </row>
    <row r="1426" spans="3:13" x14ac:dyDescent="0.15">
      <c r="C1426" s="76">
        <v>594</v>
      </c>
      <c r="D1426" s="76">
        <v>1.4100000000000001E-4</v>
      </c>
      <c r="E1426" s="76">
        <v>3.0600000000000001E-4</v>
      </c>
      <c r="F1426" s="76">
        <v>4.4000000000000002E-4</v>
      </c>
      <c r="G1426" s="76">
        <v>5.7799999999999995E-4</v>
      </c>
      <c r="H1426" s="76">
        <v>7.3099999999999999E-4</v>
      </c>
      <c r="I1426" s="76">
        <v>8.7799999999999998E-4</v>
      </c>
      <c r="J1426" s="76">
        <v>9.5699999999999995E-4</v>
      </c>
      <c r="K1426" s="76">
        <v>1.1199999999999999E-3</v>
      </c>
      <c r="L1426" s="76">
        <v>1.2600000000000001E-3</v>
      </c>
      <c r="M1426" s="76">
        <v>1.3600000000000001E-3</v>
      </c>
    </row>
    <row r="1427" spans="3:13" x14ac:dyDescent="0.15">
      <c r="C1427" s="76">
        <v>596</v>
      </c>
      <c r="D1427" s="76">
        <v>1.3300000000000001E-4</v>
      </c>
      <c r="E1427" s="76">
        <v>2.8899999999999998E-4</v>
      </c>
      <c r="F1427" s="76">
        <v>3.97E-4</v>
      </c>
      <c r="G1427" s="76">
        <v>5.5800000000000001E-4</v>
      </c>
      <c r="H1427" s="76">
        <v>6.5700000000000003E-4</v>
      </c>
      <c r="I1427" s="76">
        <v>7.4899999999999999E-4</v>
      </c>
      <c r="J1427" s="76">
        <v>8.6499999999999999E-4</v>
      </c>
      <c r="K1427" s="76">
        <v>9.9299999999999996E-4</v>
      </c>
      <c r="L1427" s="76">
        <v>1.1999999999999999E-3</v>
      </c>
      <c r="M1427" s="76">
        <v>1.23E-3</v>
      </c>
    </row>
    <row r="1428" spans="3:13" x14ac:dyDescent="0.15">
      <c r="C1428" s="76">
        <v>598</v>
      </c>
      <c r="D1428" s="76">
        <v>1.2300000000000001E-4</v>
      </c>
      <c r="E1428" s="76">
        <v>2.6600000000000001E-4</v>
      </c>
      <c r="F1428" s="76">
        <v>3.68E-4</v>
      </c>
      <c r="G1428" s="76">
        <v>5.13E-4</v>
      </c>
      <c r="H1428" s="76">
        <v>5.9800000000000001E-4</v>
      </c>
      <c r="I1428" s="76">
        <v>7.7200000000000001E-4</v>
      </c>
      <c r="J1428" s="76">
        <v>8.3199999999999995E-4</v>
      </c>
      <c r="K1428" s="76">
        <v>9.3300000000000002E-4</v>
      </c>
      <c r="L1428" s="76">
        <v>1.06E-3</v>
      </c>
      <c r="M1428" s="76">
        <v>1.1299999999999999E-3</v>
      </c>
    </row>
    <row r="1429" spans="3:13" x14ac:dyDescent="0.15">
      <c r="C1429" s="76">
        <v>600</v>
      </c>
      <c r="D1429" s="76">
        <v>1.2E-4</v>
      </c>
      <c r="E1429" s="76">
        <v>2.3900000000000001E-4</v>
      </c>
      <c r="F1429" s="76">
        <v>3.5500000000000001E-4</v>
      </c>
      <c r="G1429" s="76">
        <v>4.2700000000000002E-4</v>
      </c>
      <c r="H1429" s="76">
        <v>5.3799999999999996E-4</v>
      </c>
      <c r="I1429" s="76">
        <v>6.2799999999999998E-4</v>
      </c>
      <c r="J1429" s="76">
        <v>6.8400000000000004E-4</v>
      </c>
      <c r="K1429" s="76">
        <v>7.67E-4</v>
      </c>
      <c r="L1429" s="76">
        <v>9.8400000000000007E-4</v>
      </c>
      <c r="M1429" s="76">
        <v>1.0300000000000001E-3</v>
      </c>
    </row>
    <row r="1430" spans="3:13" x14ac:dyDescent="0.15">
      <c r="C1430" s="76">
        <v>602</v>
      </c>
      <c r="D1430" s="76">
        <v>1.1400000000000001E-4</v>
      </c>
      <c r="E1430" s="76">
        <v>2.2699999999999999E-4</v>
      </c>
      <c r="F1430" s="76">
        <v>3.1599999999999998E-4</v>
      </c>
      <c r="G1430" s="76">
        <v>4.15E-4</v>
      </c>
      <c r="H1430" s="76">
        <v>5.1999999999999995E-4</v>
      </c>
      <c r="I1430" s="76">
        <v>5.7899999999999998E-4</v>
      </c>
      <c r="J1430" s="76">
        <v>6.2E-4</v>
      </c>
      <c r="K1430" s="76">
        <v>7.4100000000000001E-4</v>
      </c>
      <c r="L1430" s="76">
        <v>9.0399999999999996E-4</v>
      </c>
      <c r="M1430" s="76">
        <v>1.01E-3</v>
      </c>
    </row>
    <row r="1431" spans="3:13" x14ac:dyDescent="0.15">
      <c r="C1431" s="76">
        <v>604</v>
      </c>
      <c r="D1431" s="76">
        <v>8.7600000000000002E-5</v>
      </c>
      <c r="E1431" s="76">
        <v>2.0799999999999999E-4</v>
      </c>
      <c r="F1431" s="76">
        <v>2.8699999999999998E-4</v>
      </c>
      <c r="G1431" s="76">
        <v>3.9800000000000002E-4</v>
      </c>
      <c r="H1431" s="76">
        <v>4.8700000000000002E-4</v>
      </c>
      <c r="I1431" s="76">
        <v>5.5099999999999995E-4</v>
      </c>
      <c r="J1431" s="76">
        <v>5.5000000000000003E-4</v>
      </c>
      <c r="K1431" s="76">
        <v>6.5499999999999998E-4</v>
      </c>
      <c r="L1431" s="76">
        <v>8.6499999999999999E-4</v>
      </c>
      <c r="M1431" s="76">
        <v>9.5799999999999998E-4</v>
      </c>
    </row>
    <row r="1432" spans="3:13" x14ac:dyDescent="0.15">
      <c r="C1432" s="76">
        <v>606</v>
      </c>
      <c r="D1432" s="76">
        <v>9.2499999999999999E-5</v>
      </c>
      <c r="E1432" s="76">
        <v>1.95E-4</v>
      </c>
      <c r="F1432" s="76">
        <v>2.6200000000000003E-4</v>
      </c>
      <c r="G1432" s="76">
        <v>3.4400000000000001E-4</v>
      </c>
      <c r="H1432" s="76">
        <v>4.4099999999999999E-4</v>
      </c>
      <c r="I1432" s="76">
        <v>5.0799999999999999E-4</v>
      </c>
      <c r="J1432" s="76">
        <v>5.6700000000000001E-4</v>
      </c>
      <c r="K1432" s="76">
        <v>6.0300000000000002E-4</v>
      </c>
      <c r="L1432" s="76">
        <v>7.9900000000000001E-4</v>
      </c>
      <c r="M1432" s="76">
        <v>8.7900000000000001E-4</v>
      </c>
    </row>
    <row r="1433" spans="3:13" x14ac:dyDescent="0.15">
      <c r="C1433" s="76">
        <v>608</v>
      </c>
      <c r="D1433" s="76">
        <v>8.7100000000000003E-5</v>
      </c>
      <c r="E1433" s="76">
        <v>1.7200000000000001E-4</v>
      </c>
      <c r="F1433" s="76">
        <v>2.43E-4</v>
      </c>
      <c r="G1433" s="76">
        <v>3.4000000000000002E-4</v>
      </c>
      <c r="H1433" s="76">
        <v>4.1199999999999999E-4</v>
      </c>
      <c r="I1433" s="76">
        <v>4.2499999999999998E-4</v>
      </c>
      <c r="J1433" s="76">
        <v>4.9399999999999997E-4</v>
      </c>
      <c r="K1433" s="76">
        <v>5.7700000000000004E-4</v>
      </c>
      <c r="L1433" s="76">
        <v>7.36E-4</v>
      </c>
      <c r="M1433" s="76">
        <v>7.7200000000000001E-4</v>
      </c>
    </row>
    <row r="1434" spans="3:13" x14ac:dyDescent="0.15">
      <c r="C1434" s="76">
        <v>610</v>
      </c>
      <c r="D1434" s="76">
        <v>8.3499999999999997E-5</v>
      </c>
      <c r="E1434" s="76">
        <v>1.65E-4</v>
      </c>
      <c r="F1434" s="76">
        <v>2.42E-4</v>
      </c>
      <c r="G1434" s="76">
        <v>3.1E-4</v>
      </c>
      <c r="H1434" s="76">
        <v>3.7800000000000003E-4</v>
      </c>
      <c r="I1434" s="76">
        <v>4.2999999999999999E-4</v>
      </c>
      <c r="J1434" s="76">
        <v>4.44E-4</v>
      </c>
      <c r="K1434" s="76">
        <v>4.9100000000000001E-4</v>
      </c>
      <c r="L1434" s="76">
        <v>6.4000000000000005E-4</v>
      </c>
      <c r="M1434" s="76">
        <v>6.9899999999999997E-4</v>
      </c>
    </row>
    <row r="1435" spans="3:13" x14ac:dyDescent="0.15">
      <c r="C1435" s="76">
        <v>612</v>
      </c>
      <c r="D1435" s="76">
        <v>8.0799999999999999E-5</v>
      </c>
      <c r="E1435" s="76">
        <v>1.4100000000000001E-4</v>
      </c>
      <c r="F1435" s="76">
        <v>2.2499999999999999E-4</v>
      </c>
      <c r="G1435" s="76">
        <v>2.7E-4</v>
      </c>
      <c r="H1435" s="76">
        <v>3.3799999999999998E-4</v>
      </c>
      <c r="I1435" s="76">
        <v>3.7399999999999998E-4</v>
      </c>
      <c r="J1435" s="76">
        <v>4.28E-4</v>
      </c>
      <c r="K1435" s="76">
        <v>4.46E-4</v>
      </c>
      <c r="L1435" s="76">
        <v>5.5500000000000005E-4</v>
      </c>
      <c r="M1435" s="76">
        <v>6.8499999999999995E-4</v>
      </c>
    </row>
    <row r="1436" spans="3:13" x14ac:dyDescent="0.15">
      <c r="C1436" s="76">
        <v>614</v>
      </c>
      <c r="D1436" s="76">
        <v>7.36E-5</v>
      </c>
      <c r="E1436" s="76">
        <v>1.2400000000000001E-4</v>
      </c>
      <c r="F1436" s="76">
        <v>2.0900000000000001E-4</v>
      </c>
      <c r="G1436" s="76">
        <v>2.43E-4</v>
      </c>
      <c r="H1436" s="76">
        <v>2.6600000000000001E-4</v>
      </c>
      <c r="I1436" s="76">
        <v>3.1500000000000001E-4</v>
      </c>
      <c r="J1436" s="76">
        <v>3.9199999999999999E-4</v>
      </c>
      <c r="K1436" s="76">
        <v>4.5399999999999998E-4</v>
      </c>
      <c r="L1436" s="76">
        <v>5.2499999999999997E-4</v>
      </c>
      <c r="M1436" s="76">
        <v>5.8100000000000003E-4</v>
      </c>
    </row>
    <row r="1437" spans="3:13" x14ac:dyDescent="0.15">
      <c r="C1437" s="76">
        <v>616</v>
      </c>
      <c r="D1437" s="76">
        <v>6.6000000000000005E-5</v>
      </c>
      <c r="E1437" s="76">
        <v>1.06E-4</v>
      </c>
      <c r="F1437" s="76">
        <v>1.8000000000000001E-4</v>
      </c>
      <c r="G1437" s="76">
        <v>2.3699999999999999E-4</v>
      </c>
      <c r="H1437" s="76">
        <v>3.2400000000000001E-4</v>
      </c>
      <c r="I1437" s="76">
        <v>2.8899999999999998E-4</v>
      </c>
      <c r="J1437" s="76">
        <v>3.88E-4</v>
      </c>
      <c r="K1437" s="76">
        <v>4.2099999999999999E-4</v>
      </c>
      <c r="L1437" s="76">
        <v>4.9200000000000003E-4</v>
      </c>
      <c r="M1437" s="76">
        <v>5.3799999999999996E-4</v>
      </c>
    </row>
    <row r="1438" spans="3:13" x14ac:dyDescent="0.15">
      <c r="C1438" s="76">
        <v>618</v>
      </c>
      <c r="D1438" s="76">
        <v>5.94E-5</v>
      </c>
      <c r="E1438" s="76">
        <v>1.0399999999999999E-4</v>
      </c>
      <c r="F1438" s="76">
        <v>1.83E-4</v>
      </c>
      <c r="G1438" s="76">
        <v>2.1699999999999999E-4</v>
      </c>
      <c r="H1438" s="76">
        <v>2.7599999999999999E-4</v>
      </c>
      <c r="I1438" s="76">
        <v>2.4000000000000001E-4</v>
      </c>
      <c r="J1438" s="76">
        <v>3.19E-4</v>
      </c>
      <c r="K1438" s="76">
        <v>3.4200000000000002E-4</v>
      </c>
      <c r="L1438" s="76">
        <v>4.7899999999999999E-4</v>
      </c>
      <c r="M1438" s="76">
        <v>5.0100000000000003E-4</v>
      </c>
    </row>
    <row r="1439" spans="3:13" x14ac:dyDescent="0.15">
      <c r="C1439" s="76">
        <v>620</v>
      </c>
      <c r="D1439" s="76">
        <v>5.6400000000000002E-5</v>
      </c>
      <c r="E1439" s="76">
        <v>7.6000000000000004E-5</v>
      </c>
      <c r="F1439" s="76">
        <v>1.6899999999999999E-4</v>
      </c>
      <c r="G1439" s="76">
        <v>2.12E-4</v>
      </c>
      <c r="H1439" s="76">
        <v>2.12E-4</v>
      </c>
      <c r="I1439" s="76">
        <v>2.99E-4</v>
      </c>
      <c r="J1439" s="76">
        <v>3.7199999999999999E-4</v>
      </c>
      <c r="K1439" s="76">
        <v>3.2899999999999997E-4</v>
      </c>
      <c r="L1439" s="76">
        <v>4.0099999999999999E-4</v>
      </c>
      <c r="M1439" s="76">
        <v>3.5300000000000002E-4</v>
      </c>
    </row>
    <row r="1440" spans="3:13" x14ac:dyDescent="0.15">
      <c r="C1440" s="76">
        <v>622</v>
      </c>
      <c r="D1440" s="76">
        <v>5.7299999999999997E-5</v>
      </c>
      <c r="E1440" s="76">
        <v>7.1099999999999994E-5</v>
      </c>
      <c r="F1440" s="76">
        <v>1.4200000000000001E-4</v>
      </c>
      <c r="G1440" s="76">
        <v>1.84E-4</v>
      </c>
      <c r="H1440" s="76">
        <v>2.05E-4</v>
      </c>
      <c r="I1440" s="76">
        <v>2.8800000000000001E-4</v>
      </c>
      <c r="J1440" s="76">
        <v>3.4400000000000001E-4</v>
      </c>
      <c r="K1440" s="76">
        <v>3.1500000000000001E-4</v>
      </c>
      <c r="L1440" s="76">
        <v>4.1100000000000002E-4</v>
      </c>
      <c r="M1440" s="76">
        <v>4.4799999999999999E-4</v>
      </c>
    </row>
    <row r="1441" spans="3:13" x14ac:dyDescent="0.15">
      <c r="C1441" s="76">
        <v>624</v>
      </c>
      <c r="D1441" s="76">
        <v>5.4700000000000001E-5</v>
      </c>
      <c r="E1441" s="76">
        <v>6.5599999999999995E-5</v>
      </c>
      <c r="F1441" s="76">
        <v>1.22E-4</v>
      </c>
      <c r="G1441" s="76">
        <v>1.7000000000000001E-4</v>
      </c>
      <c r="H1441" s="76">
        <v>1.92E-4</v>
      </c>
      <c r="I1441" s="76">
        <v>2.61E-4</v>
      </c>
      <c r="J1441" s="76">
        <v>3.0200000000000002E-4</v>
      </c>
      <c r="K1441" s="76">
        <v>2.92E-4</v>
      </c>
      <c r="L1441" s="76">
        <v>3.8200000000000002E-4</v>
      </c>
      <c r="M1441" s="76">
        <v>4.15E-4</v>
      </c>
    </row>
    <row r="1442" spans="3:13" x14ac:dyDescent="0.15">
      <c r="C1442" s="76">
        <v>626</v>
      </c>
      <c r="D1442" s="76">
        <v>4.7700000000000001E-5</v>
      </c>
      <c r="E1442" s="76">
        <v>6.3299999999999994E-5</v>
      </c>
      <c r="F1442" s="76">
        <v>1.18E-4</v>
      </c>
      <c r="G1442" s="76">
        <v>1.4300000000000001E-4</v>
      </c>
      <c r="H1442" s="76">
        <v>1.5300000000000001E-4</v>
      </c>
      <c r="I1442" s="76">
        <v>2.2100000000000001E-4</v>
      </c>
      <c r="J1442" s="76">
        <v>2.5999999999999998E-4</v>
      </c>
      <c r="K1442" s="76">
        <v>3.3199999999999999E-4</v>
      </c>
      <c r="L1442" s="76">
        <v>3.5100000000000002E-4</v>
      </c>
      <c r="M1442" s="76">
        <v>3.8000000000000002E-4</v>
      </c>
    </row>
    <row r="1443" spans="3:13" x14ac:dyDescent="0.15">
      <c r="C1443" s="76">
        <v>628</v>
      </c>
      <c r="D1443" s="76">
        <v>4.8399999999999997E-5</v>
      </c>
      <c r="E1443" s="76">
        <v>5.0399999999999999E-5</v>
      </c>
      <c r="F1443" s="76">
        <v>9.7E-5</v>
      </c>
      <c r="G1443" s="76">
        <v>1.3300000000000001E-4</v>
      </c>
      <c r="H1443" s="76">
        <v>1.7000000000000001E-4</v>
      </c>
      <c r="I1443" s="76">
        <v>1.92E-4</v>
      </c>
      <c r="J1443" s="76">
        <v>2.5999999999999998E-4</v>
      </c>
      <c r="K1443" s="76">
        <v>3.0299999999999999E-4</v>
      </c>
      <c r="L1443" s="76">
        <v>3.4200000000000002E-4</v>
      </c>
      <c r="M1443" s="76">
        <v>4.4900000000000002E-4</v>
      </c>
    </row>
    <row r="1444" spans="3:13" x14ac:dyDescent="0.15">
      <c r="C1444" s="76">
        <v>630</v>
      </c>
      <c r="D1444" s="76">
        <v>4.9700000000000002E-5</v>
      </c>
      <c r="E1444" s="76">
        <v>4.0899999999999998E-5</v>
      </c>
      <c r="F1444" s="76">
        <v>9.5799999999999998E-5</v>
      </c>
      <c r="G1444" s="76">
        <v>1.3200000000000001E-4</v>
      </c>
      <c r="H1444" s="76">
        <v>1.3200000000000001E-4</v>
      </c>
      <c r="I1444" s="76">
        <v>2.14E-4</v>
      </c>
      <c r="J1444" s="76">
        <v>2.9599999999999998E-4</v>
      </c>
      <c r="K1444" s="76">
        <v>3.0899999999999998E-4</v>
      </c>
      <c r="L1444" s="76">
        <v>3.2400000000000001E-4</v>
      </c>
      <c r="M1444" s="76">
        <v>3.79E-4</v>
      </c>
    </row>
    <row r="1445" spans="3:13" x14ac:dyDescent="0.15">
      <c r="C1445" s="76">
        <v>632</v>
      </c>
      <c r="D1445" s="76">
        <v>4.21E-5</v>
      </c>
      <c r="E1445" s="76">
        <v>5.1799999999999999E-5</v>
      </c>
      <c r="F1445" s="76">
        <v>8.5000000000000006E-5</v>
      </c>
      <c r="G1445" s="76">
        <v>1.2899999999999999E-4</v>
      </c>
      <c r="H1445" s="76">
        <v>1.21E-4</v>
      </c>
      <c r="I1445" s="76">
        <v>2.13E-4</v>
      </c>
      <c r="J1445" s="76">
        <v>2.5300000000000002E-4</v>
      </c>
      <c r="K1445" s="76">
        <v>3.4000000000000002E-4</v>
      </c>
      <c r="L1445" s="76">
        <v>2.8200000000000002E-4</v>
      </c>
      <c r="M1445" s="76">
        <v>4.0400000000000001E-4</v>
      </c>
    </row>
    <row r="1446" spans="3:13" x14ac:dyDescent="0.15">
      <c r="C1446" s="76">
        <v>634</v>
      </c>
      <c r="D1446" s="76">
        <v>4.0099999999999999E-5</v>
      </c>
      <c r="E1446" s="76">
        <v>4.1100000000000003E-5</v>
      </c>
      <c r="F1446" s="76">
        <v>7.2100000000000004E-5</v>
      </c>
      <c r="G1446" s="76">
        <v>1.27E-4</v>
      </c>
      <c r="H1446" s="76">
        <v>1.35E-4</v>
      </c>
      <c r="I1446" s="76">
        <v>2.03E-4</v>
      </c>
      <c r="J1446" s="76">
        <v>2.6899999999999998E-4</v>
      </c>
      <c r="K1446" s="76">
        <v>3.3100000000000002E-4</v>
      </c>
      <c r="L1446" s="76">
        <v>2.9399999999999999E-4</v>
      </c>
      <c r="M1446" s="76">
        <v>3.7399999999999998E-4</v>
      </c>
    </row>
    <row r="1447" spans="3:13" x14ac:dyDescent="0.15">
      <c r="C1447" s="76">
        <v>636</v>
      </c>
      <c r="D1447" s="76">
        <v>4.5800000000000002E-5</v>
      </c>
      <c r="E1447" s="76">
        <v>3.8300000000000003E-5</v>
      </c>
      <c r="F1447" s="76">
        <v>7.2700000000000005E-5</v>
      </c>
      <c r="G1447" s="76">
        <v>1.2400000000000001E-4</v>
      </c>
      <c r="H1447" s="76">
        <v>1.3300000000000001E-4</v>
      </c>
      <c r="I1447" s="76">
        <v>1.7000000000000001E-4</v>
      </c>
      <c r="J1447" s="76">
        <v>2.9500000000000001E-4</v>
      </c>
      <c r="K1447" s="76">
        <v>3.57E-4</v>
      </c>
      <c r="L1447" s="76">
        <v>2.6899999999999998E-4</v>
      </c>
      <c r="M1447" s="76">
        <v>3.2000000000000003E-4</v>
      </c>
    </row>
    <row r="1448" spans="3:13" x14ac:dyDescent="0.15">
      <c r="C1448" s="76">
        <v>638</v>
      </c>
      <c r="D1448" s="76">
        <v>4.3900000000000003E-5</v>
      </c>
      <c r="E1448" s="76">
        <v>4.21E-5</v>
      </c>
      <c r="F1448" s="76">
        <v>5.9599999999999999E-5</v>
      </c>
      <c r="G1448" s="76">
        <v>1.3899999999999999E-4</v>
      </c>
      <c r="H1448" s="76">
        <v>8.0799999999999999E-5</v>
      </c>
      <c r="I1448" s="76">
        <v>1.4899999999999999E-4</v>
      </c>
      <c r="J1448" s="76">
        <v>2.5700000000000001E-4</v>
      </c>
      <c r="K1448" s="76">
        <v>3.2699999999999998E-4</v>
      </c>
      <c r="L1448" s="76">
        <v>2.9300000000000002E-4</v>
      </c>
      <c r="M1448" s="76">
        <v>3.3E-4</v>
      </c>
    </row>
    <row r="1449" spans="3:13" x14ac:dyDescent="0.15">
      <c r="C1449" s="76">
        <v>640</v>
      </c>
      <c r="D1449" s="76">
        <v>4.6400000000000003E-5</v>
      </c>
      <c r="E1449" s="76">
        <v>2.1800000000000001E-5</v>
      </c>
      <c r="F1449" s="76">
        <v>5.2099999999999999E-5</v>
      </c>
      <c r="G1449" s="76">
        <v>1.07E-4</v>
      </c>
      <c r="H1449" s="76">
        <v>6.5400000000000004E-5</v>
      </c>
      <c r="I1449" s="76">
        <v>7.6000000000000004E-5</v>
      </c>
      <c r="J1449" s="76">
        <v>2.4600000000000002E-4</v>
      </c>
      <c r="K1449" s="76">
        <v>3.4200000000000002E-4</v>
      </c>
      <c r="L1449" s="76">
        <v>2.5999999999999998E-4</v>
      </c>
      <c r="M1449" s="76">
        <v>2.9599999999999998E-4</v>
      </c>
    </row>
    <row r="1450" spans="3:13" x14ac:dyDescent="0.15">
      <c r="C1450" s="76">
        <v>642</v>
      </c>
      <c r="D1450" s="76">
        <v>4.7700000000000001E-5</v>
      </c>
      <c r="E1450" s="76">
        <v>4.3699999999999998E-5</v>
      </c>
      <c r="F1450" s="76">
        <v>3.8800000000000001E-5</v>
      </c>
      <c r="G1450" s="76">
        <v>1.03E-4</v>
      </c>
      <c r="H1450" s="76">
        <v>7.2700000000000005E-5</v>
      </c>
      <c r="I1450" s="76">
        <v>1.2899999999999999E-4</v>
      </c>
      <c r="J1450" s="76">
        <v>2.4899999999999998E-4</v>
      </c>
      <c r="K1450" s="76">
        <v>3.6099999999999999E-4</v>
      </c>
      <c r="L1450" s="76">
        <v>2.23E-4</v>
      </c>
      <c r="M1450" s="76">
        <v>2.9300000000000002E-4</v>
      </c>
    </row>
    <row r="1451" spans="3:13" x14ac:dyDescent="0.15">
      <c r="C1451" s="76">
        <v>644</v>
      </c>
      <c r="D1451" s="76">
        <v>3.8600000000000003E-5</v>
      </c>
      <c r="E1451" s="76">
        <v>2.9E-5</v>
      </c>
      <c r="F1451" s="76">
        <v>5.1199999999999998E-5</v>
      </c>
      <c r="G1451" s="76">
        <v>8.25E-5</v>
      </c>
      <c r="H1451" s="76">
        <v>7.3499999999999998E-5</v>
      </c>
      <c r="I1451" s="76">
        <v>1.2799999999999999E-4</v>
      </c>
      <c r="J1451" s="76">
        <v>2.5500000000000002E-4</v>
      </c>
      <c r="K1451" s="76">
        <v>3.1E-4</v>
      </c>
      <c r="L1451" s="76">
        <v>2.7300000000000002E-4</v>
      </c>
      <c r="M1451" s="76">
        <v>2.7E-4</v>
      </c>
    </row>
    <row r="1452" spans="3:13" x14ac:dyDescent="0.15">
      <c r="C1452" s="76">
        <v>646</v>
      </c>
      <c r="D1452" s="76">
        <v>2.7900000000000001E-5</v>
      </c>
      <c r="E1452" s="76">
        <v>2.6599999999999999E-5</v>
      </c>
      <c r="F1452" s="76">
        <v>6.2100000000000005E-5</v>
      </c>
      <c r="G1452" s="76">
        <v>9.4599999999999996E-5</v>
      </c>
      <c r="H1452" s="76">
        <v>6.1099999999999994E-5</v>
      </c>
      <c r="I1452" s="76">
        <v>1.6200000000000001E-4</v>
      </c>
      <c r="J1452" s="76">
        <v>1.6000000000000001E-4</v>
      </c>
      <c r="K1452" s="76">
        <v>3.1500000000000001E-4</v>
      </c>
      <c r="L1452" s="76">
        <v>2.9999999999999997E-4</v>
      </c>
      <c r="M1452" s="76">
        <v>2.8800000000000001E-4</v>
      </c>
    </row>
    <row r="1453" spans="3:13" x14ac:dyDescent="0.15">
      <c r="C1453" s="76">
        <v>648</v>
      </c>
      <c r="D1453" s="76">
        <v>3.7200000000000003E-5</v>
      </c>
      <c r="E1453" s="76">
        <v>1.24E-5</v>
      </c>
      <c r="F1453" s="76">
        <v>4.1999999999999998E-5</v>
      </c>
      <c r="G1453" s="76">
        <v>8.0599999999999994E-5</v>
      </c>
      <c r="H1453" s="76">
        <v>7.1199999999999996E-5</v>
      </c>
      <c r="I1453" s="76">
        <v>1.3300000000000001E-4</v>
      </c>
      <c r="J1453" s="76">
        <v>1.94E-4</v>
      </c>
      <c r="K1453" s="76">
        <v>3.48E-4</v>
      </c>
      <c r="L1453" s="76">
        <v>3.2000000000000003E-4</v>
      </c>
      <c r="M1453" s="76">
        <v>2.34E-4</v>
      </c>
    </row>
    <row r="1454" spans="3:13" x14ac:dyDescent="0.15">
      <c r="C1454" s="76">
        <v>650</v>
      </c>
      <c r="D1454" s="76">
        <v>2.8E-5</v>
      </c>
      <c r="E1454" s="76">
        <v>3.2299999999999999E-5</v>
      </c>
      <c r="F1454" s="76">
        <v>5.3000000000000001E-5</v>
      </c>
      <c r="G1454" s="76">
        <v>5.8199999999999998E-5</v>
      </c>
      <c r="H1454" s="76">
        <v>6.9900000000000005E-5</v>
      </c>
      <c r="I1454" s="76">
        <v>8.7700000000000004E-5</v>
      </c>
      <c r="J1454" s="76">
        <v>2.33E-4</v>
      </c>
      <c r="K1454" s="76">
        <v>3.1500000000000001E-4</v>
      </c>
      <c r="L1454" s="76">
        <v>3.1700000000000001E-4</v>
      </c>
      <c r="M1454" s="76">
        <v>2.6699999999999998E-4</v>
      </c>
    </row>
    <row r="1455" spans="3:13" x14ac:dyDescent="0.15">
      <c r="C1455" s="76">
        <v>652</v>
      </c>
      <c r="D1455" s="76">
        <v>2.09E-5</v>
      </c>
      <c r="E1455" s="76">
        <v>1.5999999999999999E-5</v>
      </c>
      <c r="F1455" s="76">
        <v>5.3900000000000002E-5</v>
      </c>
      <c r="G1455" s="76">
        <v>5.1600000000000001E-5</v>
      </c>
      <c r="H1455" s="76">
        <v>8.7399999999999997E-5</v>
      </c>
      <c r="I1455" s="76">
        <v>1.1E-4</v>
      </c>
      <c r="J1455" s="76">
        <v>3.1100000000000002E-4</v>
      </c>
      <c r="K1455" s="76">
        <v>3.5E-4</v>
      </c>
      <c r="L1455" s="76">
        <v>3.28E-4</v>
      </c>
      <c r="M1455" s="76">
        <v>2.9100000000000003E-4</v>
      </c>
    </row>
    <row r="1456" spans="3:13" x14ac:dyDescent="0.15">
      <c r="C1456" s="76">
        <v>654</v>
      </c>
      <c r="D1456" s="76">
        <v>2.1699999999999999E-5</v>
      </c>
      <c r="E1456" s="76">
        <v>2.1699999999999999E-5</v>
      </c>
      <c r="F1456" s="76">
        <v>6.0999999999999999E-5</v>
      </c>
      <c r="G1456" s="76">
        <v>9.9000000000000001E-6</v>
      </c>
      <c r="H1456" s="76">
        <v>1.2899999999999999E-4</v>
      </c>
      <c r="I1456" s="76">
        <v>1.4799999999999999E-4</v>
      </c>
      <c r="J1456" s="76">
        <v>1.8599999999999999E-4</v>
      </c>
      <c r="K1456" s="76">
        <v>3.3300000000000002E-4</v>
      </c>
      <c r="L1456" s="76">
        <v>2.7399999999999999E-4</v>
      </c>
      <c r="M1456" s="76">
        <v>2.3499999999999999E-4</v>
      </c>
    </row>
    <row r="1457" spans="3:13" x14ac:dyDescent="0.15">
      <c r="C1457" s="76">
        <v>656</v>
      </c>
      <c r="D1457" s="76">
        <v>2.0100000000000001E-5</v>
      </c>
      <c r="E1457" s="76">
        <v>2.72E-5</v>
      </c>
      <c r="F1457" s="76">
        <v>4.8199999999999999E-5</v>
      </c>
      <c r="G1457" s="76">
        <v>5.4500000000000003E-5</v>
      </c>
      <c r="H1457" s="76">
        <v>7.0500000000000006E-5</v>
      </c>
      <c r="I1457" s="76">
        <v>9.2800000000000006E-5</v>
      </c>
      <c r="J1457" s="76">
        <v>2.1599999999999999E-4</v>
      </c>
      <c r="K1457" s="76">
        <v>2.99E-4</v>
      </c>
      <c r="L1457" s="76">
        <v>3.0899999999999998E-4</v>
      </c>
      <c r="M1457" s="76">
        <v>2.9100000000000003E-4</v>
      </c>
    </row>
    <row r="1458" spans="3:13" x14ac:dyDescent="0.15">
      <c r="C1458" s="76">
        <v>658</v>
      </c>
      <c r="D1458" s="76">
        <v>2.27E-5</v>
      </c>
      <c r="E1458" s="76">
        <v>4.6799999999999999E-5</v>
      </c>
      <c r="F1458" s="76">
        <v>6.7700000000000006E-5</v>
      </c>
      <c r="G1458" s="76">
        <v>4.9599999999999999E-5</v>
      </c>
      <c r="H1458" s="76">
        <v>1.3899999999999999E-4</v>
      </c>
      <c r="I1458" s="76">
        <v>1.2999999999999999E-4</v>
      </c>
      <c r="J1458" s="76">
        <v>2.0000000000000001E-4</v>
      </c>
      <c r="K1458" s="76">
        <v>3.19E-4</v>
      </c>
      <c r="L1458" s="76">
        <v>3.4000000000000002E-4</v>
      </c>
      <c r="M1458" s="76">
        <v>2.5799999999999998E-4</v>
      </c>
    </row>
    <row r="1459" spans="3:13" x14ac:dyDescent="0.15">
      <c r="C1459" s="76">
        <v>660</v>
      </c>
      <c r="D1459" s="76">
        <v>1.9700000000000001E-5</v>
      </c>
      <c r="E1459" s="76">
        <v>4.4499999999999997E-5</v>
      </c>
      <c r="F1459" s="76">
        <v>5.3999999999999998E-5</v>
      </c>
      <c r="G1459" s="76">
        <v>7.3300000000000006E-5</v>
      </c>
      <c r="H1459" s="76">
        <v>1.12E-4</v>
      </c>
      <c r="I1459" s="76">
        <v>1.0399999999999999E-4</v>
      </c>
      <c r="J1459" s="76">
        <v>1.7899999999999999E-4</v>
      </c>
      <c r="K1459" s="76">
        <v>2.99E-4</v>
      </c>
      <c r="L1459" s="76">
        <v>3.1E-4</v>
      </c>
      <c r="M1459" s="76">
        <v>2.0599999999999999E-4</v>
      </c>
    </row>
    <row r="1460" spans="3:13" x14ac:dyDescent="0.15">
      <c r="C1460" s="76">
        <v>662</v>
      </c>
      <c r="D1460" s="76">
        <v>1.77E-5</v>
      </c>
      <c r="E1460" s="76">
        <v>3.4600000000000001E-5</v>
      </c>
      <c r="F1460" s="76">
        <v>4.9200000000000003E-5</v>
      </c>
      <c r="G1460" s="76">
        <v>4.7299999999999998E-5</v>
      </c>
      <c r="H1460" s="76">
        <v>1.02E-4</v>
      </c>
      <c r="I1460" s="76">
        <v>1.17E-4</v>
      </c>
      <c r="J1460" s="76">
        <v>2.2900000000000001E-4</v>
      </c>
      <c r="K1460" s="76">
        <v>2.6200000000000003E-4</v>
      </c>
      <c r="L1460" s="76">
        <v>2.9E-4</v>
      </c>
      <c r="M1460" s="76">
        <v>2.5300000000000002E-4</v>
      </c>
    </row>
    <row r="1461" spans="3:13" x14ac:dyDescent="0.15">
      <c r="C1461" s="76">
        <v>664</v>
      </c>
      <c r="D1461" s="76">
        <v>1.7499999999999998E-5</v>
      </c>
      <c r="E1461" s="76">
        <v>4.21E-5</v>
      </c>
      <c r="F1461" s="76">
        <v>4.6999999999999997E-5</v>
      </c>
      <c r="G1461" s="76">
        <v>3.9799999999999998E-5</v>
      </c>
      <c r="H1461" s="76">
        <v>1.5799999999999999E-4</v>
      </c>
      <c r="I1461" s="76">
        <v>1.5100000000000001E-4</v>
      </c>
      <c r="J1461" s="76">
        <v>2.2800000000000001E-4</v>
      </c>
      <c r="K1461" s="76">
        <v>2.9700000000000001E-4</v>
      </c>
      <c r="L1461" s="76">
        <v>2.7999999999999998E-4</v>
      </c>
      <c r="M1461" s="76">
        <v>2.1699999999999999E-4</v>
      </c>
    </row>
    <row r="1462" spans="3:13" x14ac:dyDescent="0.15">
      <c r="C1462" s="76">
        <v>666</v>
      </c>
      <c r="D1462" s="76">
        <v>2.0400000000000001E-5</v>
      </c>
      <c r="E1462" s="76">
        <v>3.8600000000000003E-5</v>
      </c>
      <c r="F1462" s="76">
        <v>4.85E-5</v>
      </c>
      <c r="G1462" s="76">
        <v>5.8199999999999998E-5</v>
      </c>
      <c r="H1462" s="76">
        <v>1.73E-4</v>
      </c>
      <c r="I1462" s="76">
        <v>1.3999999999999999E-4</v>
      </c>
      <c r="J1462" s="76">
        <v>1.9699999999999999E-4</v>
      </c>
      <c r="K1462" s="76">
        <v>3.0499999999999999E-4</v>
      </c>
      <c r="L1462" s="76">
        <v>2.7900000000000001E-4</v>
      </c>
      <c r="M1462" s="76">
        <v>2.13E-4</v>
      </c>
    </row>
    <row r="1463" spans="3:13" x14ac:dyDescent="0.15">
      <c r="C1463" s="76">
        <v>668</v>
      </c>
      <c r="D1463" s="76">
        <v>1.7099999999999999E-5</v>
      </c>
      <c r="E1463" s="76">
        <v>4.07E-5</v>
      </c>
      <c r="F1463" s="76">
        <v>5.2899999999999998E-5</v>
      </c>
      <c r="G1463" s="76">
        <v>5.7000000000000003E-5</v>
      </c>
      <c r="H1463" s="76">
        <v>1.63E-4</v>
      </c>
      <c r="I1463" s="76">
        <v>1.35E-4</v>
      </c>
      <c r="J1463" s="76">
        <v>1.9100000000000001E-4</v>
      </c>
      <c r="K1463" s="76">
        <v>1.8599999999999999E-4</v>
      </c>
      <c r="L1463" s="76">
        <v>2.8400000000000002E-4</v>
      </c>
      <c r="M1463" s="76">
        <v>2.05E-4</v>
      </c>
    </row>
    <row r="1464" spans="3:13" x14ac:dyDescent="0.15">
      <c r="C1464" s="76">
        <v>670</v>
      </c>
      <c r="D1464" s="76">
        <v>1.5400000000000002E-5</v>
      </c>
      <c r="E1464" s="76">
        <v>6.2299999999999996E-5</v>
      </c>
      <c r="F1464" s="76">
        <v>6.0099999999999997E-5</v>
      </c>
      <c r="G1464" s="76">
        <v>6.7500000000000001E-5</v>
      </c>
      <c r="H1464" s="76">
        <v>1.6899999999999999E-4</v>
      </c>
      <c r="I1464" s="76">
        <v>1.44E-4</v>
      </c>
      <c r="J1464" s="76">
        <v>1.66E-4</v>
      </c>
      <c r="K1464" s="76">
        <v>1.1900000000000001E-4</v>
      </c>
      <c r="L1464" s="76">
        <v>2.8800000000000001E-4</v>
      </c>
      <c r="M1464" s="76">
        <v>1.7899999999999999E-4</v>
      </c>
    </row>
    <row r="1465" spans="3:13" x14ac:dyDescent="0.15">
      <c r="C1465" s="76">
        <v>672</v>
      </c>
      <c r="D1465" s="76">
        <v>1.13E-5</v>
      </c>
      <c r="E1465" s="76">
        <v>4.2799999999999997E-5</v>
      </c>
      <c r="F1465" s="76">
        <v>7.1199999999999996E-5</v>
      </c>
      <c r="G1465" s="76">
        <v>1.11E-4</v>
      </c>
      <c r="H1465" s="76">
        <v>1.9599999999999999E-4</v>
      </c>
      <c r="I1465" s="76">
        <v>1.54E-4</v>
      </c>
      <c r="J1465" s="76">
        <v>1.76E-4</v>
      </c>
      <c r="K1465" s="76">
        <v>1.2799999999999999E-4</v>
      </c>
      <c r="L1465" s="76">
        <v>3.1799999999999998E-4</v>
      </c>
      <c r="M1465" s="76">
        <v>2.2100000000000001E-4</v>
      </c>
    </row>
    <row r="1466" spans="3:13" x14ac:dyDescent="0.15">
      <c r="C1466" s="76">
        <v>674</v>
      </c>
      <c r="D1466" s="76">
        <v>1.3200000000000001E-5</v>
      </c>
      <c r="E1466" s="76">
        <v>4.5099999999999998E-5</v>
      </c>
      <c r="F1466" s="76">
        <v>9.0799999999999998E-5</v>
      </c>
      <c r="G1466" s="76">
        <v>9.7899999999999994E-5</v>
      </c>
      <c r="H1466" s="76">
        <v>2.1900000000000001E-4</v>
      </c>
      <c r="I1466" s="76">
        <v>1.7899999999999999E-4</v>
      </c>
      <c r="J1466" s="76">
        <v>1.5200000000000001E-4</v>
      </c>
      <c r="K1466" s="76">
        <v>1.9799999999999999E-4</v>
      </c>
      <c r="L1466" s="76">
        <v>2.7500000000000002E-4</v>
      </c>
      <c r="M1466" s="76">
        <v>2.5900000000000001E-4</v>
      </c>
    </row>
    <row r="1467" spans="3:13" x14ac:dyDescent="0.15">
      <c r="C1467" s="76">
        <v>676</v>
      </c>
      <c r="D1467" s="76">
        <v>2.0699999999999998E-5</v>
      </c>
      <c r="E1467" s="76">
        <v>5.52E-5</v>
      </c>
      <c r="F1467" s="76">
        <v>9.6100000000000005E-5</v>
      </c>
      <c r="G1467" s="76">
        <v>8.6299999999999997E-5</v>
      </c>
      <c r="H1467" s="76">
        <v>2.0900000000000001E-4</v>
      </c>
      <c r="I1467" s="76">
        <v>1.7699999999999999E-4</v>
      </c>
      <c r="J1467" s="76">
        <v>1.5200000000000001E-4</v>
      </c>
      <c r="K1467" s="76">
        <v>1.74E-4</v>
      </c>
      <c r="L1467" s="76">
        <v>2.6400000000000002E-4</v>
      </c>
      <c r="M1467" s="76">
        <v>2.2100000000000001E-4</v>
      </c>
    </row>
    <row r="1468" spans="3:13" x14ac:dyDescent="0.15">
      <c r="C1468" s="76">
        <v>678</v>
      </c>
      <c r="D1468" s="76">
        <v>2.0000000000000002E-5</v>
      </c>
      <c r="E1468" s="76">
        <v>5.2200000000000002E-5</v>
      </c>
      <c r="F1468" s="76">
        <v>8.6399999999999999E-5</v>
      </c>
      <c r="G1468" s="76">
        <v>9.5400000000000001E-5</v>
      </c>
      <c r="H1468" s="76">
        <v>2.1499999999999999E-4</v>
      </c>
      <c r="I1468" s="76">
        <v>1.6200000000000001E-4</v>
      </c>
      <c r="J1468" s="76">
        <v>1.4999999999999999E-4</v>
      </c>
      <c r="K1468" s="76">
        <v>8.8200000000000003E-5</v>
      </c>
      <c r="L1468" s="76">
        <v>2.7700000000000001E-4</v>
      </c>
      <c r="M1468" s="76">
        <v>2.4899999999999998E-4</v>
      </c>
    </row>
    <row r="1469" spans="3:13" x14ac:dyDescent="0.15">
      <c r="C1469" s="76">
        <v>680</v>
      </c>
      <c r="D1469" s="76">
        <v>1.47E-5</v>
      </c>
      <c r="E1469" s="76">
        <v>4.9100000000000001E-5</v>
      </c>
      <c r="F1469" s="76">
        <v>7.9499999999999994E-5</v>
      </c>
      <c r="G1469" s="76">
        <v>1.05E-4</v>
      </c>
      <c r="H1469" s="76">
        <v>1.8000000000000001E-4</v>
      </c>
      <c r="I1469" s="76">
        <v>2.5399999999999999E-4</v>
      </c>
      <c r="J1469" s="76">
        <v>1.2899999999999999E-4</v>
      </c>
      <c r="K1469" s="76">
        <v>7.5799999999999999E-5</v>
      </c>
      <c r="L1469" s="76">
        <v>1.47E-4</v>
      </c>
      <c r="M1469" s="76">
        <v>2.6200000000000003E-4</v>
      </c>
    </row>
    <row r="1470" spans="3:13" x14ac:dyDescent="0.15">
      <c r="C1470" s="76">
        <v>682</v>
      </c>
      <c r="D1470" s="76">
        <v>1.4E-5</v>
      </c>
      <c r="E1470" s="76">
        <v>5.2500000000000002E-5</v>
      </c>
      <c r="F1470" s="76">
        <v>1.05E-4</v>
      </c>
      <c r="G1470" s="76">
        <v>1.08E-4</v>
      </c>
      <c r="H1470" s="76">
        <v>1.76E-4</v>
      </c>
      <c r="I1470" s="76">
        <v>2.22E-4</v>
      </c>
      <c r="J1470" s="76">
        <v>9.2700000000000004E-5</v>
      </c>
      <c r="K1470" s="76">
        <v>4.7700000000000001E-5</v>
      </c>
      <c r="L1470" s="76">
        <v>1.8200000000000001E-4</v>
      </c>
      <c r="M1470" s="76">
        <v>3.4499999999999998E-4</v>
      </c>
    </row>
    <row r="1471" spans="3:13" x14ac:dyDescent="0.15">
      <c r="C1471" s="76">
        <v>684</v>
      </c>
      <c r="D1471" s="76">
        <v>1.6099999999999998E-5</v>
      </c>
      <c r="E1471" s="76">
        <v>5.7200000000000001E-5</v>
      </c>
      <c r="F1471" s="76">
        <v>9.7100000000000002E-5</v>
      </c>
      <c r="G1471" s="76">
        <v>1.07E-4</v>
      </c>
      <c r="H1471" s="76">
        <v>1.95E-4</v>
      </c>
      <c r="I1471" s="76">
        <v>2.1900000000000001E-4</v>
      </c>
      <c r="J1471" s="76">
        <v>1.02E-4</v>
      </c>
      <c r="K1471" s="76">
        <v>6.5400000000000004E-5</v>
      </c>
      <c r="L1471" s="76">
        <v>1.9599999999999999E-4</v>
      </c>
      <c r="M1471" s="76">
        <v>3.0200000000000002E-4</v>
      </c>
    </row>
    <row r="1472" spans="3:13" x14ac:dyDescent="0.15">
      <c r="C1472" s="76">
        <v>686</v>
      </c>
      <c r="D1472" s="76">
        <v>2.8099999999999999E-5</v>
      </c>
      <c r="E1472" s="76">
        <v>5.5099999999999998E-5</v>
      </c>
      <c r="F1472" s="76">
        <v>9.7200000000000004E-5</v>
      </c>
      <c r="G1472" s="76">
        <v>8.6299999999999997E-5</v>
      </c>
      <c r="H1472" s="76">
        <v>1.6899999999999999E-4</v>
      </c>
      <c r="I1472" s="76">
        <v>2.22E-4</v>
      </c>
      <c r="J1472" s="76">
        <v>4.9599999999999999E-5</v>
      </c>
      <c r="K1472" s="76">
        <v>1.1399999999999999E-5</v>
      </c>
      <c r="L1472" s="76">
        <v>1.2999999999999999E-4</v>
      </c>
      <c r="M1472" s="76">
        <v>2.92E-4</v>
      </c>
    </row>
    <row r="1473" spans="3:13" x14ac:dyDescent="0.15">
      <c r="C1473" s="76">
        <v>688</v>
      </c>
      <c r="D1473" s="76">
        <v>1.77E-5</v>
      </c>
      <c r="E1473" s="76">
        <v>6.0399999999999998E-5</v>
      </c>
      <c r="F1473" s="76">
        <v>9.4599999999999996E-5</v>
      </c>
      <c r="G1473" s="76">
        <v>9.5099999999999994E-5</v>
      </c>
      <c r="H1473" s="76">
        <v>1.4999999999999999E-4</v>
      </c>
      <c r="I1473" s="76">
        <v>1.7899999999999999E-4</v>
      </c>
      <c r="J1473" s="76">
        <v>4.6300000000000001E-5</v>
      </c>
      <c r="K1473" s="76">
        <v>5.2299999999999997E-5</v>
      </c>
      <c r="L1473" s="76">
        <v>1.93E-4</v>
      </c>
      <c r="M1473" s="76">
        <v>2.92E-4</v>
      </c>
    </row>
    <row r="1474" spans="3:13" x14ac:dyDescent="0.15">
      <c r="C1474" s="76">
        <v>690</v>
      </c>
      <c r="D1474" s="76">
        <v>2.12E-5</v>
      </c>
      <c r="E1474" s="76">
        <v>4.8199999999999999E-5</v>
      </c>
      <c r="F1474" s="76">
        <v>9.0199999999999997E-5</v>
      </c>
      <c r="G1474" s="76">
        <v>8.2799999999999993E-5</v>
      </c>
      <c r="H1474" s="76">
        <v>1.36E-4</v>
      </c>
      <c r="I1474" s="76">
        <v>1.93E-4</v>
      </c>
      <c r="J1474" s="76">
        <v>4.4400000000000002E-5</v>
      </c>
      <c r="K1474" s="76">
        <v>7.96E-6</v>
      </c>
      <c r="L1474" s="76">
        <v>1.3799999999999999E-4</v>
      </c>
      <c r="M1474" s="76">
        <v>2.5999999999999998E-4</v>
      </c>
    </row>
    <row r="1475" spans="3:13" x14ac:dyDescent="0.15">
      <c r="C1475" s="76">
        <v>692</v>
      </c>
      <c r="D1475" s="76">
        <v>2.73E-5</v>
      </c>
      <c r="E1475" s="76">
        <v>6.3299999999999994E-5</v>
      </c>
      <c r="F1475" s="76">
        <v>5.2500000000000002E-5</v>
      </c>
      <c r="G1475" s="76">
        <v>8.8499999999999996E-5</v>
      </c>
      <c r="H1475" s="76">
        <v>1.0900000000000001E-4</v>
      </c>
      <c r="I1475" s="76">
        <v>1.66E-4</v>
      </c>
      <c r="J1475" s="76">
        <v>6.05E-5</v>
      </c>
      <c r="K1475" s="76">
        <v>1.4399999999999999E-5</v>
      </c>
      <c r="L1475" s="76">
        <v>1.06E-4</v>
      </c>
      <c r="M1475" s="76">
        <v>2.5500000000000002E-4</v>
      </c>
    </row>
    <row r="1476" spans="3:13" x14ac:dyDescent="0.15">
      <c r="C1476" s="76">
        <v>694</v>
      </c>
      <c r="D1476" s="76">
        <v>1.9599999999999999E-5</v>
      </c>
      <c r="E1476" s="76">
        <v>4.6E-5</v>
      </c>
      <c r="F1476" s="76">
        <v>6.9200000000000002E-5</v>
      </c>
      <c r="G1476" s="76">
        <v>1.1900000000000001E-4</v>
      </c>
      <c r="H1476" s="76">
        <v>1.0900000000000001E-4</v>
      </c>
      <c r="I1476" s="76">
        <v>1.44E-4</v>
      </c>
      <c r="J1476" s="76">
        <v>2.8600000000000001E-5</v>
      </c>
      <c r="K1476" s="76">
        <v>0</v>
      </c>
      <c r="L1476" s="76">
        <v>1.2799999999999999E-4</v>
      </c>
      <c r="M1476" s="76">
        <v>2.0900000000000001E-4</v>
      </c>
    </row>
    <row r="1477" spans="3:13" x14ac:dyDescent="0.15">
      <c r="C1477" s="76">
        <v>696</v>
      </c>
      <c r="D1477" s="76">
        <v>1.7200000000000001E-5</v>
      </c>
      <c r="E1477" s="76">
        <v>4.6699999999999997E-5</v>
      </c>
      <c r="F1477" s="76">
        <v>6.7500000000000001E-5</v>
      </c>
      <c r="G1477" s="76">
        <v>8.14E-5</v>
      </c>
      <c r="H1477" s="76">
        <v>5.1799999999999999E-5</v>
      </c>
      <c r="I1477" s="76">
        <v>1.3799999999999999E-4</v>
      </c>
      <c r="J1477" s="76">
        <v>1.98E-5</v>
      </c>
      <c r="K1477" s="76">
        <v>3.7499999999999997E-5</v>
      </c>
      <c r="L1477" s="76">
        <v>9.2299999999999994E-5</v>
      </c>
      <c r="M1477" s="76">
        <v>2.1100000000000001E-4</v>
      </c>
    </row>
    <row r="1478" spans="3:13" x14ac:dyDescent="0.15">
      <c r="C1478" s="76">
        <v>698</v>
      </c>
      <c r="D1478" s="76">
        <v>2.4000000000000001E-5</v>
      </c>
      <c r="E1478" s="76">
        <v>5.2899999999999998E-5</v>
      </c>
      <c r="F1478" s="76">
        <v>3.3800000000000002E-5</v>
      </c>
      <c r="G1478" s="76">
        <v>9.4400000000000004E-5</v>
      </c>
      <c r="H1478" s="76">
        <v>1.4799999999999999E-4</v>
      </c>
      <c r="I1478" s="76">
        <v>1.54E-4</v>
      </c>
      <c r="J1478" s="76">
        <v>0</v>
      </c>
      <c r="K1478" s="76">
        <v>1.6099999999999998E-5</v>
      </c>
      <c r="L1478" s="76">
        <v>1.01E-4</v>
      </c>
      <c r="M1478" s="76">
        <v>2.2100000000000001E-4</v>
      </c>
    </row>
    <row r="1479" spans="3:13" x14ac:dyDescent="0.15">
      <c r="C1479" s="76">
        <v>700</v>
      </c>
      <c r="D1479" s="76">
        <v>1.47E-5</v>
      </c>
      <c r="E1479" s="76">
        <v>4.4499999999999997E-5</v>
      </c>
      <c r="F1479" s="76">
        <v>5.0899999999999997E-5</v>
      </c>
      <c r="G1479" s="76">
        <v>8.7800000000000006E-5</v>
      </c>
      <c r="H1479" s="76">
        <v>5.7200000000000001E-5</v>
      </c>
      <c r="I1479" s="76">
        <v>1.3999999999999999E-4</v>
      </c>
      <c r="J1479" s="76">
        <v>8.1200000000000002E-6</v>
      </c>
      <c r="K1479" s="76">
        <v>4.7800000000000003E-5</v>
      </c>
      <c r="L1479" s="76">
        <v>1.02E-4</v>
      </c>
      <c r="M1479" s="76">
        <v>2.7099999999999997E-4</v>
      </c>
    </row>
    <row r="1480" spans="3:13" x14ac:dyDescent="0.15">
      <c r="C1480" s="76">
        <v>702</v>
      </c>
      <c r="D1480" s="76">
        <v>1.7799999999999999E-5</v>
      </c>
      <c r="E1480" s="76">
        <v>4.5599999999999997E-5</v>
      </c>
      <c r="F1480" s="76">
        <v>5.63E-5</v>
      </c>
      <c r="G1480" s="76">
        <v>6.6600000000000006E-5</v>
      </c>
      <c r="H1480" s="76">
        <v>5.24E-5</v>
      </c>
      <c r="I1480" s="76">
        <v>1.13E-4</v>
      </c>
      <c r="J1480" s="76">
        <v>2.26E-5</v>
      </c>
      <c r="K1480" s="76">
        <v>5.1499999999999998E-5</v>
      </c>
      <c r="L1480" s="76">
        <v>1.27E-4</v>
      </c>
      <c r="M1480" s="76">
        <v>2.7099999999999997E-4</v>
      </c>
    </row>
    <row r="1481" spans="3:13" x14ac:dyDescent="0.15">
      <c r="C1481" s="76">
        <v>704</v>
      </c>
      <c r="D1481" s="76">
        <v>1.88E-5</v>
      </c>
      <c r="E1481" s="76">
        <v>3.6300000000000001E-5</v>
      </c>
      <c r="F1481" s="76">
        <v>2.1399999999999998E-5</v>
      </c>
      <c r="G1481" s="76">
        <v>5.8699999999999997E-5</v>
      </c>
      <c r="H1481" s="76">
        <v>6.46E-6</v>
      </c>
      <c r="I1481" s="76">
        <v>1.17E-4</v>
      </c>
      <c r="J1481" s="76">
        <v>1.6200000000000001E-5</v>
      </c>
      <c r="K1481" s="76">
        <v>6.5099999999999997E-5</v>
      </c>
      <c r="L1481" s="76">
        <v>1.05E-4</v>
      </c>
      <c r="M1481" s="76">
        <v>1.63E-4</v>
      </c>
    </row>
    <row r="1482" spans="3:13" x14ac:dyDescent="0.15">
      <c r="C1482" s="76">
        <v>706</v>
      </c>
      <c r="D1482" s="76">
        <v>9.6500000000000008E-6</v>
      </c>
      <c r="E1482" s="76">
        <v>3.6399999999999997E-5</v>
      </c>
      <c r="F1482" s="76">
        <v>3.7700000000000002E-5</v>
      </c>
      <c r="G1482" s="76">
        <v>4.0599999999999998E-5</v>
      </c>
      <c r="H1482" s="76">
        <v>8.6100000000000006E-6</v>
      </c>
      <c r="I1482" s="76">
        <v>4.6300000000000001E-5</v>
      </c>
      <c r="J1482" s="76">
        <v>0</v>
      </c>
      <c r="K1482" s="76">
        <v>1.0399999999999999E-4</v>
      </c>
      <c r="L1482" s="76">
        <v>1.3899999999999999E-4</v>
      </c>
      <c r="M1482" s="76">
        <v>1.8799999999999999E-4</v>
      </c>
    </row>
    <row r="1483" spans="3:13" x14ac:dyDescent="0.15">
      <c r="C1483" s="76">
        <v>708</v>
      </c>
      <c r="D1483" s="76">
        <v>1.43E-5</v>
      </c>
      <c r="E1483" s="76">
        <v>2.5400000000000001E-5</v>
      </c>
      <c r="F1483" s="76">
        <v>2.0599999999999999E-5</v>
      </c>
      <c r="G1483" s="76">
        <v>1.9899999999999999E-5</v>
      </c>
      <c r="H1483" s="76">
        <v>0</v>
      </c>
      <c r="I1483" s="76">
        <v>7.1400000000000001E-5</v>
      </c>
      <c r="J1483" s="76">
        <v>8.6200000000000005E-6</v>
      </c>
      <c r="K1483" s="76">
        <v>1.45E-5</v>
      </c>
      <c r="L1483" s="76">
        <v>1.6100000000000001E-4</v>
      </c>
      <c r="M1483" s="76">
        <v>1.85E-4</v>
      </c>
    </row>
    <row r="1484" spans="3:13" x14ac:dyDescent="0.15">
      <c r="C1484" s="76">
        <v>710</v>
      </c>
      <c r="D1484" s="76">
        <v>1.4600000000000001E-5</v>
      </c>
      <c r="E1484" s="76">
        <v>1.24E-5</v>
      </c>
      <c r="F1484" s="76">
        <v>3.2700000000000002E-5</v>
      </c>
      <c r="G1484" s="76">
        <v>3.4199999999999998E-5</v>
      </c>
      <c r="H1484" s="76">
        <v>0</v>
      </c>
      <c r="I1484" s="76">
        <v>4.8699999999999998E-5</v>
      </c>
      <c r="J1484" s="76">
        <v>4.9899999999999997E-6</v>
      </c>
      <c r="K1484" s="76">
        <v>2.8499999999999999E-4</v>
      </c>
      <c r="L1484" s="76">
        <v>1.5899999999999999E-4</v>
      </c>
      <c r="M1484" s="76">
        <v>1.65E-4</v>
      </c>
    </row>
    <row r="1485" spans="3:13" x14ac:dyDescent="0.15">
      <c r="C1485" s="76">
        <v>712</v>
      </c>
      <c r="D1485" s="76">
        <v>2.4600000000000002E-5</v>
      </c>
      <c r="E1485" s="76">
        <v>2.8099999999999999E-5</v>
      </c>
      <c r="F1485" s="76">
        <v>1.5500000000000001E-5</v>
      </c>
      <c r="G1485" s="76">
        <v>5.4799999999999997E-5</v>
      </c>
      <c r="H1485" s="76">
        <v>9.8800000000000003E-6</v>
      </c>
      <c r="I1485" s="76">
        <v>7.5699999999999997E-5</v>
      </c>
      <c r="J1485" s="76">
        <v>6.8399999999999997E-6</v>
      </c>
      <c r="K1485" s="76">
        <v>2.3499999999999999E-4</v>
      </c>
      <c r="L1485" s="76">
        <v>1.2899999999999999E-4</v>
      </c>
      <c r="M1485" s="76">
        <v>1.12E-4</v>
      </c>
    </row>
    <row r="1486" spans="3:13" x14ac:dyDescent="0.15">
      <c r="C1486" s="76">
        <v>714</v>
      </c>
      <c r="D1486" s="76">
        <v>7.9200000000000004E-6</v>
      </c>
      <c r="E1486" s="76">
        <v>1.5500000000000001E-5</v>
      </c>
      <c r="F1486" s="76">
        <v>7.5000000000000002E-6</v>
      </c>
      <c r="G1486" s="76">
        <v>3.8500000000000001E-5</v>
      </c>
      <c r="H1486" s="76">
        <v>0</v>
      </c>
      <c r="I1486" s="76">
        <v>4.5599999999999997E-5</v>
      </c>
      <c r="J1486" s="76">
        <v>1.1399999999999999E-5</v>
      </c>
      <c r="K1486" s="76">
        <v>1.84E-4</v>
      </c>
      <c r="L1486" s="76">
        <v>1.5300000000000001E-4</v>
      </c>
      <c r="M1486" s="76">
        <v>8.3200000000000003E-5</v>
      </c>
    </row>
    <row r="1487" spans="3:13" x14ac:dyDescent="0.15">
      <c r="C1487" s="76">
        <v>716</v>
      </c>
      <c r="D1487" s="76">
        <v>9.6199999999999994E-6</v>
      </c>
      <c r="E1487" s="76">
        <v>2.7700000000000002E-6</v>
      </c>
      <c r="F1487" s="76">
        <v>1.06E-5</v>
      </c>
      <c r="G1487" s="76">
        <v>2.8399999999999999E-5</v>
      </c>
      <c r="H1487" s="76">
        <v>3.36E-6</v>
      </c>
      <c r="I1487" s="76">
        <v>3.04E-5</v>
      </c>
      <c r="J1487" s="76">
        <v>4.3999999999999999E-5</v>
      </c>
      <c r="K1487" s="76">
        <v>1.8699999999999999E-4</v>
      </c>
      <c r="L1487" s="76">
        <v>1.1400000000000001E-4</v>
      </c>
      <c r="M1487" s="76">
        <v>1.1400000000000001E-4</v>
      </c>
    </row>
    <row r="1488" spans="3:13" x14ac:dyDescent="0.15">
      <c r="C1488" s="76">
        <v>718</v>
      </c>
      <c r="D1488" s="76">
        <v>5.6699999999999999E-6</v>
      </c>
      <c r="E1488" s="76">
        <v>1.31E-6</v>
      </c>
      <c r="F1488" s="76">
        <v>8.5199999999999997E-6</v>
      </c>
      <c r="G1488" s="76">
        <v>4.2700000000000001E-5</v>
      </c>
      <c r="H1488" s="76">
        <v>1.59E-6</v>
      </c>
      <c r="I1488" s="76">
        <v>7.0199999999999999E-5</v>
      </c>
      <c r="J1488" s="76">
        <v>5.8499999999999999E-5</v>
      </c>
      <c r="K1488" s="76">
        <v>1.7000000000000001E-4</v>
      </c>
      <c r="L1488" s="76">
        <v>1.35E-4</v>
      </c>
      <c r="M1488" s="76">
        <v>8.7899999999999995E-5</v>
      </c>
    </row>
    <row r="1489" spans="3:13" x14ac:dyDescent="0.15">
      <c r="C1489" s="76">
        <v>720</v>
      </c>
      <c r="D1489" s="76">
        <v>3.9400000000000004E-6</v>
      </c>
      <c r="E1489" s="76">
        <v>2.12E-6</v>
      </c>
      <c r="F1489" s="76">
        <v>1.27E-5</v>
      </c>
      <c r="G1489" s="76">
        <v>6.0300000000000002E-5</v>
      </c>
      <c r="H1489" s="76">
        <v>0</v>
      </c>
      <c r="I1489" s="76">
        <v>6.2899999999999999E-6</v>
      </c>
      <c r="J1489" s="76">
        <v>5.13E-5</v>
      </c>
      <c r="K1489" s="76">
        <v>2.1599999999999999E-4</v>
      </c>
      <c r="L1489" s="76">
        <v>1.2899999999999999E-4</v>
      </c>
      <c r="M1489" s="76">
        <v>1.66E-4</v>
      </c>
    </row>
    <row r="1490" spans="3:13" x14ac:dyDescent="0.15">
      <c r="C1490" s="76">
        <v>722</v>
      </c>
      <c r="D1490" s="76">
        <v>1.1E-5</v>
      </c>
      <c r="E1490" s="76">
        <v>1.19E-5</v>
      </c>
      <c r="F1490" s="76">
        <v>1.33E-5</v>
      </c>
      <c r="G1490" s="76">
        <v>5.2899999999999998E-5</v>
      </c>
      <c r="H1490" s="76">
        <v>0</v>
      </c>
      <c r="I1490" s="76">
        <v>2.3799999999999999E-5</v>
      </c>
      <c r="J1490" s="76">
        <v>8.3399999999999994E-5</v>
      </c>
      <c r="K1490" s="76">
        <v>1.66E-4</v>
      </c>
      <c r="L1490" s="76">
        <v>1.25E-4</v>
      </c>
      <c r="M1490" s="76">
        <v>1.11E-4</v>
      </c>
    </row>
    <row r="1491" spans="3:13" x14ac:dyDescent="0.15">
      <c r="C1491" s="76">
        <v>724</v>
      </c>
      <c r="D1491" s="76">
        <v>1.11E-5</v>
      </c>
      <c r="E1491" s="76">
        <v>1.4800000000000001E-5</v>
      </c>
      <c r="F1491" s="76">
        <v>1.27E-5</v>
      </c>
      <c r="G1491" s="76">
        <v>5.2099999999999999E-5</v>
      </c>
      <c r="H1491" s="76">
        <v>7.3300000000000001E-6</v>
      </c>
      <c r="I1491" s="76">
        <v>2.4600000000000002E-5</v>
      </c>
      <c r="J1491" s="76">
        <v>1.03E-4</v>
      </c>
      <c r="K1491" s="76">
        <v>1.94E-4</v>
      </c>
      <c r="L1491" s="76">
        <v>1.2899999999999999E-4</v>
      </c>
      <c r="M1491" s="76">
        <v>1.7200000000000001E-4</v>
      </c>
    </row>
    <row r="1492" spans="3:13" x14ac:dyDescent="0.15">
      <c r="C1492" s="76">
        <v>726</v>
      </c>
      <c r="D1492" s="76">
        <v>3.0800000000000003E-5</v>
      </c>
      <c r="E1492" s="76">
        <v>3.7100000000000001E-6</v>
      </c>
      <c r="F1492" s="76">
        <v>1.2999999999999999E-5</v>
      </c>
      <c r="G1492" s="76">
        <v>6.8300000000000007E-5</v>
      </c>
      <c r="H1492" s="76">
        <v>2.7099999999999999E-6</v>
      </c>
      <c r="I1492" s="76">
        <v>9.1900000000000001E-6</v>
      </c>
      <c r="J1492" s="76">
        <v>1.21E-4</v>
      </c>
      <c r="K1492" s="76">
        <v>1.8000000000000001E-4</v>
      </c>
      <c r="L1492" s="76">
        <v>1.13E-4</v>
      </c>
      <c r="M1492" s="76">
        <v>8.81E-5</v>
      </c>
    </row>
    <row r="1493" spans="3:13" x14ac:dyDescent="0.15">
      <c r="C1493" s="76">
        <v>728</v>
      </c>
      <c r="D1493" s="76">
        <v>3.63E-6</v>
      </c>
      <c r="E1493" s="76">
        <v>9.9899999999999992E-6</v>
      </c>
      <c r="F1493" s="76">
        <v>2.5299999999999998E-5</v>
      </c>
      <c r="G1493" s="76">
        <v>6.4200000000000002E-5</v>
      </c>
      <c r="H1493" s="76">
        <v>1.45E-5</v>
      </c>
      <c r="I1493" s="76">
        <v>1.6799999999999998E-5</v>
      </c>
      <c r="J1493" s="76">
        <v>1.3799999999999999E-4</v>
      </c>
      <c r="K1493" s="76">
        <v>2.13E-4</v>
      </c>
      <c r="L1493" s="76">
        <v>1.3899999999999999E-4</v>
      </c>
      <c r="M1493" s="76">
        <v>1.26E-4</v>
      </c>
    </row>
    <row r="1494" spans="3:13" x14ac:dyDescent="0.15">
      <c r="C1494" s="76">
        <v>730</v>
      </c>
      <c r="D1494" s="76">
        <v>4.2400000000000001E-6</v>
      </c>
      <c r="E1494" s="76">
        <v>1.5699999999999999E-5</v>
      </c>
      <c r="F1494" s="76">
        <v>3.2400000000000001E-5</v>
      </c>
      <c r="G1494" s="76">
        <v>6.0300000000000002E-5</v>
      </c>
      <c r="H1494" s="76">
        <v>0</v>
      </c>
      <c r="I1494" s="76">
        <v>3.2700000000000002E-5</v>
      </c>
      <c r="J1494" s="76">
        <v>1.46E-4</v>
      </c>
      <c r="K1494" s="76">
        <v>1.93E-4</v>
      </c>
      <c r="L1494" s="76">
        <v>7.3399999999999995E-5</v>
      </c>
      <c r="M1494" s="76">
        <v>1.6899999999999999E-4</v>
      </c>
    </row>
    <row r="1495" spans="3:13" x14ac:dyDescent="0.15">
      <c r="C1495" s="76">
        <v>732</v>
      </c>
      <c r="D1495" s="76">
        <v>0</v>
      </c>
      <c r="E1495" s="76">
        <v>1.7900000000000001E-5</v>
      </c>
      <c r="F1495" s="76">
        <v>2.7900000000000001E-5</v>
      </c>
      <c r="G1495" s="76">
        <v>7.6699999999999994E-5</v>
      </c>
      <c r="H1495" s="76">
        <v>0</v>
      </c>
      <c r="I1495" s="76">
        <v>6.5300000000000002E-5</v>
      </c>
      <c r="J1495" s="76">
        <v>3.1300000000000002E-4</v>
      </c>
      <c r="K1495" s="76">
        <v>2.2000000000000001E-4</v>
      </c>
      <c r="L1495" s="76">
        <v>5.9899999999999999E-5</v>
      </c>
      <c r="M1495" s="76">
        <v>1.46E-4</v>
      </c>
    </row>
    <row r="1496" spans="3:13" x14ac:dyDescent="0.15">
      <c r="C1496" s="76">
        <v>734</v>
      </c>
      <c r="D1496" s="76">
        <v>1.5699999999999999E-5</v>
      </c>
      <c r="E1496" s="76">
        <v>1.3499999999999999E-5</v>
      </c>
      <c r="F1496" s="76">
        <v>4.3699999999999998E-5</v>
      </c>
      <c r="G1496" s="76">
        <v>3.8999999999999999E-5</v>
      </c>
      <c r="H1496" s="76">
        <v>6.0800000000000001E-5</v>
      </c>
      <c r="I1496" s="76">
        <v>6.9999999999999994E-5</v>
      </c>
      <c r="J1496" s="76">
        <v>1.9799999999999999E-4</v>
      </c>
      <c r="K1496" s="76">
        <v>1.4999999999999999E-4</v>
      </c>
      <c r="L1496" s="76">
        <v>3.0599999999999998E-5</v>
      </c>
      <c r="M1496" s="76">
        <v>1.2799999999999999E-4</v>
      </c>
    </row>
    <row r="1497" spans="3:13" x14ac:dyDescent="0.15">
      <c r="C1497" s="76">
        <v>736</v>
      </c>
      <c r="D1497" s="76">
        <v>8.3699999999999995E-6</v>
      </c>
      <c r="E1497" s="76">
        <v>5.4399999999999996E-6</v>
      </c>
      <c r="F1497" s="76">
        <v>5.2299999999999997E-5</v>
      </c>
      <c r="G1497" s="76">
        <v>9.0000000000000006E-5</v>
      </c>
      <c r="H1497" s="76">
        <v>1.07E-4</v>
      </c>
      <c r="I1497" s="76">
        <v>6.7199999999999994E-5</v>
      </c>
      <c r="J1497" s="76">
        <v>2.7799999999999998E-4</v>
      </c>
      <c r="K1497" s="76">
        <v>1.64E-4</v>
      </c>
      <c r="L1497" s="76">
        <v>6.7600000000000003E-5</v>
      </c>
      <c r="M1497" s="76">
        <v>1.76E-4</v>
      </c>
    </row>
    <row r="1498" spans="3:13" x14ac:dyDescent="0.15">
      <c r="C1498" s="76">
        <v>738</v>
      </c>
      <c r="D1498" s="76">
        <v>1.2699999999999999E-6</v>
      </c>
      <c r="E1498" s="76">
        <v>1.8700000000000001E-5</v>
      </c>
      <c r="F1498" s="76">
        <v>5.3900000000000002E-5</v>
      </c>
      <c r="G1498" s="76">
        <v>6.8499999999999998E-5</v>
      </c>
      <c r="H1498" s="76">
        <v>4.5000000000000003E-5</v>
      </c>
      <c r="I1498" s="76">
        <v>5.7899999999999998E-5</v>
      </c>
      <c r="J1498" s="76">
        <v>2.4399999999999999E-4</v>
      </c>
      <c r="K1498" s="76">
        <v>1.7899999999999999E-4</v>
      </c>
      <c r="L1498" s="76">
        <v>7.9699999999999999E-5</v>
      </c>
      <c r="M1498" s="76">
        <v>1.94E-4</v>
      </c>
    </row>
    <row r="1499" spans="3:13" x14ac:dyDescent="0.15">
      <c r="C1499" s="76">
        <v>740</v>
      </c>
      <c r="D1499" s="76">
        <v>2.2199999999999999E-6</v>
      </c>
      <c r="E1499" s="76">
        <v>3.0899999999999999E-5</v>
      </c>
      <c r="F1499" s="76">
        <v>6.6500000000000004E-5</v>
      </c>
      <c r="G1499" s="76">
        <v>7.6500000000000003E-5</v>
      </c>
      <c r="H1499" s="76">
        <v>9.3300000000000005E-5</v>
      </c>
      <c r="I1499" s="76">
        <v>1.0900000000000001E-4</v>
      </c>
      <c r="J1499" s="76">
        <v>2.05E-4</v>
      </c>
      <c r="K1499" s="76">
        <v>2.4699999999999999E-4</v>
      </c>
      <c r="L1499" s="76">
        <v>2.44E-5</v>
      </c>
      <c r="M1499" s="76">
        <v>3.1399999999999999E-4</v>
      </c>
    </row>
    <row r="1500" spans="3:13" x14ac:dyDescent="0.15">
      <c r="C1500" s="76">
        <v>742</v>
      </c>
      <c r="D1500" s="76">
        <v>4.4800000000000003E-6</v>
      </c>
      <c r="E1500" s="76">
        <v>3.9799999999999998E-5</v>
      </c>
      <c r="F1500" s="76">
        <v>6.7600000000000003E-5</v>
      </c>
      <c r="G1500" s="76">
        <v>6.7000000000000002E-5</v>
      </c>
      <c r="H1500" s="76">
        <v>1.03E-4</v>
      </c>
      <c r="I1500" s="76">
        <v>8.3700000000000002E-5</v>
      </c>
      <c r="J1500" s="76">
        <v>1.93E-4</v>
      </c>
      <c r="K1500" s="76">
        <v>1.6000000000000001E-4</v>
      </c>
      <c r="L1500" s="76">
        <v>1.17E-5</v>
      </c>
      <c r="M1500" s="76">
        <v>2.4699999999999999E-4</v>
      </c>
    </row>
    <row r="1501" spans="3:13" x14ac:dyDescent="0.15">
      <c r="C1501" s="76">
        <v>744</v>
      </c>
      <c r="D1501" s="76">
        <v>1.24E-5</v>
      </c>
      <c r="E1501" s="76">
        <v>5.1999999999999997E-5</v>
      </c>
      <c r="F1501" s="76">
        <v>8.6299999999999997E-5</v>
      </c>
      <c r="G1501" s="76">
        <v>9.7800000000000006E-5</v>
      </c>
      <c r="H1501" s="76">
        <v>1.2400000000000001E-4</v>
      </c>
      <c r="I1501" s="76">
        <v>1.1900000000000001E-4</v>
      </c>
      <c r="J1501" s="76">
        <v>1.8699999999999999E-4</v>
      </c>
      <c r="K1501" s="76">
        <v>1.64E-4</v>
      </c>
      <c r="L1501" s="76">
        <v>4.2799999999999997E-5</v>
      </c>
      <c r="M1501" s="76">
        <v>2.0100000000000001E-4</v>
      </c>
    </row>
    <row r="1502" spans="3:13" x14ac:dyDescent="0.15">
      <c r="C1502" s="76">
        <v>746</v>
      </c>
      <c r="D1502" s="76">
        <v>7.7800000000000001E-6</v>
      </c>
      <c r="E1502" s="76">
        <v>4.2799999999999997E-5</v>
      </c>
      <c r="F1502" s="76">
        <v>7.2799999999999994E-5</v>
      </c>
      <c r="G1502" s="76">
        <v>6.9900000000000005E-5</v>
      </c>
      <c r="H1502" s="76">
        <v>9.7399999999999996E-5</v>
      </c>
      <c r="I1502" s="76">
        <v>1.2999999999999999E-4</v>
      </c>
      <c r="J1502" s="76">
        <v>2.12E-4</v>
      </c>
      <c r="K1502" s="76">
        <v>2.3599999999999999E-4</v>
      </c>
      <c r="L1502" s="76">
        <v>7.2099999999999996E-6</v>
      </c>
      <c r="M1502" s="76">
        <v>2.04E-4</v>
      </c>
    </row>
    <row r="1503" spans="3:13" x14ac:dyDescent="0.15">
      <c r="C1503" s="76">
        <v>748</v>
      </c>
      <c r="D1503" s="76">
        <v>8.8799999999999997E-6</v>
      </c>
      <c r="E1503" s="76">
        <v>4.8300000000000002E-5</v>
      </c>
      <c r="F1503" s="76">
        <v>5.2899999999999998E-5</v>
      </c>
      <c r="G1503" s="76">
        <v>5.1199999999999998E-5</v>
      </c>
      <c r="H1503" s="76">
        <v>1.2899999999999999E-4</v>
      </c>
      <c r="I1503" s="76">
        <v>1.3999999999999999E-4</v>
      </c>
      <c r="J1503" s="76">
        <v>2.0599999999999999E-4</v>
      </c>
      <c r="K1503" s="76">
        <v>6.5199999999999999E-5</v>
      </c>
      <c r="L1503" s="76">
        <v>5.8100000000000003E-5</v>
      </c>
      <c r="M1503" s="76">
        <v>1.7100000000000001E-4</v>
      </c>
    </row>
    <row r="1504" spans="3:13" x14ac:dyDescent="0.15">
      <c r="C1504" s="76">
        <v>750</v>
      </c>
      <c r="D1504" s="76">
        <v>1.04E-5</v>
      </c>
      <c r="E1504" s="76">
        <v>5.41E-5</v>
      </c>
      <c r="F1504" s="76">
        <v>6.6699999999999995E-5</v>
      </c>
      <c r="G1504" s="76">
        <v>5.0899999999999997E-5</v>
      </c>
      <c r="H1504" s="76">
        <v>1.6799999999999999E-4</v>
      </c>
      <c r="I1504" s="76">
        <v>2.33E-4</v>
      </c>
      <c r="J1504" s="76">
        <v>2.1900000000000001E-4</v>
      </c>
      <c r="K1504" s="76">
        <v>2.7099999999999997E-4</v>
      </c>
      <c r="L1504" s="76">
        <v>0</v>
      </c>
      <c r="M1504" s="76">
        <v>1.8100000000000001E-4</v>
      </c>
    </row>
    <row r="1505" spans="2:13" x14ac:dyDescent="0.15">
      <c r="C1505" s="76">
        <v>752</v>
      </c>
      <c r="D1505" s="76">
        <v>9.7899999999999994E-6</v>
      </c>
      <c r="E1505" s="76">
        <v>6.8399999999999996E-5</v>
      </c>
      <c r="F1505" s="76">
        <v>8.0099999999999995E-5</v>
      </c>
      <c r="G1505" s="76">
        <v>5.3100000000000003E-5</v>
      </c>
      <c r="H1505" s="76">
        <v>1.4200000000000001E-4</v>
      </c>
      <c r="I1505" s="76">
        <v>2.32E-4</v>
      </c>
      <c r="J1505" s="76">
        <v>2.1100000000000001E-4</v>
      </c>
      <c r="K1505" s="76">
        <v>7.6699999999999994E-5</v>
      </c>
      <c r="L1505" s="76">
        <v>0</v>
      </c>
      <c r="M1505" s="76">
        <v>2.43E-4</v>
      </c>
    </row>
    <row r="1506" spans="2:13" x14ac:dyDescent="0.15">
      <c r="C1506" s="76">
        <v>754</v>
      </c>
      <c r="D1506" s="76">
        <v>1.99E-6</v>
      </c>
      <c r="E1506" s="76">
        <v>6.4599999999999998E-5</v>
      </c>
      <c r="F1506" s="76">
        <v>7.2299999999999996E-5</v>
      </c>
      <c r="G1506" s="76">
        <v>8.3999999999999995E-5</v>
      </c>
      <c r="H1506" s="76">
        <v>1.36E-4</v>
      </c>
      <c r="I1506" s="76">
        <v>2.1800000000000001E-4</v>
      </c>
      <c r="J1506" s="76">
        <v>1.6799999999999999E-4</v>
      </c>
      <c r="K1506" s="76">
        <v>1.0900000000000001E-4</v>
      </c>
      <c r="L1506" s="76">
        <v>0</v>
      </c>
      <c r="M1506" s="76">
        <v>1.12E-4</v>
      </c>
    </row>
    <row r="1507" spans="2:13" x14ac:dyDescent="0.15">
      <c r="C1507" s="76">
        <v>756</v>
      </c>
      <c r="D1507" s="76">
        <v>9.8599999999999996E-7</v>
      </c>
      <c r="E1507" s="76">
        <v>5.7399999999999999E-5</v>
      </c>
      <c r="F1507" s="76">
        <v>5.1700000000000003E-5</v>
      </c>
      <c r="G1507" s="76">
        <v>7.2200000000000007E-5</v>
      </c>
      <c r="H1507" s="76">
        <v>1.75E-4</v>
      </c>
      <c r="I1507" s="76">
        <v>1.65E-4</v>
      </c>
      <c r="J1507" s="76">
        <v>1.7000000000000001E-4</v>
      </c>
      <c r="K1507" s="76">
        <v>1.22E-4</v>
      </c>
      <c r="L1507" s="76">
        <v>2.6400000000000001E-5</v>
      </c>
      <c r="M1507" s="76">
        <v>1.5200000000000001E-4</v>
      </c>
    </row>
    <row r="1508" spans="2:13" x14ac:dyDescent="0.15">
      <c r="C1508" s="76">
        <v>758</v>
      </c>
      <c r="D1508" s="76">
        <v>8.2800000000000003E-6</v>
      </c>
      <c r="E1508" s="76">
        <v>5.5699999999999999E-5</v>
      </c>
      <c r="F1508" s="76">
        <v>5.91E-5</v>
      </c>
      <c r="G1508" s="76">
        <v>8.3599999999999999E-5</v>
      </c>
      <c r="H1508" s="76">
        <v>1.5300000000000001E-4</v>
      </c>
      <c r="I1508" s="76">
        <v>2.7599999999999999E-4</v>
      </c>
      <c r="J1508" s="76">
        <v>1.3300000000000001E-4</v>
      </c>
      <c r="K1508" s="76">
        <v>1.18E-4</v>
      </c>
      <c r="L1508" s="76">
        <v>1.6899999999999999E-4</v>
      </c>
      <c r="M1508" s="76">
        <v>1.12E-4</v>
      </c>
    </row>
    <row r="1509" spans="2:13" x14ac:dyDescent="0.15">
      <c r="C1509" s="76">
        <v>760</v>
      </c>
      <c r="D1509" s="76">
        <v>4.5700000000000003E-6</v>
      </c>
      <c r="E1509" s="76">
        <v>6.2100000000000005E-5</v>
      </c>
      <c r="F1509" s="76">
        <v>7.1699999999999995E-5</v>
      </c>
      <c r="G1509" s="76">
        <v>4.5899999999999998E-5</v>
      </c>
      <c r="H1509" s="76">
        <v>1.8699999999999999E-4</v>
      </c>
      <c r="I1509" s="76">
        <v>3.68E-4</v>
      </c>
      <c r="J1509" s="76">
        <v>1.18E-4</v>
      </c>
      <c r="K1509" s="76">
        <v>1.05E-4</v>
      </c>
      <c r="L1509" s="76">
        <v>1.8000000000000001E-4</v>
      </c>
      <c r="M1509" s="76">
        <v>1.35E-4</v>
      </c>
    </row>
    <row r="1510" spans="2:13" x14ac:dyDescent="0.15">
      <c r="C1510" s="76">
        <v>762</v>
      </c>
      <c r="D1510" s="76">
        <v>8.4300000000000006E-6</v>
      </c>
      <c r="E1510" s="76">
        <v>6.6000000000000005E-5</v>
      </c>
      <c r="F1510" s="76">
        <v>6.5599999999999995E-5</v>
      </c>
      <c r="G1510" s="76">
        <v>1.3499999999999999E-5</v>
      </c>
      <c r="H1510" s="76">
        <v>1.6899999999999999E-4</v>
      </c>
      <c r="I1510" s="76">
        <v>2.4800000000000001E-4</v>
      </c>
      <c r="J1510" s="76">
        <v>1.1400000000000001E-4</v>
      </c>
      <c r="K1510" s="76">
        <v>5.3600000000000002E-5</v>
      </c>
      <c r="L1510" s="76">
        <v>1.0900000000000001E-4</v>
      </c>
      <c r="M1510" s="76">
        <v>3.0000000000000001E-5</v>
      </c>
    </row>
    <row r="1511" spans="2:13" x14ac:dyDescent="0.15">
      <c r="C1511" s="76">
        <v>764</v>
      </c>
      <c r="D1511" s="76">
        <v>4.42E-6</v>
      </c>
      <c r="E1511" s="76">
        <v>5.3699999999999997E-5</v>
      </c>
      <c r="F1511" s="76">
        <v>5.0599999999999997E-5</v>
      </c>
      <c r="G1511" s="76">
        <v>3.04E-5</v>
      </c>
      <c r="H1511" s="76">
        <v>1.2799999999999999E-4</v>
      </c>
      <c r="I1511" s="76">
        <v>2.3800000000000001E-4</v>
      </c>
      <c r="J1511" s="76">
        <v>1.49E-5</v>
      </c>
      <c r="K1511" s="76">
        <v>5.63E-5</v>
      </c>
      <c r="L1511" s="76">
        <v>1.2799999999999999E-4</v>
      </c>
      <c r="M1511" s="76">
        <v>2.16E-5</v>
      </c>
    </row>
    <row r="1512" spans="2:13" x14ac:dyDescent="0.15">
      <c r="C1512" s="76">
        <v>766</v>
      </c>
      <c r="D1512" s="76">
        <v>1.2799999999999999E-5</v>
      </c>
      <c r="E1512" s="76">
        <v>6.2700000000000006E-5</v>
      </c>
      <c r="F1512" s="76">
        <v>6.3299999999999994E-5</v>
      </c>
      <c r="G1512" s="76">
        <v>0</v>
      </c>
      <c r="H1512" s="76">
        <v>1.5200000000000001E-4</v>
      </c>
      <c r="I1512" s="76">
        <v>2.31E-4</v>
      </c>
      <c r="J1512" s="76">
        <v>6.9599999999999998E-5</v>
      </c>
      <c r="K1512" s="76">
        <v>5.4400000000000001E-5</v>
      </c>
      <c r="L1512" s="76">
        <v>2.22E-4</v>
      </c>
      <c r="M1512" s="76">
        <v>0</v>
      </c>
    </row>
    <row r="1513" spans="2:13" x14ac:dyDescent="0.15">
      <c r="C1513" s="76">
        <v>768</v>
      </c>
      <c r="D1513" s="76">
        <v>1.0699999999999999E-5</v>
      </c>
      <c r="E1513" s="76">
        <v>7.6299999999999998E-5</v>
      </c>
      <c r="F1513" s="76">
        <v>4.0899999999999998E-5</v>
      </c>
      <c r="G1513" s="76">
        <v>0</v>
      </c>
      <c r="H1513" s="76">
        <v>1.2E-4</v>
      </c>
      <c r="I1513" s="76">
        <v>2.5399999999999999E-4</v>
      </c>
      <c r="J1513" s="76">
        <v>1.07E-4</v>
      </c>
      <c r="K1513" s="76">
        <v>1.4300000000000001E-4</v>
      </c>
      <c r="L1513" s="76">
        <v>1.84E-4</v>
      </c>
      <c r="M1513" s="76">
        <v>6.0600000000000003E-5</v>
      </c>
    </row>
    <row r="1514" spans="2:13" x14ac:dyDescent="0.15">
      <c r="C1514" s="76">
        <v>770</v>
      </c>
      <c r="D1514" s="76">
        <v>5.5199999999999997E-6</v>
      </c>
      <c r="E1514" s="76">
        <v>5.4599999999999999E-5</v>
      </c>
      <c r="F1514" s="76">
        <v>6.8700000000000003E-5</v>
      </c>
      <c r="G1514" s="76">
        <v>0</v>
      </c>
      <c r="H1514" s="76">
        <v>1.05E-4</v>
      </c>
      <c r="I1514" s="76">
        <v>2.4399999999999999E-4</v>
      </c>
      <c r="J1514" s="76">
        <v>1.9799999999999999E-4</v>
      </c>
      <c r="K1514" s="76">
        <v>3.7700000000000002E-5</v>
      </c>
      <c r="L1514" s="76">
        <v>1.7899999999999999E-4</v>
      </c>
      <c r="M1514" s="76">
        <v>5.3499999999999999E-5</v>
      </c>
    </row>
    <row r="1515" spans="2:13" x14ac:dyDescent="0.15">
      <c r="C1515" s="76">
        <v>772</v>
      </c>
      <c r="D1515" s="76">
        <v>1.33E-5</v>
      </c>
      <c r="E1515" s="76">
        <v>5.0899999999999997E-5</v>
      </c>
      <c r="F1515" s="76">
        <v>5.8699999999999997E-5</v>
      </c>
      <c r="G1515" s="76">
        <v>0</v>
      </c>
      <c r="H1515" s="76">
        <v>9.59E-5</v>
      </c>
      <c r="I1515" s="76">
        <v>1.8599999999999999E-4</v>
      </c>
      <c r="J1515" s="76">
        <v>2.1499999999999999E-4</v>
      </c>
      <c r="K1515" s="76">
        <v>4.1600000000000002E-5</v>
      </c>
      <c r="L1515" s="76">
        <v>3.2899999999999997E-4</v>
      </c>
      <c r="M1515" s="76">
        <v>8.8100000000000004E-6</v>
      </c>
    </row>
    <row r="1516" spans="2:13" x14ac:dyDescent="0.15">
      <c r="C1516" s="76">
        <v>774</v>
      </c>
      <c r="D1516" s="76">
        <v>1.0200000000000001E-5</v>
      </c>
      <c r="E1516" s="76">
        <v>1.7200000000000001E-5</v>
      </c>
      <c r="F1516" s="76">
        <v>4.7500000000000003E-5</v>
      </c>
      <c r="G1516" s="76">
        <v>3.6399999999999997E-5</v>
      </c>
      <c r="H1516" s="76">
        <v>2.1599999999999999E-4</v>
      </c>
      <c r="I1516" s="76">
        <v>1.92E-4</v>
      </c>
      <c r="J1516" s="76">
        <v>1.7600000000000001E-5</v>
      </c>
      <c r="K1516" s="76">
        <v>0</v>
      </c>
      <c r="L1516" s="76">
        <v>1.9699999999999999E-4</v>
      </c>
      <c r="M1516" s="76">
        <v>2.26E-5</v>
      </c>
    </row>
    <row r="1517" spans="2:13" x14ac:dyDescent="0.15">
      <c r="C1517" s="76">
        <v>776</v>
      </c>
      <c r="D1517" s="76">
        <v>2.09E-5</v>
      </c>
      <c r="E1517" s="76">
        <v>2.8900000000000001E-5</v>
      </c>
      <c r="F1517" s="76">
        <v>2.9499999999999999E-5</v>
      </c>
      <c r="G1517" s="76">
        <v>4.1200000000000004E-6</v>
      </c>
      <c r="H1517" s="76">
        <v>3.4700000000000003E-5</v>
      </c>
      <c r="I1517" s="76">
        <v>1.45E-4</v>
      </c>
      <c r="J1517" s="76">
        <v>6.7100000000000005E-5</v>
      </c>
      <c r="K1517" s="76">
        <v>0</v>
      </c>
      <c r="L1517" s="76">
        <v>1.92E-4</v>
      </c>
      <c r="M1517" s="76">
        <v>9.9300000000000001E-5</v>
      </c>
    </row>
    <row r="1518" spans="2:13" x14ac:dyDescent="0.15">
      <c r="C1518" s="76">
        <v>778</v>
      </c>
      <c r="D1518" s="76">
        <v>2.0400000000000001E-5</v>
      </c>
      <c r="E1518" s="76">
        <v>3.7700000000000002E-5</v>
      </c>
      <c r="F1518" s="76">
        <v>4.21E-5</v>
      </c>
      <c r="G1518" s="76">
        <v>0</v>
      </c>
      <c r="H1518" s="76">
        <v>7.6199999999999995E-5</v>
      </c>
      <c r="I1518" s="76">
        <v>1.12E-4</v>
      </c>
      <c r="J1518" s="76">
        <v>1.07E-4</v>
      </c>
      <c r="K1518" s="76">
        <v>1.04E-5</v>
      </c>
      <c r="L1518" s="76">
        <v>2.52E-4</v>
      </c>
      <c r="M1518" s="76">
        <v>3.0800000000000003E-5</v>
      </c>
    </row>
    <row r="1519" spans="2:13" x14ac:dyDescent="0.15">
      <c r="C1519" s="76">
        <v>780</v>
      </c>
      <c r="D1519" s="76">
        <v>1.7499999999999998E-5</v>
      </c>
      <c r="E1519" s="120">
        <v>7.9200000000000004E-6</v>
      </c>
      <c r="F1519" s="120">
        <v>2.3499999999999999E-5</v>
      </c>
      <c r="G1519" s="76">
        <v>4.34E-6</v>
      </c>
      <c r="H1519" s="76">
        <v>1.9300000000000002E-5</v>
      </c>
      <c r="I1519" s="76">
        <v>1.2E-4</v>
      </c>
      <c r="J1519" s="76">
        <v>1.16E-4</v>
      </c>
      <c r="K1519" s="76">
        <v>1.01E-5</v>
      </c>
      <c r="L1519" s="76">
        <v>2.3000000000000001E-4</v>
      </c>
      <c r="M1519" s="76">
        <v>8.6199999999999995E-5</v>
      </c>
    </row>
    <row r="1520" spans="2:13" x14ac:dyDescent="0.15">
      <c r="B1520" s="76">
        <v>23</v>
      </c>
      <c r="C1520" s="76" t="s">
        <v>561</v>
      </c>
      <c r="D1520" s="76">
        <v>1</v>
      </c>
      <c r="E1520" s="76">
        <v>2</v>
      </c>
      <c r="F1520" s="76">
        <v>3</v>
      </c>
      <c r="G1520" s="76">
        <v>4</v>
      </c>
      <c r="H1520" s="76">
        <v>5</v>
      </c>
      <c r="I1520" s="76">
        <v>6</v>
      </c>
      <c r="J1520" s="76">
        <v>7</v>
      </c>
      <c r="K1520" s="76">
        <v>8</v>
      </c>
      <c r="L1520" s="76">
        <v>9</v>
      </c>
      <c r="M1520" s="76">
        <v>10</v>
      </c>
    </row>
    <row r="1521" spans="3:56" x14ac:dyDescent="0.15">
      <c r="C1521" s="76" t="s">
        <v>556</v>
      </c>
      <c r="D1521" s="76">
        <v>3.57</v>
      </c>
      <c r="E1521" s="76">
        <v>3.7080000000000002</v>
      </c>
      <c r="F1521" s="76">
        <v>3.806</v>
      </c>
      <c r="G1521" s="76">
        <v>3.8860000000000001</v>
      </c>
      <c r="H1521" s="76">
        <v>3.956</v>
      </c>
      <c r="I1521" s="76">
        <v>4.0179999999999998</v>
      </c>
      <c r="J1521" s="76">
        <v>4.0750000000000002</v>
      </c>
      <c r="K1521" s="76">
        <v>4.1280000000000001</v>
      </c>
      <c r="L1521" s="76">
        <v>4.1760000000000002</v>
      </c>
      <c r="M1521" s="76">
        <v>4.2220000000000004</v>
      </c>
    </row>
    <row r="1522" spans="3:56" x14ac:dyDescent="0.15">
      <c r="C1522" s="81" t="s">
        <v>562</v>
      </c>
      <c r="D1522" s="76">
        <v>0.08</v>
      </c>
      <c r="E1522" s="76">
        <v>0.16</v>
      </c>
      <c r="F1522" s="76">
        <v>0.24</v>
      </c>
      <c r="G1522" s="76">
        <v>0.32</v>
      </c>
      <c r="H1522" s="81">
        <v>0.4</v>
      </c>
      <c r="I1522" s="76">
        <v>0.48</v>
      </c>
      <c r="J1522" s="76">
        <v>0.56000000000000005</v>
      </c>
      <c r="K1522" s="76">
        <v>0.64</v>
      </c>
      <c r="L1522" s="81">
        <v>0.72</v>
      </c>
      <c r="M1522" s="76">
        <v>0.8</v>
      </c>
      <c r="N1522" s="81"/>
      <c r="T1522" s="81"/>
      <c r="W1522" s="81"/>
      <c r="AG1522" s="81"/>
      <c r="AT1522" s="81"/>
    </row>
    <row r="1523" spans="3:56" x14ac:dyDescent="0.15">
      <c r="C1523" s="81" t="s">
        <v>557</v>
      </c>
      <c r="D1523" s="76">
        <v>2</v>
      </c>
      <c r="E1523" s="76">
        <v>4</v>
      </c>
      <c r="F1523" s="76">
        <v>6</v>
      </c>
      <c r="G1523" s="76">
        <v>8</v>
      </c>
      <c r="H1523" s="81">
        <v>10</v>
      </c>
      <c r="I1523" s="76">
        <v>12</v>
      </c>
      <c r="J1523" s="76">
        <v>14</v>
      </c>
      <c r="K1523" s="76">
        <v>16</v>
      </c>
      <c r="L1523" s="81">
        <v>18</v>
      </c>
      <c r="M1523" s="76">
        <v>20</v>
      </c>
      <c r="N1523" s="81"/>
      <c r="T1523" s="81"/>
      <c r="W1523" s="81"/>
      <c r="AG1523" s="81"/>
      <c r="AT1523" s="81"/>
    </row>
    <row r="1524" spans="3:56" x14ac:dyDescent="0.15">
      <c r="C1524" s="81" t="s">
        <v>560</v>
      </c>
      <c r="D1524" s="76">
        <v>8.26</v>
      </c>
      <c r="E1524" s="76">
        <v>8.4410000000000007</v>
      </c>
      <c r="F1524" s="76">
        <v>8.4529999999999994</v>
      </c>
      <c r="G1524" s="76">
        <v>8.4529999999999994</v>
      </c>
      <c r="H1524" s="81">
        <v>8.4339999999999993</v>
      </c>
      <c r="I1524" s="76">
        <v>8.4160000000000004</v>
      </c>
      <c r="J1524" s="76">
        <v>8.4139999999999997</v>
      </c>
      <c r="K1524" s="76">
        <v>8.375</v>
      </c>
      <c r="L1524" s="81">
        <v>8.3670000000000009</v>
      </c>
      <c r="M1524" s="76">
        <v>8.3350000000000009</v>
      </c>
      <c r="N1524" s="81"/>
      <c r="T1524" s="81"/>
      <c r="W1524" s="81"/>
      <c r="AG1524" s="81"/>
      <c r="AT1524" s="81"/>
    </row>
    <row r="1525" spans="3:56" x14ac:dyDescent="0.15">
      <c r="C1525" s="81" t="s">
        <v>563</v>
      </c>
      <c r="D1525" s="76">
        <v>7.268497</v>
      </c>
      <c r="E1525" s="76">
        <v>7.1525629999999998</v>
      </c>
      <c r="F1525" s="76">
        <v>6.9777380000000004</v>
      </c>
      <c r="G1525" s="76">
        <v>6.8342470000000004</v>
      </c>
      <c r="H1525" s="81">
        <v>6.6981460000000004</v>
      </c>
      <c r="I1525" s="76">
        <v>6.5799050000000001</v>
      </c>
      <c r="J1525" s="76">
        <v>6.4861969999999998</v>
      </c>
      <c r="K1525" s="76">
        <v>6.3739910000000002</v>
      </c>
      <c r="L1525" s="81">
        <v>6.2936230000000002</v>
      </c>
      <c r="M1525" s="76">
        <v>6.2017379999999998</v>
      </c>
      <c r="N1525" s="81"/>
      <c r="T1525" s="81"/>
      <c r="W1525" s="81"/>
      <c r="AG1525" s="81"/>
      <c r="AT1525" s="81"/>
    </row>
    <row r="1526" spans="3:56" x14ac:dyDescent="0.15">
      <c r="C1526" s="81" t="s">
        <v>564</v>
      </c>
      <c r="D1526" s="76">
        <v>165.2</v>
      </c>
      <c r="E1526" s="76">
        <v>337.7</v>
      </c>
      <c r="F1526" s="76">
        <v>507.2</v>
      </c>
      <c r="G1526" s="76">
        <v>676.3</v>
      </c>
      <c r="H1526" s="81">
        <v>843.5</v>
      </c>
      <c r="I1526" s="76">
        <v>1010</v>
      </c>
      <c r="J1526" s="76">
        <v>1178</v>
      </c>
      <c r="K1526" s="76">
        <v>1340</v>
      </c>
      <c r="L1526" s="81">
        <v>1506</v>
      </c>
      <c r="M1526" s="76">
        <v>1667</v>
      </c>
      <c r="N1526" s="81"/>
      <c r="T1526" s="81"/>
      <c r="W1526" s="81"/>
      <c r="AG1526" s="81"/>
      <c r="AT1526" s="81"/>
    </row>
    <row r="1527" spans="3:56" x14ac:dyDescent="0.15">
      <c r="C1527" s="81" t="s">
        <v>565</v>
      </c>
      <c r="D1527" s="76">
        <v>165.2</v>
      </c>
      <c r="E1527" s="76">
        <v>337.7</v>
      </c>
      <c r="F1527" s="76">
        <v>507.2</v>
      </c>
      <c r="G1527" s="76">
        <v>676.3</v>
      </c>
      <c r="H1527" s="81">
        <v>843.5</v>
      </c>
      <c r="I1527" s="76">
        <v>1010</v>
      </c>
      <c r="J1527" s="76">
        <v>1178</v>
      </c>
      <c r="K1527" s="76">
        <v>1340</v>
      </c>
      <c r="L1527" s="81">
        <v>1506</v>
      </c>
      <c r="M1527" s="76">
        <v>1667</v>
      </c>
      <c r="N1527" s="81"/>
      <c r="T1527" s="81"/>
      <c r="W1527" s="81"/>
      <c r="AG1527" s="81"/>
      <c r="AT1527" s="81"/>
    </row>
    <row r="1528" spans="3:56" x14ac:dyDescent="0.15">
      <c r="C1528" s="81" t="s">
        <v>566</v>
      </c>
      <c r="D1528" s="76">
        <v>0.13539999999999999</v>
      </c>
      <c r="E1528" s="76">
        <v>0.1353</v>
      </c>
      <c r="F1528" s="76">
        <v>0.13519999999999999</v>
      </c>
      <c r="G1528" s="76">
        <v>0.1353</v>
      </c>
      <c r="H1528" s="81">
        <v>0.1353</v>
      </c>
      <c r="I1528" s="76">
        <v>0.1353</v>
      </c>
      <c r="J1528" s="76">
        <v>0.13539999999999999</v>
      </c>
      <c r="K1528" s="76">
        <v>0.1353</v>
      </c>
      <c r="L1528" s="81">
        <v>0.1353</v>
      </c>
      <c r="M1528" s="76">
        <v>0.1353</v>
      </c>
      <c r="N1528" s="81"/>
      <c r="T1528" s="81"/>
      <c r="W1528" s="81"/>
      <c r="AG1528" s="81"/>
      <c r="AT1528" s="81"/>
    </row>
    <row r="1529" spans="3:56" x14ac:dyDescent="0.15">
      <c r="C1529" s="81" t="s">
        <v>567</v>
      </c>
      <c r="D1529" s="76">
        <v>0.1181</v>
      </c>
      <c r="E1529" s="76">
        <v>0.11799999999999999</v>
      </c>
      <c r="F1529" s="76">
        <v>0.1178</v>
      </c>
      <c r="G1529" s="76">
        <v>0.1177</v>
      </c>
      <c r="H1529" s="81">
        <v>0.1176</v>
      </c>
      <c r="I1529" s="76">
        <v>0.1176</v>
      </c>
      <c r="J1529" s="76">
        <v>0.1177</v>
      </c>
      <c r="K1529" s="76">
        <v>0.11749999999999999</v>
      </c>
      <c r="L1529" s="81">
        <v>0.1176</v>
      </c>
      <c r="M1529" s="76">
        <v>0.11749999999999999</v>
      </c>
      <c r="N1529" s="81"/>
      <c r="T1529" s="81"/>
      <c r="W1529" s="81"/>
      <c r="AG1529" s="81"/>
      <c r="AT1529" s="81"/>
    </row>
    <row r="1530" spans="3:56" x14ac:dyDescent="0.15">
      <c r="C1530" s="81" t="s">
        <v>568</v>
      </c>
      <c r="D1530" s="76">
        <v>9.1350999999999996</v>
      </c>
      <c r="E1530" s="76">
        <v>9.3377999999999997</v>
      </c>
      <c r="F1530" s="76">
        <v>9.3626000000000005</v>
      </c>
      <c r="G1530" s="76">
        <v>9.3745999999999992</v>
      </c>
      <c r="H1530" s="81">
        <v>9.3556000000000008</v>
      </c>
      <c r="I1530" s="76">
        <v>9.3369</v>
      </c>
      <c r="J1530" s="76">
        <v>9.3369999999999997</v>
      </c>
      <c r="K1530" s="76">
        <v>9.3076000000000008</v>
      </c>
      <c r="L1530" s="81">
        <v>9.2866</v>
      </c>
      <c r="M1530" s="76">
        <v>9.2639999999999993</v>
      </c>
      <c r="N1530" s="81"/>
      <c r="T1530" s="81"/>
      <c r="W1530" s="81"/>
      <c r="AG1530" s="81"/>
      <c r="AT1530" s="81"/>
    </row>
    <row r="1531" spans="3:56" x14ac:dyDescent="0.15">
      <c r="C1531" s="81" t="s">
        <v>569</v>
      </c>
      <c r="H1531" s="81"/>
      <c r="L1531" s="81"/>
      <c r="N1531" s="81"/>
      <c r="T1531" s="81"/>
      <c r="W1531" s="81"/>
      <c r="AG1531" s="81"/>
      <c r="AT1531" s="81"/>
    </row>
    <row r="1532" spans="3:56" x14ac:dyDescent="0.15">
      <c r="C1532" s="81" t="s">
        <v>570</v>
      </c>
      <c r="D1532" s="76">
        <v>4</v>
      </c>
      <c r="E1532" s="76">
        <v>4</v>
      </c>
      <c r="F1532" s="76">
        <v>4</v>
      </c>
      <c r="G1532" s="76">
        <v>4</v>
      </c>
      <c r="H1532" s="81">
        <v>4</v>
      </c>
      <c r="I1532" s="76">
        <v>4</v>
      </c>
      <c r="J1532" s="76">
        <v>4</v>
      </c>
      <c r="K1532" s="76">
        <v>4</v>
      </c>
      <c r="L1532" s="81">
        <v>4</v>
      </c>
      <c r="M1532" s="76">
        <v>4</v>
      </c>
      <c r="N1532" s="81"/>
      <c r="T1532" s="81"/>
      <c r="W1532" s="81"/>
      <c r="AG1532" s="81"/>
      <c r="AT1532" s="81"/>
    </row>
    <row r="1533" spans="3:56" x14ac:dyDescent="0.15">
      <c r="C1533" s="81" t="s">
        <v>571</v>
      </c>
      <c r="D1533" s="76">
        <v>100</v>
      </c>
      <c r="E1533" s="76">
        <v>100</v>
      </c>
      <c r="F1533" s="76">
        <v>100</v>
      </c>
      <c r="G1533" s="76">
        <v>100</v>
      </c>
      <c r="H1533" s="81">
        <v>100</v>
      </c>
      <c r="I1533" s="76">
        <v>100</v>
      </c>
      <c r="J1533" s="76">
        <v>100</v>
      </c>
      <c r="K1533" s="76">
        <v>100</v>
      </c>
      <c r="L1533" s="81">
        <v>100</v>
      </c>
      <c r="M1533" s="76">
        <v>100</v>
      </c>
      <c r="N1533" s="81"/>
      <c r="T1533" s="81"/>
      <c r="W1533" s="81"/>
      <c r="AG1533" s="81"/>
      <c r="AT1533" s="81"/>
    </row>
    <row r="1534" spans="3:56" x14ac:dyDescent="0.15">
      <c r="C1534" s="81" t="s">
        <v>572</v>
      </c>
      <c r="D1534" s="76" t="s">
        <v>574</v>
      </c>
      <c r="E1534" s="76" t="s">
        <v>574</v>
      </c>
      <c r="F1534" s="76" t="s">
        <v>574</v>
      </c>
      <c r="G1534" s="76" t="s">
        <v>574</v>
      </c>
      <c r="H1534" s="81" t="s">
        <v>574</v>
      </c>
      <c r="I1534" s="76" t="s">
        <v>574</v>
      </c>
      <c r="J1534" s="76" t="s">
        <v>574</v>
      </c>
      <c r="K1534" s="76" t="s">
        <v>574</v>
      </c>
      <c r="L1534" s="81" t="s">
        <v>574</v>
      </c>
      <c r="M1534" s="76" t="s">
        <v>574</v>
      </c>
      <c r="N1534" s="81"/>
      <c r="T1534" s="81"/>
      <c r="W1534" s="81"/>
      <c r="AG1534" s="81"/>
      <c r="AT1534" s="81"/>
    </row>
    <row r="1535" spans="3:56" x14ac:dyDescent="0.15">
      <c r="C1535" s="81" t="s">
        <v>573</v>
      </c>
      <c r="D1535" s="76">
        <v>1</v>
      </c>
      <c r="E1535" s="76">
        <v>2</v>
      </c>
      <c r="F1535" s="76">
        <v>3</v>
      </c>
      <c r="G1535" s="76">
        <v>4</v>
      </c>
      <c r="H1535" s="81">
        <v>5</v>
      </c>
      <c r="I1535" s="76">
        <v>6</v>
      </c>
      <c r="J1535" s="76">
        <v>7</v>
      </c>
      <c r="K1535" s="76">
        <v>8</v>
      </c>
      <c r="L1535" s="81">
        <v>9</v>
      </c>
      <c r="M1535" s="76">
        <v>10</v>
      </c>
      <c r="N1535" s="81"/>
      <c r="T1535" s="81"/>
      <c r="W1535" s="81"/>
      <c r="AG1535" s="81"/>
      <c r="AT1535" s="81"/>
    </row>
    <row r="1536" spans="3:56" x14ac:dyDescent="0.15">
      <c r="C1536" s="81">
        <v>380</v>
      </c>
      <c r="D1536" s="81">
        <v>2.05E-4</v>
      </c>
      <c r="E1536" s="81">
        <v>3.1799999999999998E-4</v>
      </c>
      <c r="F1536" s="81">
        <v>4.0499999999999998E-4</v>
      </c>
      <c r="G1536" s="81">
        <v>5.9999999999999995E-4</v>
      </c>
      <c r="H1536" s="81">
        <v>4.4799999999999999E-4</v>
      </c>
      <c r="I1536" s="81">
        <v>8.8400000000000002E-4</v>
      </c>
      <c r="J1536" s="81">
        <v>9.8999999999999999E-4</v>
      </c>
      <c r="K1536" s="81">
        <v>1.3500000000000001E-3</v>
      </c>
      <c r="L1536" s="81">
        <v>1.89E-3</v>
      </c>
      <c r="M1536" s="81">
        <v>1.07E-3</v>
      </c>
      <c r="N1536" s="81"/>
      <c r="O1536" s="81"/>
      <c r="P1536" s="81"/>
      <c r="Q1536" s="81"/>
      <c r="R1536" s="81"/>
      <c r="S1536" s="81"/>
      <c r="T1536" s="81"/>
      <c r="U1536" s="81"/>
      <c r="V1536" s="81"/>
      <c r="W1536" s="81"/>
      <c r="X1536" s="81"/>
      <c r="Y1536" s="81"/>
      <c r="Z1536" s="81"/>
      <c r="AA1536" s="81"/>
      <c r="AB1536" s="81"/>
      <c r="AC1536" s="81"/>
      <c r="AD1536" s="81"/>
      <c r="AG1536" s="81"/>
      <c r="AH1536" s="81"/>
      <c r="AI1536" s="81"/>
      <c r="AJ1536" s="81"/>
      <c r="AK1536" s="81"/>
      <c r="AL1536" s="81"/>
      <c r="AM1536" s="81"/>
      <c r="AN1536" s="81"/>
      <c r="AO1536" s="81"/>
      <c r="AP1536" s="81"/>
      <c r="AQ1536" s="81"/>
      <c r="AT1536" s="81"/>
      <c r="AU1536" s="81"/>
      <c r="AV1536" s="81"/>
      <c r="AW1536" s="81"/>
      <c r="AX1536" s="81"/>
      <c r="AY1536" s="81"/>
      <c r="AZ1536" s="81"/>
      <c r="BA1536" s="81"/>
      <c r="BB1536" s="81"/>
      <c r="BC1536" s="81"/>
      <c r="BD1536" s="81"/>
    </row>
    <row r="1537" spans="3:46" x14ac:dyDescent="0.15">
      <c r="C1537" s="81">
        <v>382</v>
      </c>
      <c r="D1537" s="76">
        <v>1.36E-4</v>
      </c>
      <c r="E1537" s="76">
        <v>1.8000000000000001E-4</v>
      </c>
      <c r="F1537" s="76">
        <v>2.9999999999999997E-4</v>
      </c>
      <c r="G1537" s="76">
        <v>6.0800000000000003E-4</v>
      </c>
      <c r="H1537" s="81">
        <v>5.2400000000000005E-4</v>
      </c>
      <c r="I1537" s="76">
        <v>1.15E-3</v>
      </c>
      <c r="J1537" s="76">
        <v>1.1100000000000001E-3</v>
      </c>
      <c r="K1537" s="76">
        <v>1.25E-3</v>
      </c>
      <c r="L1537" s="81">
        <v>1.7799999999999999E-3</v>
      </c>
      <c r="M1537" s="76">
        <v>9.2000000000000003E-4</v>
      </c>
      <c r="N1537" s="81"/>
      <c r="T1537" s="81"/>
      <c r="W1537" s="81"/>
      <c r="AG1537" s="81"/>
      <c r="AT1537" s="81"/>
    </row>
    <row r="1538" spans="3:46" x14ac:dyDescent="0.15">
      <c r="C1538" s="76">
        <v>384</v>
      </c>
      <c r="D1538" s="76">
        <v>1.44E-4</v>
      </c>
      <c r="E1538" s="76">
        <v>2.04E-4</v>
      </c>
      <c r="F1538" s="76">
        <v>3.7500000000000001E-4</v>
      </c>
      <c r="G1538" s="76">
        <v>5.0299999999999997E-4</v>
      </c>
      <c r="H1538" s="76">
        <v>5.9699999999999998E-4</v>
      </c>
      <c r="I1538" s="76">
        <v>9.1200000000000005E-4</v>
      </c>
      <c r="J1538" s="76">
        <v>9.4700000000000003E-4</v>
      </c>
      <c r="K1538" s="76">
        <v>1.2800000000000001E-3</v>
      </c>
      <c r="L1538" s="76">
        <v>1.2199999999999999E-3</v>
      </c>
      <c r="M1538" s="76">
        <v>1.58E-3</v>
      </c>
    </row>
    <row r="1539" spans="3:46" x14ac:dyDescent="0.15">
      <c r="C1539" s="76">
        <v>386</v>
      </c>
      <c r="D1539" s="76">
        <v>1.5699999999999999E-4</v>
      </c>
      <c r="E1539" s="76">
        <v>2.5900000000000001E-4</v>
      </c>
      <c r="F1539" s="76">
        <v>3.5599999999999998E-4</v>
      </c>
      <c r="G1539" s="76">
        <v>3.88E-4</v>
      </c>
      <c r="H1539" s="76">
        <v>5.8E-4</v>
      </c>
      <c r="I1539" s="76">
        <v>9.4899999999999997E-4</v>
      </c>
      <c r="J1539" s="76">
        <v>9.3899999999999995E-4</v>
      </c>
      <c r="K1539" s="76">
        <v>1.1199999999999999E-3</v>
      </c>
      <c r="L1539" s="76">
        <v>1.31E-3</v>
      </c>
      <c r="M1539" s="76">
        <v>1.3799999999999999E-3</v>
      </c>
    </row>
    <row r="1540" spans="3:46" x14ac:dyDescent="0.15">
      <c r="C1540" s="76">
        <v>388</v>
      </c>
      <c r="D1540" s="76">
        <v>1.35E-4</v>
      </c>
      <c r="E1540" s="76">
        <v>2.2900000000000001E-4</v>
      </c>
      <c r="F1540" s="76">
        <v>3.5599999999999998E-4</v>
      </c>
      <c r="G1540" s="76">
        <v>4.08E-4</v>
      </c>
      <c r="H1540" s="76">
        <v>4.4999999999999999E-4</v>
      </c>
      <c r="I1540" s="76">
        <v>8.7000000000000001E-4</v>
      </c>
      <c r="J1540" s="76">
        <v>1.0200000000000001E-3</v>
      </c>
      <c r="K1540" s="76">
        <v>1.31E-3</v>
      </c>
      <c r="L1540" s="76">
        <v>1.2600000000000001E-3</v>
      </c>
      <c r="M1540" s="76">
        <v>1.2999999999999999E-3</v>
      </c>
    </row>
    <row r="1541" spans="3:46" x14ac:dyDescent="0.15">
      <c r="C1541" s="76">
        <v>390</v>
      </c>
      <c r="D1541" s="76">
        <v>1.11E-4</v>
      </c>
      <c r="E1541" s="76">
        <v>1.66E-4</v>
      </c>
      <c r="F1541" s="76">
        <v>3.01E-4</v>
      </c>
      <c r="G1541" s="76">
        <v>3.77E-4</v>
      </c>
      <c r="H1541" s="76">
        <v>4.5100000000000001E-4</v>
      </c>
      <c r="I1541" s="76">
        <v>8.3799999999999999E-4</v>
      </c>
      <c r="J1541" s="76">
        <v>8.3100000000000003E-4</v>
      </c>
      <c r="K1541" s="76">
        <v>1.2999999999999999E-3</v>
      </c>
      <c r="L1541" s="76">
        <v>1.4E-3</v>
      </c>
      <c r="M1541" s="76">
        <v>1.1000000000000001E-3</v>
      </c>
    </row>
    <row r="1542" spans="3:46" x14ac:dyDescent="0.15">
      <c r="C1542" s="76">
        <v>392</v>
      </c>
      <c r="D1542" s="76">
        <v>1.2999999999999999E-4</v>
      </c>
      <c r="E1542" s="76">
        <v>2.13E-4</v>
      </c>
      <c r="F1542" s="76">
        <v>2.9700000000000001E-4</v>
      </c>
      <c r="G1542" s="76">
        <v>4.5399999999999998E-4</v>
      </c>
      <c r="H1542" s="76">
        <v>5.7600000000000001E-4</v>
      </c>
      <c r="I1542" s="76">
        <v>9.59E-4</v>
      </c>
      <c r="J1542" s="76">
        <v>8.6300000000000005E-4</v>
      </c>
      <c r="K1542" s="76">
        <v>1.2899999999999999E-3</v>
      </c>
      <c r="L1542" s="76">
        <v>1.32E-3</v>
      </c>
      <c r="M1542" s="76">
        <v>1.14E-3</v>
      </c>
    </row>
    <row r="1543" spans="3:46" x14ac:dyDescent="0.15">
      <c r="C1543" s="76">
        <v>394</v>
      </c>
      <c r="D1543" s="76">
        <v>1.2400000000000001E-4</v>
      </c>
      <c r="E1543" s="76">
        <v>2.03E-4</v>
      </c>
      <c r="F1543" s="76">
        <v>3.9899999999999999E-4</v>
      </c>
      <c r="G1543" s="76">
        <v>4.7100000000000001E-4</v>
      </c>
      <c r="H1543" s="76">
        <v>7.1199999999999996E-4</v>
      </c>
      <c r="I1543" s="76">
        <v>8.3799999999999999E-4</v>
      </c>
      <c r="J1543" s="76">
        <v>7.8600000000000002E-4</v>
      </c>
      <c r="K1543" s="76">
        <v>1.0499999999999999E-3</v>
      </c>
      <c r="L1543" s="76">
        <v>1.16E-3</v>
      </c>
      <c r="M1543" s="76">
        <v>1.39E-3</v>
      </c>
    </row>
    <row r="1544" spans="3:46" x14ac:dyDescent="0.15">
      <c r="C1544" s="76">
        <v>396</v>
      </c>
      <c r="D1544" s="76">
        <v>1.16E-4</v>
      </c>
      <c r="E1544" s="76">
        <v>2.02E-4</v>
      </c>
      <c r="F1544" s="76">
        <v>4.2400000000000001E-4</v>
      </c>
      <c r="G1544" s="76">
        <v>5.4600000000000004E-4</v>
      </c>
      <c r="H1544" s="76">
        <v>7.4799999999999997E-4</v>
      </c>
      <c r="I1544" s="76">
        <v>8.1800000000000004E-4</v>
      </c>
      <c r="J1544" s="76">
        <v>1.07E-3</v>
      </c>
      <c r="K1544" s="76">
        <v>9.8900000000000008E-4</v>
      </c>
      <c r="L1544" s="76">
        <v>1.5E-3</v>
      </c>
      <c r="M1544" s="76">
        <v>1.34E-3</v>
      </c>
    </row>
    <row r="1545" spans="3:46" x14ac:dyDescent="0.15">
      <c r="C1545" s="76">
        <v>398</v>
      </c>
      <c r="D1545" s="76">
        <v>1.1900000000000001E-4</v>
      </c>
      <c r="E1545" s="76">
        <v>1.9100000000000001E-4</v>
      </c>
      <c r="F1545" s="76">
        <v>4.1199999999999999E-4</v>
      </c>
      <c r="G1545" s="76">
        <v>5.0100000000000003E-4</v>
      </c>
      <c r="H1545" s="76">
        <v>8.9700000000000001E-4</v>
      </c>
      <c r="I1545" s="76">
        <v>7.7999999999999999E-4</v>
      </c>
      <c r="J1545" s="76">
        <v>9.41E-4</v>
      </c>
      <c r="K1545" s="76">
        <v>1.1100000000000001E-3</v>
      </c>
      <c r="L1545" s="76">
        <v>1.15E-3</v>
      </c>
      <c r="M1545" s="76">
        <v>1.4400000000000001E-3</v>
      </c>
    </row>
    <row r="1546" spans="3:46" x14ac:dyDescent="0.15">
      <c r="C1546" s="76">
        <v>400</v>
      </c>
      <c r="D1546" s="76">
        <v>1.1E-4</v>
      </c>
      <c r="E1546" s="76">
        <v>2.33E-4</v>
      </c>
      <c r="F1546" s="76">
        <v>4.1300000000000001E-4</v>
      </c>
      <c r="G1546" s="76">
        <v>4.3300000000000001E-4</v>
      </c>
      <c r="H1546" s="76">
        <v>8.0900000000000004E-4</v>
      </c>
      <c r="I1546" s="76">
        <v>8.5499999999999997E-4</v>
      </c>
      <c r="J1546" s="76">
        <v>9.0899999999999998E-4</v>
      </c>
      <c r="K1546" s="76">
        <v>1.1199999999999999E-3</v>
      </c>
      <c r="L1546" s="76">
        <v>1.25E-3</v>
      </c>
      <c r="M1546" s="76">
        <v>1.48E-3</v>
      </c>
    </row>
    <row r="1547" spans="3:46" x14ac:dyDescent="0.15">
      <c r="C1547" s="76">
        <v>402</v>
      </c>
      <c r="D1547" s="76">
        <v>1.18E-4</v>
      </c>
      <c r="E1547" s="76">
        <v>2.4399999999999999E-4</v>
      </c>
      <c r="F1547" s="76">
        <v>3.8099999999999999E-4</v>
      </c>
      <c r="G1547" s="76">
        <v>4.9100000000000001E-4</v>
      </c>
      <c r="H1547" s="76">
        <v>8.4500000000000005E-4</v>
      </c>
      <c r="I1547" s="76">
        <v>7.4700000000000005E-4</v>
      </c>
      <c r="J1547" s="76">
        <v>9.1299999999999997E-4</v>
      </c>
      <c r="K1547" s="76">
        <v>1.2199999999999999E-3</v>
      </c>
      <c r="L1547" s="76">
        <v>1.2800000000000001E-3</v>
      </c>
      <c r="M1547" s="76">
        <v>1.5499999999999999E-3</v>
      </c>
    </row>
    <row r="1548" spans="3:46" x14ac:dyDescent="0.15">
      <c r="C1548" s="76">
        <v>404</v>
      </c>
      <c r="D1548" s="76">
        <v>1.2400000000000001E-4</v>
      </c>
      <c r="E1548" s="76">
        <v>2.2699999999999999E-4</v>
      </c>
      <c r="F1548" s="76">
        <v>4.75E-4</v>
      </c>
      <c r="G1548" s="76">
        <v>4.75E-4</v>
      </c>
      <c r="H1548" s="76">
        <v>8.6700000000000004E-4</v>
      </c>
      <c r="I1548" s="76">
        <v>7.2000000000000005E-4</v>
      </c>
      <c r="J1548" s="76">
        <v>9.5699999999999995E-4</v>
      </c>
      <c r="K1548" s="76">
        <v>1.2899999999999999E-3</v>
      </c>
      <c r="L1548" s="76">
        <v>1.42E-3</v>
      </c>
      <c r="M1548" s="76">
        <v>1.64E-3</v>
      </c>
    </row>
    <row r="1549" spans="3:46" x14ac:dyDescent="0.15">
      <c r="C1549" s="76">
        <v>406</v>
      </c>
      <c r="D1549" s="76">
        <v>1.2899999999999999E-4</v>
      </c>
      <c r="E1549" s="76">
        <v>2.42E-4</v>
      </c>
      <c r="F1549" s="76">
        <v>5.0199999999999995E-4</v>
      </c>
      <c r="G1549" s="76">
        <v>4.8099999999999998E-4</v>
      </c>
      <c r="H1549" s="76">
        <v>9.8799999999999995E-4</v>
      </c>
      <c r="I1549" s="76">
        <v>6.4199999999999999E-4</v>
      </c>
      <c r="J1549" s="76">
        <v>1.08E-3</v>
      </c>
      <c r="K1549" s="76">
        <v>1.33E-3</v>
      </c>
      <c r="L1549" s="76">
        <v>1.4400000000000001E-3</v>
      </c>
      <c r="M1549" s="76">
        <v>1.6299999999999999E-3</v>
      </c>
    </row>
    <row r="1550" spans="3:46" x14ac:dyDescent="0.15">
      <c r="C1550" s="76">
        <v>408</v>
      </c>
      <c r="D1550" s="76">
        <v>1.47E-4</v>
      </c>
      <c r="E1550" s="76">
        <v>2.5599999999999999E-4</v>
      </c>
      <c r="F1550" s="76">
        <v>5.1400000000000003E-4</v>
      </c>
      <c r="G1550" s="76">
        <v>5.9299999999999999E-4</v>
      </c>
      <c r="H1550" s="76">
        <v>9.0899999999999998E-4</v>
      </c>
      <c r="I1550" s="76">
        <v>8.8999999999999995E-4</v>
      </c>
      <c r="J1550" s="76">
        <v>1.2099999999999999E-3</v>
      </c>
      <c r="K1550" s="76">
        <v>1.25E-3</v>
      </c>
      <c r="L1550" s="76">
        <v>1.5E-3</v>
      </c>
      <c r="M1550" s="76">
        <v>1.72E-3</v>
      </c>
    </row>
    <row r="1551" spans="3:46" x14ac:dyDescent="0.15">
      <c r="C1551" s="76">
        <v>410</v>
      </c>
      <c r="D1551" s="76">
        <v>1.5300000000000001E-4</v>
      </c>
      <c r="E1551" s="76">
        <v>2.8899999999999998E-4</v>
      </c>
      <c r="F1551" s="76">
        <v>5.53E-4</v>
      </c>
      <c r="G1551" s="76">
        <v>7.3700000000000002E-4</v>
      </c>
      <c r="H1551" s="76">
        <v>9.8900000000000008E-4</v>
      </c>
      <c r="I1551" s="76">
        <v>1.0200000000000001E-3</v>
      </c>
      <c r="J1551" s="76">
        <v>1.34E-3</v>
      </c>
      <c r="K1551" s="76">
        <v>1.41E-3</v>
      </c>
      <c r="L1551" s="76">
        <v>1.67E-3</v>
      </c>
      <c r="M1551" s="76">
        <v>2.0300000000000001E-3</v>
      </c>
    </row>
    <row r="1552" spans="3:46" x14ac:dyDescent="0.15">
      <c r="C1552" s="76">
        <v>412</v>
      </c>
      <c r="D1552" s="76">
        <v>1.8699999999999999E-4</v>
      </c>
      <c r="E1552" s="76">
        <v>3.4400000000000001E-4</v>
      </c>
      <c r="F1552" s="76">
        <v>6.2600000000000004E-4</v>
      </c>
      <c r="G1552" s="76">
        <v>8.12E-4</v>
      </c>
      <c r="H1552" s="76">
        <v>1.1299999999999999E-3</v>
      </c>
      <c r="I1552" s="76">
        <v>1.1299999999999999E-3</v>
      </c>
      <c r="J1552" s="76">
        <v>1.5E-3</v>
      </c>
      <c r="K1552" s="76">
        <v>1.6100000000000001E-3</v>
      </c>
      <c r="L1552" s="76">
        <v>1.92E-3</v>
      </c>
      <c r="M1552" s="76">
        <v>2.2399999999999998E-3</v>
      </c>
    </row>
    <row r="1553" spans="3:13" x14ac:dyDescent="0.15">
      <c r="C1553" s="76">
        <v>414</v>
      </c>
      <c r="D1553" s="76">
        <v>2.2100000000000001E-4</v>
      </c>
      <c r="E1553" s="76">
        <v>4.37E-4</v>
      </c>
      <c r="F1553" s="76">
        <v>6.9999999999999999E-4</v>
      </c>
      <c r="G1553" s="76">
        <v>9.5299999999999996E-4</v>
      </c>
      <c r="H1553" s="76">
        <v>1.33E-3</v>
      </c>
      <c r="I1553" s="76">
        <v>1.34E-3</v>
      </c>
      <c r="J1553" s="76">
        <v>1.72E-3</v>
      </c>
      <c r="K1553" s="76">
        <v>1.91E-3</v>
      </c>
      <c r="L1553" s="76">
        <v>2.2899999999999999E-3</v>
      </c>
      <c r="M1553" s="76">
        <v>2.4399999999999999E-3</v>
      </c>
    </row>
    <row r="1554" spans="3:13" x14ac:dyDescent="0.15">
      <c r="C1554" s="76">
        <v>416</v>
      </c>
      <c r="D1554" s="76">
        <v>2.5900000000000001E-4</v>
      </c>
      <c r="E1554" s="76">
        <v>5.1999999999999995E-4</v>
      </c>
      <c r="F1554" s="76">
        <v>8.1499999999999997E-4</v>
      </c>
      <c r="G1554" s="76">
        <v>1.1299999999999999E-3</v>
      </c>
      <c r="H1554" s="76">
        <v>1.49E-3</v>
      </c>
      <c r="I1554" s="76">
        <v>1.6000000000000001E-3</v>
      </c>
      <c r="J1554" s="76">
        <v>1.92E-3</v>
      </c>
      <c r="K1554" s="76">
        <v>2.2699999999999999E-3</v>
      </c>
      <c r="L1554" s="76">
        <v>2.64E-3</v>
      </c>
      <c r="M1554" s="76">
        <v>2.96E-3</v>
      </c>
    </row>
    <row r="1555" spans="3:13" x14ac:dyDescent="0.15">
      <c r="C1555" s="76">
        <v>418</v>
      </c>
      <c r="D1555" s="76">
        <v>3.0499999999999999E-4</v>
      </c>
      <c r="E1555" s="76">
        <v>6.2699999999999995E-4</v>
      </c>
      <c r="F1555" s="76">
        <v>9.3899999999999995E-4</v>
      </c>
      <c r="G1555" s="76">
        <v>1.34E-3</v>
      </c>
      <c r="H1555" s="76">
        <v>1.6900000000000001E-3</v>
      </c>
      <c r="I1555" s="76">
        <v>1.8699999999999999E-3</v>
      </c>
      <c r="J1555" s="76">
        <v>2.31E-3</v>
      </c>
      <c r="K1555" s="76">
        <v>2.6800000000000001E-3</v>
      </c>
      <c r="L1555" s="76">
        <v>2.98E-3</v>
      </c>
      <c r="M1555" s="76">
        <v>3.48E-3</v>
      </c>
    </row>
    <row r="1556" spans="3:13" x14ac:dyDescent="0.15">
      <c r="C1556" s="76">
        <v>420</v>
      </c>
      <c r="D1556" s="76">
        <v>3.7100000000000002E-4</v>
      </c>
      <c r="E1556" s="76">
        <v>7.4899999999999999E-4</v>
      </c>
      <c r="F1556" s="76">
        <v>1.1299999999999999E-3</v>
      </c>
      <c r="G1556" s="76">
        <v>1.6000000000000001E-3</v>
      </c>
      <c r="H1556" s="76">
        <v>1.98E-3</v>
      </c>
      <c r="I1556" s="76">
        <v>2.2699999999999999E-3</v>
      </c>
      <c r="J1556" s="76">
        <v>2.7599999999999999E-3</v>
      </c>
      <c r="K1556" s="76">
        <v>3.1199999999999999E-3</v>
      </c>
      <c r="L1556" s="76">
        <v>3.5000000000000001E-3</v>
      </c>
      <c r="M1556" s="76">
        <v>4.15E-3</v>
      </c>
    </row>
    <row r="1557" spans="3:13" x14ac:dyDescent="0.15">
      <c r="C1557" s="76">
        <v>422</v>
      </c>
      <c r="D1557" s="76">
        <v>4.4099999999999999E-4</v>
      </c>
      <c r="E1557" s="76">
        <v>9.0700000000000004E-4</v>
      </c>
      <c r="F1557" s="76">
        <v>1.39E-3</v>
      </c>
      <c r="G1557" s="76">
        <v>2.0400000000000001E-3</v>
      </c>
      <c r="H1557" s="76">
        <v>2.4099999999999998E-3</v>
      </c>
      <c r="I1557" s="76">
        <v>2.82E-3</v>
      </c>
      <c r="J1557" s="76">
        <v>3.3999999999999998E-3</v>
      </c>
      <c r="K1557" s="76">
        <v>3.8E-3</v>
      </c>
      <c r="L1557" s="76">
        <v>4.3699999999999998E-3</v>
      </c>
      <c r="M1557" s="76">
        <v>4.9300000000000004E-3</v>
      </c>
    </row>
    <row r="1558" spans="3:13" x14ac:dyDescent="0.15">
      <c r="C1558" s="76">
        <v>424</v>
      </c>
      <c r="D1558" s="76">
        <v>5.7700000000000004E-4</v>
      </c>
      <c r="E1558" s="76">
        <v>1.17E-3</v>
      </c>
      <c r="F1558" s="76">
        <v>1.7700000000000001E-3</v>
      </c>
      <c r="G1558" s="76">
        <v>2.4499999999999999E-3</v>
      </c>
      <c r="H1558" s="76">
        <v>3.0400000000000002E-3</v>
      </c>
      <c r="I1558" s="76">
        <v>3.48E-3</v>
      </c>
      <c r="J1558" s="76">
        <v>4.1999999999999997E-3</v>
      </c>
      <c r="K1558" s="76">
        <v>4.6800000000000001E-3</v>
      </c>
      <c r="L1558" s="76">
        <v>5.5199999999999997E-3</v>
      </c>
      <c r="M1558" s="76">
        <v>6.1599999999999997E-3</v>
      </c>
    </row>
    <row r="1559" spans="3:13" x14ac:dyDescent="0.15">
      <c r="C1559" s="76">
        <v>426</v>
      </c>
      <c r="D1559" s="76">
        <v>7.1000000000000002E-4</v>
      </c>
      <c r="E1559" s="76">
        <v>1.47E-3</v>
      </c>
      <c r="F1559" s="76">
        <v>2.2599999999999999E-3</v>
      </c>
      <c r="G1559" s="76">
        <v>3.0100000000000001E-3</v>
      </c>
      <c r="H1559" s="76">
        <v>3.81E-3</v>
      </c>
      <c r="I1559" s="76">
        <v>4.4299999999999999E-3</v>
      </c>
      <c r="J1559" s="76">
        <v>5.2700000000000004E-3</v>
      </c>
      <c r="K1559" s="76">
        <v>6.0000000000000001E-3</v>
      </c>
      <c r="L1559" s="76">
        <v>6.9199999999999999E-3</v>
      </c>
      <c r="M1559" s="76">
        <v>7.8200000000000006E-3</v>
      </c>
    </row>
    <row r="1560" spans="3:13" x14ac:dyDescent="0.15">
      <c r="C1560" s="76">
        <v>428</v>
      </c>
      <c r="D1560" s="76">
        <v>9.3000000000000005E-4</v>
      </c>
      <c r="E1560" s="76">
        <v>1.92E-3</v>
      </c>
      <c r="F1560" s="76">
        <v>2.8900000000000002E-3</v>
      </c>
      <c r="G1560" s="76">
        <v>3.9500000000000004E-3</v>
      </c>
      <c r="H1560" s="76">
        <v>4.9100000000000003E-3</v>
      </c>
      <c r="I1560" s="76">
        <v>5.8199999999999997E-3</v>
      </c>
      <c r="J1560" s="76">
        <v>6.8999999999999999E-3</v>
      </c>
      <c r="K1560" s="76">
        <v>7.8200000000000006E-3</v>
      </c>
      <c r="L1560" s="76">
        <v>8.8800000000000007E-3</v>
      </c>
      <c r="M1560" s="76">
        <v>0.01</v>
      </c>
    </row>
    <row r="1561" spans="3:13" x14ac:dyDescent="0.15">
      <c r="C1561" s="76">
        <v>430</v>
      </c>
      <c r="D1561" s="76">
        <v>1.25E-3</v>
      </c>
      <c r="E1561" s="76">
        <v>2.5699999999999998E-3</v>
      </c>
      <c r="F1561" s="76">
        <v>3.8700000000000002E-3</v>
      </c>
      <c r="G1561" s="76">
        <v>5.3E-3</v>
      </c>
      <c r="H1561" s="76">
        <v>6.5799999999999999E-3</v>
      </c>
      <c r="I1561" s="76">
        <v>7.8200000000000006E-3</v>
      </c>
      <c r="J1561" s="76">
        <v>9.1800000000000007E-3</v>
      </c>
      <c r="K1561" s="76">
        <v>1.04E-2</v>
      </c>
      <c r="L1561" s="76">
        <v>1.1900000000000001E-2</v>
      </c>
      <c r="M1561" s="76">
        <v>1.3299999999999999E-2</v>
      </c>
    </row>
    <row r="1562" spans="3:13" x14ac:dyDescent="0.15">
      <c r="C1562" s="76">
        <v>432</v>
      </c>
      <c r="D1562" s="76">
        <v>1.72E-3</v>
      </c>
      <c r="E1562" s="76">
        <v>3.5300000000000002E-3</v>
      </c>
      <c r="F1562" s="76">
        <v>5.3200000000000001E-3</v>
      </c>
      <c r="G1562" s="76">
        <v>7.2399999999999999E-3</v>
      </c>
      <c r="H1562" s="76">
        <v>8.9800000000000001E-3</v>
      </c>
      <c r="I1562" s="76">
        <v>1.0699999999999999E-2</v>
      </c>
      <c r="J1562" s="76">
        <v>1.26E-2</v>
      </c>
      <c r="K1562" s="76">
        <v>1.44E-2</v>
      </c>
      <c r="L1562" s="76">
        <v>1.6299999999999999E-2</v>
      </c>
      <c r="M1562" s="76">
        <v>1.8200000000000001E-2</v>
      </c>
    </row>
    <row r="1563" spans="3:13" x14ac:dyDescent="0.15">
      <c r="C1563" s="76">
        <v>434</v>
      </c>
      <c r="D1563" s="76">
        <v>2.3999999999999998E-3</v>
      </c>
      <c r="E1563" s="76">
        <v>4.9100000000000003E-3</v>
      </c>
      <c r="F1563" s="76">
        <v>7.3800000000000003E-3</v>
      </c>
      <c r="G1563" s="76">
        <v>0.01</v>
      </c>
      <c r="H1563" s="76">
        <v>1.2500000000000001E-2</v>
      </c>
      <c r="I1563" s="76">
        <v>1.49E-2</v>
      </c>
      <c r="J1563" s="76">
        <v>1.7500000000000002E-2</v>
      </c>
      <c r="K1563" s="76">
        <v>0.02</v>
      </c>
      <c r="L1563" s="76">
        <v>2.2499999999999999E-2</v>
      </c>
      <c r="M1563" s="76">
        <v>2.5100000000000001E-2</v>
      </c>
    </row>
    <row r="1564" spans="3:13" x14ac:dyDescent="0.15">
      <c r="C1564" s="76">
        <v>436</v>
      </c>
      <c r="D1564" s="76">
        <v>3.4299999999999999E-3</v>
      </c>
      <c r="E1564" s="76">
        <v>7.0299999999999998E-3</v>
      </c>
      <c r="F1564" s="76">
        <v>1.06E-2</v>
      </c>
      <c r="G1564" s="76">
        <v>1.43E-2</v>
      </c>
      <c r="H1564" s="76">
        <v>1.78E-2</v>
      </c>
      <c r="I1564" s="76">
        <v>2.1299999999999999E-2</v>
      </c>
      <c r="J1564" s="76">
        <v>2.5000000000000001E-2</v>
      </c>
      <c r="K1564" s="76">
        <v>2.8500000000000001E-2</v>
      </c>
      <c r="L1564" s="76">
        <v>3.2099999999999997E-2</v>
      </c>
      <c r="M1564" s="76">
        <v>3.5700000000000003E-2</v>
      </c>
    </row>
    <row r="1565" spans="3:13" x14ac:dyDescent="0.15">
      <c r="C1565" s="76">
        <v>438</v>
      </c>
      <c r="D1565" s="76">
        <v>4.8900000000000002E-3</v>
      </c>
      <c r="E1565" s="76">
        <v>0.01</v>
      </c>
      <c r="F1565" s="76">
        <v>1.5100000000000001E-2</v>
      </c>
      <c r="G1565" s="76">
        <v>2.0299999999999999E-2</v>
      </c>
      <c r="H1565" s="76">
        <v>2.53E-2</v>
      </c>
      <c r="I1565" s="76">
        <v>3.0300000000000001E-2</v>
      </c>
      <c r="J1565" s="76">
        <v>3.5499999999999997E-2</v>
      </c>
      <c r="K1565" s="76">
        <v>4.0599999999999997E-2</v>
      </c>
      <c r="L1565" s="76">
        <v>4.5699999999999998E-2</v>
      </c>
      <c r="M1565" s="76">
        <v>5.0700000000000002E-2</v>
      </c>
    </row>
    <row r="1566" spans="3:13" x14ac:dyDescent="0.15">
      <c r="C1566" s="76">
        <v>440</v>
      </c>
      <c r="D1566" s="76">
        <v>6.7400000000000003E-3</v>
      </c>
      <c r="E1566" s="76">
        <v>1.38E-2</v>
      </c>
      <c r="F1566" s="76">
        <v>2.0799999999999999E-2</v>
      </c>
      <c r="G1566" s="76">
        <v>2.7900000000000001E-2</v>
      </c>
      <c r="H1566" s="76">
        <v>3.4799999999999998E-2</v>
      </c>
      <c r="I1566" s="76">
        <v>4.1700000000000001E-2</v>
      </c>
      <c r="J1566" s="76">
        <v>4.8800000000000003E-2</v>
      </c>
      <c r="K1566" s="76">
        <v>5.57E-2</v>
      </c>
      <c r="L1566" s="76">
        <v>6.2600000000000003E-2</v>
      </c>
      <c r="M1566" s="76">
        <v>6.9599999999999995E-2</v>
      </c>
    </row>
    <row r="1567" spans="3:13" x14ac:dyDescent="0.15">
      <c r="C1567" s="76">
        <v>442</v>
      </c>
      <c r="D1567" s="76">
        <v>9.0200000000000002E-3</v>
      </c>
      <c r="E1567" s="76">
        <v>1.8499999999999999E-2</v>
      </c>
      <c r="F1567" s="76">
        <v>2.7799999999999998E-2</v>
      </c>
      <c r="G1567" s="76">
        <v>3.7199999999999997E-2</v>
      </c>
      <c r="H1567" s="76">
        <v>4.6600000000000003E-2</v>
      </c>
      <c r="I1567" s="76">
        <v>5.57E-2</v>
      </c>
      <c r="J1567" s="76">
        <v>6.5100000000000005E-2</v>
      </c>
      <c r="K1567" s="76">
        <v>7.4399999999999994E-2</v>
      </c>
      <c r="L1567" s="76">
        <v>8.3500000000000005E-2</v>
      </c>
      <c r="M1567" s="76">
        <v>9.2700000000000005E-2</v>
      </c>
    </row>
    <row r="1568" spans="3:13" x14ac:dyDescent="0.15">
      <c r="C1568" s="76">
        <v>444</v>
      </c>
      <c r="D1568" s="76">
        <v>1.17E-2</v>
      </c>
      <c r="E1568" s="76">
        <v>2.4E-2</v>
      </c>
      <c r="F1568" s="76">
        <v>3.61E-2</v>
      </c>
      <c r="G1568" s="76">
        <v>4.8399999999999999E-2</v>
      </c>
      <c r="H1568" s="76">
        <v>6.0400000000000002E-2</v>
      </c>
      <c r="I1568" s="76">
        <v>7.2400000000000006E-2</v>
      </c>
      <c r="J1568" s="76">
        <v>8.4500000000000006E-2</v>
      </c>
      <c r="K1568" s="76">
        <v>9.64E-2</v>
      </c>
      <c r="L1568" s="76">
        <v>0.108</v>
      </c>
      <c r="M1568" s="76">
        <v>0.12</v>
      </c>
    </row>
    <row r="1569" spans="3:13" x14ac:dyDescent="0.15">
      <c r="C1569" s="76">
        <v>446</v>
      </c>
      <c r="D1569" s="76">
        <v>1.4800000000000001E-2</v>
      </c>
      <c r="E1569" s="76">
        <v>3.0200000000000001E-2</v>
      </c>
      <c r="F1569" s="76">
        <v>4.5499999999999999E-2</v>
      </c>
      <c r="G1569" s="76">
        <v>6.0900000000000003E-2</v>
      </c>
      <c r="H1569" s="76">
        <v>7.5899999999999995E-2</v>
      </c>
      <c r="I1569" s="76">
        <v>9.0999999999999998E-2</v>
      </c>
      <c r="J1569" s="76">
        <v>0.106</v>
      </c>
      <c r="K1569" s="76">
        <v>0.121</v>
      </c>
      <c r="L1569" s="76">
        <v>0.13600000000000001</v>
      </c>
      <c r="M1569" s="76">
        <v>0.151</v>
      </c>
    </row>
    <row r="1570" spans="3:13" x14ac:dyDescent="0.15">
      <c r="C1570" s="76">
        <v>448</v>
      </c>
      <c r="D1570" s="76">
        <v>1.7999999999999999E-2</v>
      </c>
      <c r="E1570" s="76">
        <v>3.6900000000000002E-2</v>
      </c>
      <c r="F1570" s="76">
        <v>5.5399999999999998E-2</v>
      </c>
      <c r="G1570" s="76">
        <v>7.4099999999999999E-2</v>
      </c>
      <c r="H1570" s="76">
        <v>9.2499999999999999E-2</v>
      </c>
      <c r="I1570" s="76">
        <v>0.111</v>
      </c>
      <c r="J1570" s="76">
        <v>0.129</v>
      </c>
      <c r="K1570" s="76">
        <v>0.14699999999999999</v>
      </c>
      <c r="L1570" s="76">
        <v>0.16500000000000001</v>
      </c>
      <c r="M1570" s="76">
        <v>0.183</v>
      </c>
    </row>
    <row r="1571" spans="3:13" x14ac:dyDescent="0.15">
      <c r="C1571" s="76">
        <v>450</v>
      </c>
      <c r="D1571" s="76">
        <v>2.1399999999999999E-2</v>
      </c>
      <c r="E1571" s="76">
        <v>4.3900000000000002E-2</v>
      </c>
      <c r="F1571" s="76">
        <v>6.59E-2</v>
      </c>
      <c r="G1571" s="76">
        <v>8.7999999999999995E-2</v>
      </c>
      <c r="H1571" s="76">
        <v>0.11</v>
      </c>
      <c r="I1571" s="76">
        <v>0.13200000000000001</v>
      </c>
      <c r="J1571" s="76">
        <v>0.154</v>
      </c>
      <c r="K1571" s="76">
        <v>0.17499999999999999</v>
      </c>
      <c r="L1571" s="76">
        <v>0.19600000000000001</v>
      </c>
      <c r="M1571" s="76">
        <v>0.218</v>
      </c>
    </row>
    <row r="1572" spans="3:13" x14ac:dyDescent="0.15">
      <c r="C1572" s="76">
        <v>452</v>
      </c>
      <c r="D1572" s="76">
        <v>2.4299999999999999E-2</v>
      </c>
      <c r="E1572" s="76">
        <v>4.9799999999999997E-2</v>
      </c>
      <c r="F1572" s="76">
        <v>7.4899999999999994E-2</v>
      </c>
      <c r="G1572" s="76">
        <v>9.9900000000000003E-2</v>
      </c>
      <c r="H1572" s="76">
        <v>0.125</v>
      </c>
      <c r="I1572" s="76">
        <v>0.14899999999999999</v>
      </c>
      <c r="J1572" s="76">
        <v>0.17399999999999999</v>
      </c>
      <c r="K1572" s="76">
        <v>0.19900000000000001</v>
      </c>
      <c r="L1572" s="76">
        <v>0.223</v>
      </c>
      <c r="M1572" s="76">
        <v>0.247</v>
      </c>
    </row>
    <row r="1573" spans="3:13" x14ac:dyDescent="0.15">
      <c r="C1573" s="76">
        <v>454</v>
      </c>
      <c r="D1573" s="76">
        <v>2.6599999999999999E-2</v>
      </c>
      <c r="E1573" s="76">
        <v>5.4399999999999997E-2</v>
      </c>
      <c r="F1573" s="76">
        <v>8.1799999999999998E-2</v>
      </c>
      <c r="G1573" s="76">
        <v>0.109</v>
      </c>
      <c r="H1573" s="76">
        <v>0.13600000000000001</v>
      </c>
      <c r="I1573" s="76">
        <v>0.16300000000000001</v>
      </c>
      <c r="J1573" s="76">
        <v>0.19</v>
      </c>
      <c r="K1573" s="76">
        <v>0.217</v>
      </c>
      <c r="L1573" s="76">
        <v>0.24299999999999999</v>
      </c>
      <c r="M1573" s="76">
        <v>0.27</v>
      </c>
    </row>
    <row r="1574" spans="3:13" x14ac:dyDescent="0.15">
      <c r="C1574" s="76">
        <v>456</v>
      </c>
      <c r="D1574" s="76">
        <v>2.8199999999999999E-2</v>
      </c>
      <c r="E1574" s="76">
        <v>5.7599999999999998E-2</v>
      </c>
      <c r="F1574" s="76">
        <v>8.6699999999999999E-2</v>
      </c>
      <c r="G1574" s="76">
        <v>0.11600000000000001</v>
      </c>
      <c r="H1574" s="76">
        <v>0.14399999999999999</v>
      </c>
      <c r="I1574" s="76">
        <v>0.17299999999999999</v>
      </c>
      <c r="J1574" s="76">
        <v>0.20100000000000001</v>
      </c>
      <c r="K1574" s="76">
        <v>0.22900000000000001</v>
      </c>
      <c r="L1574" s="76">
        <v>0.25700000000000001</v>
      </c>
      <c r="M1574" s="76">
        <v>0.28499999999999998</v>
      </c>
    </row>
    <row r="1575" spans="3:13" x14ac:dyDescent="0.15">
      <c r="C1575" s="76">
        <v>458</v>
      </c>
      <c r="D1575" s="76">
        <v>2.8899999999999999E-2</v>
      </c>
      <c r="E1575" s="76">
        <v>5.9200000000000003E-2</v>
      </c>
      <c r="F1575" s="76">
        <v>8.9099999999999999E-2</v>
      </c>
      <c r="G1575" s="76">
        <v>0.11899999999999999</v>
      </c>
      <c r="H1575" s="76">
        <v>0.14799999999999999</v>
      </c>
      <c r="I1575" s="76">
        <v>0.17699999999999999</v>
      </c>
      <c r="J1575" s="76">
        <v>0.20699999999999999</v>
      </c>
      <c r="K1575" s="76">
        <v>0.23599999999999999</v>
      </c>
      <c r="L1575" s="76">
        <v>0.26400000000000001</v>
      </c>
      <c r="M1575" s="76">
        <v>0.29299999999999998</v>
      </c>
    </row>
    <row r="1576" spans="3:13" x14ac:dyDescent="0.15">
      <c r="C1576" s="76">
        <v>460</v>
      </c>
      <c r="D1576" s="76">
        <v>2.9000000000000001E-2</v>
      </c>
      <c r="E1576" s="76">
        <v>5.9299999999999999E-2</v>
      </c>
      <c r="F1576" s="76">
        <v>8.9200000000000002E-2</v>
      </c>
      <c r="G1576" s="76">
        <v>0.11899999999999999</v>
      </c>
      <c r="H1576" s="76">
        <v>0.14799999999999999</v>
      </c>
      <c r="I1576" s="76">
        <v>0.17799999999999999</v>
      </c>
      <c r="J1576" s="76">
        <v>0.20699999999999999</v>
      </c>
      <c r="K1576" s="76">
        <v>0.23599999999999999</v>
      </c>
      <c r="L1576" s="76">
        <v>0.26500000000000001</v>
      </c>
      <c r="M1576" s="76">
        <v>0.29299999999999998</v>
      </c>
    </row>
    <row r="1577" spans="3:13" x14ac:dyDescent="0.15">
      <c r="C1577" s="76">
        <v>462</v>
      </c>
      <c r="D1577" s="76">
        <v>2.8400000000000002E-2</v>
      </c>
      <c r="E1577" s="76">
        <v>5.8000000000000003E-2</v>
      </c>
      <c r="F1577" s="76">
        <v>8.72E-2</v>
      </c>
      <c r="G1577" s="76">
        <v>0.11600000000000001</v>
      </c>
      <c r="H1577" s="76">
        <v>0.14499999999999999</v>
      </c>
      <c r="I1577" s="76">
        <v>0.17399999999999999</v>
      </c>
      <c r="J1577" s="76">
        <v>0.20200000000000001</v>
      </c>
      <c r="K1577" s="76">
        <v>0.23100000000000001</v>
      </c>
      <c r="L1577" s="76">
        <v>0.25900000000000001</v>
      </c>
      <c r="M1577" s="76">
        <v>0.28699999999999998</v>
      </c>
    </row>
    <row r="1578" spans="3:13" x14ac:dyDescent="0.15">
      <c r="C1578" s="76">
        <v>464</v>
      </c>
      <c r="D1578" s="76">
        <v>2.7E-2</v>
      </c>
      <c r="E1578" s="76">
        <v>5.5199999999999999E-2</v>
      </c>
      <c r="F1578" s="76">
        <v>8.3000000000000004E-2</v>
      </c>
      <c r="G1578" s="76">
        <v>0.111</v>
      </c>
      <c r="H1578" s="76">
        <v>0.13800000000000001</v>
      </c>
      <c r="I1578" s="76">
        <v>0.16600000000000001</v>
      </c>
      <c r="J1578" s="76">
        <v>0.193</v>
      </c>
      <c r="K1578" s="76">
        <v>0.22</v>
      </c>
      <c r="L1578" s="76">
        <v>0.246</v>
      </c>
      <c r="M1578" s="76">
        <v>0.27300000000000002</v>
      </c>
    </row>
    <row r="1579" spans="3:13" x14ac:dyDescent="0.15">
      <c r="C1579" s="76">
        <v>466</v>
      </c>
      <c r="D1579" s="76">
        <v>2.5499999999999998E-2</v>
      </c>
      <c r="E1579" s="76">
        <v>5.2200000000000003E-2</v>
      </c>
      <c r="F1579" s="76">
        <v>7.85E-2</v>
      </c>
      <c r="G1579" s="76">
        <v>0.105</v>
      </c>
      <c r="H1579" s="76">
        <v>0.13100000000000001</v>
      </c>
      <c r="I1579" s="76">
        <v>0.157</v>
      </c>
      <c r="J1579" s="76">
        <v>0.182</v>
      </c>
      <c r="K1579" s="76">
        <v>0.20799999999999999</v>
      </c>
      <c r="L1579" s="76">
        <v>0.23300000000000001</v>
      </c>
      <c r="M1579" s="76">
        <v>0.25800000000000001</v>
      </c>
    </row>
    <row r="1580" spans="3:13" x14ac:dyDescent="0.15">
      <c r="C1580" s="76">
        <v>468</v>
      </c>
      <c r="D1580" s="76">
        <v>2.4E-2</v>
      </c>
      <c r="E1580" s="76">
        <v>4.9000000000000002E-2</v>
      </c>
      <c r="F1580" s="76">
        <v>7.3800000000000004E-2</v>
      </c>
      <c r="G1580" s="76">
        <v>9.8299999999999998E-2</v>
      </c>
      <c r="H1580" s="76">
        <v>0.123</v>
      </c>
      <c r="I1580" s="76">
        <v>0.14699999999999999</v>
      </c>
      <c r="J1580" s="76">
        <v>0.17100000000000001</v>
      </c>
      <c r="K1580" s="76">
        <v>0.19500000000000001</v>
      </c>
      <c r="L1580" s="76">
        <v>0.219</v>
      </c>
      <c r="M1580" s="76">
        <v>0.24199999999999999</v>
      </c>
    </row>
    <row r="1581" spans="3:13" x14ac:dyDescent="0.15">
      <c r="C1581" s="76">
        <v>470</v>
      </c>
      <c r="D1581" s="76">
        <v>2.24E-2</v>
      </c>
      <c r="E1581" s="76">
        <v>4.58E-2</v>
      </c>
      <c r="F1581" s="76">
        <v>6.9000000000000006E-2</v>
      </c>
      <c r="G1581" s="76">
        <v>9.1899999999999996E-2</v>
      </c>
      <c r="H1581" s="76">
        <v>0.115</v>
      </c>
      <c r="I1581" s="76">
        <v>0.13800000000000001</v>
      </c>
      <c r="J1581" s="76">
        <v>0.16</v>
      </c>
      <c r="K1581" s="76">
        <v>0.183</v>
      </c>
      <c r="L1581" s="76">
        <v>0.20499999999999999</v>
      </c>
      <c r="M1581" s="76">
        <v>0.22700000000000001</v>
      </c>
    </row>
    <row r="1582" spans="3:13" x14ac:dyDescent="0.15">
      <c r="C1582" s="76">
        <v>472</v>
      </c>
      <c r="D1582" s="76">
        <v>2.1000000000000001E-2</v>
      </c>
      <c r="E1582" s="76">
        <v>4.2900000000000001E-2</v>
      </c>
      <c r="F1582" s="76">
        <v>6.4600000000000005E-2</v>
      </c>
      <c r="G1582" s="76">
        <v>8.6099999999999996E-2</v>
      </c>
      <c r="H1582" s="76">
        <v>0.108</v>
      </c>
      <c r="I1582" s="76">
        <v>0.129</v>
      </c>
      <c r="J1582" s="76">
        <v>0.15</v>
      </c>
      <c r="K1582" s="76">
        <v>0.17100000000000001</v>
      </c>
      <c r="L1582" s="76">
        <v>0.192</v>
      </c>
      <c r="M1582" s="76">
        <v>0.21299999999999999</v>
      </c>
    </row>
    <row r="1583" spans="3:13" x14ac:dyDescent="0.15">
      <c r="C1583" s="76">
        <v>474</v>
      </c>
      <c r="D1583" s="76">
        <v>1.9800000000000002E-2</v>
      </c>
      <c r="E1583" s="76">
        <v>4.0399999999999998E-2</v>
      </c>
      <c r="F1583" s="76">
        <v>6.0900000000000003E-2</v>
      </c>
      <c r="G1583" s="76">
        <v>8.1199999999999994E-2</v>
      </c>
      <c r="H1583" s="76">
        <v>0.10100000000000001</v>
      </c>
      <c r="I1583" s="76">
        <v>0.122</v>
      </c>
      <c r="J1583" s="76">
        <v>0.14099999999999999</v>
      </c>
      <c r="K1583" s="76">
        <v>0.161</v>
      </c>
      <c r="L1583" s="76">
        <v>0.18099999999999999</v>
      </c>
      <c r="M1583" s="76">
        <v>0.2</v>
      </c>
    </row>
    <row r="1584" spans="3:13" x14ac:dyDescent="0.15">
      <c r="C1584" s="76">
        <v>476</v>
      </c>
      <c r="D1584" s="76">
        <v>1.8599999999999998E-2</v>
      </c>
      <c r="E1584" s="76">
        <v>3.8100000000000002E-2</v>
      </c>
      <c r="F1584" s="76">
        <v>5.7299999999999997E-2</v>
      </c>
      <c r="G1584" s="76">
        <v>7.6300000000000007E-2</v>
      </c>
      <c r="H1584" s="76">
        <v>9.5399999999999999E-2</v>
      </c>
      <c r="I1584" s="76">
        <v>0.114</v>
      </c>
      <c r="J1584" s="76">
        <v>0.13300000000000001</v>
      </c>
      <c r="K1584" s="76">
        <v>0.152</v>
      </c>
      <c r="L1584" s="76">
        <v>0.17100000000000001</v>
      </c>
      <c r="M1584" s="76">
        <v>0.189</v>
      </c>
    </row>
    <row r="1585" spans="3:13" x14ac:dyDescent="0.15">
      <c r="C1585" s="76">
        <v>478</v>
      </c>
      <c r="D1585" s="76">
        <v>1.78E-2</v>
      </c>
      <c r="E1585" s="76">
        <v>3.6400000000000002E-2</v>
      </c>
      <c r="F1585" s="76">
        <v>5.4800000000000001E-2</v>
      </c>
      <c r="G1585" s="76">
        <v>7.2999999999999995E-2</v>
      </c>
      <c r="H1585" s="76">
        <v>9.1200000000000003E-2</v>
      </c>
      <c r="I1585" s="76">
        <v>0.109</v>
      </c>
      <c r="J1585" s="76">
        <v>0.127</v>
      </c>
      <c r="K1585" s="76">
        <v>0.14499999999999999</v>
      </c>
      <c r="L1585" s="76">
        <v>0.16300000000000001</v>
      </c>
      <c r="M1585" s="76">
        <v>0.18</v>
      </c>
    </row>
    <row r="1586" spans="3:13" x14ac:dyDescent="0.15">
      <c r="C1586" s="76">
        <v>480</v>
      </c>
      <c r="D1586" s="76">
        <v>1.7100000000000001E-2</v>
      </c>
      <c r="E1586" s="76">
        <v>3.5000000000000003E-2</v>
      </c>
      <c r="F1586" s="76">
        <v>5.2699999999999997E-2</v>
      </c>
      <c r="G1586" s="76">
        <v>7.0199999999999999E-2</v>
      </c>
      <c r="H1586" s="76">
        <v>8.77E-2</v>
      </c>
      <c r="I1586" s="76">
        <v>0.105</v>
      </c>
      <c r="J1586" s="76">
        <v>0.122</v>
      </c>
      <c r="K1586" s="76">
        <v>0.14000000000000001</v>
      </c>
      <c r="L1586" s="76">
        <v>0.157</v>
      </c>
      <c r="M1586" s="76">
        <v>0.17299999999999999</v>
      </c>
    </row>
    <row r="1587" spans="3:13" x14ac:dyDescent="0.15">
      <c r="C1587" s="76">
        <v>482</v>
      </c>
      <c r="D1587" s="76">
        <v>1.6500000000000001E-2</v>
      </c>
      <c r="E1587" s="76">
        <v>3.3799999999999997E-2</v>
      </c>
      <c r="F1587" s="76">
        <v>5.0799999999999998E-2</v>
      </c>
      <c r="G1587" s="76">
        <v>6.7599999999999993E-2</v>
      </c>
      <c r="H1587" s="76">
        <v>8.4500000000000006E-2</v>
      </c>
      <c r="I1587" s="76">
        <v>0.10100000000000001</v>
      </c>
      <c r="J1587" s="76">
        <v>0.11799999999999999</v>
      </c>
      <c r="K1587" s="76">
        <v>0.13500000000000001</v>
      </c>
      <c r="L1587" s="76">
        <v>0.151</v>
      </c>
      <c r="M1587" s="76">
        <v>0.16700000000000001</v>
      </c>
    </row>
    <row r="1588" spans="3:13" x14ac:dyDescent="0.15">
      <c r="C1588" s="76">
        <v>484</v>
      </c>
      <c r="D1588" s="76">
        <v>1.5900000000000001E-2</v>
      </c>
      <c r="E1588" s="76">
        <v>3.2500000000000001E-2</v>
      </c>
      <c r="F1588" s="76">
        <v>4.8899999999999999E-2</v>
      </c>
      <c r="G1588" s="76">
        <v>6.5100000000000005E-2</v>
      </c>
      <c r="H1588" s="76">
        <v>8.1299999999999997E-2</v>
      </c>
      <c r="I1588" s="76">
        <v>9.7500000000000003E-2</v>
      </c>
      <c r="J1588" s="76">
        <v>0.114</v>
      </c>
      <c r="K1588" s="76">
        <v>0.13</v>
      </c>
      <c r="L1588" s="76">
        <v>0.14499999999999999</v>
      </c>
      <c r="M1588" s="76">
        <v>0.161</v>
      </c>
    </row>
    <row r="1589" spans="3:13" x14ac:dyDescent="0.15">
      <c r="C1589" s="76">
        <v>486</v>
      </c>
      <c r="D1589" s="76">
        <v>1.5299999999999999E-2</v>
      </c>
      <c r="E1589" s="76">
        <v>3.1199999999999999E-2</v>
      </c>
      <c r="F1589" s="76">
        <v>4.7E-2</v>
      </c>
      <c r="G1589" s="76">
        <v>6.25E-2</v>
      </c>
      <c r="H1589" s="76">
        <v>7.8100000000000003E-2</v>
      </c>
      <c r="I1589" s="76">
        <v>9.35E-2</v>
      </c>
      <c r="J1589" s="76">
        <v>0.109</v>
      </c>
      <c r="K1589" s="76">
        <v>0.124</v>
      </c>
      <c r="L1589" s="76">
        <v>0.13900000000000001</v>
      </c>
      <c r="M1589" s="76">
        <v>0.154</v>
      </c>
    </row>
    <row r="1590" spans="3:13" x14ac:dyDescent="0.15">
      <c r="C1590" s="76">
        <v>488</v>
      </c>
      <c r="D1590" s="76">
        <v>1.44E-2</v>
      </c>
      <c r="E1590" s="76">
        <v>2.9499999999999998E-2</v>
      </c>
      <c r="F1590" s="76">
        <v>4.4400000000000002E-2</v>
      </c>
      <c r="G1590" s="76">
        <v>5.9200000000000003E-2</v>
      </c>
      <c r="H1590" s="76">
        <v>7.3800000000000004E-2</v>
      </c>
      <c r="I1590" s="76">
        <v>8.8400000000000006E-2</v>
      </c>
      <c r="J1590" s="76">
        <v>0.10299999999999999</v>
      </c>
      <c r="K1590" s="76">
        <v>0.11700000000000001</v>
      </c>
      <c r="L1590" s="76">
        <v>0.13200000000000001</v>
      </c>
      <c r="M1590" s="76">
        <v>0.14599999999999999</v>
      </c>
    </row>
    <row r="1591" spans="3:13" x14ac:dyDescent="0.15">
      <c r="C1591" s="76">
        <v>490</v>
      </c>
      <c r="D1591" s="76">
        <v>1.3599999999999999E-2</v>
      </c>
      <c r="E1591" s="76">
        <v>2.7900000000000001E-2</v>
      </c>
      <c r="F1591" s="76">
        <v>4.19E-2</v>
      </c>
      <c r="G1591" s="76">
        <v>5.5800000000000002E-2</v>
      </c>
      <c r="H1591" s="76">
        <v>6.9699999999999998E-2</v>
      </c>
      <c r="I1591" s="76">
        <v>8.3400000000000002E-2</v>
      </c>
      <c r="J1591" s="76">
        <v>9.7199999999999995E-2</v>
      </c>
      <c r="K1591" s="76">
        <v>0.111</v>
      </c>
      <c r="L1591" s="76">
        <v>0.124</v>
      </c>
      <c r="M1591" s="76">
        <v>0.13800000000000001</v>
      </c>
    </row>
    <row r="1592" spans="3:13" x14ac:dyDescent="0.15">
      <c r="C1592" s="76">
        <v>492</v>
      </c>
      <c r="D1592" s="76">
        <v>1.2800000000000001E-2</v>
      </c>
      <c r="E1592" s="76">
        <v>2.6100000000000002E-2</v>
      </c>
      <c r="F1592" s="76">
        <v>3.9300000000000002E-2</v>
      </c>
      <c r="G1592" s="76">
        <v>5.2299999999999999E-2</v>
      </c>
      <c r="H1592" s="76">
        <v>6.54E-2</v>
      </c>
      <c r="I1592" s="76">
        <v>7.8299999999999995E-2</v>
      </c>
      <c r="J1592" s="76">
        <v>9.11E-2</v>
      </c>
      <c r="K1592" s="76">
        <v>0.104</v>
      </c>
      <c r="L1592" s="76">
        <v>0.11700000000000001</v>
      </c>
      <c r="M1592" s="76">
        <v>0.129</v>
      </c>
    </row>
    <row r="1593" spans="3:13" x14ac:dyDescent="0.15">
      <c r="C1593" s="76">
        <v>494</v>
      </c>
      <c r="D1593" s="76">
        <v>1.1900000000000001E-2</v>
      </c>
      <c r="E1593" s="76">
        <v>2.4299999999999999E-2</v>
      </c>
      <c r="F1593" s="76">
        <v>3.6600000000000001E-2</v>
      </c>
      <c r="G1593" s="76">
        <v>4.87E-2</v>
      </c>
      <c r="H1593" s="76">
        <v>6.08E-2</v>
      </c>
      <c r="I1593" s="76">
        <v>7.2800000000000004E-2</v>
      </c>
      <c r="J1593" s="76">
        <v>8.4699999999999998E-2</v>
      </c>
      <c r="K1593" s="76">
        <v>9.6799999999999997E-2</v>
      </c>
      <c r="L1593" s="76">
        <v>0.108</v>
      </c>
      <c r="M1593" s="76">
        <v>0.12</v>
      </c>
    </row>
    <row r="1594" spans="3:13" x14ac:dyDescent="0.15">
      <c r="C1594" s="76">
        <v>496</v>
      </c>
      <c r="D1594" s="76">
        <v>1.0999999999999999E-2</v>
      </c>
      <c r="E1594" s="76">
        <v>2.2499999999999999E-2</v>
      </c>
      <c r="F1594" s="76">
        <v>3.39E-2</v>
      </c>
      <c r="G1594" s="76">
        <v>4.5100000000000001E-2</v>
      </c>
      <c r="H1594" s="76">
        <v>5.6300000000000003E-2</v>
      </c>
      <c r="I1594" s="76">
        <v>6.7299999999999999E-2</v>
      </c>
      <c r="J1594" s="76">
        <v>7.85E-2</v>
      </c>
      <c r="K1594" s="76">
        <v>8.9599999999999999E-2</v>
      </c>
      <c r="L1594" s="76">
        <v>0.1</v>
      </c>
      <c r="M1594" s="76">
        <v>0.111</v>
      </c>
    </row>
    <row r="1595" spans="3:13" x14ac:dyDescent="0.15">
      <c r="C1595" s="76">
        <v>498</v>
      </c>
      <c r="D1595" s="76">
        <v>1.01E-2</v>
      </c>
      <c r="E1595" s="76">
        <v>2.07E-2</v>
      </c>
      <c r="F1595" s="76">
        <v>3.1099999999999999E-2</v>
      </c>
      <c r="G1595" s="76">
        <v>4.1399999999999999E-2</v>
      </c>
      <c r="H1595" s="76">
        <v>5.1700000000000003E-2</v>
      </c>
      <c r="I1595" s="76">
        <v>6.1800000000000001E-2</v>
      </c>
      <c r="J1595" s="76">
        <v>7.2099999999999997E-2</v>
      </c>
      <c r="K1595" s="76">
        <v>8.2199999999999995E-2</v>
      </c>
      <c r="L1595" s="76">
        <v>9.2100000000000001E-2</v>
      </c>
      <c r="M1595" s="76">
        <v>0.10199999999999999</v>
      </c>
    </row>
    <row r="1596" spans="3:13" x14ac:dyDescent="0.15">
      <c r="C1596" s="76">
        <v>500</v>
      </c>
      <c r="D1596" s="76">
        <v>9.1699999999999993E-3</v>
      </c>
      <c r="E1596" s="76">
        <v>1.8800000000000001E-2</v>
      </c>
      <c r="F1596" s="76">
        <v>2.8199999999999999E-2</v>
      </c>
      <c r="G1596" s="76">
        <v>3.7499999999999999E-2</v>
      </c>
      <c r="H1596" s="76">
        <v>4.6899999999999997E-2</v>
      </c>
      <c r="I1596" s="76">
        <v>5.6099999999999997E-2</v>
      </c>
      <c r="J1596" s="76">
        <v>6.54E-2</v>
      </c>
      <c r="K1596" s="76">
        <v>7.4399999999999994E-2</v>
      </c>
      <c r="L1596" s="76">
        <v>8.3500000000000005E-2</v>
      </c>
      <c r="M1596" s="76">
        <v>9.2600000000000002E-2</v>
      </c>
    </row>
    <row r="1597" spans="3:13" x14ac:dyDescent="0.15">
      <c r="C1597" s="76">
        <v>502</v>
      </c>
      <c r="D1597" s="76">
        <v>8.2799999999999992E-3</v>
      </c>
      <c r="E1597" s="76">
        <v>1.6899999999999998E-2</v>
      </c>
      <c r="F1597" s="76">
        <v>2.5499999999999998E-2</v>
      </c>
      <c r="G1597" s="76">
        <v>3.39E-2</v>
      </c>
      <c r="H1597" s="76">
        <v>4.2299999999999997E-2</v>
      </c>
      <c r="I1597" s="76">
        <v>5.0599999999999999E-2</v>
      </c>
      <c r="J1597" s="76">
        <v>5.8999999999999997E-2</v>
      </c>
      <c r="K1597" s="76">
        <v>6.7199999999999996E-2</v>
      </c>
      <c r="L1597" s="76">
        <v>7.5399999999999995E-2</v>
      </c>
      <c r="M1597" s="76">
        <v>8.3599999999999994E-2</v>
      </c>
    </row>
    <row r="1598" spans="3:13" x14ac:dyDescent="0.15">
      <c r="C1598" s="76">
        <v>504</v>
      </c>
      <c r="D1598" s="76">
        <v>7.4900000000000001E-3</v>
      </c>
      <c r="E1598" s="76">
        <v>1.5299999999999999E-2</v>
      </c>
      <c r="F1598" s="76">
        <v>2.3099999999999999E-2</v>
      </c>
      <c r="G1598" s="76">
        <v>3.0700000000000002E-2</v>
      </c>
      <c r="H1598" s="76">
        <v>3.8300000000000001E-2</v>
      </c>
      <c r="I1598" s="76">
        <v>4.58E-2</v>
      </c>
      <c r="J1598" s="76">
        <v>5.3499999999999999E-2</v>
      </c>
      <c r="K1598" s="76">
        <v>6.0900000000000003E-2</v>
      </c>
      <c r="L1598" s="76">
        <v>6.83E-2</v>
      </c>
      <c r="M1598" s="76">
        <v>7.5700000000000003E-2</v>
      </c>
    </row>
    <row r="1599" spans="3:13" x14ac:dyDescent="0.15">
      <c r="C1599" s="76">
        <v>506</v>
      </c>
      <c r="D1599" s="76">
        <v>6.79E-3</v>
      </c>
      <c r="E1599" s="76">
        <v>1.3899999999999999E-2</v>
      </c>
      <c r="F1599" s="76">
        <v>2.0899999999999998E-2</v>
      </c>
      <c r="G1599" s="76">
        <v>2.7799999999999998E-2</v>
      </c>
      <c r="H1599" s="76">
        <v>3.4700000000000002E-2</v>
      </c>
      <c r="I1599" s="76">
        <v>4.1500000000000002E-2</v>
      </c>
      <c r="J1599" s="76">
        <v>4.8399999999999999E-2</v>
      </c>
      <c r="K1599" s="76">
        <v>5.5100000000000003E-2</v>
      </c>
      <c r="L1599" s="76">
        <v>6.1899999999999997E-2</v>
      </c>
      <c r="M1599" s="76">
        <v>6.8500000000000005E-2</v>
      </c>
    </row>
    <row r="1600" spans="3:13" x14ac:dyDescent="0.15">
      <c r="C1600" s="76">
        <v>508</v>
      </c>
      <c r="D1600" s="76">
        <v>6.1399999999999996E-3</v>
      </c>
      <c r="E1600" s="76">
        <v>1.26E-2</v>
      </c>
      <c r="F1600" s="76">
        <v>1.89E-2</v>
      </c>
      <c r="G1600" s="76">
        <v>2.52E-2</v>
      </c>
      <c r="H1600" s="76">
        <v>3.1399999999999997E-2</v>
      </c>
      <c r="I1600" s="76">
        <v>3.7600000000000001E-2</v>
      </c>
      <c r="J1600" s="76">
        <v>4.3799999999999999E-2</v>
      </c>
      <c r="K1600" s="76">
        <v>0.05</v>
      </c>
      <c r="L1600" s="76">
        <v>5.6000000000000001E-2</v>
      </c>
      <c r="M1600" s="76">
        <v>6.2100000000000002E-2</v>
      </c>
    </row>
    <row r="1601" spans="3:13" x14ac:dyDescent="0.15">
      <c r="C1601" s="76">
        <v>510</v>
      </c>
      <c r="D1601" s="76">
        <v>5.5799999999999999E-3</v>
      </c>
      <c r="E1601" s="76">
        <v>1.14E-2</v>
      </c>
      <c r="F1601" s="76">
        <v>1.7100000000000001E-2</v>
      </c>
      <c r="G1601" s="76">
        <v>2.29E-2</v>
      </c>
      <c r="H1601" s="76">
        <v>2.8500000000000001E-2</v>
      </c>
      <c r="I1601" s="76">
        <v>3.4000000000000002E-2</v>
      </c>
      <c r="J1601" s="76">
        <v>3.9800000000000002E-2</v>
      </c>
      <c r="K1601" s="76">
        <v>4.53E-2</v>
      </c>
      <c r="L1601" s="76">
        <v>5.0900000000000001E-2</v>
      </c>
      <c r="M1601" s="76">
        <v>5.6399999999999999E-2</v>
      </c>
    </row>
    <row r="1602" spans="3:13" x14ac:dyDescent="0.15">
      <c r="C1602" s="76">
        <v>512</v>
      </c>
      <c r="D1602" s="76">
        <v>5.0299999999999997E-3</v>
      </c>
      <c r="E1602" s="76">
        <v>1.03E-2</v>
      </c>
      <c r="F1602" s="76">
        <v>1.55E-2</v>
      </c>
      <c r="G1602" s="76">
        <v>2.07E-2</v>
      </c>
      <c r="H1602" s="76">
        <v>2.5700000000000001E-2</v>
      </c>
      <c r="I1602" s="76">
        <v>3.0700000000000002E-2</v>
      </c>
      <c r="J1602" s="76">
        <v>3.5900000000000001E-2</v>
      </c>
      <c r="K1602" s="76">
        <v>4.0899999999999999E-2</v>
      </c>
      <c r="L1602" s="76">
        <v>4.5900000000000003E-2</v>
      </c>
      <c r="M1602" s="76">
        <v>5.0799999999999998E-2</v>
      </c>
    </row>
    <row r="1603" spans="3:13" x14ac:dyDescent="0.15">
      <c r="C1603" s="76">
        <v>514</v>
      </c>
      <c r="D1603" s="76">
        <v>4.5900000000000003E-3</v>
      </c>
      <c r="E1603" s="76">
        <v>9.41E-3</v>
      </c>
      <c r="F1603" s="76">
        <v>1.41E-2</v>
      </c>
      <c r="G1603" s="76">
        <v>1.8800000000000001E-2</v>
      </c>
      <c r="H1603" s="76">
        <v>2.35E-2</v>
      </c>
      <c r="I1603" s="76">
        <v>2.8000000000000001E-2</v>
      </c>
      <c r="J1603" s="76">
        <v>3.2800000000000003E-2</v>
      </c>
      <c r="K1603" s="76">
        <v>3.73E-2</v>
      </c>
      <c r="L1603" s="76">
        <v>4.19E-2</v>
      </c>
      <c r="M1603" s="76">
        <v>4.6399999999999997E-2</v>
      </c>
    </row>
    <row r="1604" spans="3:13" x14ac:dyDescent="0.15">
      <c r="C1604" s="76">
        <v>516</v>
      </c>
      <c r="D1604" s="76">
        <v>4.2199999999999998E-3</v>
      </c>
      <c r="E1604" s="76">
        <v>8.6599999999999993E-3</v>
      </c>
      <c r="F1604" s="76">
        <v>1.2999999999999999E-2</v>
      </c>
      <c r="G1604" s="76">
        <v>1.7299999999999999E-2</v>
      </c>
      <c r="H1604" s="76">
        <v>2.1499999999999998E-2</v>
      </c>
      <c r="I1604" s="76">
        <v>2.5700000000000001E-2</v>
      </c>
      <c r="J1604" s="76">
        <v>3.0099999999999998E-2</v>
      </c>
      <c r="K1604" s="76">
        <v>3.4200000000000001E-2</v>
      </c>
      <c r="L1604" s="76">
        <v>3.85E-2</v>
      </c>
      <c r="M1604" s="76">
        <v>4.2599999999999999E-2</v>
      </c>
    </row>
    <row r="1605" spans="3:13" x14ac:dyDescent="0.15">
      <c r="C1605" s="76">
        <v>518</v>
      </c>
      <c r="D1605" s="76">
        <v>3.8899999999999998E-3</v>
      </c>
      <c r="E1605" s="76">
        <v>8.0099999999999998E-3</v>
      </c>
      <c r="F1605" s="76">
        <v>1.2E-2</v>
      </c>
      <c r="G1605" s="76">
        <v>1.6E-2</v>
      </c>
      <c r="H1605" s="76">
        <v>1.9900000000000001E-2</v>
      </c>
      <c r="I1605" s="76">
        <v>2.3699999999999999E-2</v>
      </c>
      <c r="J1605" s="76">
        <v>2.7799999999999998E-2</v>
      </c>
      <c r="K1605" s="76">
        <v>3.1600000000000003E-2</v>
      </c>
      <c r="L1605" s="76">
        <v>3.5499999999999997E-2</v>
      </c>
      <c r="M1605" s="76">
        <v>3.9399999999999998E-2</v>
      </c>
    </row>
    <row r="1606" spans="3:13" x14ac:dyDescent="0.15">
      <c r="C1606" s="76">
        <v>520</v>
      </c>
      <c r="D1606" s="76">
        <v>3.6099999999999999E-3</v>
      </c>
      <c r="E1606" s="76">
        <v>7.4099999999999999E-3</v>
      </c>
      <c r="F1606" s="76">
        <v>1.11E-2</v>
      </c>
      <c r="G1606" s="76">
        <v>1.4800000000000001E-2</v>
      </c>
      <c r="H1606" s="76">
        <v>1.8499999999999999E-2</v>
      </c>
      <c r="I1606" s="76">
        <v>2.1999999999999999E-2</v>
      </c>
      <c r="J1606" s="76">
        <v>2.5700000000000001E-2</v>
      </c>
      <c r="K1606" s="76">
        <v>2.93E-2</v>
      </c>
      <c r="L1606" s="76">
        <v>3.2899999999999999E-2</v>
      </c>
      <c r="M1606" s="76">
        <v>3.6400000000000002E-2</v>
      </c>
    </row>
    <row r="1607" spans="3:13" x14ac:dyDescent="0.15">
      <c r="C1607" s="76">
        <v>522</v>
      </c>
      <c r="D1607" s="76">
        <v>3.3400000000000001E-3</v>
      </c>
      <c r="E1607" s="76">
        <v>6.8700000000000002E-3</v>
      </c>
      <c r="F1607" s="76">
        <v>1.03E-2</v>
      </c>
      <c r="G1607" s="76">
        <v>1.37E-2</v>
      </c>
      <c r="H1607" s="76">
        <v>1.7000000000000001E-2</v>
      </c>
      <c r="I1607" s="76">
        <v>2.0400000000000001E-2</v>
      </c>
      <c r="J1607" s="76">
        <v>2.3800000000000002E-2</v>
      </c>
      <c r="K1607" s="76">
        <v>2.7099999999999999E-2</v>
      </c>
      <c r="L1607" s="76">
        <v>3.04E-2</v>
      </c>
      <c r="M1607" s="76">
        <v>3.3700000000000001E-2</v>
      </c>
    </row>
    <row r="1608" spans="3:13" x14ac:dyDescent="0.15">
      <c r="C1608" s="76">
        <v>524</v>
      </c>
      <c r="D1608" s="76">
        <v>3.0599999999999998E-3</v>
      </c>
      <c r="E1608" s="76">
        <v>6.2899999999999996E-3</v>
      </c>
      <c r="F1608" s="76">
        <v>9.4000000000000004E-3</v>
      </c>
      <c r="G1608" s="76">
        <v>1.26E-2</v>
      </c>
      <c r="H1608" s="76">
        <v>1.5599999999999999E-2</v>
      </c>
      <c r="I1608" s="76">
        <v>1.8700000000000001E-2</v>
      </c>
      <c r="J1608" s="76">
        <v>2.18E-2</v>
      </c>
      <c r="K1608" s="76">
        <v>2.4799999999999999E-2</v>
      </c>
      <c r="L1608" s="76">
        <v>2.7799999999999998E-2</v>
      </c>
      <c r="M1608" s="76">
        <v>3.09E-2</v>
      </c>
    </row>
    <row r="1609" spans="3:13" x14ac:dyDescent="0.15">
      <c r="C1609" s="76">
        <v>526</v>
      </c>
      <c r="D1609" s="76">
        <v>2.8300000000000001E-3</v>
      </c>
      <c r="E1609" s="76">
        <v>5.7999999999999996E-3</v>
      </c>
      <c r="F1609" s="76">
        <v>8.6999999999999994E-3</v>
      </c>
      <c r="G1609" s="76">
        <v>1.1599999999999999E-2</v>
      </c>
      <c r="H1609" s="76">
        <v>1.44E-2</v>
      </c>
      <c r="I1609" s="76">
        <v>1.7299999999999999E-2</v>
      </c>
      <c r="J1609" s="76">
        <v>2.0199999999999999E-2</v>
      </c>
      <c r="K1609" s="76">
        <v>2.29E-2</v>
      </c>
      <c r="L1609" s="76">
        <v>2.58E-2</v>
      </c>
      <c r="M1609" s="76">
        <v>2.8500000000000001E-2</v>
      </c>
    </row>
    <row r="1610" spans="3:13" x14ac:dyDescent="0.15">
      <c r="C1610" s="76">
        <v>528</v>
      </c>
      <c r="D1610" s="76">
        <v>2.6099999999999999E-3</v>
      </c>
      <c r="E1610" s="76">
        <v>5.3600000000000002E-3</v>
      </c>
      <c r="F1610" s="76">
        <v>8.0199999999999994E-3</v>
      </c>
      <c r="G1610" s="76">
        <v>1.0699999999999999E-2</v>
      </c>
      <c r="H1610" s="76">
        <v>1.3299999999999999E-2</v>
      </c>
      <c r="I1610" s="76">
        <v>1.6E-2</v>
      </c>
      <c r="J1610" s="76">
        <v>1.8599999999999998E-2</v>
      </c>
      <c r="K1610" s="76">
        <v>2.12E-2</v>
      </c>
      <c r="L1610" s="76">
        <v>2.3900000000000001E-2</v>
      </c>
      <c r="M1610" s="76">
        <v>2.64E-2</v>
      </c>
    </row>
    <row r="1611" spans="3:13" x14ac:dyDescent="0.15">
      <c r="C1611" s="76">
        <v>530</v>
      </c>
      <c r="D1611" s="76">
        <v>2.3999999999999998E-3</v>
      </c>
      <c r="E1611" s="76">
        <v>4.9199999999999999E-3</v>
      </c>
      <c r="F1611" s="76">
        <v>7.3699999999999998E-3</v>
      </c>
      <c r="G1611" s="76">
        <v>9.8399999999999998E-3</v>
      </c>
      <c r="H1611" s="76">
        <v>1.23E-2</v>
      </c>
      <c r="I1611" s="76">
        <v>1.47E-2</v>
      </c>
      <c r="J1611" s="76">
        <v>1.7100000000000001E-2</v>
      </c>
      <c r="K1611" s="76">
        <v>1.95E-2</v>
      </c>
      <c r="L1611" s="76">
        <v>2.1899999999999999E-2</v>
      </c>
      <c r="M1611" s="76">
        <v>2.4299999999999999E-2</v>
      </c>
    </row>
    <row r="1612" spans="3:13" x14ac:dyDescent="0.15">
      <c r="C1612" s="76">
        <v>532</v>
      </c>
      <c r="D1612" s="76">
        <v>2.2000000000000001E-3</v>
      </c>
      <c r="E1612" s="76">
        <v>4.5100000000000001E-3</v>
      </c>
      <c r="F1612" s="76">
        <v>6.7799999999999996E-3</v>
      </c>
      <c r="G1612" s="76">
        <v>9.0100000000000006E-3</v>
      </c>
      <c r="H1612" s="76">
        <v>1.12E-2</v>
      </c>
      <c r="I1612" s="76">
        <v>1.35E-2</v>
      </c>
      <c r="J1612" s="76">
        <v>1.5699999999999999E-2</v>
      </c>
      <c r="K1612" s="76">
        <v>1.78E-2</v>
      </c>
      <c r="L1612" s="76">
        <v>2.01E-2</v>
      </c>
      <c r="M1612" s="76">
        <v>2.23E-2</v>
      </c>
    </row>
    <row r="1613" spans="3:13" x14ac:dyDescent="0.15">
      <c r="C1613" s="76">
        <v>534</v>
      </c>
      <c r="D1613" s="76">
        <v>2.0200000000000001E-3</v>
      </c>
      <c r="E1613" s="76">
        <v>4.13E-3</v>
      </c>
      <c r="F1613" s="76">
        <v>6.1599999999999997E-3</v>
      </c>
      <c r="G1613" s="76">
        <v>8.2299999999999995E-3</v>
      </c>
      <c r="H1613" s="76">
        <v>1.03E-2</v>
      </c>
      <c r="I1613" s="76">
        <v>1.24E-2</v>
      </c>
      <c r="J1613" s="76">
        <v>1.43E-2</v>
      </c>
      <c r="K1613" s="76">
        <v>1.6299999999999999E-2</v>
      </c>
      <c r="L1613" s="76">
        <v>1.83E-2</v>
      </c>
      <c r="M1613" s="76">
        <v>2.0299999999999999E-2</v>
      </c>
    </row>
    <row r="1614" spans="3:13" x14ac:dyDescent="0.15">
      <c r="C1614" s="76">
        <v>536</v>
      </c>
      <c r="D1614" s="76">
        <v>1.81E-3</v>
      </c>
      <c r="E1614" s="76">
        <v>3.7000000000000002E-3</v>
      </c>
      <c r="F1614" s="76">
        <v>5.5599999999999998E-3</v>
      </c>
      <c r="G1614" s="76">
        <v>7.4000000000000003E-3</v>
      </c>
      <c r="H1614" s="76">
        <v>9.2399999999999999E-3</v>
      </c>
      <c r="I1614" s="76">
        <v>1.11E-2</v>
      </c>
      <c r="J1614" s="76">
        <v>1.29E-2</v>
      </c>
      <c r="K1614" s="76">
        <v>1.46E-2</v>
      </c>
      <c r="L1614" s="76">
        <v>1.6500000000000001E-2</v>
      </c>
      <c r="M1614" s="76">
        <v>1.83E-2</v>
      </c>
    </row>
    <row r="1615" spans="3:13" x14ac:dyDescent="0.15">
      <c r="C1615" s="76">
        <v>538</v>
      </c>
      <c r="D1615" s="76">
        <v>1.65E-3</v>
      </c>
      <c r="E1615" s="76">
        <v>3.3899999999999998E-3</v>
      </c>
      <c r="F1615" s="76">
        <v>5.0600000000000003E-3</v>
      </c>
      <c r="G1615" s="76">
        <v>6.7499999999999999E-3</v>
      </c>
      <c r="H1615" s="76">
        <v>8.3999999999999995E-3</v>
      </c>
      <c r="I1615" s="76">
        <v>1.01E-2</v>
      </c>
      <c r="J1615" s="76">
        <v>1.17E-2</v>
      </c>
      <c r="K1615" s="76">
        <v>1.34E-2</v>
      </c>
      <c r="L1615" s="76">
        <v>1.4999999999999999E-2</v>
      </c>
      <c r="M1615" s="76">
        <v>1.67E-2</v>
      </c>
    </row>
    <row r="1616" spans="3:13" x14ac:dyDescent="0.15">
      <c r="C1616" s="76">
        <v>540</v>
      </c>
      <c r="D1616" s="76">
        <v>1.5E-3</v>
      </c>
      <c r="E1616" s="76">
        <v>3.0699999999999998E-3</v>
      </c>
      <c r="F1616" s="76">
        <v>4.5799999999999999E-3</v>
      </c>
      <c r="G1616" s="76">
        <v>6.1500000000000001E-3</v>
      </c>
      <c r="H1616" s="76">
        <v>7.6499999999999997E-3</v>
      </c>
      <c r="I1616" s="76">
        <v>9.2200000000000008E-3</v>
      </c>
      <c r="J1616" s="76">
        <v>1.06E-2</v>
      </c>
      <c r="K1616" s="76">
        <v>1.2200000000000001E-2</v>
      </c>
      <c r="L1616" s="76">
        <v>1.37E-2</v>
      </c>
      <c r="M1616" s="76">
        <v>1.5299999999999999E-2</v>
      </c>
    </row>
    <row r="1617" spans="3:13" x14ac:dyDescent="0.15">
      <c r="C1617" s="76">
        <v>542</v>
      </c>
      <c r="D1617" s="76">
        <v>1.3699999999999999E-3</v>
      </c>
      <c r="E1617" s="76">
        <v>2.8E-3</v>
      </c>
      <c r="F1617" s="76">
        <v>4.1900000000000001E-3</v>
      </c>
      <c r="G1617" s="76">
        <v>5.5799999999999999E-3</v>
      </c>
      <c r="H1617" s="76">
        <v>6.96E-3</v>
      </c>
      <c r="I1617" s="76">
        <v>8.3999999999999995E-3</v>
      </c>
      <c r="J1617" s="76">
        <v>9.6900000000000007E-3</v>
      </c>
      <c r="K1617" s="76">
        <v>1.11E-2</v>
      </c>
      <c r="L1617" s="76">
        <v>1.2500000000000001E-2</v>
      </c>
      <c r="M1617" s="76">
        <v>1.3899999999999999E-2</v>
      </c>
    </row>
    <row r="1618" spans="3:13" x14ac:dyDescent="0.15">
      <c r="C1618" s="76">
        <v>544</v>
      </c>
      <c r="D1618" s="76">
        <v>1.24E-3</v>
      </c>
      <c r="E1618" s="76">
        <v>2.5500000000000002E-3</v>
      </c>
      <c r="F1618" s="76">
        <v>3.82E-3</v>
      </c>
      <c r="G1618" s="76">
        <v>5.0600000000000003E-3</v>
      </c>
      <c r="H1618" s="76">
        <v>6.3200000000000001E-3</v>
      </c>
      <c r="I1618" s="76">
        <v>7.6299999999999996E-3</v>
      </c>
      <c r="J1618" s="76">
        <v>8.8299999999999993E-3</v>
      </c>
      <c r="K1618" s="76">
        <v>1.01E-2</v>
      </c>
      <c r="L1618" s="76">
        <v>1.1299999999999999E-2</v>
      </c>
      <c r="M1618" s="76">
        <v>1.2699999999999999E-2</v>
      </c>
    </row>
    <row r="1619" spans="3:13" x14ac:dyDescent="0.15">
      <c r="C1619" s="76">
        <v>546</v>
      </c>
      <c r="D1619" s="76">
        <v>1.1299999999999999E-3</v>
      </c>
      <c r="E1619" s="76">
        <v>2.2799999999999999E-3</v>
      </c>
      <c r="F1619" s="76">
        <v>3.4299999999999999E-3</v>
      </c>
      <c r="G1619" s="76">
        <v>4.5799999999999999E-3</v>
      </c>
      <c r="H1619" s="76">
        <v>5.6899999999999997E-3</v>
      </c>
      <c r="I1619" s="76">
        <v>6.9300000000000004E-3</v>
      </c>
      <c r="J1619" s="76">
        <v>7.9699999999999997E-3</v>
      </c>
      <c r="K1619" s="76">
        <v>9.1000000000000004E-3</v>
      </c>
      <c r="L1619" s="76">
        <v>1.0200000000000001E-2</v>
      </c>
      <c r="M1619" s="76">
        <v>1.14E-2</v>
      </c>
    </row>
    <row r="1620" spans="3:13" x14ac:dyDescent="0.15">
      <c r="C1620" s="76">
        <v>548</v>
      </c>
      <c r="D1620" s="76">
        <v>1.0200000000000001E-3</v>
      </c>
      <c r="E1620" s="76">
        <v>2.0899999999999998E-3</v>
      </c>
      <c r="F1620" s="76">
        <v>3.1099999999999999E-3</v>
      </c>
      <c r="G1620" s="76">
        <v>4.1399999999999996E-3</v>
      </c>
      <c r="H1620" s="76">
        <v>5.1700000000000001E-3</v>
      </c>
      <c r="I1620" s="76">
        <v>6.3200000000000001E-3</v>
      </c>
      <c r="J1620" s="76">
        <v>7.2100000000000003E-3</v>
      </c>
      <c r="K1620" s="76">
        <v>8.2500000000000004E-3</v>
      </c>
      <c r="L1620" s="76">
        <v>9.3699999999999999E-3</v>
      </c>
      <c r="M1620" s="76">
        <v>1.04E-2</v>
      </c>
    </row>
    <row r="1621" spans="3:13" x14ac:dyDescent="0.15">
      <c r="C1621" s="76">
        <v>550</v>
      </c>
      <c r="D1621" s="76">
        <v>9.3099999999999997E-4</v>
      </c>
      <c r="E1621" s="76">
        <v>1.9E-3</v>
      </c>
      <c r="F1621" s="76">
        <v>2.8300000000000001E-3</v>
      </c>
      <c r="G1621" s="76">
        <v>3.7599999999999999E-3</v>
      </c>
      <c r="H1621" s="76">
        <v>4.7299999999999998E-3</v>
      </c>
      <c r="I1621" s="76">
        <v>5.8199999999999997E-3</v>
      </c>
      <c r="J1621" s="76">
        <v>6.5599999999999999E-3</v>
      </c>
      <c r="K1621" s="76">
        <v>7.5799999999999999E-3</v>
      </c>
      <c r="L1621" s="76">
        <v>8.3599999999999994E-3</v>
      </c>
      <c r="M1621" s="76">
        <v>9.4400000000000005E-3</v>
      </c>
    </row>
    <row r="1622" spans="3:13" x14ac:dyDescent="0.15">
      <c r="C1622" s="76">
        <v>552</v>
      </c>
      <c r="D1622" s="76">
        <v>8.5099999999999998E-4</v>
      </c>
      <c r="E1622" s="76">
        <v>1.73E-3</v>
      </c>
      <c r="F1622" s="76">
        <v>2.5799999999999998E-3</v>
      </c>
      <c r="G1622" s="76">
        <v>3.4199999999999999E-3</v>
      </c>
      <c r="H1622" s="76">
        <v>4.3200000000000001E-3</v>
      </c>
      <c r="I1622" s="76">
        <v>5.2599999999999999E-3</v>
      </c>
      <c r="J1622" s="76">
        <v>6.0200000000000002E-3</v>
      </c>
      <c r="K1622" s="76">
        <v>6.8799999999999998E-3</v>
      </c>
      <c r="L1622" s="76">
        <v>7.7200000000000003E-3</v>
      </c>
      <c r="M1622" s="76">
        <v>8.6099999999999996E-3</v>
      </c>
    </row>
    <row r="1623" spans="3:13" x14ac:dyDescent="0.15">
      <c r="C1623" s="76">
        <v>554</v>
      </c>
      <c r="D1623" s="76">
        <v>7.7800000000000005E-4</v>
      </c>
      <c r="E1623" s="76">
        <v>1.57E-3</v>
      </c>
      <c r="F1623" s="76">
        <v>2.3600000000000001E-3</v>
      </c>
      <c r="G1623" s="76">
        <v>3.14E-3</v>
      </c>
      <c r="H1623" s="76">
        <v>3.9399999999999999E-3</v>
      </c>
      <c r="I1623" s="76">
        <v>4.7800000000000004E-3</v>
      </c>
      <c r="J1623" s="76">
        <v>5.5100000000000001E-3</v>
      </c>
      <c r="K1623" s="76">
        <v>6.28E-3</v>
      </c>
      <c r="L1623" s="76">
        <v>7.0200000000000002E-3</v>
      </c>
      <c r="M1623" s="76">
        <v>7.8899999999999994E-3</v>
      </c>
    </row>
    <row r="1624" spans="3:13" x14ac:dyDescent="0.15">
      <c r="C1624" s="76">
        <v>556</v>
      </c>
      <c r="D1624" s="76">
        <v>7.1000000000000002E-4</v>
      </c>
      <c r="E1624" s="76">
        <v>1.4400000000000001E-3</v>
      </c>
      <c r="F1624" s="76">
        <v>2.15E-3</v>
      </c>
      <c r="G1624" s="76">
        <v>2.8600000000000001E-3</v>
      </c>
      <c r="H1624" s="76">
        <v>3.6099999999999999E-3</v>
      </c>
      <c r="I1624" s="76">
        <v>4.3800000000000002E-3</v>
      </c>
      <c r="J1624" s="76">
        <v>5.0299999999999997E-3</v>
      </c>
      <c r="K1624" s="76">
        <v>5.7499999999999999E-3</v>
      </c>
      <c r="L1624" s="76">
        <v>6.43E-3</v>
      </c>
      <c r="M1624" s="76">
        <v>7.1399999999999996E-3</v>
      </c>
    </row>
    <row r="1625" spans="3:13" x14ac:dyDescent="0.15">
      <c r="C1625" s="76">
        <v>558</v>
      </c>
      <c r="D1625" s="76">
        <v>6.4300000000000002E-4</v>
      </c>
      <c r="E1625" s="76">
        <v>1.2800000000000001E-3</v>
      </c>
      <c r="F1625" s="76">
        <v>1.97E-3</v>
      </c>
      <c r="G1625" s="76">
        <v>2.5899999999999999E-3</v>
      </c>
      <c r="H1625" s="76">
        <v>3.29E-3</v>
      </c>
      <c r="I1625" s="76">
        <v>3.9300000000000003E-3</v>
      </c>
      <c r="J1625" s="76">
        <v>4.5599999999999998E-3</v>
      </c>
      <c r="K1625" s="76">
        <v>5.1900000000000002E-3</v>
      </c>
      <c r="L1625" s="76">
        <v>5.8300000000000001E-3</v>
      </c>
      <c r="M1625" s="76">
        <v>6.4999999999999997E-3</v>
      </c>
    </row>
    <row r="1626" spans="3:13" x14ac:dyDescent="0.15">
      <c r="C1626" s="76">
        <v>560</v>
      </c>
      <c r="D1626" s="76">
        <v>5.8799999999999998E-4</v>
      </c>
      <c r="E1626" s="76">
        <v>1.16E-3</v>
      </c>
      <c r="F1626" s="76">
        <v>1.81E-3</v>
      </c>
      <c r="G1626" s="76">
        <v>2.3800000000000002E-3</v>
      </c>
      <c r="H1626" s="76">
        <v>3.0200000000000001E-3</v>
      </c>
      <c r="I1626" s="76">
        <v>3.62E-3</v>
      </c>
      <c r="J1626" s="76">
        <v>4.2599999999999999E-3</v>
      </c>
      <c r="K1626" s="76">
        <v>4.7499999999999999E-3</v>
      </c>
      <c r="L1626" s="76">
        <v>5.3E-3</v>
      </c>
      <c r="M1626" s="76">
        <v>5.94E-3</v>
      </c>
    </row>
    <row r="1627" spans="3:13" x14ac:dyDescent="0.15">
      <c r="C1627" s="76">
        <v>562</v>
      </c>
      <c r="D1627" s="76">
        <v>5.3899999999999998E-4</v>
      </c>
      <c r="E1627" s="76">
        <v>1.07E-3</v>
      </c>
      <c r="F1627" s="76">
        <v>1.65E-3</v>
      </c>
      <c r="G1627" s="76">
        <v>2.1900000000000001E-3</v>
      </c>
      <c r="H1627" s="76">
        <v>2.7499999999999998E-3</v>
      </c>
      <c r="I1627" s="76">
        <v>3.31E-3</v>
      </c>
      <c r="J1627" s="76">
        <v>3.8400000000000001E-3</v>
      </c>
      <c r="K1627" s="76">
        <v>4.3600000000000002E-3</v>
      </c>
      <c r="L1627" s="76">
        <v>4.8500000000000001E-3</v>
      </c>
      <c r="M1627" s="76">
        <v>5.4799999999999996E-3</v>
      </c>
    </row>
    <row r="1628" spans="3:13" x14ac:dyDescent="0.15">
      <c r="C1628" s="76">
        <v>564</v>
      </c>
      <c r="D1628" s="76">
        <v>4.95E-4</v>
      </c>
      <c r="E1628" s="76">
        <v>9.8799999999999995E-4</v>
      </c>
      <c r="F1628" s="76">
        <v>1.5200000000000001E-3</v>
      </c>
      <c r="G1628" s="76">
        <v>2.0200000000000001E-3</v>
      </c>
      <c r="H1628" s="76">
        <v>2.5300000000000001E-3</v>
      </c>
      <c r="I1628" s="76">
        <v>3.0599999999999998E-3</v>
      </c>
      <c r="J1628" s="76">
        <v>3.5200000000000001E-3</v>
      </c>
      <c r="K1628" s="76">
        <v>3.98E-3</v>
      </c>
      <c r="L1628" s="76">
        <v>4.4600000000000004E-3</v>
      </c>
      <c r="M1628" s="76">
        <v>5.0099999999999997E-3</v>
      </c>
    </row>
    <row r="1629" spans="3:13" x14ac:dyDescent="0.15">
      <c r="C1629" s="76">
        <v>566</v>
      </c>
      <c r="D1629" s="76">
        <v>4.64E-4</v>
      </c>
      <c r="E1629" s="76">
        <v>9.2299999999999999E-4</v>
      </c>
      <c r="F1629" s="76">
        <v>1.4E-3</v>
      </c>
      <c r="G1629" s="76">
        <v>1.8699999999999999E-3</v>
      </c>
      <c r="H1629" s="76">
        <v>2.32E-3</v>
      </c>
      <c r="I1629" s="76">
        <v>2.82E-3</v>
      </c>
      <c r="J1629" s="76">
        <v>3.2499999999999999E-3</v>
      </c>
      <c r="K1629" s="76">
        <v>3.6600000000000001E-3</v>
      </c>
      <c r="L1629" s="76">
        <v>4.1099999999999999E-3</v>
      </c>
      <c r="M1629" s="76">
        <v>4.64E-3</v>
      </c>
    </row>
    <row r="1630" spans="3:13" x14ac:dyDescent="0.15">
      <c r="C1630" s="76">
        <v>568</v>
      </c>
      <c r="D1630" s="76">
        <v>4.1800000000000002E-4</v>
      </c>
      <c r="E1630" s="76">
        <v>8.4800000000000001E-4</v>
      </c>
      <c r="F1630" s="76">
        <v>1.2600000000000001E-3</v>
      </c>
      <c r="G1630" s="76">
        <v>1.73E-3</v>
      </c>
      <c r="H1630" s="76">
        <v>2.16E-3</v>
      </c>
      <c r="I1630" s="76">
        <v>2.5600000000000002E-3</v>
      </c>
      <c r="J1630" s="76">
        <v>3.0100000000000001E-3</v>
      </c>
      <c r="K1630" s="76">
        <v>3.3800000000000002E-3</v>
      </c>
      <c r="L1630" s="76">
        <v>3.82E-3</v>
      </c>
      <c r="M1630" s="76">
        <v>4.2100000000000002E-3</v>
      </c>
    </row>
    <row r="1631" spans="3:13" x14ac:dyDescent="0.15">
      <c r="C1631" s="76">
        <v>570</v>
      </c>
      <c r="D1631" s="76">
        <v>3.9599999999999998E-4</v>
      </c>
      <c r="E1631" s="76">
        <v>7.8399999999999997E-4</v>
      </c>
      <c r="F1631" s="76">
        <v>1.1800000000000001E-3</v>
      </c>
      <c r="G1631" s="76">
        <v>1.5900000000000001E-3</v>
      </c>
      <c r="H1631" s="76">
        <v>1.98E-3</v>
      </c>
      <c r="I1631" s="76">
        <v>2.3400000000000001E-3</v>
      </c>
      <c r="J1631" s="76">
        <v>2.82E-3</v>
      </c>
      <c r="K1631" s="76">
        <v>3.0899999999999999E-3</v>
      </c>
      <c r="L1631" s="76">
        <v>3.5300000000000002E-3</v>
      </c>
      <c r="M1631" s="76">
        <v>3.8899999999999998E-3</v>
      </c>
    </row>
    <row r="1632" spans="3:13" x14ac:dyDescent="0.15">
      <c r="C1632" s="76">
        <v>572</v>
      </c>
      <c r="D1632" s="76">
        <v>3.6499999999999998E-4</v>
      </c>
      <c r="E1632" s="76">
        <v>7.3499999999999998E-4</v>
      </c>
      <c r="F1632" s="76">
        <v>1.1199999999999999E-3</v>
      </c>
      <c r="G1632" s="76">
        <v>1.48E-3</v>
      </c>
      <c r="H1632" s="76">
        <v>1.8500000000000001E-3</v>
      </c>
      <c r="I1632" s="76">
        <v>2.16E-3</v>
      </c>
      <c r="J1632" s="76">
        <v>2.5999999999999999E-3</v>
      </c>
      <c r="K1632" s="76">
        <v>2.8600000000000001E-3</v>
      </c>
      <c r="L1632" s="76">
        <v>3.29E-3</v>
      </c>
      <c r="M1632" s="76">
        <v>3.5799999999999998E-3</v>
      </c>
    </row>
    <row r="1633" spans="3:46" x14ac:dyDescent="0.15">
      <c r="C1633" s="76">
        <v>574</v>
      </c>
      <c r="D1633" s="76">
        <v>3.3500000000000001E-4</v>
      </c>
      <c r="E1633" s="76">
        <v>6.7199999999999996E-4</v>
      </c>
      <c r="F1633" s="76">
        <v>1.06E-3</v>
      </c>
      <c r="G1633" s="76">
        <v>1.3600000000000001E-3</v>
      </c>
      <c r="H1633" s="76">
        <v>1.73E-3</v>
      </c>
      <c r="I1633" s="76">
        <v>2.0200000000000001E-3</v>
      </c>
      <c r="J1633" s="76">
        <v>2.4199999999999998E-3</v>
      </c>
      <c r="K1633" s="76">
        <v>2.64E-3</v>
      </c>
      <c r="L1633" s="76">
        <v>3.0200000000000001E-3</v>
      </c>
      <c r="M1633" s="76">
        <v>3.2799999999999999E-3</v>
      </c>
    </row>
    <row r="1634" spans="3:46" x14ac:dyDescent="0.15">
      <c r="C1634" s="76">
        <v>576</v>
      </c>
      <c r="D1634" s="76">
        <v>3.1599999999999998E-4</v>
      </c>
      <c r="E1634" s="76">
        <v>6.2299999999999996E-4</v>
      </c>
      <c r="F1634" s="76">
        <v>9.3199999999999999E-4</v>
      </c>
      <c r="G1634" s="76">
        <v>1.2700000000000001E-3</v>
      </c>
      <c r="H1634" s="76">
        <v>1.5900000000000001E-3</v>
      </c>
      <c r="I1634" s="76">
        <v>1.8500000000000001E-3</v>
      </c>
      <c r="J1634" s="76">
        <v>2.2300000000000002E-3</v>
      </c>
      <c r="K1634" s="76">
        <v>2.4099999999999998E-3</v>
      </c>
      <c r="L1634" s="76">
        <v>2.82E-3</v>
      </c>
      <c r="M1634" s="76">
        <v>2.98E-3</v>
      </c>
    </row>
    <row r="1635" spans="3:46" x14ac:dyDescent="0.15">
      <c r="C1635" s="76">
        <v>578</v>
      </c>
      <c r="D1635" s="76">
        <v>2.9399999999999999E-4</v>
      </c>
      <c r="E1635" s="76">
        <v>5.8699999999999996E-4</v>
      </c>
      <c r="F1635" s="76">
        <v>8.7900000000000001E-4</v>
      </c>
      <c r="G1635" s="76">
        <v>1.17E-3</v>
      </c>
      <c r="H1635" s="76">
        <v>1.49E-3</v>
      </c>
      <c r="I1635" s="76">
        <v>1.6800000000000001E-3</v>
      </c>
      <c r="J1635" s="76">
        <v>2.0699999999999998E-3</v>
      </c>
      <c r="K1635" s="76">
        <v>2.32E-3</v>
      </c>
      <c r="L1635" s="76">
        <v>2.6099999999999999E-3</v>
      </c>
      <c r="M1635" s="76">
        <v>2.7000000000000001E-3</v>
      </c>
    </row>
    <row r="1636" spans="3:46" x14ac:dyDescent="0.15">
      <c r="C1636" s="76">
        <v>580</v>
      </c>
      <c r="D1636" s="76">
        <v>2.6800000000000001E-4</v>
      </c>
      <c r="E1636" s="76">
        <v>5.2400000000000005E-4</v>
      </c>
      <c r="F1636" s="76">
        <v>8.0699999999999999E-4</v>
      </c>
      <c r="G1636" s="76">
        <v>1.06E-3</v>
      </c>
      <c r="H1636" s="76">
        <v>1.2899999999999999E-3</v>
      </c>
      <c r="I1636" s="76">
        <v>1.5200000000000001E-3</v>
      </c>
      <c r="J1636" s="76">
        <v>1.9599999999999999E-3</v>
      </c>
      <c r="K1636" s="76">
        <v>2.0999999999999999E-3</v>
      </c>
      <c r="L1636" s="76">
        <v>2.3900000000000002E-3</v>
      </c>
      <c r="M1636" s="76">
        <v>2.48E-3</v>
      </c>
    </row>
    <row r="1637" spans="3:46" x14ac:dyDescent="0.15">
      <c r="C1637" s="76">
        <v>582</v>
      </c>
      <c r="D1637" s="76">
        <v>2.5399999999999999E-4</v>
      </c>
      <c r="E1637" s="76">
        <v>4.8700000000000002E-4</v>
      </c>
      <c r="F1637" s="76">
        <v>7.4600000000000003E-4</v>
      </c>
      <c r="G1637" s="76">
        <v>9.8799999999999995E-4</v>
      </c>
      <c r="H1637" s="76">
        <v>1.2199999999999999E-3</v>
      </c>
      <c r="I1637" s="76">
        <v>1.4E-3</v>
      </c>
      <c r="J1637" s="76">
        <v>1.82E-3</v>
      </c>
      <c r="K1637" s="76">
        <v>1.91E-3</v>
      </c>
      <c r="L1637" s="76">
        <v>2.2200000000000002E-3</v>
      </c>
      <c r="M1637" s="76">
        <v>2.3500000000000001E-3</v>
      </c>
    </row>
    <row r="1638" spans="3:46" x14ac:dyDescent="0.15">
      <c r="C1638" s="76">
        <v>584</v>
      </c>
      <c r="D1638" s="76">
        <v>2.31E-4</v>
      </c>
      <c r="E1638" s="76">
        <v>4.5600000000000003E-4</v>
      </c>
      <c r="F1638" s="76">
        <v>6.9200000000000002E-4</v>
      </c>
      <c r="G1638" s="76">
        <v>8.9800000000000004E-4</v>
      </c>
      <c r="H1638" s="76">
        <v>1.1100000000000001E-3</v>
      </c>
      <c r="I1638" s="76">
        <v>1.2999999999999999E-3</v>
      </c>
      <c r="J1638" s="76">
        <v>1.6900000000000001E-3</v>
      </c>
      <c r="K1638" s="76">
        <v>1.7099999999999999E-3</v>
      </c>
      <c r="L1638" s="76">
        <v>2.0600000000000002E-3</v>
      </c>
      <c r="M1638" s="76">
        <v>2.14E-3</v>
      </c>
    </row>
    <row r="1639" spans="3:46" x14ac:dyDescent="0.15">
      <c r="C1639" s="81">
        <v>586</v>
      </c>
      <c r="D1639" s="76">
        <v>2.1100000000000001E-4</v>
      </c>
      <c r="E1639" s="76">
        <v>4.1300000000000001E-4</v>
      </c>
      <c r="F1639" s="76">
        <v>6.3699999999999998E-4</v>
      </c>
      <c r="G1639" s="76">
        <v>8.1899999999999996E-4</v>
      </c>
      <c r="H1639" s="81">
        <v>9.8700000000000003E-4</v>
      </c>
      <c r="I1639" s="76">
        <v>1.16E-3</v>
      </c>
      <c r="J1639" s="76">
        <v>1.5299999999999999E-3</v>
      </c>
      <c r="K1639" s="76">
        <v>1.5499999999999999E-3</v>
      </c>
      <c r="L1639" s="81">
        <v>1.8799999999999999E-3</v>
      </c>
      <c r="M1639" s="76">
        <v>1.9E-3</v>
      </c>
      <c r="N1639" s="81"/>
      <c r="T1639" s="81"/>
      <c r="W1639" s="81"/>
      <c r="AG1639" s="81"/>
      <c r="AT1639" s="81"/>
    </row>
    <row r="1640" spans="3:46" x14ac:dyDescent="0.15">
      <c r="C1640" s="81">
        <v>588</v>
      </c>
      <c r="D1640" s="76">
        <v>1.8799999999999999E-4</v>
      </c>
      <c r="E1640" s="76">
        <v>3.8499999999999998E-4</v>
      </c>
      <c r="F1640" s="76">
        <v>5.8299999999999997E-4</v>
      </c>
      <c r="G1640" s="76">
        <v>7.4799999999999997E-4</v>
      </c>
      <c r="H1640" s="81">
        <v>9.1799999999999998E-4</v>
      </c>
      <c r="I1640" s="76">
        <v>1.01E-3</v>
      </c>
      <c r="J1640" s="76">
        <v>1.3500000000000001E-3</v>
      </c>
      <c r="K1640" s="76">
        <v>1.4400000000000001E-3</v>
      </c>
      <c r="L1640" s="81">
        <v>1.6999999999999999E-3</v>
      </c>
      <c r="M1640" s="76">
        <v>1.6100000000000001E-3</v>
      </c>
      <c r="N1640" s="81"/>
      <c r="T1640" s="81"/>
      <c r="W1640" s="81"/>
      <c r="AG1640" s="81"/>
      <c r="AT1640" s="81"/>
    </row>
    <row r="1641" spans="3:46" x14ac:dyDescent="0.15">
      <c r="C1641" s="81">
        <v>590</v>
      </c>
      <c r="D1641" s="76">
        <v>1.7200000000000001E-4</v>
      </c>
      <c r="E1641" s="76">
        <v>3.4299999999999999E-4</v>
      </c>
      <c r="F1641" s="76">
        <v>5.1800000000000001E-4</v>
      </c>
      <c r="G1641" s="76">
        <v>6.69E-4</v>
      </c>
      <c r="H1641" s="81">
        <v>7.9900000000000001E-4</v>
      </c>
      <c r="I1641" s="76">
        <v>9.7499999999999996E-4</v>
      </c>
      <c r="J1641" s="76">
        <v>1.2199999999999999E-3</v>
      </c>
      <c r="K1641" s="76">
        <v>1.2600000000000001E-3</v>
      </c>
      <c r="L1641" s="81">
        <v>1.6100000000000001E-3</v>
      </c>
      <c r="M1641" s="76">
        <v>1.58E-3</v>
      </c>
      <c r="N1641" s="81"/>
      <c r="T1641" s="81"/>
      <c r="W1641" s="81"/>
      <c r="AG1641" s="81"/>
      <c r="AT1641" s="81"/>
    </row>
    <row r="1642" spans="3:46" x14ac:dyDescent="0.15">
      <c r="C1642" s="81">
        <v>592</v>
      </c>
      <c r="D1642" s="76">
        <v>1.5300000000000001E-4</v>
      </c>
      <c r="E1642" s="76">
        <v>3.2400000000000001E-4</v>
      </c>
      <c r="F1642" s="76">
        <v>4.8000000000000001E-4</v>
      </c>
      <c r="G1642" s="76">
        <v>6.3100000000000005E-4</v>
      </c>
      <c r="H1642" s="81">
        <v>7.36E-4</v>
      </c>
      <c r="I1642" s="76">
        <v>8.7600000000000004E-4</v>
      </c>
      <c r="J1642" s="76">
        <v>1.1199999999999999E-3</v>
      </c>
      <c r="K1642" s="76">
        <v>1.15E-3</v>
      </c>
      <c r="L1642" s="81">
        <v>1.2999999999999999E-3</v>
      </c>
      <c r="M1642" s="76">
        <v>1.3600000000000001E-3</v>
      </c>
      <c r="N1642" s="81"/>
      <c r="T1642" s="81"/>
      <c r="W1642" s="81"/>
      <c r="AG1642" s="81"/>
      <c r="AT1642" s="81"/>
    </row>
    <row r="1643" spans="3:46" x14ac:dyDescent="0.15">
      <c r="C1643" s="81">
        <v>594</v>
      </c>
      <c r="D1643" s="76">
        <v>1.3999999999999999E-4</v>
      </c>
      <c r="E1643" s="76">
        <v>2.92E-4</v>
      </c>
      <c r="F1643" s="76">
        <v>4.3300000000000001E-4</v>
      </c>
      <c r="G1643" s="76">
        <v>5.7899999999999998E-4</v>
      </c>
      <c r="H1643" s="81">
        <v>6.5499999999999998E-4</v>
      </c>
      <c r="I1643" s="76">
        <v>7.8600000000000002E-4</v>
      </c>
      <c r="J1643" s="76">
        <v>1.1100000000000001E-3</v>
      </c>
      <c r="K1643" s="76">
        <v>1.0499999999999999E-3</v>
      </c>
      <c r="L1643" s="81">
        <v>1.2899999999999999E-3</v>
      </c>
      <c r="M1643" s="76">
        <v>1.2099999999999999E-3</v>
      </c>
      <c r="N1643" s="81"/>
      <c r="T1643" s="81"/>
      <c r="W1643" s="81"/>
      <c r="AG1643" s="81"/>
      <c r="AT1643" s="81"/>
    </row>
    <row r="1644" spans="3:46" x14ac:dyDescent="0.15">
      <c r="C1644" s="81">
        <v>596</v>
      </c>
      <c r="D1644" s="76">
        <v>1.3300000000000001E-4</v>
      </c>
      <c r="E1644" s="76">
        <v>2.7E-4</v>
      </c>
      <c r="F1644" s="76">
        <v>3.6699999999999998E-4</v>
      </c>
      <c r="G1644" s="76">
        <v>5.4000000000000001E-4</v>
      </c>
      <c r="H1644" s="81">
        <v>6.02E-4</v>
      </c>
      <c r="I1644" s="76">
        <v>7.3700000000000002E-4</v>
      </c>
      <c r="J1644" s="76">
        <v>9.7499999999999996E-4</v>
      </c>
      <c r="K1644" s="76">
        <v>9.3800000000000003E-4</v>
      </c>
      <c r="L1644" s="81">
        <v>1.23E-3</v>
      </c>
      <c r="M1644" s="76">
        <v>1.14E-3</v>
      </c>
      <c r="N1644" s="81"/>
      <c r="T1644" s="81"/>
      <c r="W1644" s="81"/>
      <c r="AG1644" s="81"/>
      <c r="AT1644" s="81"/>
    </row>
    <row r="1645" spans="3:46" x14ac:dyDescent="0.15">
      <c r="C1645" s="81">
        <v>598</v>
      </c>
      <c r="D1645" s="76">
        <v>1.15E-4</v>
      </c>
      <c r="E1645" s="76">
        <v>2.3900000000000001E-4</v>
      </c>
      <c r="F1645" s="76">
        <v>3.4400000000000001E-4</v>
      </c>
      <c r="G1645" s="76">
        <v>5.1599999999999997E-4</v>
      </c>
      <c r="H1645" s="81">
        <v>5.44E-4</v>
      </c>
      <c r="I1645" s="76">
        <v>5.8500000000000002E-4</v>
      </c>
      <c r="J1645" s="76">
        <v>8.6600000000000002E-4</v>
      </c>
      <c r="K1645" s="76">
        <v>8.6700000000000004E-4</v>
      </c>
      <c r="L1645" s="81">
        <v>1.0499999999999999E-3</v>
      </c>
      <c r="M1645" s="76">
        <v>9.68E-4</v>
      </c>
      <c r="N1645" s="81"/>
      <c r="T1645" s="81"/>
      <c r="W1645" s="81"/>
      <c r="AG1645" s="81"/>
      <c r="AT1645" s="81"/>
    </row>
    <row r="1646" spans="3:46" x14ac:dyDescent="0.15">
      <c r="C1646" s="81">
        <v>600</v>
      </c>
      <c r="D1646" s="76">
        <v>1.02E-4</v>
      </c>
      <c r="E1646" s="76">
        <v>2.1900000000000001E-4</v>
      </c>
      <c r="F1646" s="76">
        <v>3.19E-4</v>
      </c>
      <c r="G1646" s="76">
        <v>4.3800000000000002E-4</v>
      </c>
      <c r="H1646" s="81">
        <v>4.9200000000000003E-4</v>
      </c>
      <c r="I1646" s="76">
        <v>5.5400000000000002E-4</v>
      </c>
      <c r="J1646" s="76">
        <v>8.0800000000000002E-4</v>
      </c>
      <c r="K1646" s="76">
        <v>7.8399999999999997E-4</v>
      </c>
      <c r="L1646" s="81">
        <v>9.7900000000000005E-4</v>
      </c>
      <c r="M1646" s="76">
        <v>8.6600000000000002E-4</v>
      </c>
      <c r="N1646" s="81"/>
      <c r="T1646" s="81"/>
      <c r="W1646" s="81"/>
      <c r="AG1646" s="81"/>
      <c r="AT1646" s="81"/>
    </row>
    <row r="1647" spans="3:46" x14ac:dyDescent="0.15">
      <c r="C1647" s="81">
        <v>602</v>
      </c>
      <c r="D1647" s="76">
        <v>9.2E-5</v>
      </c>
      <c r="E1647" s="76">
        <v>2.0000000000000001E-4</v>
      </c>
      <c r="F1647" s="76">
        <v>2.6499999999999999E-4</v>
      </c>
      <c r="G1647" s="76">
        <v>4.1599999999999997E-4</v>
      </c>
      <c r="H1647" s="81">
        <v>4.5800000000000002E-4</v>
      </c>
      <c r="I1647" s="76">
        <v>5.4799999999999998E-4</v>
      </c>
      <c r="J1647" s="76">
        <v>7.8299999999999995E-4</v>
      </c>
      <c r="K1647" s="76">
        <v>7.5199999999999996E-4</v>
      </c>
      <c r="L1647" s="81">
        <v>8.5899999999999995E-4</v>
      </c>
      <c r="M1647" s="76">
        <v>8.6200000000000003E-4</v>
      </c>
      <c r="N1647" s="81"/>
      <c r="T1647" s="81"/>
      <c r="W1647" s="81"/>
      <c r="AG1647" s="81"/>
      <c r="AT1647" s="81"/>
    </row>
    <row r="1648" spans="3:46" x14ac:dyDescent="0.15">
      <c r="C1648" s="81">
        <v>604</v>
      </c>
      <c r="D1648" s="76">
        <v>8.4499999999999994E-5</v>
      </c>
      <c r="E1648" s="76">
        <v>1.9000000000000001E-4</v>
      </c>
      <c r="F1648" s="76">
        <v>2.52E-4</v>
      </c>
      <c r="G1648" s="76">
        <v>3.97E-4</v>
      </c>
      <c r="H1648" s="81">
        <v>4.1599999999999997E-4</v>
      </c>
      <c r="I1648" s="76">
        <v>5.1400000000000003E-4</v>
      </c>
      <c r="J1648" s="76">
        <v>6.4199999999999999E-4</v>
      </c>
      <c r="K1648" s="76">
        <v>7.1100000000000004E-4</v>
      </c>
      <c r="L1648" s="81">
        <v>7.8799999999999996E-4</v>
      </c>
      <c r="M1648" s="76">
        <v>7.9699999999999997E-4</v>
      </c>
      <c r="N1648" s="81"/>
      <c r="T1648" s="81"/>
      <c r="W1648" s="81"/>
      <c r="AG1648" s="81"/>
      <c r="AT1648" s="81"/>
    </row>
    <row r="1649" spans="3:56" x14ac:dyDescent="0.15">
      <c r="C1649" s="81">
        <v>606</v>
      </c>
      <c r="D1649" s="76">
        <v>7.9499999999999994E-5</v>
      </c>
      <c r="E1649" s="76">
        <v>1.8200000000000001E-4</v>
      </c>
      <c r="F1649" s="76">
        <v>2.4000000000000001E-4</v>
      </c>
      <c r="G1649" s="76">
        <v>3.6699999999999998E-4</v>
      </c>
      <c r="H1649" s="81">
        <v>3.9300000000000001E-4</v>
      </c>
      <c r="I1649" s="76">
        <v>4.6099999999999998E-4</v>
      </c>
      <c r="J1649" s="76">
        <v>5.9599999999999996E-4</v>
      </c>
      <c r="K1649" s="76">
        <v>6.5200000000000002E-4</v>
      </c>
      <c r="L1649" s="81">
        <v>7.3999999999999999E-4</v>
      </c>
      <c r="M1649" s="76">
        <v>6.8199999999999999E-4</v>
      </c>
      <c r="N1649" s="81"/>
      <c r="T1649" s="81"/>
      <c r="W1649" s="81"/>
      <c r="AG1649" s="81"/>
      <c r="AT1649" s="81"/>
    </row>
    <row r="1650" spans="3:56" x14ac:dyDescent="0.15">
      <c r="C1650" s="81">
        <v>608</v>
      </c>
      <c r="D1650" s="76">
        <v>7.6500000000000003E-5</v>
      </c>
      <c r="E1650" s="76">
        <v>1.6100000000000001E-4</v>
      </c>
      <c r="F1650" s="76">
        <v>2.1599999999999999E-4</v>
      </c>
      <c r="G1650" s="76">
        <v>3.3500000000000001E-4</v>
      </c>
      <c r="H1650" s="81">
        <v>3.6600000000000001E-4</v>
      </c>
      <c r="I1650" s="76">
        <v>4.3600000000000003E-4</v>
      </c>
      <c r="J1650" s="76">
        <v>5.9800000000000001E-4</v>
      </c>
      <c r="K1650" s="76">
        <v>6.7500000000000004E-4</v>
      </c>
      <c r="L1650" s="81">
        <v>6.4099999999999997E-4</v>
      </c>
      <c r="M1650" s="76">
        <v>7.4399999999999998E-4</v>
      </c>
      <c r="N1650" s="81"/>
      <c r="T1650" s="81"/>
      <c r="W1650" s="81"/>
      <c r="AG1650" s="81"/>
      <c r="AT1650" s="81"/>
    </row>
    <row r="1651" spans="3:56" x14ac:dyDescent="0.15">
      <c r="C1651" s="81">
        <v>610</v>
      </c>
      <c r="D1651" s="76">
        <v>6.9099999999999999E-5</v>
      </c>
      <c r="E1651" s="76">
        <v>1.3899999999999999E-4</v>
      </c>
      <c r="F1651" s="76">
        <v>1.7899999999999999E-4</v>
      </c>
      <c r="G1651" s="76">
        <v>3.3500000000000001E-4</v>
      </c>
      <c r="H1651" s="81">
        <v>3.4900000000000003E-4</v>
      </c>
      <c r="I1651" s="76">
        <v>4.4000000000000002E-4</v>
      </c>
      <c r="J1651" s="76">
        <v>4.8899999999999996E-4</v>
      </c>
      <c r="K1651" s="76">
        <v>6.1700000000000004E-4</v>
      </c>
      <c r="L1651" s="81">
        <v>6.8400000000000004E-4</v>
      </c>
      <c r="M1651" s="76">
        <v>6.7500000000000004E-4</v>
      </c>
      <c r="N1651" s="81"/>
      <c r="T1651" s="81"/>
      <c r="W1651" s="81"/>
      <c r="AG1651" s="81"/>
      <c r="AT1651" s="81"/>
    </row>
    <row r="1652" spans="3:56" x14ac:dyDescent="0.15">
      <c r="C1652" s="81">
        <v>612</v>
      </c>
      <c r="D1652" s="76">
        <v>6.3700000000000003E-5</v>
      </c>
      <c r="E1652" s="76">
        <v>1.2400000000000001E-4</v>
      </c>
      <c r="F1652" s="76">
        <v>1.75E-4</v>
      </c>
      <c r="G1652" s="76">
        <v>3.0699999999999998E-4</v>
      </c>
      <c r="H1652" s="81">
        <v>3.3300000000000002E-4</v>
      </c>
      <c r="I1652" s="76">
        <v>3.9599999999999998E-4</v>
      </c>
      <c r="J1652" s="76">
        <v>4.28E-4</v>
      </c>
      <c r="K1652" s="76">
        <v>6.2100000000000002E-4</v>
      </c>
      <c r="L1652" s="81">
        <v>5.1699999999999999E-4</v>
      </c>
      <c r="M1652" s="76">
        <v>6.4700000000000001E-4</v>
      </c>
      <c r="N1652" s="81"/>
      <c r="T1652" s="81"/>
      <c r="W1652" s="81"/>
      <c r="AG1652" s="81"/>
      <c r="AT1652" s="81"/>
    </row>
    <row r="1653" spans="3:56" x14ac:dyDescent="0.15">
      <c r="C1653" s="81">
        <v>614</v>
      </c>
      <c r="D1653" s="81">
        <v>5.4500000000000003E-5</v>
      </c>
      <c r="E1653" s="81">
        <v>1.27E-4</v>
      </c>
      <c r="F1653" s="81">
        <v>1.8200000000000001E-4</v>
      </c>
      <c r="G1653" s="81">
        <v>2.52E-4</v>
      </c>
      <c r="H1653" s="81">
        <v>2.8699999999999998E-4</v>
      </c>
      <c r="I1653" s="81">
        <v>3.6499999999999998E-4</v>
      </c>
      <c r="J1653" s="81">
        <v>4.1800000000000002E-4</v>
      </c>
      <c r="K1653" s="81">
        <v>5.9699999999999998E-4</v>
      </c>
      <c r="L1653" s="81">
        <v>4.6500000000000003E-4</v>
      </c>
      <c r="M1653" s="81">
        <v>6.3900000000000003E-4</v>
      </c>
      <c r="N1653" s="81"/>
      <c r="O1653" s="81"/>
      <c r="P1653" s="81"/>
      <c r="Q1653" s="81"/>
      <c r="R1653" s="81"/>
      <c r="S1653" s="81"/>
      <c r="T1653" s="81"/>
      <c r="U1653" s="81"/>
      <c r="V1653" s="81"/>
      <c r="W1653" s="81"/>
      <c r="X1653" s="81"/>
      <c r="Y1653" s="81"/>
      <c r="Z1653" s="81"/>
      <c r="AA1653" s="81"/>
      <c r="AB1653" s="81"/>
      <c r="AC1653" s="81"/>
      <c r="AD1653" s="81"/>
      <c r="AG1653" s="81"/>
      <c r="AH1653" s="81"/>
      <c r="AI1653" s="81"/>
      <c r="AJ1653" s="81"/>
      <c r="AK1653" s="81"/>
      <c r="AL1653" s="81"/>
      <c r="AM1653" s="81"/>
      <c r="AN1653" s="81"/>
      <c r="AO1653" s="81"/>
      <c r="AP1653" s="81"/>
      <c r="AQ1653" s="81"/>
      <c r="AT1653" s="81"/>
      <c r="AU1653" s="81"/>
      <c r="AV1653" s="81"/>
      <c r="AW1653" s="81"/>
      <c r="AX1653" s="81"/>
      <c r="AY1653" s="81"/>
      <c r="AZ1653" s="81"/>
      <c r="BA1653" s="81"/>
      <c r="BB1653" s="81"/>
      <c r="BC1653" s="81"/>
      <c r="BD1653" s="81"/>
    </row>
    <row r="1654" spans="3:56" x14ac:dyDescent="0.15">
      <c r="C1654" s="81">
        <v>616</v>
      </c>
      <c r="D1654" s="76">
        <v>6.0699999999999998E-5</v>
      </c>
      <c r="E1654" s="76">
        <v>1.2400000000000001E-4</v>
      </c>
      <c r="F1654" s="76">
        <v>1.66E-4</v>
      </c>
      <c r="G1654" s="76">
        <v>2.4499999999999999E-4</v>
      </c>
      <c r="H1654" s="81">
        <v>3.0699999999999998E-4</v>
      </c>
      <c r="I1654" s="76">
        <v>3.7199999999999999E-4</v>
      </c>
      <c r="J1654" s="76">
        <v>3.5399999999999999E-4</v>
      </c>
      <c r="K1654" s="76">
        <v>5.5400000000000002E-4</v>
      </c>
      <c r="L1654" s="81">
        <v>4.46E-4</v>
      </c>
      <c r="M1654" s="76">
        <v>6.1899999999999998E-4</v>
      </c>
      <c r="N1654" s="81"/>
      <c r="T1654" s="81"/>
      <c r="W1654" s="81"/>
      <c r="AG1654" s="81"/>
      <c r="AT1654" s="81"/>
    </row>
    <row r="1655" spans="3:56" x14ac:dyDescent="0.15">
      <c r="C1655" s="76">
        <v>618</v>
      </c>
      <c r="D1655" s="76">
        <v>5.24E-5</v>
      </c>
      <c r="E1655" s="76">
        <v>1.2799999999999999E-4</v>
      </c>
      <c r="F1655" s="76">
        <v>1.3200000000000001E-4</v>
      </c>
      <c r="G1655" s="76">
        <v>2.2800000000000001E-4</v>
      </c>
      <c r="H1655" s="76">
        <v>2.8699999999999998E-4</v>
      </c>
      <c r="I1655" s="76">
        <v>3.28E-4</v>
      </c>
      <c r="J1655" s="76">
        <v>2.92E-4</v>
      </c>
      <c r="K1655" s="76">
        <v>5.2700000000000002E-4</v>
      </c>
      <c r="L1655" s="76">
        <v>4.0499999999999998E-4</v>
      </c>
      <c r="M1655" s="76">
        <v>5.4000000000000001E-4</v>
      </c>
    </row>
    <row r="1656" spans="3:56" x14ac:dyDescent="0.15">
      <c r="C1656" s="76">
        <v>620</v>
      </c>
      <c r="D1656" s="76">
        <v>5.2800000000000003E-5</v>
      </c>
      <c r="E1656" s="76">
        <v>1.22E-4</v>
      </c>
      <c r="F1656" s="76">
        <v>1.1900000000000001E-4</v>
      </c>
      <c r="G1656" s="76">
        <v>1.7899999999999999E-4</v>
      </c>
      <c r="H1656" s="76">
        <v>2.6800000000000001E-4</v>
      </c>
      <c r="I1656" s="76">
        <v>3.2699999999999998E-4</v>
      </c>
      <c r="J1656" s="76">
        <v>2.9300000000000002E-4</v>
      </c>
      <c r="K1656" s="76">
        <v>3.7199999999999999E-4</v>
      </c>
      <c r="L1656" s="76">
        <v>4.3600000000000003E-4</v>
      </c>
      <c r="M1656" s="76">
        <v>5.0900000000000001E-4</v>
      </c>
    </row>
    <row r="1657" spans="3:56" x14ac:dyDescent="0.15">
      <c r="C1657" s="76">
        <v>622</v>
      </c>
      <c r="D1657" s="76">
        <v>5.1799999999999999E-5</v>
      </c>
      <c r="E1657" s="76">
        <v>1.07E-4</v>
      </c>
      <c r="F1657" s="76">
        <v>9.5600000000000006E-5</v>
      </c>
      <c r="G1657" s="76">
        <v>1.5799999999999999E-4</v>
      </c>
      <c r="H1657" s="76">
        <v>2.5300000000000002E-4</v>
      </c>
      <c r="I1657" s="76">
        <v>3.2299999999999999E-4</v>
      </c>
      <c r="J1657" s="76">
        <v>2.92E-4</v>
      </c>
      <c r="K1657" s="76">
        <v>4.3399999999999998E-4</v>
      </c>
      <c r="L1657" s="76">
        <v>2.9300000000000002E-4</v>
      </c>
      <c r="M1657" s="76">
        <v>4.6700000000000002E-4</v>
      </c>
    </row>
    <row r="1658" spans="3:56" x14ac:dyDescent="0.15">
      <c r="C1658" s="76">
        <v>624</v>
      </c>
      <c r="D1658" s="76">
        <v>4.6199999999999998E-5</v>
      </c>
      <c r="E1658" s="76">
        <v>1.07E-4</v>
      </c>
      <c r="F1658" s="76">
        <v>1.02E-4</v>
      </c>
      <c r="G1658" s="76">
        <v>1.6699999999999999E-4</v>
      </c>
      <c r="H1658" s="76">
        <v>2.4699999999999999E-4</v>
      </c>
      <c r="I1658" s="76">
        <v>3.0400000000000002E-4</v>
      </c>
      <c r="J1658" s="76">
        <v>3.0600000000000001E-4</v>
      </c>
      <c r="K1658" s="76">
        <v>4.6500000000000003E-4</v>
      </c>
      <c r="L1658" s="76">
        <v>2.9300000000000002E-4</v>
      </c>
      <c r="M1658" s="76">
        <v>5.2700000000000002E-4</v>
      </c>
    </row>
    <row r="1659" spans="3:56" x14ac:dyDescent="0.15">
      <c r="C1659" s="76">
        <v>626</v>
      </c>
      <c r="D1659" s="76">
        <v>4.4299999999999999E-5</v>
      </c>
      <c r="E1659" s="76">
        <v>9.5199999999999997E-5</v>
      </c>
      <c r="F1659" s="76">
        <v>1.22E-4</v>
      </c>
      <c r="G1659" s="76">
        <v>1.54E-4</v>
      </c>
      <c r="H1659" s="76">
        <v>2.5900000000000001E-4</v>
      </c>
      <c r="I1659" s="76">
        <v>2.9799999999999998E-4</v>
      </c>
      <c r="J1659" s="76">
        <v>2.3000000000000001E-4</v>
      </c>
      <c r="K1659" s="76">
        <v>4.0900000000000002E-4</v>
      </c>
      <c r="L1659" s="76">
        <v>3.1300000000000002E-4</v>
      </c>
      <c r="M1659" s="76">
        <v>4.75E-4</v>
      </c>
    </row>
    <row r="1660" spans="3:56" x14ac:dyDescent="0.15">
      <c r="C1660" s="76">
        <v>628</v>
      </c>
      <c r="D1660" s="76">
        <v>4.1699999999999997E-5</v>
      </c>
      <c r="E1660" s="76">
        <v>8.0000000000000007E-5</v>
      </c>
      <c r="F1660" s="76">
        <v>1.2799999999999999E-4</v>
      </c>
      <c r="G1660" s="76">
        <v>1.5300000000000001E-4</v>
      </c>
      <c r="H1660" s="76">
        <v>2.22E-4</v>
      </c>
      <c r="I1660" s="76">
        <v>2.7099999999999997E-4</v>
      </c>
      <c r="J1660" s="76">
        <v>2.7099999999999997E-4</v>
      </c>
      <c r="K1660" s="76">
        <v>3.6600000000000001E-4</v>
      </c>
      <c r="L1660" s="76">
        <v>3.6600000000000001E-4</v>
      </c>
      <c r="M1660" s="76">
        <v>4.4000000000000002E-4</v>
      </c>
    </row>
    <row r="1661" spans="3:56" x14ac:dyDescent="0.15">
      <c r="C1661" s="76">
        <v>630</v>
      </c>
      <c r="D1661" s="76">
        <v>4.18E-5</v>
      </c>
      <c r="E1661" s="76">
        <v>7.2899999999999997E-5</v>
      </c>
      <c r="F1661" s="76">
        <v>9.8300000000000004E-5</v>
      </c>
      <c r="G1661" s="76">
        <v>1.2400000000000001E-4</v>
      </c>
      <c r="H1661" s="76">
        <v>2.13E-4</v>
      </c>
      <c r="I1661" s="76">
        <v>2.9500000000000001E-4</v>
      </c>
      <c r="J1661" s="76">
        <v>2.2800000000000001E-4</v>
      </c>
      <c r="K1661" s="76">
        <v>3.0699999999999998E-4</v>
      </c>
      <c r="L1661" s="76">
        <v>3.5399999999999999E-4</v>
      </c>
      <c r="M1661" s="76">
        <v>4.8899999999999996E-4</v>
      </c>
    </row>
    <row r="1662" spans="3:56" x14ac:dyDescent="0.15">
      <c r="C1662" s="76">
        <v>632</v>
      </c>
      <c r="D1662" s="76">
        <v>4.0500000000000002E-5</v>
      </c>
      <c r="E1662" s="76">
        <v>8.14E-5</v>
      </c>
      <c r="F1662" s="76">
        <v>9.1899999999999998E-5</v>
      </c>
      <c r="G1662" s="76">
        <v>1.27E-4</v>
      </c>
      <c r="H1662" s="76">
        <v>2.0599999999999999E-4</v>
      </c>
      <c r="I1662" s="76">
        <v>3.39E-4</v>
      </c>
      <c r="J1662" s="76">
        <v>1.92E-4</v>
      </c>
      <c r="K1662" s="76">
        <v>2.8499999999999999E-4</v>
      </c>
      <c r="L1662" s="76">
        <v>3.1E-4</v>
      </c>
      <c r="M1662" s="76">
        <v>4.46E-4</v>
      </c>
    </row>
    <row r="1663" spans="3:56" x14ac:dyDescent="0.15">
      <c r="C1663" s="76">
        <v>634</v>
      </c>
      <c r="D1663" s="76">
        <v>4.32E-5</v>
      </c>
      <c r="E1663" s="76">
        <v>7.5900000000000002E-5</v>
      </c>
      <c r="F1663" s="76">
        <v>9.2200000000000005E-5</v>
      </c>
      <c r="G1663" s="76">
        <v>1.12E-4</v>
      </c>
      <c r="H1663" s="76">
        <v>2.2000000000000001E-4</v>
      </c>
      <c r="I1663" s="76">
        <v>2.6699999999999998E-4</v>
      </c>
      <c r="J1663" s="76">
        <v>1.6200000000000001E-4</v>
      </c>
      <c r="K1663" s="76">
        <v>3.2899999999999997E-4</v>
      </c>
      <c r="L1663" s="76">
        <v>2.5900000000000001E-4</v>
      </c>
      <c r="M1663" s="76">
        <v>5.1999999999999995E-4</v>
      </c>
    </row>
    <row r="1664" spans="3:56" x14ac:dyDescent="0.15">
      <c r="C1664" s="76">
        <v>636</v>
      </c>
      <c r="D1664" s="76">
        <v>4.07E-5</v>
      </c>
      <c r="E1664" s="76">
        <v>6.1600000000000007E-5</v>
      </c>
      <c r="F1664" s="76">
        <v>7.8100000000000001E-5</v>
      </c>
      <c r="G1664" s="76">
        <v>9.9699999999999998E-5</v>
      </c>
      <c r="H1664" s="76">
        <v>2.3699999999999999E-4</v>
      </c>
      <c r="I1664" s="76">
        <v>2.6400000000000002E-4</v>
      </c>
      <c r="J1664" s="76">
        <v>1.6699999999999999E-4</v>
      </c>
      <c r="K1664" s="76">
        <v>2.8299999999999999E-4</v>
      </c>
      <c r="L1664" s="76">
        <v>2.4600000000000002E-4</v>
      </c>
      <c r="M1664" s="76">
        <v>4.46E-4</v>
      </c>
    </row>
    <row r="1665" spans="3:13" x14ac:dyDescent="0.15">
      <c r="C1665" s="76">
        <v>638</v>
      </c>
      <c r="D1665" s="76">
        <v>4.1900000000000002E-5</v>
      </c>
      <c r="E1665" s="76">
        <v>7.1699999999999995E-5</v>
      </c>
      <c r="F1665" s="76">
        <v>7.2700000000000005E-5</v>
      </c>
      <c r="G1665" s="76">
        <v>9.4300000000000002E-5</v>
      </c>
      <c r="H1665" s="76">
        <v>2.5599999999999999E-4</v>
      </c>
      <c r="I1665" s="76">
        <v>2.0900000000000001E-4</v>
      </c>
      <c r="J1665" s="76">
        <v>2.0000000000000001E-4</v>
      </c>
      <c r="K1665" s="76">
        <v>2.9300000000000002E-4</v>
      </c>
      <c r="L1665" s="76">
        <v>3.2499999999999999E-4</v>
      </c>
      <c r="M1665" s="76">
        <v>4.1800000000000002E-4</v>
      </c>
    </row>
    <row r="1666" spans="3:13" x14ac:dyDescent="0.15">
      <c r="C1666" s="76">
        <v>640</v>
      </c>
      <c r="D1666" s="76">
        <v>3.65E-5</v>
      </c>
      <c r="E1666" s="76">
        <v>7.4800000000000002E-5</v>
      </c>
      <c r="F1666" s="76">
        <v>9.09E-5</v>
      </c>
      <c r="G1666" s="76">
        <v>9.1199999999999994E-5</v>
      </c>
      <c r="H1666" s="76">
        <v>2.1100000000000001E-4</v>
      </c>
      <c r="I1666" s="76">
        <v>1.92E-4</v>
      </c>
      <c r="J1666" s="76">
        <v>2.2699999999999999E-4</v>
      </c>
      <c r="K1666" s="76">
        <v>2.34E-4</v>
      </c>
      <c r="L1666" s="76">
        <v>3.6200000000000002E-4</v>
      </c>
      <c r="M1666" s="76">
        <v>3.7399999999999998E-4</v>
      </c>
    </row>
    <row r="1667" spans="3:13" x14ac:dyDescent="0.15">
      <c r="C1667" s="76">
        <v>642</v>
      </c>
      <c r="D1667" s="76">
        <v>3.4999999999999997E-5</v>
      </c>
      <c r="E1667" s="76">
        <v>6.4900000000000005E-5</v>
      </c>
      <c r="F1667" s="76">
        <v>9.1799999999999995E-5</v>
      </c>
      <c r="G1667" s="76">
        <v>8.7299999999999994E-5</v>
      </c>
      <c r="H1667" s="76">
        <v>2.24E-4</v>
      </c>
      <c r="I1667" s="76">
        <v>1.74E-4</v>
      </c>
      <c r="J1667" s="76">
        <v>2.5399999999999999E-4</v>
      </c>
      <c r="K1667" s="76">
        <v>2.0100000000000001E-4</v>
      </c>
      <c r="L1667" s="76">
        <v>3.7800000000000003E-4</v>
      </c>
      <c r="M1667" s="76">
        <v>3.7800000000000003E-4</v>
      </c>
    </row>
    <row r="1668" spans="3:13" x14ac:dyDescent="0.15">
      <c r="C1668" s="76">
        <v>644</v>
      </c>
      <c r="D1668" s="76">
        <v>3.0899999999999999E-5</v>
      </c>
      <c r="E1668" s="76">
        <v>5.1999999999999997E-5</v>
      </c>
      <c r="F1668" s="76">
        <v>8.8599999999999999E-5</v>
      </c>
      <c r="G1668" s="76">
        <v>8.8599999999999999E-5</v>
      </c>
      <c r="H1668" s="76">
        <v>2.3800000000000001E-4</v>
      </c>
      <c r="I1668" s="76">
        <v>1.73E-4</v>
      </c>
      <c r="J1668" s="76">
        <v>2.4000000000000001E-4</v>
      </c>
      <c r="K1668" s="76">
        <v>2.14E-4</v>
      </c>
      <c r="L1668" s="76">
        <v>3.4200000000000002E-4</v>
      </c>
      <c r="M1668" s="76">
        <v>2.9399999999999999E-4</v>
      </c>
    </row>
    <row r="1669" spans="3:13" x14ac:dyDescent="0.15">
      <c r="C1669" s="76">
        <v>646</v>
      </c>
      <c r="D1669" s="76">
        <v>3.0800000000000003E-5</v>
      </c>
      <c r="E1669" s="76">
        <v>6.0099999999999997E-5</v>
      </c>
      <c r="F1669" s="76">
        <v>1.05E-4</v>
      </c>
      <c r="G1669" s="76">
        <v>9.1199999999999994E-5</v>
      </c>
      <c r="H1669" s="76">
        <v>2.0000000000000001E-4</v>
      </c>
      <c r="I1669" s="76">
        <v>1.8100000000000001E-4</v>
      </c>
      <c r="J1669" s="76">
        <v>2.24E-4</v>
      </c>
      <c r="K1669" s="76">
        <v>2.12E-4</v>
      </c>
      <c r="L1669" s="76">
        <v>2.5799999999999998E-4</v>
      </c>
      <c r="M1669" s="76">
        <v>2.7399999999999999E-4</v>
      </c>
    </row>
    <row r="1670" spans="3:13" x14ac:dyDescent="0.15">
      <c r="C1670" s="76">
        <v>648</v>
      </c>
      <c r="D1670" s="76">
        <v>2.72E-5</v>
      </c>
      <c r="E1670" s="76">
        <v>6.3399999999999996E-5</v>
      </c>
      <c r="F1670" s="76">
        <v>1.1E-4</v>
      </c>
      <c r="G1670" s="76">
        <v>8.9599999999999996E-5</v>
      </c>
      <c r="H1670" s="76">
        <v>1.83E-4</v>
      </c>
      <c r="I1670" s="76">
        <v>1.6899999999999999E-4</v>
      </c>
      <c r="J1670" s="76">
        <v>2.3000000000000001E-4</v>
      </c>
      <c r="K1670" s="76">
        <v>1.27E-4</v>
      </c>
      <c r="L1670" s="76">
        <v>3.2499999999999999E-4</v>
      </c>
      <c r="M1670" s="76">
        <v>2.7599999999999999E-4</v>
      </c>
    </row>
    <row r="1671" spans="3:13" x14ac:dyDescent="0.15">
      <c r="C1671" s="76">
        <v>650</v>
      </c>
      <c r="D1671" s="76">
        <v>3.3500000000000001E-5</v>
      </c>
      <c r="E1671" s="76">
        <v>5.0099999999999998E-5</v>
      </c>
      <c r="F1671" s="76">
        <v>1.18E-4</v>
      </c>
      <c r="G1671" s="76">
        <v>1.3100000000000001E-4</v>
      </c>
      <c r="H1671" s="76">
        <v>1.8699999999999999E-4</v>
      </c>
      <c r="I1671" s="76">
        <v>1.5799999999999999E-4</v>
      </c>
      <c r="J1671" s="76">
        <v>2.5799999999999998E-4</v>
      </c>
      <c r="K1671" s="76">
        <v>1.3799999999999999E-4</v>
      </c>
      <c r="L1671" s="76">
        <v>2.5000000000000001E-4</v>
      </c>
      <c r="M1671" s="76">
        <v>2.9E-4</v>
      </c>
    </row>
    <row r="1672" spans="3:13" x14ac:dyDescent="0.15">
      <c r="C1672" s="76">
        <v>652</v>
      </c>
      <c r="D1672" s="76">
        <v>3.0499999999999999E-5</v>
      </c>
      <c r="E1672" s="76">
        <v>4.9400000000000001E-5</v>
      </c>
      <c r="F1672" s="76">
        <v>1.02E-4</v>
      </c>
      <c r="G1672" s="76">
        <v>1.2300000000000001E-4</v>
      </c>
      <c r="H1672" s="76">
        <v>1.8100000000000001E-4</v>
      </c>
      <c r="I1672" s="76">
        <v>1.4300000000000001E-4</v>
      </c>
      <c r="J1672" s="76">
        <v>2.2499999999999999E-4</v>
      </c>
      <c r="K1672" s="76">
        <v>1.3300000000000001E-4</v>
      </c>
      <c r="L1672" s="76">
        <v>2.3699999999999999E-4</v>
      </c>
      <c r="M1672" s="76">
        <v>3.0299999999999999E-4</v>
      </c>
    </row>
    <row r="1673" spans="3:13" x14ac:dyDescent="0.15">
      <c r="C1673" s="76">
        <v>654</v>
      </c>
      <c r="D1673" s="76">
        <v>3.3000000000000003E-5</v>
      </c>
      <c r="E1673" s="76">
        <v>4.0000000000000003E-5</v>
      </c>
      <c r="F1673" s="76">
        <v>1.12E-4</v>
      </c>
      <c r="G1673" s="76">
        <v>1.12E-4</v>
      </c>
      <c r="H1673" s="76">
        <v>1.9100000000000001E-4</v>
      </c>
      <c r="I1673" s="76">
        <v>1.13E-4</v>
      </c>
      <c r="J1673" s="76">
        <v>2.7E-4</v>
      </c>
      <c r="K1673" s="76">
        <v>1.55E-4</v>
      </c>
      <c r="L1673" s="76">
        <v>2.3599999999999999E-4</v>
      </c>
      <c r="M1673" s="76">
        <v>2.6699999999999998E-4</v>
      </c>
    </row>
    <row r="1674" spans="3:13" x14ac:dyDescent="0.15">
      <c r="C1674" s="76">
        <v>656</v>
      </c>
      <c r="D1674" s="76">
        <v>3.0899999999999999E-5</v>
      </c>
      <c r="E1674" s="76">
        <v>3.7499999999999997E-5</v>
      </c>
      <c r="F1674" s="76">
        <v>1.1E-4</v>
      </c>
      <c r="G1674" s="76">
        <v>1.1400000000000001E-4</v>
      </c>
      <c r="H1674" s="76">
        <v>1.64E-4</v>
      </c>
      <c r="I1674" s="76">
        <v>9.2600000000000001E-5</v>
      </c>
      <c r="J1674" s="76">
        <v>2.2900000000000001E-4</v>
      </c>
      <c r="K1674" s="76">
        <v>8.5699999999999996E-5</v>
      </c>
      <c r="L1674" s="76">
        <v>2.0000000000000001E-4</v>
      </c>
      <c r="M1674" s="76">
        <v>1.76E-4</v>
      </c>
    </row>
    <row r="1675" spans="3:13" x14ac:dyDescent="0.15">
      <c r="C1675" s="76">
        <v>658</v>
      </c>
      <c r="D1675" s="76">
        <v>2.7699999999999999E-5</v>
      </c>
      <c r="E1675" s="76">
        <v>3.3200000000000001E-5</v>
      </c>
      <c r="F1675" s="76">
        <v>1.26E-4</v>
      </c>
      <c r="G1675" s="76">
        <v>9.7700000000000003E-5</v>
      </c>
      <c r="H1675" s="76">
        <v>1.3799999999999999E-4</v>
      </c>
      <c r="I1675" s="76">
        <v>9.48E-5</v>
      </c>
      <c r="J1675" s="76">
        <v>2.32E-4</v>
      </c>
      <c r="K1675" s="76">
        <v>8.4900000000000004E-5</v>
      </c>
      <c r="L1675" s="76">
        <v>2.5999999999999998E-4</v>
      </c>
      <c r="M1675" s="76">
        <v>2.43E-4</v>
      </c>
    </row>
    <row r="1676" spans="3:13" x14ac:dyDescent="0.15">
      <c r="C1676" s="76">
        <v>660</v>
      </c>
      <c r="D1676" s="76">
        <v>3.2299999999999999E-5</v>
      </c>
      <c r="E1676" s="76">
        <v>2.8399999999999999E-5</v>
      </c>
      <c r="F1676" s="76">
        <v>1.11E-4</v>
      </c>
      <c r="G1676" s="76">
        <v>8.3499999999999997E-5</v>
      </c>
      <c r="H1676" s="76">
        <v>1.36E-4</v>
      </c>
      <c r="I1676" s="76">
        <v>7.6500000000000003E-5</v>
      </c>
      <c r="J1676" s="76">
        <v>2.6699999999999998E-4</v>
      </c>
      <c r="K1676" s="76">
        <v>9.7899999999999994E-5</v>
      </c>
      <c r="L1676" s="76">
        <v>2.2900000000000001E-4</v>
      </c>
      <c r="M1676" s="76">
        <v>1.66E-4</v>
      </c>
    </row>
    <row r="1677" spans="3:13" x14ac:dyDescent="0.15">
      <c r="C1677" s="76">
        <v>662</v>
      </c>
      <c r="D1677" s="76">
        <v>3.2499999999999997E-5</v>
      </c>
      <c r="E1677" s="76">
        <v>1.8600000000000001E-5</v>
      </c>
      <c r="F1677" s="76">
        <v>1.08E-4</v>
      </c>
      <c r="G1677" s="76">
        <v>8.0400000000000003E-5</v>
      </c>
      <c r="H1677" s="76">
        <v>8.1699999999999994E-5</v>
      </c>
      <c r="I1677" s="76">
        <v>3.3300000000000003E-5</v>
      </c>
      <c r="J1677" s="76">
        <v>2.43E-4</v>
      </c>
      <c r="K1677" s="76">
        <v>1.2799999999999999E-4</v>
      </c>
      <c r="L1677" s="76">
        <v>2.4800000000000001E-4</v>
      </c>
      <c r="M1677" s="76">
        <v>2.5900000000000001E-4</v>
      </c>
    </row>
    <row r="1678" spans="3:13" x14ac:dyDescent="0.15">
      <c r="C1678" s="76">
        <v>664</v>
      </c>
      <c r="D1678" s="76">
        <v>2.6400000000000001E-5</v>
      </c>
      <c r="E1678" s="76">
        <v>1.91E-5</v>
      </c>
      <c r="F1678" s="76">
        <v>1.12E-4</v>
      </c>
      <c r="G1678" s="76">
        <v>1.02E-4</v>
      </c>
      <c r="H1678" s="76">
        <v>7.0699999999999997E-5</v>
      </c>
      <c r="I1678" s="76">
        <v>1.2300000000000001E-4</v>
      </c>
      <c r="J1678" s="76">
        <v>2.0900000000000001E-4</v>
      </c>
      <c r="K1678" s="76">
        <v>7.6299999999999998E-5</v>
      </c>
      <c r="L1678" s="76">
        <v>2.7599999999999999E-4</v>
      </c>
      <c r="M1678" s="76">
        <v>1.6699999999999999E-4</v>
      </c>
    </row>
    <row r="1679" spans="3:13" x14ac:dyDescent="0.15">
      <c r="C1679" s="76">
        <v>666</v>
      </c>
      <c r="D1679" s="76">
        <v>3.04E-5</v>
      </c>
      <c r="E1679" s="76">
        <v>1.9000000000000001E-5</v>
      </c>
      <c r="F1679" s="76">
        <v>9.0699999999999996E-5</v>
      </c>
      <c r="G1679" s="76">
        <v>1.08E-4</v>
      </c>
      <c r="H1679" s="76">
        <v>4.9499999999999997E-5</v>
      </c>
      <c r="I1679" s="76">
        <v>9.5799999999999998E-5</v>
      </c>
      <c r="J1679" s="76">
        <v>2.1499999999999999E-4</v>
      </c>
      <c r="K1679" s="76">
        <v>1.3300000000000001E-4</v>
      </c>
      <c r="L1679" s="76">
        <v>2.7599999999999999E-4</v>
      </c>
      <c r="M1679" s="76">
        <v>1.9900000000000001E-4</v>
      </c>
    </row>
    <row r="1680" spans="3:13" x14ac:dyDescent="0.15">
      <c r="C1680" s="76">
        <v>668</v>
      </c>
      <c r="D1680" s="76">
        <v>2.9200000000000002E-5</v>
      </c>
      <c r="E1680" s="76">
        <v>2.3499999999999999E-5</v>
      </c>
      <c r="F1680" s="76">
        <v>1.11E-4</v>
      </c>
      <c r="G1680" s="76">
        <v>9.1700000000000006E-5</v>
      </c>
      <c r="H1680" s="76">
        <v>6.86E-5</v>
      </c>
      <c r="I1680" s="76">
        <v>1.02E-4</v>
      </c>
      <c r="J1680" s="76">
        <v>2.1800000000000001E-4</v>
      </c>
      <c r="K1680" s="76">
        <v>1.6699999999999999E-4</v>
      </c>
      <c r="L1680" s="76">
        <v>3.5100000000000002E-4</v>
      </c>
      <c r="M1680" s="76">
        <v>2.24E-4</v>
      </c>
    </row>
    <row r="1681" spans="3:13" x14ac:dyDescent="0.15">
      <c r="C1681" s="76">
        <v>670</v>
      </c>
      <c r="D1681" s="76">
        <v>2.8E-5</v>
      </c>
      <c r="E1681" s="76">
        <v>2.09E-5</v>
      </c>
      <c r="F1681" s="76">
        <v>8.7999999999999998E-5</v>
      </c>
      <c r="G1681" s="76">
        <v>8.4400000000000005E-5</v>
      </c>
      <c r="H1681" s="76">
        <v>6.0800000000000001E-5</v>
      </c>
      <c r="I1681" s="76">
        <v>9.9500000000000006E-5</v>
      </c>
      <c r="J1681" s="76">
        <v>2.03E-4</v>
      </c>
      <c r="K1681" s="76">
        <v>2.0799999999999999E-4</v>
      </c>
      <c r="L1681" s="76">
        <v>2.02E-4</v>
      </c>
      <c r="M1681" s="76">
        <v>1.95E-4</v>
      </c>
    </row>
    <row r="1682" spans="3:13" x14ac:dyDescent="0.15">
      <c r="C1682" s="76">
        <v>672</v>
      </c>
      <c r="D1682" s="76">
        <v>3.2299999999999999E-5</v>
      </c>
      <c r="E1682" s="76">
        <v>1.84E-5</v>
      </c>
      <c r="F1682" s="76">
        <v>7.6100000000000007E-5</v>
      </c>
      <c r="G1682" s="76">
        <v>9.8999999999999994E-5</v>
      </c>
      <c r="H1682" s="76">
        <v>3.9900000000000001E-5</v>
      </c>
      <c r="I1682" s="76">
        <v>8.5400000000000002E-5</v>
      </c>
      <c r="J1682" s="76">
        <v>2.2699999999999999E-4</v>
      </c>
      <c r="K1682" s="76">
        <v>2.5399999999999999E-4</v>
      </c>
      <c r="L1682" s="76">
        <v>3.8200000000000002E-4</v>
      </c>
      <c r="M1682" s="76">
        <v>2.22E-4</v>
      </c>
    </row>
    <row r="1683" spans="3:13" x14ac:dyDescent="0.15">
      <c r="C1683" s="76">
        <v>674</v>
      </c>
      <c r="D1683" s="76">
        <v>2.5400000000000001E-5</v>
      </c>
      <c r="E1683" s="76">
        <v>2.4600000000000002E-5</v>
      </c>
      <c r="F1683" s="76">
        <v>6.6600000000000006E-5</v>
      </c>
      <c r="G1683" s="76">
        <v>5.4599999999999999E-5</v>
      </c>
      <c r="H1683" s="76">
        <v>4.49E-5</v>
      </c>
      <c r="I1683" s="76">
        <v>1.8899999999999999E-5</v>
      </c>
      <c r="J1683" s="76">
        <v>1.4899999999999999E-4</v>
      </c>
      <c r="K1683" s="76">
        <v>2.5099999999999998E-4</v>
      </c>
      <c r="L1683" s="76">
        <v>2.1800000000000001E-4</v>
      </c>
      <c r="M1683" s="76">
        <v>1.95E-4</v>
      </c>
    </row>
    <row r="1684" spans="3:13" x14ac:dyDescent="0.15">
      <c r="C1684" s="76">
        <v>676</v>
      </c>
      <c r="D1684" s="76">
        <v>2.3499999999999999E-5</v>
      </c>
      <c r="E1684" s="76">
        <v>2.5899999999999999E-5</v>
      </c>
      <c r="F1684" s="76">
        <v>5.4400000000000001E-5</v>
      </c>
      <c r="G1684" s="76">
        <v>6.3700000000000003E-5</v>
      </c>
      <c r="H1684" s="76">
        <v>1.1600000000000001E-5</v>
      </c>
      <c r="I1684" s="76">
        <v>7.5400000000000003E-5</v>
      </c>
      <c r="J1684" s="76">
        <v>1.54E-4</v>
      </c>
      <c r="K1684" s="76">
        <v>2.2599999999999999E-4</v>
      </c>
      <c r="L1684" s="76">
        <v>2.7300000000000002E-4</v>
      </c>
      <c r="M1684" s="76">
        <v>1.85E-4</v>
      </c>
    </row>
    <row r="1685" spans="3:13" x14ac:dyDescent="0.15">
      <c r="C1685" s="76">
        <v>678</v>
      </c>
      <c r="D1685" s="76">
        <v>2.26E-5</v>
      </c>
      <c r="E1685" s="76">
        <v>1.9899999999999999E-5</v>
      </c>
      <c r="F1685" s="76">
        <v>6.9900000000000005E-5</v>
      </c>
      <c r="G1685" s="76">
        <v>5.5399999999999998E-5</v>
      </c>
      <c r="H1685" s="76">
        <v>0</v>
      </c>
      <c r="I1685" s="76">
        <v>1.02E-4</v>
      </c>
      <c r="J1685" s="76">
        <v>2.03E-4</v>
      </c>
      <c r="K1685" s="76">
        <v>2.52E-4</v>
      </c>
      <c r="L1685" s="76">
        <v>2.5500000000000002E-4</v>
      </c>
      <c r="M1685" s="76">
        <v>1.5699999999999999E-4</v>
      </c>
    </row>
    <row r="1686" spans="3:13" x14ac:dyDescent="0.15">
      <c r="C1686" s="76">
        <v>680</v>
      </c>
      <c r="D1686" s="76">
        <v>1.9199999999999999E-5</v>
      </c>
      <c r="E1686" s="76">
        <v>4.1300000000000001E-5</v>
      </c>
      <c r="F1686" s="76">
        <v>3.8600000000000003E-5</v>
      </c>
      <c r="G1686" s="76">
        <v>8.6500000000000002E-5</v>
      </c>
      <c r="H1686" s="76">
        <v>6.4300000000000003E-7</v>
      </c>
      <c r="I1686" s="76">
        <v>9.1600000000000004E-5</v>
      </c>
      <c r="J1686" s="76">
        <v>1.5899999999999999E-4</v>
      </c>
      <c r="K1686" s="76">
        <v>2.5999999999999998E-4</v>
      </c>
      <c r="L1686" s="76">
        <v>1.65E-4</v>
      </c>
      <c r="M1686" s="76">
        <v>2.1100000000000001E-4</v>
      </c>
    </row>
    <row r="1687" spans="3:13" x14ac:dyDescent="0.15">
      <c r="C1687" s="76">
        <v>682</v>
      </c>
      <c r="D1687" s="76">
        <v>2.2200000000000001E-5</v>
      </c>
      <c r="E1687" s="76">
        <v>2.6400000000000001E-5</v>
      </c>
      <c r="F1687" s="76">
        <v>4.6400000000000003E-5</v>
      </c>
      <c r="G1687" s="76">
        <v>5.2500000000000002E-5</v>
      </c>
      <c r="H1687" s="76">
        <v>3.3399999999999999E-5</v>
      </c>
      <c r="I1687" s="76">
        <v>7.3300000000000006E-5</v>
      </c>
      <c r="J1687" s="76">
        <v>1.5300000000000001E-4</v>
      </c>
      <c r="K1687" s="76">
        <v>2.5099999999999998E-4</v>
      </c>
      <c r="L1687" s="76">
        <v>2.1000000000000001E-4</v>
      </c>
      <c r="M1687" s="76">
        <v>2.13E-4</v>
      </c>
    </row>
    <row r="1688" spans="3:13" x14ac:dyDescent="0.15">
      <c r="C1688" s="76">
        <v>684</v>
      </c>
      <c r="D1688" s="76">
        <v>1.7600000000000001E-5</v>
      </c>
      <c r="E1688" s="76">
        <v>3.4100000000000002E-5</v>
      </c>
      <c r="F1688" s="76">
        <v>2.8799999999999999E-5</v>
      </c>
      <c r="G1688" s="76">
        <v>4.5300000000000003E-5</v>
      </c>
      <c r="H1688" s="76">
        <v>4.8600000000000002E-5</v>
      </c>
      <c r="I1688" s="76">
        <v>7.7299999999999995E-5</v>
      </c>
      <c r="J1688" s="76">
        <v>1.13E-4</v>
      </c>
      <c r="K1688" s="76">
        <v>2.7999999999999998E-4</v>
      </c>
      <c r="L1688" s="76">
        <v>1.75E-4</v>
      </c>
      <c r="M1688" s="76">
        <v>1.95E-4</v>
      </c>
    </row>
    <row r="1689" spans="3:13" x14ac:dyDescent="0.15">
      <c r="C1689" s="76">
        <v>686</v>
      </c>
      <c r="D1689" s="76">
        <v>1.5699999999999999E-5</v>
      </c>
      <c r="E1689" s="76">
        <v>3.4999999999999997E-5</v>
      </c>
      <c r="F1689" s="76">
        <v>2.1299999999999999E-5</v>
      </c>
      <c r="G1689" s="76">
        <v>3.4700000000000003E-5</v>
      </c>
      <c r="H1689" s="76">
        <v>2.51E-5</v>
      </c>
      <c r="I1689" s="76">
        <v>9.1299999999999997E-5</v>
      </c>
      <c r="J1689" s="76">
        <v>1.07E-4</v>
      </c>
      <c r="K1689" s="76">
        <v>2.5599999999999999E-4</v>
      </c>
      <c r="L1689" s="76">
        <v>1.7000000000000001E-4</v>
      </c>
      <c r="M1689" s="76">
        <v>2.1100000000000001E-4</v>
      </c>
    </row>
    <row r="1690" spans="3:13" x14ac:dyDescent="0.15">
      <c r="C1690" s="76">
        <v>688</v>
      </c>
      <c r="D1690" s="76">
        <v>1.77E-5</v>
      </c>
      <c r="E1690" s="76">
        <v>3.9400000000000002E-5</v>
      </c>
      <c r="F1690" s="76">
        <v>2.02E-5</v>
      </c>
      <c r="G1690" s="76">
        <v>5.7399999999999999E-5</v>
      </c>
      <c r="H1690" s="76">
        <v>4.7500000000000003E-5</v>
      </c>
      <c r="I1690" s="76">
        <v>1.06E-4</v>
      </c>
      <c r="J1690" s="76">
        <v>1.6799999999999999E-4</v>
      </c>
      <c r="K1690" s="76">
        <v>2.52E-4</v>
      </c>
      <c r="L1690" s="76">
        <v>5.0899999999999997E-5</v>
      </c>
      <c r="M1690" s="76">
        <v>2.0000000000000001E-4</v>
      </c>
    </row>
    <row r="1691" spans="3:13" x14ac:dyDescent="0.15">
      <c r="C1691" s="76">
        <v>690</v>
      </c>
      <c r="D1691" s="76">
        <v>1.49E-5</v>
      </c>
      <c r="E1691" s="76">
        <v>4.7899999999999999E-5</v>
      </c>
      <c r="F1691" s="76">
        <v>1.49E-5</v>
      </c>
      <c r="G1691" s="76">
        <v>4.8900000000000003E-5</v>
      </c>
      <c r="H1691" s="76">
        <v>1.72E-6</v>
      </c>
      <c r="I1691" s="76">
        <v>7.4200000000000001E-5</v>
      </c>
      <c r="J1691" s="76">
        <v>1.5200000000000001E-4</v>
      </c>
      <c r="K1691" s="76">
        <v>1.9699999999999999E-4</v>
      </c>
      <c r="L1691" s="76">
        <v>8.1699999999999994E-5</v>
      </c>
      <c r="M1691" s="76">
        <v>2.0599999999999999E-4</v>
      </c>
    </row>
    <row r="1692" spans="3:13" x14ac:dyDescent="0.15">
      <c r="C1692" s="76">
        <v>692</v>
      </c>
      <c r="D1692" s="76">
        <v>9.1500000000000005E-6</v>
      </c>
      <c r="E1692" s="76">
        <v>4.74E-5</v>
      </c>
      <c r="F1692" s="76">
        <v>1.9899999999999999E-5</v>
      </c>
      <c r="G1692" s="76">
        <v>5.7000000000000003E-5</v>
      </c>
      <c r="H1692" s="76">
        <v>3.1200000000000002E-6</v>
      </c>
      <c r="I1692" s="76">
        <v>8.7800000000000006E-5</v>
      </c>
      <c r="J1692" s="76">
        <v>1.4200000000000001E-4</v>
      </c>
      <c r="K1692" s="76">
        <v>2.1499999999999999E-4</v>
      </c>
      <c r="L1692" s="76">
        <v>8.1100000000000006E-5</v>
      </c>
      <c r="M1692" s="76">
        <v>1.95E-4</v>
      </c>
    </row>
    <row r="1693" spans="3:13" x14ac:dyDescent="0.15">
      <c r="C1693" s="76">
        <v>694</v>
      </c>
      <c r="D1693" s="76">
        <v>6.0399999999999998E-6</v>
      </c>
      <c r="E1693" s="76">
        <v>4.2200000000000003E-5</v>
      </c>
      <c r="F1693" s="76">
        <v>1.4399999999999999E-5</v>
      </c>
      <c r="G1693" s="76">
        <v>6.2100000000000005E-5</v>
      </c>
      <c r="H1693" s="76">
        <v>4.1400000000000002E-6</v>
      </c>
      <c r="I1693" s="76">
        <v>1.11E-4</v>
      </c>
      <c r="J1693" s="76">
        <v>1.17E-4</v>
      </c>
      <c r="K1693" s="76">
        <v>2.5700000000000001E-4</v>
      </c>
      <c r="L1693" s="76">
        <v>1.01E-5</v>
      </c>
      <c r="M1693" s="76">
        <v>2.1800000000000001E-4</v>
      </c>
    </row>
    <row r="1694" spans="3:13" x14ac:dyDescent="0.15">
      <c r="C1694" s="76">
        <v>696</v>
      </c>
      <c r="D1694" s="76">
        <v>6.3999999999999997E-6</v>
      </c>
      <c r="E1694" s="76">
        <v>3.1099999999999997E-5</v>
      </c>
      <c r="F1694" s="76">
        <v>7.4800000000000004E-6</v>
      </c>
      <c r="G1694" s="76">
        <v>6.4399999999999993E-5</v>
      </c>
      <c r="H1694" s="76">
        <v>7.1099999999999995E-7</v>
      </c>
      <c r="I1694" s="76">
        <v>7.6699999999999994E-5</v>
      </c>
      <c r="J1694" s="76">
        <v>8.6899999999999998E-5</v>
      </c>
      <c r="K1694" s="76">
        <v>2.31E-4</v>
      </c>
      <c r="L1694" s="76">
        <v>6.0699999999999998E-5</v>
      </c>
      <c r="M1694" s="76">
        <v>2.9399999999999999E-4</v>
      </c>
    </row>
    <row r="1695" spans="3:13" x14ac:dyDescent="0.15">
      <c r="C1695" s="76">
        <v>698</v>
      </c>
      <c r="D1695" s="76">
        <v>7.9400000000000002E-6</v>
      </c>
      <c r="E1695" s="76">
        <v>5.4299999999999998E-5</v>
      </c>
      <c r="F1695" s="76">
        <v>1.04E-5</v>
      </c>
      <c r="G1695" s="76">
        <v>7.4499999999999995E-5</v>
      </c>
      <c r="H1695" s="76">
        <v>3.49E-6</v>
      </c>
      <c r="I1695" s="76">
        <v>6.5199999999999999E-5</v>
      </c>
      <c r="J1695" s="76">
        <v>1.03E-4</v>
      </c>
      <c r="K1695" s="76">
        <v>2.8699999999999998E-4</v>
      </c>
      <c r="L1695" s="76">
        <v>2.3E-5</v>
      </c>
      <c r="M1695" s="76">
        <v>2.43E-4</v>
      </c>
    </row>
    <row r="1696" spans="3:13" x14ac:dyDescent="0.15">
      <c r="C1696" s="76">
        <v>700</v>
      </c>
      <c r="D1696" s="76">
        <v>6.0399999999999996E-7</v>
      </c>
      <c r="E1696" s="76">
        <v>4.3399999999999998E-5</v>
      </c>
      <c r="F1696" s="76">
        <v>2.5999999999999998E-5</v>
      </c>
      <c r="G1696" s="76">
        <v>6.97E-5</v>
      </c>
      <c r="H1696" s="76">
        <v>6.3299999999999994E-5</v>
      </c>
      <c r="I1696" s="76">
        <v>6.7700000000000006E-5</v>
      </c>
      <c r="J1696" s="76">
        <v>1.36E-4</v>
      </c>
      <c r="K1696" s="76">
        <v>1.4999999999999999E-4</v>
      </c>
      <c r="L1696" s="76">
        <v>2.7800000000000001E-5</v>
      </c>
      <c r="M1696" s="76">
        <v>1.7100000000000001E-4</v>
      </c>
    </row>
    <row r="1697" spans="3:13" x14ac:dyDescent="0.15">
      <c r="C1697" s="76">
        <v>702</v>
      </c>
      <c r="D1697" s="76">
        <v>3.89E-7</v>
      </c>
      <c r="E1697" s="76">
        <v>5.3600000000000002E-5</v>
      </c>
      <c r="F1697" s="76">
        <v>4.0200000000000001E-5</v>
      </c>
      <c r="G1697" s="76">
        <v>7.0900000000000002E-5</v>
      </c>
      <c r="H1697" s="76">
        <v>3.6699999999999998E-5</v>
      </c>
      <c r="I1697" s="76">
        <v>8.1699999999999994E-5</v>
      </c>
      <c r="J1697" s="76">
        <v>1.46E-4</v>
      </c>
      <c r="K1697" s="76">
        <v>1.5300000000000001E-4</v>
      </c>
      <c r="L1697" s="76">
        <v>1.5E-5</v>
      </c>
      <c r="M1697" s="76">
        <v>2.02E-4</v>
      </c>
    </row>
    <row r="1698" spans="3:13" x14ac:dyDescent="0.15">
      <c r="C1698" s="76">
        <v>704</v>
      </c>
      <c r="D1698" s="76">
        <v>3.01E-6</v>
      </c>
      <c r="E1698" s="76">
        <v>6.5400000000000004E-5</v>
      </c>
      <c r="F1698" s="76">
        <v>1.9199999999999999E-5</v>
      </c>
      <c r="G1698" s="76">
        <v>7.1799999999999997E-5</v>
      </c>
      <c r="H1698" s="76">
        <v>9.1300000000000007E-6</v>
      </c>
      <c r="I1698" s="76">
        <v>1.0399999999999999E-4</v>
      </c>
      <c r="J1698" s="76">
        <v>1.21E-4</v>
      </c>
      <c r="K1698" s="76">
        <v>1.4200000000000001E-4</v>
      </c>
      <c r="L1698" s="76">
        <v>2.3800000000000001E-6</v>
      </c>
      <c r="M1698" s="76">
        <v>1.83E-4</v>
      </c>
    </row>
    <row r="1699" spans="3:13" x14ac:dyDescent="0.15">
      <c r="C1699" s="76">
        <v>706</v>
      </c>
      <c r="D1699" s="76">
        <v>0</v>
      </c>
      <c r="E1699" s="76">
        <v>5.8400000000000003E-5</v>
      </c>
      <c r="F1699" s="76">
        <v>2.09E-5</v>
      </c>
      <c r="G1699" s="76">
        <v>7.2299999999999996E-5</v>
      </c>
      <c r="H1699" s="76">
        <v>3.4600000000000001E-5</v>
      </c>
      <c r="I1699" s="76">
        <v>7.8999999999999996E-5</v>
      </c>
      <c r="J1699" s="76">
        <v>1.05E-4</v>
      </c>
      <c r="K1699" s="76">
        <v>9.6799999999999995E-5</v>
      </c>
      <c r="L1699" s="76">
        <v>0</v>
      </c>
      <c r="M1699" s="76">
        <v>2.0000000000000001E-4</v>
      </c>
    </row>
    <row r="1700" spans="3:13" x14ac:dyDescent="0.15">
      <c r="C1700" s="76">
        <v>708</v>
      </c>
      <c r="D1700" s="76">
        <v>0</v>
      </c>
      <c r="E1700" s="76">
        <v>6.86E-5</v>
      </c>
      <c r="F1700" s="76">
        <v>4.71E-5</v>
      </c>
      <c r="G1700" s="76">
        <v>6.7100000000000005E-5</v>
      </c>
      <c r="H1700" s="76">
        <v>4.1300000000000001E-5</v>
      </c>
      <c r="I1700" s="76">
        <v>5.8799999999999999E-5</v>
      </c>
      <c r="J1700" s="76">
        <v>1.44E-4</v>
      </c>
      <c r="K1700" s="76">
        <v>1.36E-4</v>
      </c>
      <c r="L1700" s="76">
        <v>0</v>
      </c>
      <c r="M1700" s="76">
        <v>2.41E-4</v>
      </c>
    </row>
    <row r="1701" spans="3:13" x14ac:dyDescent="0.15">
      <c r="C1701" s="76">
        <v>710</v>
      </c>
      <c r="D1701" s="76">
        <v>0</v>
      </c>
      <c r="E1701" s="76">
        <v>6.8200000000000004E-5</v>
      </c>
      <c r="F1701" s="76">
        <v>5.7200000000000001E-5</v>
      </c>
      <c r="G1701" s="76">
        <v>3.7299999999999999E-5</v>
      </c>
      <c r="H1701" s="76">
        <v>2.0299999999999999E-5</v>
      </c>
      <c r="I1701" s="76">
        <v>6.9499999999999995E-5</v>
      </c>
      <c r="J1701" s="76">
        <v>1.34E-4</v>
      </c>
      <c r="K1701" s="76">
        <v>1.4200000000000001E-4</v>
      </c>
      <c r="L1701" s="76">
        <v>0</v>
      </c>
      <c r="M1701" s="76">
        <v>2.6400000000000002E-4</v>
      </c>
    </row>
    <row r="1702" spans="3:13" x14ac:dyDescent="0.15">
      <c r="C1702" s="76">
        <v>712</v>
      </c>
      <c r="D1702" s="76">
        <v>1.5599999999999999E-7</v>
      </c>
      <c r="E1702" s="76">
        <v>4.7599999999999998E-5</v>
      </c>
      <c r="F1702" s="76">
        <v>5.8100000000000003E-5</v>
      </c>
      <c r="G1702" s="76">
        <v>4.8199999999999999E-5</v>
      </c>
      <c r="H1702" s="76">
        <v>9.09E-5</v>
      </c>
      <c r="I1702" s="76">
        <v>7.8999999999999996E-5</v>
      </c>
      <c r="J1702" s="76">
        <v>1.45E-4</v>
      </c>
      <c r="K1702" s="76">
        <v>1.2300000000000001E-4</v>
      </c>
      <c r="L1702" s="76">
        <v>7.1000000000000005E-5</v>
      </c>
      <c r="M1702" s="76">
        <v>2.1000000000000001E-4</v>
      </c>
    </row>
    <row r="1703" spans="3:13" x14ac:dyDescent="0.15">
      <c r="C1703" s="76">
        <v>714</v>
      </c>
      <c r="D1703" s="76">
        <v>8.6199999999999996E-7</v>
      </c>
      <c r="E1703" s="76">
        <v>2.9899999999999998E-5</v>
      </c>
      <c r="F1703" s="76">
        <v>4.8099999999999997E-5</v>
      </c>
      <c r="G1703" s="76">
        <v>1.34E-5</v>
      </c>
      <c r="H1703" s="76">
        <v>8.7200000000000005E-5</v>
      </c>
      <c r="I1703" s="76">
        <v>1.34E-4</v>
      </c>
      <c r="J1703" s="76">
        <v>6.41E-5</v>
      </c>
      <c r="K1703" s="76">
        <v>7.2100000000000004E-5</v>
      </c>
      <c r="L1703" s="76">
        <v>2.58E-5</v>
      </c>
      <c r="M1703" s="76">
        <v>3.21E-4</v>
      </c>
    </row>
    <row r="1704" spans="3:13" x14ac:dyDescent="0.15">
      <c r="C1704" s="76">
        <v>716</v>
      </c>
      <c r="D1704" s="76">
        <v>3.4599999999999999E-6</v>
      </c>
      <c r="E1704" s="76">
        <v>4.5599999999999997E-5</v>
      </c>
      <c r="F1704" s="76">
        <v>4.9200000000000003E-5</v>
      </c>
      <c r="G1704" s="76">
        <v>4.6700000000000002E-6</v>
      </c>
      <c r="H1704" s="76">
        <v>7.5400000000000003E-5</v>
      </c>
      <c r="I1704" s="76">
        <v>5.4500000000000003E-5</v>
      </c>
      <c r="J1704" s="76">
        <v>1.34E-4</v>
      </c>
      <c r="K1704" s="76">
        <v>5.24E-5</v>
      </c>
      <c r="L1704" s="76">
        <v>3.6399999999999997E-5</v>
      </c>
      <c r="M1704" s="76">
        <v>2.9300000000000002E-4</v>
      </c>
    </row>
    <row r="1705" spans="3:13" x14ac:dyDescent="0.15">
      <c r="C1705" s="76">
        <v>718</v>
      </c>
      <c r="D1705" s="76">
        <v>2.6000000000000001E-6</v>
      </c>
      <c r="E1705" s="76">
        <v>4.7700000000000001E-5</v>
      </c>
      <c r="F1705" s="76">
        <v>3.15E-5</v>
      </c>
      <c r="G1705" s="76">
        <v>1.5099999999999999E-5</v>
      </c>
      <c r="H1705" s="76">
        <v>5.7599999999999997E-5</v>
      </c>
      <c r="I1705" s="76">
        <v>5.3900000000000002E-5</v>
      </c>
      <c r="J1705" s="76">
        <v>1.3100000000000001E-4</v>
      </c>
      <c r="K1705" s="76">
        <v>1.49E-5</v>
      </c>
      <c r="L1705" s="76">
        <v>0</v>
      </c>
      <c r="M1705" s="76">
        <v>2.9399999999999999E-4</v>
      </c>
    </row>
    <row r="1706" spans="3:13" x14ac:dyDescent="0.15">
      <c r="C1706" s="76">
        <v>720</v>
      </c>
      <c r="D1706" s="76">
        <v>4.9799999999999998E-6</v>
      </c>
      <c r="E1706" s="76">
        <v>5.7500000000000002E-5</v>
      </c>
      <c r="F1706" s="76">
        <v>4.5000000000000003E-5</v>
      </c>
      <c r="G1706" s="76">
        <v>3.1300000000000002E-5</v>
      </c>
      <c r="H1706" s="76">
        <v>9.4300000000000002E-5</v>
      </c>
      <c r="I1706" s="76">
        <v>1.05E-4</v>
      </c>
      <c r="J1706" s="76">
        <v>1.27E-4</v>
      </c>
      <c r="K1706" s="76">
        <v>1.0200000000000001E-5</v>
      </c>
      <c r="L1706" s="76">
        <v>1E-4</v>
      </c>
      <c r="M1706" s="76">
        <v>2.5300000000000002E-4</v>
      </c>
    </row>
    <row r="1707" spans="3:13" x14ac:dyDescent="0.15">
      <c r="C1707" s="76">
        <v>722</v>
      </c>
      <c r="D1707" s="76">
        <v>3.7000000000000002E-6</v>
      </c>
      <c r="E1707" s="76">
        <v>4.9599999999999999E-5</v>
      </c>
      <c r="F1707" s="76">
        <v>5.1799999999999999E-5</v>
      </c>
      <c r="G1707" s="76">
        <v>2.27E-5</v>
      </c>
      <c r="H1707" s="76">
        <v>1.37E-4</v>
      </c>
      <c r="I1707" s="76">
        <v>1.02E-4</v>
      </c>
      <c r="J1707" s="76">
        <v>7.9699999999999999E-5</v>
      </c>
      <c r="K1707" s="76">
        <v>3.6999999999999998E-5</v>
      </c>
      <c r="L1707" s="76">
        <v>1.03E-4</v>
      </c>
      <c r="M1707" s="76">
        <v>2.5999999999999998E-4</v>
      </c>
    </row>
    <row r="1708" spans="3:13" x14ac:dyDescent="0.15">
      <c r="C1708" s="76">
        <v>724</v>
      </c>
      <c r="D1708" s="76">
        <v>5.8100000000000003E-6</v>
      </c>
      <c r="E1708" s="76">
        <v>3.7299999999999999E-5</v>
      </c>
      <c r="F1708" s="76">
        <v>2.37E-5</v>
      </c>
      <c r="G1708" s="76">
        <v>3.2299999999999999E-5</v>
      </c>
      <c r="H1708" s="76">
        <v>8.4599999999999996E-5</v>
      </c>
      <c r="I1708" s="76">
        <v>7.4400000000000006E-5</v>
      </c>
      <c r="J1708" s="76">
        <v>9.7899999999999994E-5</v>
      </c>
      <c r="K1708" s="76">
        <v>0</v>
      </c>
      <c r="L1708" s="76">
        <v>1.3300000000000001E-4</v>
      </c>
      <c r="M1708" s="76">
        <v>2.5300000000000002E-4</v>
      </c>
    </row>
    <row r="1709" spans="3:13" x14ac:dyDescent="0.15">
      <c r="C1709" s="76">
        <v>726</v>
      </c>
      <c r="D1709" s="76">
        <v>7.9300000000000003E-6</v>
      </c>
      <c r="E1709" s="76">
        <v>2.6599999999999999E-5</v>
      </c>
      <c r="F1709" s="76">
        <v>3.4199999999999998E-5</v>
      </c>
      <c r="G1709" s="76">
        <v>2.5899999999999999E-5</v>
      </c>
      <c r="H1709" s="76">
        <v>8.6799999999999996E-5</v>
      </c>
      <c r="I1709" s="76">
        <v>1.3300000000000001E-4</v>
      </c>
      <c r="J1709" s="76">
        <v>8.7100000000000003E-5</v>
      </c>
      <c r="K1709" s="76">
        <v>0</v>
      </c>
      <c r="L1709" s="76">
        <v>2.1499999999999999E-4</v>
      </c>
      <c r="M1709" s="76">
        <v>2.6699999999999998E-4</v>
      </c>
    </row>
    <row r="1710" spans="3:13" x14ac:dyDescent="0.15">
      <c r="C1710" s="76">
        <v>728</v>
      </c>
      <c r="D1710" s="76">
        <v>7.8599999999999993E-6</v>
      </c>
      <c r="E1710" s="76">
        <v>1.45E-5</v>
      </c>
      <c r="F1710" s="76">
        <v>3.5299999999999997E-5</v>
      </c>
      <c r="G1710" s="76">
        <v>4.4800000000000003E-6</v>
      </c>
      <c r="H1710" s="76">
        <v>1.36E-4</v>
      </c>
      <c r="I1710" s="76">
        <v>1.21E-4</v>
      </c>
      <c r="J1710" s="76">
        <v>1.44E-4</v>
      </c>
      <c r="K1710" s="76">
        <v>0</v>
      </c>
      <c r="L1710" s="76">
        <v>1.9599999999999999E-4</v>
      </c>
      <c r="M1710" s="76">
        <v>2.2699999999999999E-4</v>
      </c>
    </row>
    <row r="1711" spans="3:13" x14ac:dyDescent="0.15">
      <c r="C1711" s="76">
        <v>730</v>
      </c>
      <c r="D1711" s="76">
        <v>1.9000000000000001E-5</v>
      </c>
      <c r="E1711" s="76">
        <v>1.49E-5</v>
      </c>
      <c r="F1711" s="76">
        <v>2.3200000000000001E-5</v>
      </c>
      <c r="G1711" s="76">
        <v>5.9599999999999999E-5</v>
      </c>
      <c r="H1711" s="76">
        <v>1.07E-4</v>
      </c>
      <c r="I1711" s="76">
        <v>1.0399999999999999E-4</v>
      </c>
      <c r="J1711" s="76">
        <v>1.3899999999999999E-4</v>
      </c>
      <c r="K1711" s="76">
        <v>0</v>
      </c>
      <c r="L1711" s="76">
        <v>1.84E-4</v>
      </c>
      <c r="M1711" s="76">
        <v>2.6400000000000002E-4</v>
      </c>
    </row>
    <row r="1712" spans="3:13" x14ac:dyDescent="0.15">
      <c r="C1712" s="76">
        <v>732</v>
      </c>
      <c r="D1712" s="76">
        <v>2.0400000000000001E-5</v>
      </c>
      <c r="E1712" s="76">
        <v>2.6900000000000001E-6</v>
      </c>
      <c r="F1712" s="76">
        <v>3.5800000000000003E-5</v>
      </c>
      <c r="G1712" s="76">
        <v>4.8399999999999997E-5</v>
      </c>
      <c r="H1712" s="76">
        <v>7.2700000000000005E-5</v>
      </c>
      <c r="I1712" s="76">
        <v>1.2300000000000001E-4</v>
      </c>
      <c r="J1712" s="76">
        <v>1.47E-4</v>
      </c>
      <c r="K1712" s="76">
        <v>0</v>
      </c>
      <c r="L1712" s="76">
        <v>2.12E-4</v>
      </c>
      <c r="M1712" s="76">
        <v>2.9999999999999997E-4</v>
      </c>
    </row>
    <row r="1713" spans="3:13" x14ac:dyDescent="0.15">
      <c r="C1713" s="76">
        <v>734</v>
      </c>
      <c r="D1713" s="76">
        <v>2.4000000000000001E-5</v>
      </c>
      <c r="E1713" s="76">
        <v>4.1899999999999998E-7</v>
      </c>
      <c r="F1713" s="76">
        <v>1.6099999999999998E-5</v>
      </c>
      <c r="G1713" s="76">
        <v>1.95E-5</v>
      </c>
      <c r="H1713" s="76">
        <v>9.6600000000000003E-5</v>
      </c>
      <c r="I1713" s="76">
        <v>1.3799999999999999E-4</v>
      </c>
      <c r="J1713" s="76">
        <v>1.6000000000000001E-4</v>
      </c>
      <c r="K1713" s="76">
        <v>1.61E-6</v>
      </c>
      <c r="L1713" s="76">
        <v>2.5900000000000001E-4</v>
      </c>
      <c r="M1713" s="76">
        <v>2.5900000000000001E-4</v>
      </c>
    </row>
    <row r="1714" spans="3:13" x14ac:dyDescent="0.15">
      <c r="C1714" s="76">
        <v>736</v>
      </c>
      <c r="D1714" s="76">
        <v>2.97E-5</v>
      </c>
      <c r="E1714" s="76">
        <v>3.63E-6</v>
      </c>
      <c r="F1714" s="76">
        <v>1.22E-5</v>
      </c>
      <c r="G1714" s="76">
        <v>1.42E-5</v>
      </c>
      <c r="H1714" s="76">
        <v>1.08E-4</v>
      </c>
      <c r="I1714" s="76">
        <v>1.2300000000000001E-4</v>
      </c>
      <c r="J1714" s="76">
        <v>1.02E-4</v>
      </c>
      <c r="K1714" s="76">
        <v>2.27E-5</v>
      </c>
      <c r="L1714" s="76">
        <v>2.2100000000000001E-4</v>
      </c>
      <c r="M1714" s="76">
        <v>2.7999999999999998E-4</v>
      </c>
    </row>
    <row r="1715" spans="3:13" x14ac:dyDescent="0.15">
      <c r="C1715" s="76">
        <v>738</v>
      </c>
      <c r="D1715" s="76">
        <v>2.2799999999999999E-5</v>
      </c>
      <c r="E1715" s="76">
        <v>0</v>
      </c>
      <c r="F1715" s="76">
        <v>2.1100000000000001E-5</v>
      </c>
      <c r="G1715" s="76">
        <v>0</v>
      </c>
      <c r="H1715" s="76">
        <v>9.2399999999999996E-5</v>
      </c>
      <c r="I1715" s="76">
        <v>1.27E-4</v>
      </c>
      <c r="J1715" s="76">
        <v>9.9099999999999996E-5</v>
      </c>
      <c r="K1715" s="76">
        <v>1.45E-5</v>
      </c>
      <c r="L1715" s="76">
        <v>2.2599999999999999E-4</v>
      </c>
      <c r="M1715" s="76">
        <v>2.9700000000000001E-4</v>
      </c>
    </row>
    <row r="1716" spans="3:13" x14ac:dyDescent="0.15">
      <c r="C1716" s="76">
        <v>740</v>
      </c>
      <c r="D1716" s="76">
        <v>2.58E-5</v>
      </c>
      <c r="E1716" s="76">
        <v>0</v>
      </c>
      <c r="F1716" s="76">
        <v>5.1699999999999996E-6</v>
      </c>
      <c r="G1716" s="76">
        <v>7.5100000000000001E-6</v>
      </c>
      <c r="H1716" s="76">
        <v>1.3799999999999999E-4</v>
      </c>
      <c r="I1716" s="76">
        <v>1.34E-4</v>
      </c>
      <c r="J1716" s="76">
        <v>1.26E-4</v>
      </c>
      <c r="K1716" s="76">
        <v>0</v>
      </c>
      <c r="L1716" s="76">
        <v>2.1699999999999999E-4</v>
      </c>
      <c r="M1716" s="76">
        <v>1.56E-4</v>
      </c>
    </row>
    <row r="1717" spans="3:13" x14ac:dyDescent="0.15">
      <c r="C1717" s="76">
        <v>742</v>
      </c>
      <c r="D1717" s="76">
        <v>3.1699999999999998E-5</v>
      </c>
      <c r="E1717" s="76">
        <v>2.0700000000000001E-6</v>
      </c>
      <c r="F1717" s="76">
        <v>5.6999999999999996E-6</v>
      </c>
      <c r="G1717" s="76">
        <v>2.4300000000000001E-5</v>
      </c>
      <c r="H1717" s="76">
        <v>4.8199999999999999E-5</v>
      </c>
      <c r="I1717" s="76">
        <v>1.45E-4</v>
      </c>
      <c r="J1717" s="76">
        <v>1.5699999999999999E-4</v>
      </c>
      <c r="K1717" s="76">
        <v>8.6100000000000006E-5</v>
      </c>
      <c r="L1717" s="76">
        <v>2.8400000000000002E-4</v>
      </c>
      <c r="M1717" s="76">
        <v>1.9000000000000001E-4</v>
      </c>
    </row>
    <row r="1718" spans="3:13" x14ac:dyDescent="0.15">
      <c r="C1718" s="76">
        <v>744</v>
      </c>
      <c r="D1718" s="76">
        <v>3.4499999999999998E-5</v>
      </c>
      <c r="E1718" s="76">
        <v>0</v>
      </c>
      <c r="F1718" s="76">
        <v>2.3499999999999999E-5</v>
      </c>
      <c r="G1718" s="76">
        <v>4.1300000000000001E-5</v>
      </c>
      <c r="H1718" s="76">
        <v>8.1699999999999994E-5</v>
      </c>
      <c r="I1718" s="76">
        <v>1.5300000000000001E-4</v>
      </c>
      <c r="J1718" s="76">
        <v>1.34E-4</v>
      </c>
      <c r="K1718" s="76">
        <v>4.1E-5</v>
      </c>
      <c r="L1718" s="76">
        <v>2.0699999999999999E-4</v>
      </c>
      <c r="M1718" s="76">
        <v>1.5300000000000001E-4</v>
      </c>
    </row>
    <row r="1719" spans="3:13" x14ac:dyDescent="0.15">
      <c r="C1719" s="76">
        <v>746</v>
      </c>
      <c r="D1719" s="76">
        <v>3.7499999999999997E-5</v>
      </c>
      <c r="E1719" s="76">
        <v>0</v>
      </c>
      <c r="F1719" s="76">
        <v>2.1399999999999998E-5</v>
      </c>
      <c r="G1719" s="76">
        <v>8.0799999999999999E-5</v>
      </c>
      <c r="H1719" s="76">
        <v>9.1100000000000005E-5</v>
      </c>
      <c r="I1719" s="76">
        <v>1.36E-4</v>
      </c>
      <c r="J1719" s="76">
        <v>1.4200000000000001E-4</v>
      </c>
      <c r="K1719" s="76">
        <v>1.05E-4</v>
      </c>
      <c r="L1719" s="76">
        <v>1.8100000000000001E-4</v>
      </c>
      <c r="M1719" s="76">
        <v>2.04E-4</v>
      </c>
    </row>
    <row r="1720" spans="3:13" x14ac:dyDescent="0.15">
      <c r="C1720" s="76">
        <v>748</v>
      </c>
      <c r="D1720" s="76">
        <v>3.5099999999999999E-5</v>
      </c>
      <c r="E1720" s="76">
        <v>4.2500000000000001E-7</v>
      </c>
      <c r="F1720" s="76">
        <v>3.1399999999999998E-5</v>
      </c>
      <c r="G1720" s="76">
        <v>8.7600000000000002E-5</v>
      </c>
      <c r="H1720" s="76">
        <v>1.6000000000000001E-4</v>
      </c>
      <c r="I1720" s="76">
        <v>1.02E-4</v>
      </c>
      <c r="J1720" s="76">
        <v>1.1400000000000001E-4</v>
      </c>
      <c r="K1720" s="76">
        <v>5.1900000000000001E-5</v>
      </c>
      <c r="L1720" s="76">
        <v>2.03E-4</v>
      </c>
      <c r="M1720" s="76">
        <v>1.8599999999999999E-4</v>
      </c>
    </row>
    <row r="1721" spans="3:13" x14ac:dyDescent="0.15">
      <c r="C1721" s="76">
        <v>750</v>
      </c>
      <c r="D1721" s="76">
        <v>3.4700000000000003E-5</v>
      </c>
      <c r="E1721" s="76">
        <v>6.1099999999999999E-6</v>
      </c>
      <c r="F1721" s="76">
        <v>2.0000000000000002E-5</v>
      </c>
      <c r="G1721" s="76">
        <v>1.17E-4</v>
      </c>
      <c r="H1721" s="76">
        <v>8.3599999999999999E-5</v>
      </c>
      <c r="I1721" s="76">
        <v>1.45E-4</v>
      </c>
      <c r="J1721" s="76">
        <v>1.3799999999999999E-4</v>
      </c>
      <c r="K1721" s="76">
        <v>6.6500000000000004E-5</v>
      </c>
      <c r="L1721" s="76">
        <v>2.4800000000000001E-4</v>
      </c>
      <c r="M1721" s="76">
        <v>2.0900000000000001E-4</v>
      </c>
    </row>
    <row r="1722" spans="3:13" x14ac:dyDescent="0.15">
      <c r="C1722" s="76">
        <v>752</v>
      </c>
      <c r="D1722" s="76">
        <v>2.8600000000000001E-5</v>
      </c>
      <c r="E1722" s="76">
        <v>0</v>
      </c>
      <c r="F1722" s="76">
        <v>2.1100000000000001E-5</v>
      </c>
      <c r="G1722" s="76">
        <v>1.3100000000000001E-4</v>
      </c>
      <c r="H1722" s="76">
        <v>9.5600000000000006E-5</v>
      </c>
      <c r="I1722" s="76">
        <v>6.2199999999999994E-5</v>
      </c>
      <c r="J1722" s="76">
        <v>7.3999999999999996E-5</v>
      </c>
      <c r="K1722" s="76">
        <v>1.0399999999999999E-4</v>
      </c>
      <c r="L1722" s="76">
        <v>1.6200000000000001E-4</v>
      </c>
      <c r="M1722" s="76">
        <v>1.3899999999999999E-4</v>
      </c>
    </row>
    <row r="1723" spans="3:13" x14ac:dyDescent="0.15">
      <c r="C1723" s="76">
        <v>754</v>
      </c>
      <c r="D1723" s="76">
        <v>2.0100000000000001E-5</v>
      </c>
      <c r="E1723" s="76">
        <v>0</v>
      </c>
      <c r="F1723" s="76">
        <v>1.5999999999999999E-5</v>
      </c>
      <c r="G1723" s="76">
        <v>1.22E-4</v>
      </c>
      <c r="H1723" s="76">
        <v>9.7899999999999994E-5</v>
      </c>
      <c r="I1723" s="76">
        <v>6.0600000000000003E-5</v>
      </c>
      <c r="J1723" s="76">
        <v>1.66E-4</v>
      </c>
      <c r="K1723" s="76">
        <v>1.9000000000000001E-4</v>
      </c>
      <c r="L1723" s="76">
        <v>1.0900000000000001E-4</v>
      </c>
      <c r="M1723" s="76">
        <v>1.17E-4</v>
      </c>
    </row>
    <row r="1724" spans="3:13" x14ac:dyDescent="0.15">
      <c r="C1724" s="76">
        <v>756</v>
      </c>
      <c r="D1724" s="76">
        <v>2.12E-5</v>
      </c>
      <c r="E1724" s="76">
        <v>0</v>
      </c>
      <c r="F1724" s="76">
        <v>3.3800000000000002E-5</v>
      </c>
      <c r="G1724" s="76">
        <v>1.27E-4</v>
      </c>
      <c r="H1724" s="76">
        <v>5.1600000000000001E-5</v>
      </c>
      <c r="I1724" s="76">
        <v>1.27E-4</v>
      </c>
      <c r="J1724" s="76">
        <v>1.6000000000000001E-4</v>
      </c>
      <c r="K1724" s="76">
        <v>2.1000000000000001E-4</v>
      </c>
      <c r="L1724" s="76">
        <v>1.3200000000000001E-4</v>
      </c>
      <c r="M1724" s="76">
        <v>1.0900000000000001E-4</v>
      </c>
    </row>
    <row r="1725" spans="3:13" x14ac:dyDescent="0.15">
      <c r="C1725" s="76">
        <v>758</v>
      </c>
      <c r="D1725" s="76">
        <v>2.4199999999999999E-5</v>
      </c>
      <c r="E1725" s="76">
        <v>0</v>
      </c>
      <c r="F1725" s="76">
        <v>1.52E-5</v>
      </c>
      <c r="G1725" s="76">
        <v>1.84E-4</v>
      </c>
      <c r="H1725" s="76">
        <v>4.6499999999999999E-5</v>
      </c>
      <c r="I1725" s="76">
        <v>5.9500000000000003E-5</v>
      </c>
      <c r="J1725" s="76">
        <v>1.7799999999999999E-4</v>
      </c>
      <c r="K1725" s="76">
        <v>1.92E-4</v>
      </c>
      <c r="L1725" s="76">
        <v>9.9500000000000006E-5</v>
      </c>
      <c r="M1725" s="76">
        <v>1.5300000000000001E-4</v>
      </c>
    </row>
    <row r="1726" spans="3:13" x14ac:dyDescent="0.15">
      <c r="C1726" s="76">
        <v>760</v>
      </c>
      <c r="D1726" s="76">
        <v>2.37E-5</v>
      </c>
      <c r="E1726" s="76">
        <v>0</v>
      </c>
      <c r="F1726" s="76">
        <v>6.9E-6</v>
      </c>
      <c r="G1726" s="76">
        <v>1.65E-4</v>
      </c>
      <c r="H1726" s="76">
        <v>5.1799999999999999E-5</v>
      </c>
      <c r="I1726" s="76">
        <v>7.6899999999999999E-5</v>
      </c>
      <c r="J1726" s="76">
        <v>1.4300000000000001E-4</v>
      </c>
      <c r="K1726" s="76">
        <v>2.7599999999999999E-4</v>
      </c>
      <c r="L1726" s="76">
        <v>2.0699999999999999E-4</v>
      </c>
      <c r="M1726" s="76">
        <v>1.56E-4</v>
      </c>
    </row>
    <row r="1727" spans="3:13" x14ac:dyDescent="0.15">
      <c r="C1727" s="76">
        <v>762</v>
      </c>
      <c r="D1727" s="76">
        <v>1.7900000000000001E-5</v>
      </c>
      <c r="E1727" s="76">
        <v>8.4700000000000002E-6</v>
      </c>
      <c r="F1727" s="76">
        <v>5.1199999999999998E-5</v>
      </c>
      <c r="G1727" s="76">
        <v>1.6899999999999999E-4</v>
      </c>
      <c r="H1727" s="76">
        <v>8.5400000000000002E-5</v>
      </c>
      <c r="I1727" s="76">
        <v>6.3399999999999996E-5</v>
      </c>
      <c r="J1727" s="76">
        <v>2.4399999999999999E-4</v>
      </c>
      <c r="K1727" s="76">
        <v>3.4499999999999998E-4</v>
      </c>
      <c r="L1727" s="76">
        <v>7.86E-5</v>
      </c>
      <c r="M1727" s="76">
        <v>1.6100000000000001E-4</v>
      </c>
    </row>
    <row r="1728" spans="3:13" x14ac:dyDescent="0.15">
      <c r="C1728" s="76">
        <v>764</v>
      </c>
      <c r="D1728" s="76">
        <v>1.47E-5</v>
      </c>
      <c r="E1728" s="76">
        <v>1.6900000000000001E-5</v>
      </c>
      <c r="F1728" s="76">
        <v>4.5500000000000001E-5</v>
      </c>
      <c r="G1728" s="76">
        <v>1.6899999999999999E-4</v>
      </c>
      <c r="H1728" s="76">
        <v>9.6500000000000008E-6</v>
      </c>
      <c r="I1728" s="76">
        <v>1.3100000000000001E-4</v>
      </c>
      <c r="J1728" s="76">
        <v>1.5699999999999999E-4</v>
      </c>
      <c r="K1728" s="76">
        <v>3.6699999999999998E-4</v>
      </c>
      <c r="L1728" s="76">
        <v>6.5300000000000002E-5</v>
      </c>
      <c r="M1728" s="76">
        <v>1.18E-4</v>
      </c>
    </row>
    <row r="1729" spans="2:13" x14ac:dyDescent="0.15">
      <c r="C1729" s="76">
        <v>766</v>
      </c>
      <c r="D1729" s="76">
        <v>9.9000000000000001E-6</v>
      </c>
      <c r="E1729" s="76">
        <v>2.97E-5</v>
      </c>
      <c r="F1729" s="76">
        <v>9.5400000000000001E-6</v>
      </c>
      <c r="G1729" s="76">
        <v>1.64E-4</v>
      </c>
      <c r="H1729" s="76">
        <v>1.5E-5</v>
      </c>
      <c r="I1729" s="76">
        <v>1.34E-4</v>
      </c>
      <c r="J1729" s="76">
        <v>1.25E-4</v>
      </c>
      <c r="K1729" s="76">
        <v>2.9399999999999999E-4</v>
      </c>
      <c r="L1729" s="76">
        <v>7.8899999999999993E-5</v>
      </c>
      <c r="M1729" s="76">
        <v>1.6699999999999999E-4</v>
      </c>
    </row>
    <row r="1730" spans="2:13" x14ac:dyDescent="0.15">
      <c r="C1730" s="76">
        <v>768</v>
      </c>
      <c r="D1730" s="76">
        <v>2.88E-6</v>
      </c>
      <c r="E1730" s="76">
        <v>3.4199999999999998E-5</v>
      </c>
      <c r="F1730" s="76">
        <v>2.44E-5</v>
      </c>
      <c r="G1730" s="76">
        <v>1.45E-4</v>
      </c>
      <c r="H1730" s="76">
        <v>0</v>
      </c>
      <c r="I1730" s="76">
        <v>1.06E-4</v>
      </c>
      <c r="J1730" s="76">
        <v>1.76E-4</v>
      </c>
      <c r="K1730" s="76">
        <v>2.7900000000000001E-4</v>
      </c>
      <c r="L1730" s="76">
        <v>2.3600000000000001E-5</v>
      </c>
      <c r="M1730" s="76">
        <v>8.14E-5</v>
      </c>
    </row>
    <row r="1731" spans="2:13" x14ac:dyDescent="0.15">
      <c r="C1731" s="76">
        <v>770</v>
      </c>
      <c r="D1731" s="76">
        <v>4.2100000000000003E-6</v>
      </c>
      <c r="E1731" s="76">
        <v>5.1999999999999997E-5</v>
      </c>
      <c r="F1731" s="76">
        <v>4.1699999999999997E-5</v>
      </c>
      <c r="G1731" s="76">
        <v>1.7200000000000001E-4</v>
      </c>
      <c r="H1731" s="76">
        <v>0</v>
      </c>
      <c r="I1731" s="76">
        <v>9.6899999999999997E-5</v>
      </c>
      <c r="J1731" s="76">
        <v>1.9100000000000001E-4</v>
      </c>
      <c r="K1731" s="76">
        <v>2.9999999999999997E-4</v>
      </c>
      <c r="L1731" s="76">
        <v>5.5399999999999998E-5</v>
      </c>
      <c r="M1731" s="76">
        <v>1.9799999999999999E-4</v>
      </c>
    </row>
    <row r="1732" spans="2:13" x14ac:dyDescent="0.15">
      <c r="C1732" s="76">
        <v>772</v>
      </c>
      <c r="D1732" s="76">
        <v>9.0599999999999999E-7</v>
      </c>
      <c r="E1732" s="76">
        <v>5.9200000000000002E-5</v>
      </c>
      <c r="F1732" s="76">
        <v>3.8999999999999999E-5</v>
      </c>
      <c r="G1732" s="76">
        <v>1.54E-4</v>
      </c>
      <c r="H1732" s="76">
        <v>0</v>
      </c>
      <c r="I1732" s="76">
        <v>1.26E-4</v>
      </c>
      <c r="J1732" s="76">
        <v>1.94E-4</v>
      </c>
      <c r="K1732" s="76">
        <v>3.1500000000000001E-4</v>
      </c>
      <c r="L1732" s="76">
        <v>6.6499999999999999E-6</v>
      </c>
      <c r="M1732" s="76">
        <v>1.94E-4</v>
      </c>
    </row>
    <row r="1733" spans="2:13" x14ac:dyDescent="0.15">
      <c r="C1733" s="76">
        <v>774</v>
      </c>
      <c r="D1733" s="76">
        <v>0</v>
      </c>
      <c r="E1733" s="76">
        <v>6.8399999999999996E-5</v>
      </c>
      <c r="F1733" s="76">
        <v>5.8499999999999999E-5</v>
      </c>
      <c r="G1733" s="76">
        <v>1.18E-4</v>
      </c>
      <c r="H1733" s="76">
        <v>0</v>
      </c>
      <c r="I1733" s="76">
        <v>1.44E-4</v>
      </c>
      <c r="J1733" s="76">
        <v>1.7699999999999999E-4</v>
      </c>
      <c r="K1733" s="76">
        <v>2.61E-4</v>
      </c>
      <c r="L1733" s="76">
        <v>4.5600000000000004E-6</v>
      </c>
      <c r="M1733" s="76">
        <v>7.5699999999999997E-5</v>
      </c>
    </row>
    <row r="1734" spans="2:13" x14ac:dyDescent="0.15">
      <c r="C1734" s="76">
        <v>776</v>
      </c>
      <c r="D1734" s="76">
        <v>0</v>
      </c>
      <c r="E1734" s="76">
        <v>6.5599999999999995E-5</v>
      </c>
      <c r="F1734" s="76">
        <v>4.1499999999999999E-5</v>
      </c>
      <c r="G1734" s="76">
        <v>9.8599999999999998E-5</v>
      </c>
      <c r="H1734" s="76">
        <v>9.2900000000000008E-6</v>
      </c>
      <c r="I1734" s="76">
        <v>1.11E-4</v>
      </c>
      <c r="J1734" s="76">
        <v>2.3499999999999999E-4</v>
      </c>
      <c r="K1734" s="76">
        <v>2.7599999999999999E-4</v>
      </c>
      <c r="L1734" s="76">
        <v>7.0699999999999997E-5</v>
      </c>
      <c r="M1734" s="76">
        <v>2.1100000000000001E-4</v>
      </c>
    </row>
    <row r="1735" spans="2:13" x14ac:dyDescent="0.15">
      <c r="C1735" s="76">
        <v>778</v>
      </c>
      <c r="D1735" s="76">
        <v>0</v>
      </c>
      <c r="E1735" s="76">
        <v>6.2500000000000001E-5</v>
      </c>
      <c r="F1735" s="76">
        <v>5.5399999999999998E-5</v>
      </c>
      <c r="G1735" s="76">
        <v>1.0900000000000001E-4</v>
      </c>
      <c r="H1735" s="76">
        <v>6.0300000000000002E-5</v>
      </c>
      <c r="I1735" s="76">
        <v>1.54E-4</v>
      </c>
      <c r="J1735" s="76">
        <v>2.7900000000000001E-4</v>
      </c>
      <c r="K1735" s="76">
        <v>2.8200000000000002E-4</v>
      </c>
      <c r="L1735" s="76">
        <v>3.8800000000000001E-5</v>
      </c>
      <c r="M1735" s="76">
        <v>1.5899999999999999E-4</v>
      </c>
    </row>
    <row r="1736" spans="2:13" x14ac:dyDescent="0.15">
      <c r="C1736" s="76">
        <v>780</v>
      </c>
      <c r="D1736" s="76">
        <v>2.2199999999999999E-6</v>
      </c>
      <c r="E1736" s="120">
        <v>5.9700000000000001E-5</v>
      </c>
      <c r="F1736" s="120">
        <v>3.3899999999999997E-5</v>
      </c>
      <c r="G1736" s="120">
        <v>1.02E-4</v>
      </c>
      <c r="H1736" s="76">
        <v>2.2900000000000001E-5</v>
      </c>
      <c r="I1736" s="76">
        <v>1.9599999999999999E-4</v>
      </c>
      <c r="J1736" s="120">
        <v>2.0000000000000001E-4</v>
      </c>
      <c r="K1736" s="76">
        <v>3.0800000000000001E-4</v>
      </c>
      <c r="L1736" s="76">
        <v>8.6799999999999996E-5</v>
      </c>
      <c r="M1736" s="76">
        <v>2.2800000000000001E-4</v>
      </c>
    </row>
    <row r="1737" spans="2:13" x14ac:dyDescent="0.15">
      <c r="B1737" s="76">
        <v>24</v>
      </c>
      <c r="C1737" s="76" t="s">
        <v>561</v>
      </c>
      <c r="D1737" s="76">
        <v>1</v>
      </c>
      <c r="E1737" s="76">
        <v>2</v>
      </c>
      <c r="F1737" s="76">
        <v>3</v>
      </c>
      <c r="G1737" s="76">
        <v>4</v>
      </c>
      <c r="H1737" s="76">
        <v>5</v>
      </c>
      <c r="I1737" s="76">
        <v>6</v>
      </c>
      <c r="J1737" s="76">
        <v>7</v>
      </c>
      <c r="K1737" s="76">
        <v>8</v>
      </c>
      <c r="L1737" s="76">
        <v>9</v>
      </c>
      <c r="M1737" s="76">
        <v>10</v>
      </c>
    </row>
    <row r="1738" spans="2:13" x14ac:dyDescent="0.15">
      <c r="C1738" s="76" t="s">
        <v>556</v>
      </c>
      <c r="D1738" s="76">
        <v>3.5680000000000001</v>
      </c>
      <c r="E1738" s="76">
        <v>3.7050000000000001</v>
      </c>
      <c r="F1738" s="76">
        <v>3.802</v>
      </c>
      <c r="G1738" s="76">
        <v>3.8809999999999998</v>
      </c>
      <c r="H1738" s="76">
        <v>3.95</v>
      </c>
      <c r="I1738" s="76">
        <v>4.0110000000000001</v>
      </c>
      <c r="J1738" s="76">
        <v>4.0670000000000002</v>
      </c>
      <c r="K1738" s="76">
        <v>4.1189999999999998</v>
      </c>
      <c r="L1738" s="76">
        <v>4.1669999999999998</v>
      </c>
      <c r="M1738" s="76">
        <v>4.2119999999999997</v>
      </c>
    </row>
    <row r="1739" spans="2:13" x14ac:dyDescent="0.15">
      <c r="C1739" s="76" t="s">
        <v>562</v>
      </c>
      <c r="D1739" s="76">
        <v>0.08</v>
      </c>
      <c r="E1739" s="76">
        <v>0.16</v>
      </c>
      <c r="F1739" s="76">
        <v>0.24</v>
      </c>
      <c r="G1739" s="76">
        <v>0.32</v>
      </c>
      <c r="H1739" s="76">
        <v>0.4</v>
      </c>
      <c r="I1739" s="76">
        <v>0.48</v>
      </c>
      <c r="J1739" s="76">
        <v>0.56000000000000005</v>
      </c>
      <c r="K1739" s="76">
        <v>0.64</v>
      </c>
      <c r="L1739" s="76">
        <v>0.72</v>
      </c>
      <c r="M1739" s="76">
        <v>0.8</v>
      </c>
    </row>
    <row r="1740" spans="2:13" x14ac:dyDescent="0.15">
      <c r="C1740" s="76" t="s">
        <v>557</v>
      </c>
      <c r="D1740" s="76">
        <v>2</v>
      </c>
      <c r="E1740" s="76">
        <v>4</v>
      </c>
      <c r="F1740" s="76">
        <v>6</v>
      </c>
      <c r="G1740" s="76">
        <v>8</v>
      </c>
      <c r="H1740" s="76">
        <v>10</v>
      </c>
      <c r="I1740" s="76">
        <v>12</v>
      </c>
      <c r="J1740" s="76">
        <v>14</v>
      </c>
      <c r="K1740" s="76">
        <v>16</v>
      </c>
      <c r="L1740" s="76">
        <v>18</v>
      </c>
      <c r="M1740" s="76">
        <v>20</v>
      </c>
    </row>
    <row r="1741" spans="2:13" x14ac:dyDescent="0.15">
      <c r="C1741" s="76" t="s">
        <v>560</v>
      </c>
      <c r="D1741" s="76">
        <v>8.2690000000000001</v>
      </c>
      <c r="E1741" s="76">
        <v>8.4459999999999997</v>
      </c>
      <c r="F1741" s="76">
        <v>8.4830000000000005</v>
      </c>
      <c r="G1741" s="76">
        <v>8.4770000000000003</v>
      </c>
      <c r="H1741" s="76">
        <v>8.4629999999999992</v>
      </c>
      <c r="I1741" s="76">
        <v>8.4499999999999993</v>
      </c>
      <c r="J1741" s="76">
        <v>8.4280000000000008</v>
      </c>
      <c r="K1741" s="76">
        <v>8.4120000000000008</v>
      </c>
      <c r="L1741" s="76">
        <v>8.4049999999999994</v>
      </c>
      <c r="M1741" s="76">
        <v>8.3800000000000008</v>
      </c>
    </row>
    <row r="1742" spans="2:13" x14ac:dyDescent="0.15">
      <c r="C1742" s="76" t="s">
        <v>563</v>
      </c>
      <c r="D1742" s="76">
        <v>7.2810079999999999</v>
      </c>
      <c r="E1742" s="76">
        <v>7.1620689999999998</v>
      </c>
      <c r="F1742" s="76">
        <v>7.0100100000000003</v>
      </c>
      <c r="G1742" s="76">
        <v>6.862279</v>
      </c>
      <c r="H1742" s="76">
        <v>6.7315709999999997</v>
      </c>
      <c r="I1742" s="76">
        <v>6.6176680000000001</v>
      </c>
      <c r="J1742" s="76">
        <v>6.5101399999999998</v>
      </c>
      <c r="K1742" s="76">
        <v>6.41648</v>
      </c>
      <c r="L1742" s="76">
        <v>6.3374410000000001</v>
      </c>
      <c r="M1742" s="76">
        <v>6.2507650000000003</v>
      </c>
    </row>
    <row r="1743" spans="2:13" x14ac:dyDescent="0.15">
      <c r="C1743" s="76" t="s">
        <v>564</v>
      </c>
      <c r="D1743" s="76">
        <v>165.4</v>
      </c>
      <c r="E1743" s="76">
        <v>337.9</v>
      </c>
      <c r="F1743" s="120">
        <v>509</v>
      </c>
      <c r="G1743" s="76">
        <v>678.2</v>
      </c>
      <c r="H1743" s="76">
        <v>846.4</v>
      </c>
      <c r="I1743" s="76">
        <v>1014</v>
      </c>
      <c r="J1743" s="76">
        <v>1180</v>
      </c>
      <c r="K1743" s="76">
        <v>1346</v>
      </c>
      <c r="L1743" s="76">
        <v>1513</v>
      </c>
      <c r="M1743" s="76">
        <v>1676</v>
      </c>
    </row>
    <row r="1744" spans="2:13" x14ac:dyDescent="0.15">
      <c r="C1744" s="76" t="s">
        <v>565</v>
      </c>
      <c r="D1744" s="76">
        <v>165.4</v>
      </c>
      <c r="E1744" s="76">
        <v>337.9</v>
      </c>
      <c r="F1744" s="120">
        <v>509</v>
      </c>
      <c r="G1744" s="76">
        <v>678.2</v>
      </c>
      <c r="H1744" s="76">
        <v>846.4</v>
      </c>
      <c r="I1744" s="76">
        <v>1014</v>
      </c>
      <c r="J1744" s="76">
        <v>1180</v>
      </c>
      <c r="K1744" s="76">
        <v>1346</v>
      </c>
      <c r="L1744" s="76">
        <v>1513</v>
      </c>
      <c r="M1744" s="76">
        <v>1676</v>
      </c>
    </row>
    <row r="1745" spans="3:46" x14ac:dyDescent="0.15">
      <c r="C1745" s="76" t="s">
        <v>566</v>
      </c>
      <c r="D1745" s="76">
        <v>0.13550000000000001</v>
      </c>
      <c r="E1745" s="76">
        <v>0.13539999999999999</v>
      </c>
      <c r="F1745" s="76">
        <v>0.1356</v>
      </c>
      <c r="G1745" s="76">
        <v>0.13539999999999999</v>
      </c>
      <c r="H1745" s="76">
        <v>0.13539999999999999</v>
      </c>
      <c r="I1745" s="76">
        <v>0.13539999999999999</v>
      </c>
      <c r="J1745" s="76">
        <v>0.13550000000000001</v>
      </c>
      <c r="K1745" s="76">
        <v>0.13550000000000001</v>
      </c>
      <c r="L1745" s="76">
        <v>0.13550000000000001</v>
      </c>
      <c r="M1745" s="76">
        <v>0.13550000000000001</v>
      </c>
    </row>
    <row r="1746" spans="3:46" x14ac:dyDescent="0.15">
      <c r="C1746" s="76" t="s">
        <v>567</v>
      </c>
      <c r="D1746" s="76">
        <v>0.1178</v>
      </c>
      <c r="E1746" s="76">
        <v>0.11749999999999999</v>
      </c>
      <c r="F1746" s="76">
        <v>0.1176</v>
      </c>
      <c r="G1746" s="76">
        <v>0.11749999999999999</v>
      </c>
      <c r="H1746" s="76">
        <v>0.1174</v>
      </c>
      <c r="I1746" s="76">
        <v>0.1173</v>
      </c>
      <c r="J1746" s="76">
        <v>0.1173</v>
      </c>
      <c r="K1746" s="76">
        <v>0.1172</v>
      </c>
      <c r="L1746" s="76">
        <v>0.1173</v>
      </c>
      <c r="M1746" s="76">
        <v>0.1172</v>
      </c>
    </row>
    <row r="1747" spans="3:46" x14ac:dyDescent="0.15">
      <c r="C1747" s="76" t="s">
        <v>568</v>
      </c>
      <c r="D1747" s="76">
        <v>9.1591000000000005</v>
      </c>
      <c r="E1747" s="76">
        <v>9.3696000000000002</v>
      </c>
      <c r="F1747" s="76">
        <v>9.4025999999999996</v>
      </c>
      <c r="G1747" s="76">
        <v>9.4090000000000007</v>
      </c>
      <c r="H1747" s="76">
        <v>9.4014000000000006</v>
      </c>
      <c r="I1747" s="76">
        <v>9.3925999999999998</v>
      </c>
      <c r="J1747" s="76">
        <v>9.3727</v>
      </c>
      <c r="K1747" s="76">
        <v>9.3527000000000005</v>
      </c>
      <c r="L1747" s="76">
        <v>9.3327000000000009</v>
      </c>
      <c r="M1747" s="76">
        <v>9.3124000000000002</v>
      </c>
    </row>
    <row r="1748" spans="3:46" x14ac:dyDescent="0.15">
      <c r="C1748" s="76" t="s">
        <v>569</v>
      </c>
    </row>
    <row r="1749" spans="3:46" x14ac:dyDescent="0.15">
      <c r="C1749" s="76" t="s">
        <v>570</v>
      </c>
      <c r="D1749" s="76">
        <v>4</v>
      </c>
      <c r="E1749" s="76">
        <v>4</v>
      </c>
      <c r="F1749" s="76">
        <v>4</v>
      </c>
      <c r="G1749" s="76">
        <v>4</v>
      </c>
      <c r="H1749" s="76">
        <v>4</v>
      </c>
      <c r="I1749" s="76">
        <v>4</v>
      </c>
      <c r="J1749" s="76">
        <v>4</v>
      </c>
      <c r="K1749" s="76">
        <v>4</v>
      </c>
      <c r="L1749" s="76">
        <v>4</v>
      </c>
      <c r="M1749" s="76">
        <v>4</v>
      </c>
    </row>
    <row r="1750" spans="3:46" x14ac:dyDescent="0.15">
      <c r="C1750" s="76" t="s">
        <v>571</v>
      </c>
      <c r="D1750" s="76">
        <v>100</v>
      </c>
      <c r="E1750" s="76">
        <v>100</v>
      </c>
      <c r="F1750" s="76">
        <v>100</v>
      </c>
      <c r="G1750" s="76">
        <v>100</v>
      </c>
      <c r="H1750" s="76">
        <v>100</v>
      </c>
      <c r="I1750" s="76">
        <v>100</v>
      </c>
      <c r="J1750" s="76">
        <v>100</v>
      </c>
      <c r="K1750" s="76">
        <v>100</v>
      </c>
      <c r="L1750" s="76">
        <v>100</v>
      </c>
      <c r="M1750" s="76">
        <v>100</v>
      </c>
    </row>
    <row r="1751" spans="3:46" x14ac:dyDescent="0.15">
      <c r="C1751" s="76" t="s">
        <v>572</v>
      </c>
      <c r="D1751" s="76" t="s">
        <v>574</v>
      </c>
      <c r="E1751" s="76" t="s">
        <v>574</v>
      </c>
      <c r="F1751" s="76" t="s">
        <v>574</v>
      </c>
      <c r="G1751" s="76" t="s">
        <v>574</v>
      </c>
      <c r="H1751" s="76" t="s">
        <v>574</v>
      </c>
      <c r="I1751" s="76" t="s">
        <v>574</v>
      </c>
      <c r="J1751" s="76" t="s">
        <v>574</v>
      </c>
      <c r="K1751" s="76" t="s">
        <v>574</v>
      </c>
      <c r="L1751" s="76" t="s">
        <v>574</v>
      </c>
      <c r="M1751" s="76" t="s">
        <v>574</v>
      </c>
    </row>
    <row r="1752" spans="3:46" x14ac:dyDescent="0.15">
      <c r="C1752" s="76" t="s">
        <v>573</v>
      </c>
      <c r="D1752" s="76">
        <v>1</v>
      </c>
      <c r="E1752" s="76">
        <v>2</v>
      </c>
      <c r="F1752" s="76">
        <v>3</v>
      </c>
      <c r="G1752" s="76">
        <v>4</v>
      </c>
      <c r="H1752" s="76">
        <v>5</v>
      </c>
      <c r="I1752" s="76">
        <v>6</v>
      </c>
      <c r="J1752" s="76">
        <v>7</v>
      </c>
      <c r="K1752" s="76">
        <v>8</v>
      </c>
      <c r="L1752" s="76">
        <v>9</v>
      </c>
      <c r="M1752" s="76">
        <v>10</v>
      </c>
    </row>
    <row r="1753" spans="3:46" x14ac:dyDescent="0.15">
      <c r="C1753" s="76">
        <v>380</v>
      </c>
      <c r="D1753" s="76">
        <v>9.6399999999999999E-5</v>
      </c>
      <c r="E1753" s="76">
        <v>2.43E-4</v>
      </c>
      <c r="F1753" s="76">
        <v>3.7500000000000001E-4</v>
      </c>
      <c r="G1753" s="76">
        <v>6.0499999999999996E-4</v>
      </c>
      <c r="H1753" s="76">
        <v>5.62E-4</v>
      </c>
      <c r="I1753" s="76">
        <v>7.0200000000000004E-4</v>
      </c>
      <c r="J1753" s="76">
        <v>1.08E-3</v>
      </c>
      <c r="K1753" s="76">
        <v>8.9099999999999997E-4</v>
      </c>
      <c r="L1753" s="76">
        <v>1.67E-3</v>
      </c>
      <c r="M1753" s="76">
        <v>1.5399999999999999E-3</v>
      </c>
    </row>
    <row r="1754" spans="3:46" x14ac:dyDescent="0.15">
      <c r="C1754" s="76">
        <v>382</v>
      </c>
      <c r="D1754" s="76">
        <v>1.3200000000000001E-4</v>
      </c>
      <c r="E1754" s="76">
        <v>3.0699999999999998E-4</v>
      </c>
      <c r="F1754" s="76">
        <v>4.1300000000000001E-4</v>
      </c>
      <c r="G1754" s="76">
        <v>6.7299999999999999E-4</v>
      </c>
      <c r="H1754" s="76">
        <v>4.1199999999999999E-4</v>
      </c>
      <c r="I1754" s="76">
        <v>6.7500000000000004E-4</v>
      </c>
      <c r="J1754" s="76">
        <v>1.15E-3</v>
      </c>
      <c r="K1754" s="76">
        <v>7.0299999999999996E-4</v>
      </c>
      <c r="L1754" s="76">
        <v>1.6900000000000001E-3</v>
      </c>
      <c r="M1754" s="76">
        <v>1.7799999999999999E-3</v>
      </c>
    </row>
    <row r="1755" spans="3:46" x14ac:dyDescent="0.15">
      <c r="C1755" s="76">
        <v>384</v>
      </c>
      <c r="D1755" s="76">
        <v>1.5699999999999999E-4</v>
      </c>
      <c r="E1755" s="76">
        <v>3.5300000000000002E-4</v>
      </c>
      <c r="F1755" s="76">
        <v>4.0099999999999999E-4</v>
      </c>
      <c r="G1755" s="76">
        <v>4.8899999999999996E-4</v>
      </c>
      <c r="H1755" s="76">
        <v>4.2999999999999999E-4</v>
      </c>
      <c r="I1755" s="76">
        <v>5.8299999999999997E-4</v>
      </c>
      <c r="J1755" s="76">
        <v>1.14E-3</v>
      </c>
      <c r="K1755" s="76">
        <v>9.3499999999999996E-4</v>
      </c>
      <c r="L1755" s="76">
        <v>1.58E-3</v>
      </c>
      <c r="M1755" s="76">
        <v>1.2700000000000001E-3</v>
      </c>
    </row>
    <row r="1756" spans="3:46" x14ac:dyDescent="0.15">
      <c r="C1756" s="81">
        <v>386</v>
      </c>
      <c r="D1756" s="76">
        <v>1.5100000000000001E-4</v>
      </c>
      <c r="E1756" s="76">
        <v>2.7799999999999998E-4</v>
      </c>
      <c r="F1756" s="76">
        <v>2.23E-4</v>
      </c>
      <c r="G1756" s="76">
        <v>5.2499999999999997E-4</v>
      </c>
      <c r="H1756" s="81">
        <v>5.2999999999999998E-4</v>
      </c>
      <c r="I1756" s="76">
        <v>7.4299999999999995E-4</v>
      </c>
      <c r="J1756" s="76">
        <v>9.7599999999999998E-4</v>
      </c>
      <c r="K1756" s="76">
        <v>8.8000000000000003E-4</v>
      </c>
      <c r="L1756" s="81">
        <v>1.6000000000000001E-3</v>
      </c>
      <c r="M1756" s="76">
        <v>1.32E-3</v>
      </c>
      <c r="N1756" s="81"/>
      <c r="T1756" s="81"/>
      <c r="W1756" s="81"/>
      <c r="AG1756" s="81"/>
      <c r="AT1756" s="81"/>
    </row>
    <row r="1757" spans="3:46" x14ac:dyDescent="0.15">
      <c r="C1757" s="81">
        <v>388</v>
      </c>
      <c r="D1757" s="76">
        <v>1.2899999999999999E-4</v>
      </c>
      <c r="E1757" s="76">
        <v>2.9E-4</v>
      </c>
      <c r="F1757" s="76">
        <v>2.6600000000000001E-4</v>
      </c>
      <c r="G1757" s="76">
        <v>5.0299999999999997E-4</v>
      </c>
      <c r="H1757" s="81">
        <v>5.7499999999999999E-4</v>
      </c>
      <c r="I1757" s="76">
        <v>7.3399999999999995E-4</v>
      </c>
      <c r="J1757" s="76">
        <v>8.4699999999999999E-4</v>
      </c>
      <c r="K1757" s="76">
        <v>7.3999999999999999E-4</v>
      </c>
      <c r="L1757" s="81">
        <v>1.34E-3</v>
      </c>
      <c r="M1757" s="76">
        <v>1.15E-3</v>
      </c>
      <c r="N1757" s="81"/>
      <c r="T1757" s="81"/>
      <c r="W1757" s="81"/>
      <c r="AG1757" s="81"/>
      <c r="AT1757" s="81"/>
    </row>
    <row r="1758" spans="3:46" x14ac:dyDescent="0.15">
      <c r="C1758" s="81">
        <v>390</v>
      </c>
      <c r="D1758" s="76">
        <v>1.3799999999999999E-4</v>
      </c>
      <c r="E1758" s="76">
        <v>2.7799999999999998E-4</v>
      </c>
      <c r="F1758" s="76">
        <v>2.41E-4</v>
      </c>
      <c r="G1758" s="76">
        <v>5.62E-4</v>
      </c>
      <c r="H1758" s="81">
        <v>6.5399999999999996E-4</v>
      </c>
      <c r="I1758" s="76">
        <v>6.3400000000000001E-4</v>
      </c>
      <c r="J1758" s="76">
        <v>8.9599999999999999E-4</v>
      </c>
      <c r="K1758" s="76">
        <v>7.8100000000000001E-4</v>
      </c>
      <c r="L1758" s="81">
        <v>1.4E-3</v>
      </c>
      <c r="M1758" s="76">
        <v>1.25E-3</v>
      </c>
      <c r="N1758" s="81"/>
      <c r="T1758" s="81"/>
      <c r="W1758" s="81"/>
      <c r="AG1758" s="81"/>
      <c r="AT1758" s="81"/>
    </row>
    <row r="1759" spans="3:46" x14ac:dyDescent="0.15">
      <c r="C1759" s="81">
        <v>392</v>
      </c>
      <c r="D1759" s="76">
        <v>1.22E-4</v>
      </c>
      <c r="E1759" s="76">
        <v>2.8699999999999998E-4</v>
      </c>
      <c r="F1759" s="76">
        <v>2.34E-4</v>
      </c>
      <c r="G1759" s="76">
        <v>5.7399999999999997E-4</v>
      </c>
      <c r="H1759" s="81">
        <v>6.9200000000000002E-4</v>
      </c>
      <c r="I1759" s="76">
        <v>7.4200000000000004E-4</v>
      </c>
      <c r="J1759" s="76">
        <v>8.5700000000000001E-4</v>
      </c>
      <c r="K1759" s="76">
        <v>1.1100000000000001E-3</v>
      </c>
      <c r="L1759" s="81">
        <v>1.17E-3</v>
      </c>
      <c r="M1759" s="76">
        <v>1.1299999999999999E-3</v>
      </c>
      <c r="N1759" s="81"/>
      <c r="T1759" s="81"/>
      <c r="W1759" s="81"/>
      <c r="AG1759" s="81"/>
      <c r="AT1759" s="81"/>
    </row>
    <row r="1760" spans="3:46" x14ac:dyDescent="0.15">
      <c r="C1760" s="81">
        <v>394</v>
      </c>
      <c r="D1760" s="76">
        <v>1.3200000000000001E-4</v>
      </c>
      <c r="E1760" s="76">
        <v>2.9100000000000003E-4</v>
      </c>
      <c r="F1760" s="76">
        <v>3.1500000000000001E-4</v>
      </c>
      <c r="G1760" s="76">
        <v>5.5900000000000004E-4</v>
      </c>
      <c r="H1760" s="81">
        <v>7.2499999999999995E-4</v>
      </c>
      <c r="I1760" s="76">
        <v>8.6899999999999998E-4</v>
      </c>
      <c r="J1760" s="76">
        <v>8.9700000000000001E-4</v>
      </c>
      <c r="K1760" s="76">
        <v>1.06E-3</v>
      </c>
      <c r="L1760" s="81">
        <v>1.0200000000000001E-3</v>
      </c>
      <c r="M1760" s="76">
        <v>1.0499999999999999E-3</v>
      </c>
      <c r="N1760" s="81"/>
      <c r="T1760" s="81"/>
      <c r="W1760" s="81"/>
      <c r="AG1760" s="81"/>
      <c r="AT1760" s="81"/>
    </row>
    <row r="1761" spans="3:56" x14ac:dyDescent="0.15">
      <c r="C1761" s="81">
        <v>396</v>
      </c>
      <c r="D1761" s="76">
        <v>1.3200000000000001E-4</v>
      </c>
      <c r="E1761" s="76">
        <v>2.9300000000000002E-4</v>
      </c>
      <c r="F1761" s="76">
        <v>2.9700000000000001E-4</v>
      </c>
      <c r="G1761" s="76">
        <v>5.9299999999999999E-4</v>
      </c>
      <c r="H1761" s="81">
        <v>8.3799999999999999E-4</v>
      </c>
      <c r="I1761" s="76">
        <v>7.0500000000000001E-4</v>
      </c>
      <c r="J1761" s="76">
        <v>1.06E-3</v>
      </c>
      <c r="K1761" s="76">
        <v>7.7399999999999995E-4</v>
      </c>
      <c r="L1761" s="81">
        <v>1.2999999999999999E-3</v>
      </c>
      <c r="M1761" s="76">
        <v>1.1000000000000001E-3</v>
      </c>
      <c r="N1761" s="81"/>
      <c r="T1761" s="81"/>
      <c r="W1761" s="81"/>
      <c r="AG1761" s="81"/>
      <c r="AT1761" s="81"/>
    </row>
    <row r="1762" spans="3:56" x14ac:dyDescent="0.15">
      <c r="C1762" s="81">
        <v>398</v>
      </c>
      <c r="D1762" s="76">
        <v>1.25E-4</v>
      </c>
      <c r="E1762" s="76">
        <v>3.0800000000000001E-4</v>
      </c>
      <c r="F1762" s="76">
        <v>3.3599999999999998E-4</v>
      </c>
      <c r="G1762" s="76">
        <v>5.6700000000000001E-4</v>
      </c>
      <c r="H1762" s="81">
        <v>7.4899999999999999E-4</v>
      </c>
      <c r="I1762" s="76">
        <v>1.0399999999999999E-3</v>
      </c>
      <c r="J1762" s="76">
        <v>1.0399999999999999E-3</v>
      </c>
      <c r="K1762" s="76">
        <v>9.3400000000000004E-4</v>
      </c>
      <c r="L1762" s="81">
        <v>1.1800000000000001E-3</v>
      </c>
      <c r="M1762" s="76">
        <v>7.8299999999999995E-4</v>
      </c>
      <c r="N1762" s="81"/>
      <c r="T1762" s="81"/>
      <c r="W1762" s="81"/>
      <c r="AG1762" s="81"/>
      <c r="AT1762" s="81"/>
    </row>
    <row r="1763" spans="3:56" x14ac:dyDescent="0.15">
      <c r="C1763" s="81">
        <v>400</v>
      </c>
      <c r="D1763" s="76">
        <v>1.16E-4</v>
      </c>
      <c r="E1763" s="76">
        <v>2.8499999999999999E-4</v>
      </c>
      <c r="F1763" s="76">
        <v>3.1700000000000001E-4</v>
      </c>
      <c r="G1763" s="76">
        <v>6.5600000000000001E-4</v>
      </c>
      <c r="H1763" s="81">
        <v>6.4899999999999995E-4</v>
      </c>
      <c r="I1763" s="76">
        <v>9.2800000000000001E-4</v>
      </c>
      <c r="J1763" s="76">
        <v>1.0399999999999999E-3</v>
      </c>
      <c r="K1763" s="76">
        <v>1.01E-3</v>
      </c>
      <c r="L1763" s="81">
        <v>1.01E-3</v>
      </c>
      <c r="M1763" s="76">
        <v>1.1299999999999999E-3</v>
      </c>
      <c r="N1763" s="81"/>
      <c r="T1763" s="81"/>
      <c r="W1763" s="81"/>
      <c r="AG1763" s="81"/>
      <c r="AT1763" s="81"/>
    </row>
    <row r="1764" spans="3:56" x14ac:dyDescent="0.15">
      <c r="C1764" s="81">
        <v>402</v>
      </c>
      <c r="D1764" s="76">
        <v>1.3300000000000001E-4</v>
      </c>
      <c r="E1764" s="76">
        <v>3.1599999999999998E-4</v>
      </c>
      <c r="F1764" s="76">
        <v>3.1799999999999998E-4</v>
      </c>
      <c r="G1764" s="76">
        <v>5.8600000000000004E-4</v>
      </c>
      <c r="H1764" s="81">
        <v>7.6800000000000002E-4</v>
      </c>
      <c r="I1764" s="76">
        <v>7.45E-4</v>
      </c>
      <c r="J1764" s="76">
        <v>1.08E-3</v>
      </c>
      <c r="K1764" s="76">
        <v>1.0300000000000001E-3</v>
      </c>
      <c r="L1764" s="81">
        <v>6.9399999999999996E-4</v>
      </c>
      <c r="M1764" s="76">
        <v>1.1000000000000001E-3</v>
      </c>
      <c r="N1764" s="81"/>
      <c r="T1764" s="81"/>
      <c r="W1764" s="81"/>
      <c r="AG1764" s="81"/>
      <c r="AT1764" s="81"/>
    </row>
    <row r="1765" spans="3:56" x14ac:dyDescent="0.15">
      <c r="C1765" s="81">
        <v>404</v>
      </c>
      <c r="D1765" s="76">
        <v>1.44E-4</v>
      </c>
      <c r="E1765" s="76">
        <v>3.6200000000000002E-4</v>
      </c>
      <c r="F1765" s="76">
        <v>3.6099999999999999E-4</v>
      </c>
      <c r="G1765" s="76">
        <v>6.0899999999999995E-4</v>
      </c>
      <c r="H1765" s="81">
        <v>8.1300000000000003E-4</v>
      </c>
      <c r="I1765" s="76">
        <v>9.1600000000000004E-4</v>
      </c>
      <c r="J1765" s="76">
        <v>1.1999999999999999E-3</v>
      </c>
      <c r="K1765" s="76">
        <v>1.08E-3</v>
      </c>
      <c r="L1765" s="81">
        <v>8.1400000000000005E-4</v>
      </c>
      <c r="M1765" s="76">
        <v>1.2600000000000001E-3</v>
      </c>
      <c r="N1765" s="81"/>
      <c r="T1765" s="81"/>
      <c r="W1765" s="81"/>
      <c r="AG1765" s="81"/>
      <c r="AT1765" s="81"/>
    </row>
    <row r="1766" spans="3:56" x14ac:dyDescent="0.15">
      <c r="C1766" s="81">
        <v>406</v>
      </c>
      <c r="D1766" s="76">
        <v>1.3300000000000001E-4</v>
      </c>
      <c r="E1766" s="76">
        <v>3.1799999999999998E-4</v>
      </c>
      <c r="F1766" s="76">
        <v>4.1599999999999997E-4</v>
      </c>
      <c r="G1766" s="76">
        <v>5.9800000000000001E-4</v>
      </c>
      <c r="H1766" s="81">
        <v>8.7100000000000003E-4</v>
      </c>
      <c r="I1766" s="76">
        <v>1.0200000000000001E-3</v>
      </c>
      <c r="J1766" s="76">
        <v>1.08E-3</v>
      </c>
      <c r="K1766" s="76">
        <v>1.17E-3</v>
      </c>
      <c r="L1766" s="81">
        <v>1.1000000000000001E-3</v>
      </c>
      <c r="M1766" s="76">
        <v>1.32E-3</v>
      </c>
      <c r="N1766" s="81"/>
      <c r="T1766" s="81"/>
      <c r="W1766" s="81"/>
      <c r="AG1766" s="81"/>
      <c r="AT1766" s="81"/>
    </row>
    <row r="1767" spans="3:56" x14ac:dyDescent="0.15">
      <c r="C1767" s="81">
        <v>408</v>
      </c>
      <c r="D1767" s="76">
        <v>1.5699999999999999E-4</v>
      </c>
      <c r="E1767" s="76">
        <v>3.4400000000000001E-4</v>
      </c>
      <c r="F1767" s="76">
        <v>4.8099999999999998E-4</v>
      </c>
      <c r="G1767" s="76">
        <v>6.6699999999999995E-4</v>
      </c>
      <c r="H1767" s="81">
        <v>1.0300000000000001E-3</v>
      </c>
      <c r="I1767" s="76">
        <v>1.15E-3</v>
      </c>
      <c r="J1767" s="76">
        <v>1.2999999999999999E-3</v>
      </c>
      <c r="K1767" s="76">
        <v>1.23E-3</v>
      </c>
      <c r="L1767" s="81">
        <v>1.24E-3</v>
      </c>
      <c r="M1767" s="76">
        <v>1.39E-3</v>
      </c>
      <c r="N1767" s="81"/>
      <c r="T1767" s="81"/>
      <c r="W1767" s="81"/>
      <c r="AG1767" s="81"/>
      <c r="AT1767" s="81"/>
    </row>
    <row r="1768" spans="3:56" x14ac:dyDescent="0.15">
      <c r="C1768" s="81">
        <v>410</v>
      </c>
      <c r="D1768" s="76">
        <v>1.76E-4</v>
      </c>
      <c r="E1768" s="76">
        <v>3.3300000000000002E-4</v>
      </c>
      <c r="F1768" s="76">
        <v>4.3399999999999998E-4</v>
      </c>
      <c r="G1768" s="76">
        <v>7.4799999999999997E-4</v>
      </c>
      <c r="H1768" s="81">
        <v>9.9400000000000009E-4</v>
      </c>
      <c r="I1768" s="76">
        <v>1.15E-3</v>
      </c>
      <c r="J1768" s="76">
        <v>1.42E-3</v>
      </c>
      <c r="K1768" s="76">
        <v>1.3600000000000001E-3</v>
      </c>
      <c r="L1768" s="81">
        <v>1.42E-3</v>
      </c>
      <c r="M1768" s="76">
        <v>1.6800000000000001E-3</v>
      </c>
      <c r="N1768" s="81"/>
      <c r="T1768" s="81"/>
      <c r="W1768" s="81"/>
      <c r="AG1768" s="81"/>
      <c r="AT1768" s="81"/>
    </row>
    <row r="1769" spans="3:56" x14ac:dyDescent="0.15">
      <c r="C1769" s="81">
        <v>412</v>
      </c>
      <c r="D1769" s="76">
        <v>2.0000000000000001E-4</v>
      </c>
      <c r="E1769" s="76">
        <v>3.77E-4</v>
      </c>
      <c r="F1769" s="76">
        <v>6.6299999999999996E-4</v>
      </c>
      <c r="G1769" s="76">
        <v>8.1800000000000004E-4</v>
      </c>
      <c r="H1769" s="81">
        <v>1.16E-3</v>
      </c>
      <c r="I1769" s="76">
        <v>1.34E-3</v>
      </c>
      <c r="J1769" s="76">
        <v>1.5E-3</v>
      </c>
      <c r="K1769" s="76">
        <v>1.66E-3</v>
      </c>
      <c r="L1769" s="81">
        <v>1.67E-3</v>
      </c>
      <c r="M1769" s="76">
        <v>1.8699999999999999E-3</v>
      </c>
      <c r="N1769" s="81"/>
      <c r="T1769" s="81"/>
      <c r="W1769" s="81"/>
      <c r="AG1769" s="81"/>
      <c r="AT1769" s="81"/>
    </row>
    <row r="1770" spans="3:56" x14ac:dyDescent="0.15">
      <c r="C1770" s="81">
        <v>414</v>
      </c>
      <c r="D1770" s="81">
        <v>2.33E-4</v>
      </c>
      <c r="E1770" s="81">
        <v>4.3600000000000003E-4</v>
      </c>
      <c r="F1770" s="81">
        <v>7.3399999999999995E-4</v>
      </c>
      <c r="G1770" s="81">
        <v>9.4399999999999996E-4</v>
      </c>
      <c r="H1770" s="81">
        <v>1.3699999999999999E-3</v>
      </c>
      <c r="I1770" s="81">
        <v>1.56E-3</v>
      </c>
      <c r="J1770" s="81">
        <v>1.7799999999999999E-3</v>
      </c>
      <c r="K1770" s="81">
        <v>1.9400000000000001E-3</v>
      </c>
      <c r="L1770" s="81">
        <v>1.91E-3</v>
      </c>
      <c r="M1770" s="81">
        <v>2.2100000000000002E-3</v>
      </c>
      <c r="N1770" s="81"/>
      <c r="O1770" s="81"/>
      <c r="P1770" s="81"/>
      <c r="Q1770" s="81"/>
      <c r="R1770" s="81"/>
      <c r="S1770" s="81"/>
      <c r="T1770" s="81"/>
      <c r="U1770" s="81"/>
      <c r="V1770" s="81"/>
      <c r="W1770" s="81"/>
      <c r="X1770" s="81"/>
      <c r="Y1770" s="81"/>
      <c r="Z1770" s="81"/>
      <c r="AA1770" s="81"/>
      <c r="AB1770" s="81"/>
      <c r="AC1770" s="81"/>
      <c r="AD1770" s="81"/>
      <c r="AG1770" s="81"/>
      <c r="AH1770" s="81"/>
      <c r="AI1770" s="81"/>
      <c r="AJ1770" s="81"/>
      <c r="AK1770" s="81"/>
      <c r="AL1770" s="81"/>
      <c r="AM1770" s="81"/>
      <c r="AN1770" s="81"/>
      <c r="AO1770" s="81"/>
      <c r="AP1770" s="81"/>
      <c r="AQ1770" s="81"/>
      <c r="AT1770" s="81"/>
      <c r="AU1770" s="81"/>
      <c r="AV1770" s="81"/>
      <c r="AW1770" s="81"/>
      <c r="AX1770" s="81"/>
      <c r="AY1770" s="81"/>
      <c r="AZ1770" s="81"/>
      <c r="BA1770" s="81"/>
      <c r="BB1770" s="81"/>
      <c r="BC1770" s="81"/>
      <c r="BD1770" s="81"/>
    </row>
    <row r="1771" spans="3:56" x14ac:dyDescent="0.15">
      <c r="C1771" s="81">
        <v>416</v>
      </c>
      <c r="D1771" s="76">
        <v>2.7300000000000002E-4</v>
      </c>
      <c r="E1771" s="76">
        <v>5.04E-4</v>
      </c>
      <c r="F1771" s="76">
        <v>8.4599999999999996E-4</v>
      </c>
      <c r="G1771" s="76">
        <v>1.1199999999999999E-3</v>
      </c>
      <c r="H1771" s="81">
        <v>1.5100000000000001E-3</v>
      </c>
      <c r="I1771" s="76">
        <v>1.8500000000000001E-3</v>
      </c>
      <c r="J1771" s="76">
        <v>2.1700000000000001E-3</v>
      </c>
      <c r="K1771" s="76">
        <v>2.2799999999999999E-3</v>
      </c>
      <c r="L1771" s="81">
        <v>2.33E-3</v>
      </c>
      <c r="M1771" s="76">
        <v>2.7000000000000001E-3</v>
      </c>
      <c r="N1771" s="81"/>
      <c r="T1771" s="81"/>
      <c r="W1771" s="81"/>
      <c r="AG1771" s="81"/>
      <c r="AT1771" s="81"/>
    </row>
    <row r="1772" spans="3:56" x14ac:dyDescent="0.15">
      <c r="C1772" s="76">
        <v>418</v>
      </c>
      <c r="D1772" s="76">
        <v>3.2000000000000003E-4</v>
      </c>
      <c r="E1772" s="76">
        <v>6.1499999999999999E-4</v>
      </c>
      <c r="F1772" s="76">
        <v>9.5399999999999999E-4</v>
      </c>
      <c r="G1772" s="76">
        <v>1.2700000000000001E-3</v>
      </c>
      <c r="H1772" s="76">
        <v>1.73E-3</v>
      </c>
      <c r="I1772" s="76">
        <v>2.1299999999999999E-3</v>
      </c>
      <c r="J1772" s="76">
        <v>2.4299999999999999E-3</v>
      </c>
      <c r="K1772" s="76">
        <v>2.7100000000000002E-3</v>
      </c>
      <c r="L1772" s="76">
        <v>2.8400000000000001E-3</v>
      </c>
      <c r="M1772" s="76">
        <v>3.2799999999999999E-3</v>
      </c>
    </row>
    <row r="1773" spans="3:56" x14ac:dyDescent="0.15">
      <c r="C1773" s="76">
        <v>420</v>
      </c>
      <c r="D1773" s="76">
        <v>3.7599999999999998E-4</v>
      </c>
      <c r="E1773" s="76">
        <v>7.7200000000000001E-4</v>
      </c>
      <c r="F1773" s="76">
        <v>1.1999999999999999E-3</v>
      </c>
      <c r="G1773" s="76">
        <v>1.5299999999999999E-3</v>
      </c>
      <c r="H1773" s="76">
        <v>2.0699999999999998E-3</v>
      </c>
      <c r="I1773" s="76">
        <v>2.5200000000000001E-3</v>
      </c>
      <c r="J1773" s="76">
        <v>2.8900000000000002E-3</v>
      </c>
      <c r="K1773" s="76">
        <v>3.2499999999999999E-3</v>
      </c>
      <c r="L1773" s="76">
        <v>3.3999999999999998E-3</v>
      </c>
      <c r="M1773" s="76">
        <v>3.79E-3</v>
      </c>
    </row>
    <row r="1774" spans="3:56" x14ac:dyDescent="0.15">
      <c r="C1774" s="76">
        <v>422</v>
      </c>
      <c r="D1774" s="76">
        <v>4.5399999999999998E-4</v>
      </c>
      <c r="E1774" s="76">
        <v>9.0700000000000004E-4</v>
      </c>
      <c r="F1774" s="76">
        <v>1.47E-3</v>
      </c>
      <c r="G1774" s="76">
        <v>1.8699999999999999E-3</v>
      </c>
      <c r="H1774" s="76">
        <v>2.48E-3</v>
      </c>
      <c r="I1774" s="76">
        <v>3.0799999999999998E-3</v>
      </c>
      <c r="J1774" s="76">
        <v>3.4199999999999999E-3</v>
      </c>
      <c r="K1774" s="76">
        <v>3.8800000000000002E-3</v>
      </c>
      <c r="L1774" s="76">
        <v>4.2300000000000003E-3</v>
      </c>
      <c r="M1774" s="76">
        <v>4.7400000000000003E-3</v>
      </c>
    </row>
    <row r="1775" spans="3:56" x14ac:dyDescent="0.15">
      <c r="C1775" s="76">
        <v>424</v>
      </c>
      <c r="D1775" s="76">
        <v>5.7200000000000003E-4</v>
      </c>
      <c r="E1775" s="76">
        <v>1.16E-3</v>
      </c>
      <c r="F1775" s="76">
        <v>1.81E-3</v>
      </c>
      <c r="G1775" s="76">
        <v>2.3600000000000001E-3</v>
      </c>
      <c r="H1775" s="76">
        <v>3.0799999999999998E-3</v>
      </c>
      <c r="I1775" s="76">
        <v>3.7499999999999999E-3</v>
      </c>
      <c r="J1775" s="76">
        <v>4.3499999999999997E-3</v>
      </c>
      <c r="K1775" s="76">
        <v>5.0200000000000002E-3</v>
      </c>
      <c r="L1775" s="76">
        <v>5.3699999999999998E-3</v>
      </c>
      <c r="M1775" s="76">
        <v>5.9500000000000004E-3</v>
      </c>
    </row>
    <row r="1776" spans="3:56" x14ac:dyDescent="0.15">
      <c r="C1776" s="76">
        <v>426</v>
      </c>
      <c r="D1776" s="76">
        <v>7.2599999999999997E-4</v>
      </c>
      <c r="E1776" s="76">
        <v>1.4400000000000001E-3</v>
      </c>
      <c r="F1776" s="76">
        <v>2.2399999999999998E-3</v>
      </c>
      <c r="G1776" s="76">
        <v>2.99E-3</v>
      </c>
      <c r="H1776" s="76">
        <v>3.8700000000000002E-3</v>
      </c>
      <c r="I1776" s="76">
        <v>4.7000000000000002E-3</v>
      </c>
      <c r="J1776" s="76">
        <v>5.4799999999999996E-3</v>
      </c>
      <c r="K1776" s="76">
        <v>6.3299999999999997E-3</v>
      </c>
      <c r="L1776" s="76">
        <v>6.8300000000000001E-3</v>
      </c>
      <c r="M1776" s="76">
        <v>7.4799999999999997E-3</v>
      </c>
    </row>
    <row r="1777" spans="3:13" x14ac:dyDescent="0.15">
      <c r="C1777" s="76">
        <v>428</v>
      </c>
      <c r="D1777" s="76">
        <v>9.4899999999999997E-4</v>
      </c>
      <c r="E1777" s="76">
        <v>1.92E-3</v>
      </c>
      <c r="F1777" s="76">
        <v>2.96E-3</v>
      </c>
      <c r="G1777" s="76">
        <v>3.8800000000000002E-3</v>
      </c>
      <c r="H1777" s="76">
        <v>4.9899999999999996E-3</v>
      </c>
      <c r="I1777" s="76">
        <v>6.0499999999999998E-3</v>
      </c>
      <c r="J1777" s="76">
        <v>7.0600000000000003E-3</v>
      </c>
      <c r="K1777" s="76">
        <v>8.1099999999999992E-3</v>
      </c>
      <c r="L1777" s="76">
        <v>8.9499999999999996E-3</v>
      </c>
      <c r="M1777" s="76">
        <v>9.8899999999999995E-3</v>
      </c>
    </row>
    <row r="1778" spans="3:13" x14ac:dyDescent="0.15">
      <c r="C1778" s="76">
        <v>430</v>
      </c>
      <c r="D1778" s="76">
        <v>1.2700000000000001E-3</v>
      </c>
      <c r="E1778" s="76">
        <v>2.5999999999999999E-3</v>
      </c>
      <c r="F1778" s="76">
        <v>3.98E-3</v>
      </c>
      <c r="G1778" s="76">
        <v>5.2199999999999998E-3</v>
      </c>
      <c r="H1778" s="76">
        <v>6.6299999999999996E-3</v>
      </c>
      <c r="I1778" s="76">
        <v>8.0599999999999995E-3</v>
      </c>
      <c r="J1778" s="76">
        <v>9.3299999999999998E-3</v>
      </c>
      <c r="K1778" s="76">
        <v>1.0800000000000001E-2</v>
      </c>
      <c r="L1778" s="76">
        <v>1.2E-2</v>
      </c>
      <c r="M1778" s="76">
        <v>1.3299999999999999E-2</v>
      </c>
    </row>
    <row r="1779" spans="3:13" x14ac:dyDescent="0.15">
      <c r="C1779" s="76">
        <v>432</v>
      </c>
      <c r="D1779" s="76">
        <v>1.75E-3</v>
      </c>
      <c r="E1779" s="76">
        <v>3.5400000000000002E-3</v>
      </c>
      <c r="F1779" s="76">
        <v>5.3899999999999998E-3</v>
      </c>
      <c r="G1779" s="76">
        <v>7.1599999999999997E-3</v>
      </c>
      <c r="H1779" s="76">
        <v>9.0799999999999995E-3</v>
      </c>
      <c r="I1779" s="76">
        <v>1.11E-2</v>
      </c>
      <c r="J1779" s="76">
        <v>1.2699999999999999E-2</v>
      </c>
      <c r="K1779" s="76">
        <v>1.4800000000000001E-2</v>
      </c>
      <c r="L1779" s="76">
        <v>1.6500000000000001E-2</v>
      </c>
      <c r="M1779" s="76">
        <v>1.8200000000000001E-2</v>
      </c>
    </row>
    <row r="1780" spans="3:13" x14ac:dyDescent="0.15">
      <c r="C1780" s="76">
        <v>434</v>
      </c>
      <c r="D1780" s="76">
        <v>2.4199999999999998E-3</v>
      </c>
      <c r="E1780" s="76">
        <v>4.9300000000000004E-3</v>
      </c>
      <c r="F1780" s="76">
        <v>7.4799999999999997E-3</v>
      </c>
      <c r="G1780" s="76">
        <v>0.01</v>
      </c>
      <c r="H1780" s="76">
        <v>1.26E-2</v>
      </c>
      <c r="I1780" s="76">
        <v>1.5299999999999999E-2</v>
      </c>
      <c r="J1780" s="76">
        <v>1.77E-2</v>
      </c>
      <c r="K1780" s="76">
        <v>2.0400000000000001E-2</v>
      </c>
      <c r="L1780" s="76">
        <v>2.2800000000000001E-2</v>
      </c>
      <c r="M1780" s="76">
        <v>2.53E-2</v>
      </c>
    </row>
    <row r="1781" spans="3:13" x14ac:dyDescent="0.15">
      <c r="C1781" s="76">
        <v>436</v>
      </c>
      <c r="D1781" s="76">
        <v>3.47E-3</v>
      </c>
      <c r="E1781" s="76">
        <v>7.0699999999999999E-3</v>
      </c>
      <c r="F1781" s="76">
        <v>1.0699999999999999E-2</v>
      </c>
      <c r="G1781" s="76">
        <v>1.43E-2</v>
      </c>
      <c r="H1781" s="76">
        <v>1.7899999999999999E-2</v>
      </c>
      <c r="I1781" s="76">
        <v>2.1700000000000001E-2</v>
      </c>
      <c r="J1781" s="76">
        <v>2.52E-2</v>
      </c>
      <c r="K1781" s="76">
        <v>2.9000000000000001E-2</v>
      </c>
      <c r="L1781" s="76">
        <v>3.2300000000000002E-2</v>
      </c>
      <c r="M1781" s="76">
        <v>3.5999999999999997E-2</v>
      </c>
    </row>
    <row r="1782" spans="3:13" x14ac:dyDescent="0.15">
      <c r="C1782" s="76">
        <v>438</v>
      </c>
      <c r="D1782" s="76">
        <v>4.9399999999999999E-3</v>
      </c>
      <c r="E1782" s="76">
        <v>1.01E-2</v>
      </c>
      <c r="F1782" s="76">
        <v>1.52E-2</v>
      </c>
      <c r="G1782" s="76">
        <v>2.0400000000000001E-2</v>
      </c>
      <c r="H1782" s="76">
        <v>2.5499999999999998E-2</v>
      </c>
      <c r="I1782" s="76">
        <v>3.0800000000000001E-2</v>
      </c>
      <c r="J1782" s="76">
        <v>3.5900000000000001E-2</v>
      </c>
      <c r="K1782" s="76">
        <v>4.1200000000000001E-2</v>
      </c>
      <c r="L1782" s="76">
        <v>4.6100000000000002E-2</v>
      </c>
      <c r="M1782" s="76">
        <v>5.1200000000000002E-2</v>
      </c>
    </row>
    <row r="1783" spans="3:13" x14ac:dyDescent="0.15">
      <c r="C1783" s="76">
        <v>440</v>
      </c>
      <c r="D1783" s="76">
        <v>6.7999999999999996E-3</v>
      </c>
      <c r="E1783" s="76">
        <v>1.3899999999999999E-2</v>
      </c>
      <c r="F1783" s="76">
        <v>2.1000000000000001E-2</v>
      </c>
      <c r="G1783" s="76">
        <v>2.8000000000000001E-2</v>
      </c>
      <c r="H1783" s="76">
        <v>3.5099999999999999E-2</v>
      </c>
      <c r="I1783" s="76">
        <v>4.24E-2</v>
      </c>
      <c r="J1783" s="76">
        <v>4.9299999999999997E-2</v>
      </c>
      <c r="K1783" s="76">
        <v>5.6500000000000002E-2</v>
      </c>
      <c r="L1783" s="76">
        <v>6.3299999999999995E-2</v>
      </c>
      <c r="M1783" s="76">
        <v>7.0300000000000001E-2</v>
      </c>
    </row>
    <row r="1784" spans="3:13" x14ac:dyDescent="0.15">
      <c r="C1784" s="76">
        <v>442</v>
      </c>
      <c r="D1784" s="76">
        <v>9.0900000000000009E-3</v>
      </c>
      <c r="E1784" s="76">
        <v>1.8599999999999998E-2</v>
      </c>
      <c r="F1784" s="76">
        <v>2.81E-2</v>
      </c>
      <c r="G1784" s="76">
        <v>3.7499999999999999E-2</v>
      </c>
      <c r="H1784" s="76">
        <v>4.6899999999999997E-2</v>
      </c>
      <c r="I1784" s="76">
        <v>5.6500000000000002E-2</v>
      </c>
      <c r="J1784" s="76">
        <v>6.5799999999999997E-2</v>
      </c>
      <c r="K1784" s="76">
        <v>7.5300000000000006E-2</v>
      </c>
      <c r="L1784" s="76">
        <v>8.4500000000000006E-2</v>
      </c>
      <c r="M1784" s="76">
        <v>9.3799999999999994E-2</v>
      </c>
    </row>
    <row r="1785" spans="3:13" x14ac:dyDescent="0.15">
      <c r="C1785" s="76">
        <v>444</v>
      </c>
      <c r="D1785" s="76">
        <v>1.18E-2</v>
      </c>
      <c r="E1785" s="76">
        <v>2.4199999999999999E-2</v>
      </c>
      <c r="F1785" s="76">
        <v>3.6499999999999998E-2</v>
      </c>
      <c r="G1785" s="76">
        <v>4.87E-2</v>
      </c>
      <c r="H1785" s="76">
        <v>6.0900000000000003E-2</v>
      </c>
      <c r="I1785" s="76">
        <v>7.3099999999999998E-2</v>
      </c>
      <c r="J1785" s="76">
        <v>8.5300000000000001E-2</v>
      </c>
      <c r="K1785" s="76">
        <v>9.7600000000000006E-2</v>
      </c>
      <c r="L1785" s="76">
        <v>0.109</v>
      </c>
      <c r="M1785" s="76">
        <v>0.122</v>
      </c>
    </row>
    <row r="1786" spans="3:13" x14ac:dyDescent="0.15">
      <c r="C1786" s="76">
        <v>446</v>
      </c>
      <c r="D1786" s="76">
        <v>1.49E-2</v>
      </c>
      <c r="E1786" s="76">
        <v>3.04E-2</v>
      </c>
      <c r="F1786" s="76">
        <v>4.5900000000000003E-2</v>
      </c>
      <c r="G1786" s="76">
        <v>6.13E-2</v>
      </c>
      <c r="H1786" s="76">
        <v>7.6600000000000001E-2</v>
      </c>
      <c r="I1786" s="76">
        <v>9.1899999999999996E-2</v>
      </c>
      <c r="J1786" s="76">
        <v>0.107</v>
      </c>
      <c r="K1786" s="76">
        <v>0.123</v>
      </c>
      <c r="L1786" s="76">
        <v>0.13800000000000001</v>
      </c>
      <c r="M1786" s="76">
        <v>0.153</v>
      </c>
    </row>
    <row r="1787" spans="3:13" x14ac:dyDescent="0.15">
      <c r="C1787" s="76">
        <v>448</v>
      </c>
      <c r="D1787" s="76">
        <v>1.8100000000000002E-2</v>
      </c>
      <c r="E1787" s="76">
        <v>3.7100000000000001E-2</v>
      </c>
      <c r="F1787" s="76">
        <v>5.5899999999999998E-2</v>
      </c>
      <c r="G1787" s="76">
        <v>7.46E-2</v>
      </c>
      <c r="H1787" s="76">
        <v>9.3100000000000002E-2</v>
      </c>
      <c r="I1787" s="76">
        <v>0.112</v>
      </c>
      <c r="J1787" s="76">
        <v>0.13</v>
      </c>
      <c r="K1787" s="76">
        <v>0.14899999999999999</v>
      </c>
      <c r="L1787" s="76">
        <v>0.16700000000000001</v>
      </c>
      <c r="M1787" s="76">
        <v>0.185</v>
      </c>
    </row>
    <row r="1788" spans="3:13" x14ac:dyDescent="0.15">
      <c r="C1788" s="76">
        <v>450</v>
      </c>
      <c r="D1788" s="76">
        <v>2.1600000000000001E-2</v>
      </c>
      <c r="E1788" s="76">
        <v>4.41E-2</v>
      </c>
      <c r="F1788" s="76">
        <v>6.6400000000000001E-2</v>
      </c>
      <c r="G1788" s="76">
        <v>8.8599999999999998E-2</v>
      </c>
      <c r="H1788" s="76">
        <v>0.111</v>
      </c>
      <c r="I1788" s="76">
        <v>0.13300000000000001</v>
      </c>
      <c r="J1788" s="76">
        <v>0.155</v>
      </c>
      <c r="K1788" s="76">
        <v>0.17699999999999999</v>
      </c>
      <c r="L1788" s="76">
        <v>0.19800000000000001</v>
      </c>
      <c r="M1788" s="76">
        <v>0.22</v>
      </c>
    </row>
    <row r="1789" spans="3:13" x14ac:dyDescent="0.15">
      <c r="C1789" s="76">
        <v>452</v>
      </c>
      <c r="D1789" s="76">
        <v>2.4500000000000001E-2</v>
      </c>
      <c r="E1789" s="76">
        <v>5.0099999999999999E-2</v>
      </c>
      <c r="F1789" s="76">
        <v>7.5399999999999995E-2</v>
      </c>
      <c r="G1789" s="76">
        <v>0.10100000000000001</v>
      </c>
      <c r="H1789" s="76">
        <v>0.126</v>
      </c>
      <c r="I1789" s="76">
        <v>0.151</v>
      </c>
      <c r="J1789" s="76">
        <v>0.17499999999999999</v>
      </c>
      <c r="K1789" s="76">
        <v>0.2</v>
      </c>
      <c r="L1789" s="76">
        <v>0.22500000000000001</v>
      </c>
      <c r="M1789" s="76">
        <v>0.249</v>
      </c>
    </row>
    <row r="1790" spans="3:13" x14ac:dyDescent="0.15">
      <c r="C1790" s="76">
        <v>454</v>
      </c>
      <c r="D1790" s="76">
        <v>2.6700000000000002E-2</v>
      </c>
      <c r="E1790" s="76">
        <v>5.4800000000000001E-2</v>
      </c>
      <c r="F1790" s="76">
        <v>8.2299999999999998E-2</v>
      </c>
      <c r="G1790" s="76">
        <v>0.11</v>
      </c>
      <c r="H1790" s="76">
        <v>0.13700000000000001</v>
      </c>
      <c r="I1790" s="76">
        <v>0.16400000000000001</v>
      </c>
      <c r="J1790" s="76">
        <v>0.191</v>
      </c>
      <c r="K1790" s="76">
        <v>0.219</v>
      </c>
      <c r="L1790" s="76">
        <v>0.245</v>
      </c>
      <c r="M1790" s="76">
        <v>0.27200000000000002</v>
      </c>
    </row>
    <row r="1791" spans="3:13" x14ac:dyDescent="0.15">
      <c r="C1791" s="76">
        <v>456</v>
      </c>
      <c r="D1791" s="76">
        <v>2.8299999999999999E-2</v>
      </c>
      <c r="E1791" s="76">
        <v>5.8000000000000003E-2</v>
      </c>
      <c r="F1791" s="76">
        <v>8.72E-2</v>
      </c>
      <c r="G1791" s="76">
        <v>0.11600000000000001</v>
      </c>
      <c r="H1791" s="76">
        <v>0.14499999999999999</v>
      </c>
      <c r="I1791" s="76">
        <v>0.17399999999999999</v>
      </c>
      <c r="J1791" s="76">
        <v>0.20300000000000001</v>
      </c>
      <c r="K1791" s="76">
        <v>0.23100000000000001</v>
      </c>
      <c r="L1791" s="76">
        <v>0.26</v>
      </c>
      <c r="M1791" s="76">
        <v>0.28799999999999998</v>
      </c>
    </row>
    <row r="1792" spans="3:13" x14ac:dyDescent="0.15">
      <c r="C1792" s="76">
        <v>458</v>
      </c>
      <c r="D1792" s="76">
        <v>2.9100000000000001E-2</v>
      </c>
      <c r="E1792" s="76">
        <v>5.9499999999999997E-2</v>
      </c>
      <c r="F1792" s="76">
        <v>8.9599999999999999E-2</v>
      </c>
      <c r="G1792" s="76">
        <v>0.11899999999999999</v>
      </c>
      <c r="H1792" s="76">
        <v>0.14899999999999999</v>
      </c>
      <c r="I1792" s="76">
        <v>0.17899999999999999</v>
      </c>
      <c r="J1792" s="76">
        <v>0.20799999999999999</v>
      </c>
      <c r="K1792" s="76">
        <v>0.23699999999999999</v>
      </c>
      <c r="L1792" s="76">
        <v>0.26600000000000001</v>
      </c>
      <c r="M1792" s="76">
        <v>0.29499999999999998</v>
      </c>
    </row>
    <row r="1793" spans="3:13" x14ac:dyDescent="0.15">
      <c r="C1793" s="76">
        <v>460</v>
      </c>
      <c r="D1793" s="76">
        <v>2.9100000000000001E-2</v>
      </c>
      <c r="E1793" s="76">
        <v>5.9700000000000003E-2</v>
      </c>
      <c r="F1793" s="76">
        <v>8.9700000000000002E-2</v>
      </c>
      <c r="G1793" s="76">
        <v>0.12</v>
      </c>
      <c r="H1793" s="76">
        <v>0.14899999999999999</v>
      </c>
      <c r="I1793" s="76">
        <v>0.17899999999999999</v>
      </c>
      <c r="J1793" s="76">
        <v>0.20799999999999999</v>
      </c>
      <c r="K1793" s="76">
        <v>0.23799999999999999</v>
      </c>
      <c r="L1793" s="76">
        <v>0.26700000000000002</v>
      </c>
      <c r="M1793" s="76">
        <v>0.29599999999999999</v>
      </c>
    </row>
    <row r="1794" spans="3:13" x14ac:dyDescent="0.15">
      <c r="C1794" s="76">
        <v>462</v>
      </c>
      <c r="D1794" s="76">
        <v>2.8500000000000001E-2</v>
      </c>
      <c r="E1794" s="76">
        <v>5.8200000000000002E-2</v>
      </c>
      <c r="F1794" s="76">
        <v>8.7599999999999997E-2</v>
      </c>
      <c r="G1794" s="76">
        <v>0.11700000000000001</v>
      </c>
      <c r="H1794" s="76">
        <v>0.14599999999999999</v>
      </c>
      <c r="I1794" s="76">
        <v>0.17499999999999999</v>
      </c>
      <c r="J1794" s="76">
        <v>0.20300000000000001</v>
      </c>
      <c r="K1794" s="76">
        <v>0.23200000000000001</v>
      </c>
      <c r="L1794" s="76">
        <v>0.26</v>
      </c>
      <c r="M1794" s="76">
        <v>0.28899999999999998</v>
      </c>
    </row>
    <row r="1795" spans="3:13" x14ac:dyDescent="0.15">
      <c r="C1795" s="76">
        <v>464</v>
      </c>
      <c r="D1795" s="76">
        <v>2.7099999999999999E-2</v>
      </c>
      <c r="E1795" s="76">
        <v>5.5500000000000001E-2</v>
      </c>
      <c r="F1795" s="76">
        <v>8.3400000000000002E-2</v>
      </c>
      <c r="G1795" s="76">
        <v>0.111</v>
      </c>
      <c r="H1795" s="76">
        <v>0.13900000000000001</v>
      </c>
      <c r="I1795" s="76">
        <v>0.16600000000000001</v>
      </c>
      <c r="J1795" s="76">
        <v>0.193</v>
      </c>
      <c r="K1795" s="76">
        <v>0.221</v>
      </c>
      <c r="L1795" s="76">
        <v>0.248</v>
      </c>
      <c r="M1795" s="76">
        <v>0.27500000000000002</v>
      </c>
    </row>
    <row r="1796" spans="3:13" x14ac:dyDescent="0.15">
      <c r="C1796" s="76">
        <v>466</v>
      </c>
      <c r="D1796" s="76">
        <v>2.5600000000000001E-2</v>
      </c>
      <c r="E1796" s="76">
        <v>5.2400000000000002E-2</v>
      </c>
      <c r="F1796" s="76">
        <v>7.8799999999999995E-2</v>
      </c>
      <c r="G1796" s="76">
        <v>0.105</v>
      </c>
      <c r="H1796" s="76">
        <v>0.13100000000000001</v>
      </c>
      <c r="I1796" s="76">
        <v>0.157</v>
      </c>
      <c r="J1796" s="76">
        <v>0.183</v>
      </c>
      <c r="K1796" s="76">
        <v>0.20899999999999999</v>
      </c>
      <c r="L1796" s="76">
        <v>0.23400000000000001</v>
      </c>
      <c r="M1796" s="76">
        <v>0.26</v>
      </c>
    </row>
    <row r="1797" spans="3:13" x14ac:dyDescent="0.15">
      <c r="C1797" s="76">
        <v>468</v>
      </c>
      <c r="D1797" s="76">
        <v>2.4E-2</v>
      </c>
      <c r="E1797" s="76">
        <v>4.9200000000000001E-2</v>
      </c>
      <c r="F1797" s="76">
        <v>7.3999999999999996E-2</v>
      </c>
      <c r="G1797" s="76">
        <v>9.8699999999999996E-2</v>
      </c>
      <c r="H1797" s="76">
        <v>0.123</v>
      </c>
      <c r="I1797" s="76">
        <v>0.14699999999999999</v>
      </c>
      <c r="J1797" s="76">
        <v>0.17199999999999999</v>
      </c>
      <c r="K1797" s="76">
        <v>0.19600000000000001</v>
      </c>
      <c r="L1797" s="76">
        <v>0.22</v>
      </c>
      <c r="M1797" s="76">
        <v>0.24399999999999999</v>
      </c>
    </row>
    <row r="1798" spans="3:13" x14ac:dyDescent="0.15">
      <c r="C1798" s="76">
        <v>470</v>
      </c>
      <c r="D1798" s="76">
        <v>2.24E-2</v>
      </c>
      <c r="E1798" s="76">
        <v>4.5999999999999999E-2</v>
      </c>
      <c r="F1798" s="76">
        <v>6.9099999999999995E-2</v>
      </c>
      <c r="G1798" s="76">
        <v>9.2200000000000004E-2</v>
      </c>
      <c r="H1798" s="76">
        <v>0.115</v>
      </c>
      <c r="I1798" s="76">
        <v>0.13800000000000001</v>
      </c>
      <c r="J1798" s="76">
        <v>0.161</v>
      </c>
      <c r="K1798" s="76">
        <v>0.183</v>
      </c>
      <c r="L1798" s="76">
        <v>0.20599999999999999</v>
      </c>
      <c r="M1798" s="76">
        <v>0.22800000000000001</v>
      </c>
    </row>
    <row r="1799" spans="3:13" x14ac:dyDescent="0.15">
      <c r="C1799" s="76">
        <v>472</v>
      </c>
      <c r="D1799" s="76">
        <v>2.1000000000000001E-2</v>
      </c>
      <c r="E1799" s="76">
        <v>4.3099999999999999E-2</v>
      </c>
      <c r="F1799" s="76">
        <v>6.4799999999999996E-2</v>
      </c>
      <c r="G1799" s="76">
        <v>8.6400000000000005E-2</v>
      </c>
      <c r="H1799" s="76">
        <v>0.108</v>
      </c>
      <c r="I1799" s="76">
        <v>0.129</v>
      </c>
      <c r="J1799" s="76">
        <v>0.15</v>
      </c>
      <c r="K1799" s="76">
        <v>0.17199999999999999</v>
      </c>
      <c r="L1799" s="76">
        <v>0.193</v>
      </c>
      <c r="M1799" s="76">
        <v>0.214</v>
      </c>
    </row>
    <row r="1800" spans="3:13" x14ac:dyDescent="0.15">
      <c r="C1800" s="76">
        <v>474</v>
      </c>
      <c r="D1800" s="76">
        <v>1.9800000000000002E-2</v>
      </c>
      <c r="E1800" s="76">
        <v>4.0599999999999997E-2</v>
      </c>
      <c r="F1800" s="76">
        <v>6.0999999999999999E-2</v>
      </c>
      <c r="G1800" s="76">
        <v>8.14E-2</v>
      </c>
      <c r="H1800" s="76">
        <v>0.10199999999999999</v>
      </c>
      <c r="I1800" s="76">
        <v>0.122</v>
      </c>
      <c r="J1800" s="76">
        <v>0.14199999999999999</v>
      </c>
      <c r="K1800" s="76">
        <v>0.16200000000000001</v>
      </c>
      <c r="L1800" s="76">
        <v>0.182</v>
      </c>
      <c r="M1800" s="76">
        <v>0.20100000000000001</v>
      </c>
    </row>
    <row r="1801" spans="3:13" x14ac:dyDescent="0.15">
      <c r="C1801" s="76">
        <v>476</v>
      </c>
      <c r="D1801" s="76">
        <v>1.8599999999999998E-2</v>
      </c>
      <c r="E1801" s="76">
        <v>3.8100000000000002E-2</v>
      </c>
      <c r="F1801" s="76">
        <v>5.74E-2</v>
      </c>
      <c r="G1801" s="76">
        <v>7.6600000000000001E-2</v>
      </c>
      <c r="H1801" s="76">
        <v>9.5600000000000004E-2</v>
      </c>
      <c r="I1801" s="76">
        <v>0.115</v>
      </c>
      <c r="J1801" s="76">
        <v>0.13400000000000001</v>
      </c>
      <c r="K1801" s="76">
        <v>0.152</v>
      </c>
      <c r="L1801" s="76">
        <v>0.17100000000000001</v>
      </c>
      <c r="M1801" s="76">
        <v>0.189</v>
      </c>
    </row>
    <row r="1802" spans="3:13" x14ac:dyDescent="0.15">
      <c r="C1802" s="76">
        <v>478</v>
      </c>
      <c r="D1802" s="76">
        <v>1.78E-2</v>
      </c>
      <c r="E1802" s="76">
        <v>3.6499999999999998E-2</v>
      </c>
      <c r="F1802" s="76">
        <v>5.4899999999999997E-2</v>
      </c>
      <c r="G1802" s="76">
        <v>7.3200000000000001E-2</v>
      </c>
      <c r="H1802" s="76">
        <v>9.1499999999999998E-2</v>
      </c>
      <c r="I1802" s="76">
        <v>0.11</v>
      </c>
      <c r="J1802" s="76">
        <v>0.128</v>
      </c>
      <c r="K1802" s="76">
        <v>0.14499999999999999</v>
      </c>
      <c r="L1802" s="76">
        <v>0.16300000000000001</v>
      </c>
      <c r="M1802" s="76">
        <v>0.18099999999999999</v>
      </c>
    </row>
    <row r="1803" spans="3:13" x14ac:dyDescent="0.15">
      <c r="C1803" s="76">
        <v>480</v>
      </c>
      <c r="D1803" s="76">
        <v>1.7100000000000001E-2</v>
      </c>
      <c r="E1803" s="76">
        <v>3.5099999999999999E-2</v>
      </c>
      <c r="F1803" s="76">
        <v>5.2699999999999997E-2</v>
      </c>
      <c r="G1803" s="76">
        <v>7.0300000000000001E-2</v>
      </c>
      <c r="H1803" s="76">
        <v>8.7800000000000003E-2</v>
      </c>
      <c r="I1803" s="76">
        <v>0.105</v>
      </c>
      <c r="J1803" s="76">
        <v>0.123</v>
      </c>
      <c r="K1803" s="76">
        <v>0.14000000000000001</v>
      </c>
      <c r="L1803" s="76">
        <v>0.157</v>
      </c>
      <c r="M1803" s="76">
        <v>0.17399999999999999</v>
      </c>
    </row>
    <row r="1804" spans="3:13" x14ac:dyDescent="0.15">
      <c r="C1804" s="76">
        <v>482</v>
      </c>
      <c r="D1804" s="76">
        <v>1.6500000000000001E-2</v>
      </c>
      <c r="E1804" s="76">
        <v>3.3799999999999997E-2</v>
      </c>
      <c r="F1804" s="76">
        <v>5.0799999999999998E-2</v>
      </c>
      <c r="G1804" s="76">
        <v>6.7799999999999999E-2</v>
      </c>
      <c r="H1804" s="76">
        <v>8.4699999999999998E-2</v>
      </c>
      <c r="I1804" s="76">
        <v>0.10100000000000001</v>
      </c>
      <c r="J1804" s="76">
        <v>0.11799999999999999</v>
      </c>
      <c r="K1804" s="76">
        <v>0.13500000000000001</v>
      </c>
      <c r="L1804" s="76">
        <v>0.151</v>
      </c>
      <c r="M1804" s="76">
        <v>0.16800000000000001</v>
      </c>
    </row>
    <row r="1805" spans="3:13" x14ac:dyDescent="0.15">
      <c r="C1805" s="76">
        <v>484</v>
      </c>
      <c r="D1805" s="76">
        <v>1.5900000000000001E-2</v>
      </c>
      <c r="E1805" s="76">
        <v>3.2500000000000001E-2</v>
      </c>
      <c r="F1805" s="76">
        <v>4.8899999999999999E-2</v>
      </c>
      <c r="G1805" s="76">
        <v>6.5299999999999997E-2</v>
      </c>
      <c r="H1805" s="76">
        <v>8.1500000000000003E-2</v>
      </c>
      <c r="I1805" s="76">
        <v>9.7600000000000006E-2</v>
      </c>
      <c r="J1805" s="76">
        <v>0.114</v>
      </c>
      <c r="K1805" s="76">
        <v>0.13</v>
      </c>
      <c r="L1805" s="76">
        <v>0.14499999999999999</v>
      </c>
      <c r="M1805" s="76">
        <v>0.161</v>
      </c>
    </row>
    <row r="1806" spans="3:13" x14ac:dyDescent="0.15">
      <c r="C1806" s="76">
        <v>486</v>
      </c>
      <c r="D1806" s="76">
        <v>1.5299999999999999E-2</v>
      </c>
      <c r="E1806" s="76">
        <v>3.1199999999999999E-2</v>
      </c>
      <c r="F1806" s="76">
        <v>4.6899999999999997E-2</v>
      </c>
      <c r="G1806" s="76">
        <v>6.25E-2</v>
      </c>
      <c r="H1806" s="76">
        <v>7.8299999999999995E-2</v>
      </c>
      <c r="I1806" s="76">
        <v>9.3899999999999997E-2</v>
      </c>
      <c r="J1806" s="76">
        <v>0.109</v>
      </c>
      <c r="K1806" s="76">
        <v>0.124</v>
      </c>
      <c r="L1806" s="76">
        <v>0.14000000000000001</v>
      </c>
      <c r="M1806" s="76">
        <v>0.155</v>
      </c>
    </row>
    <row r="1807" spans="3:13" x14ac:dyDescent="0.15">
      <c r="C1807" s="76">
        <v>488</v>
      </c>
      <c r="D1807" s="76">
        <v>1.44E-2</v>
      </c>
      <c r="E1807" s="76">
        <v>2.9499999999999998E-2</v>
      </c>
      <c r="F1807" s="76">
        <v>4.4400000000000002E-2</v>
      </c>
      <c r="G1807" s="76">
        <v>5.9200000000000003E-2</v>
      </c>
      <c r="H1807" s="76">
        <v>7.3999999999999996E-2</v>
      </c>
      <c r="I1807" s="76">
        <v>8.8599999999999998E-2</v>
      </c>
      <c r="J1807" s="76">
        <v>0.10299999999999999</v>
      </c>
      <c r="K1807" s="76">
        <v>0.11700000000000001</v>
      </c>
      <c r="L1807" s="76">
        <v>0.13200000000000001</v>
      </c>
      <c r="M1807" s="76">
        <v>0.14599999999999999</v>
      </c>
    </row>
    <row r="1808" spans="3:13" x14ac:dyDescent="0.15">
      <c r="C1808" s="76">
        <v>490</v>
      </c>
      <c r="D1808" s="76">
        <v>1.3599999999999999E-2</v>
      </c>
      <c r="E1808" s="76">
        <v>2.7900000000000001E-2</v>
      </c>
      <c r="F1808" s="76">
        <v>4.19E-2</v>
      </c>
      <c r="G1808" s="76">
        <v>5.5899999999999998E-2</v>
      </c>
      <c r="H1808" s="76">
        <v>6.9800000000000001E-2</v>
      </c>
      <c r="I1808" s="76">
        <v>8.3699999999999997E-2</v>
      </c>
      <c r="J1808" s="76">
        <v>9.74E-2</v>
      </c>
      <c r="K1808" s="76">
        <v>0.111</v>
      </c>
      <c r="L1808" s="76">
        <v>0.124</v>
      </c>
      <c r="M1808" s="76">
        <v>0.13800000000000001</v>
      </c>
    </row>
    <row r="1809" spans="3:13" x14ac:dyDescent="0.15">
      <c r="C1809" s="76">
        <v>492</v>
      </c>
      <c r="D1809" s="76">
        <v>1.2800000000000001E-2</v>
      </c>
      <c r="E1809" s="76">
        <v>2.6100000000000002E-2</v>
      </c>
      <c r="F1809" s="76">
        <v>3.9300000000000002E-2</v>
      </c>
      <c r="G1809" s="76">
        <v>5.2400000000000002E-2</v>
      </c>
      <c r="H1809" s="76">
        <v>6.5500000000000003E-2</v>
      </c>
      <c r="I1809" s="76">
        <v>7.8399999999999997E-2</v>
      </c>
      <c r="J1809" s="76">
        <v>9.1300000000000006E-2</v>
      </c>
      <c r="K1809" s="76">
        <v>0.104</v>
      </c>
      <c r="L1809" s="76">
        <v>0.11700000000000001</v>
      </c>
      <c r="M1809" s="76">
        <v>0.129</v>
      </c>
    </row>
    <row r="1810" spans="3:13" x14ac:dyDescent="0.15">
      <c r="C1810" s="76">
        <v>494</v>
      </c>
      <c r="D1810" s="76">
        <v>1.1900000000000001E-2</v>
      </c>
      <c r="E1810" s="76">
        <v>2.4299999999999999E-2</v>
      </c>
      <c r="F1810" s="76">
        <v>3.6600000000000001E-2</v>
      </c>
      <c r="G1810" s="76">
        <v>4.8800000000000003E-2</v>
      </c>
      <c r="H1810" s="76">
        <v>6.0900000000000003E-2</v>
      </c>
      <c r="I1810" s="76">
        <v>7.2900000000000006E-2</v>
      </c>
      <c r="J1810" s="76">
        <v>8.4900000000000003E-2</v>
      </c>
      <c r="K1810" s="76">
        <v>9.6699999999999994E-2</v>
      </c>
      <c r="L1810" s="76">
        <v>0.109</v>
      </c>
      <c r="M1810" s="76">
        <v>0.12</v>
      </c>
    </row>
    <row r="1811" spans="3:13" x14ac:dyDescent="0.15">
      <c r="C1811" s="76">
        <v>496</v>
      </c>
      <c r="D1811" s="76">
        <v>1.0999999999999999E-2</v>
      </c>
      <c r="E1811" s="76">
        <v>2.2499999999999999E-2</v>
      </c>
      <c r="F1811" s="76">
        <v>3.39E-2</v>
      </c>
      <c r="G1811" s="76">
        <v>4.5199999999999997E-2</v>
      </c>
      <c r="H1811" s="76">
        <v>5.6300000000000003E-2</v>
      </c>
      <c r="I1811" s="76">
        <v>6.7599999999999993E-2</v>
      </c>
      <c r="J1811" s="76">
        <v>7.8700000000000006E-2</v>
      </c>
      <c r="K1811" s="76">
        <v>8.9599999999999999E-2</v>
      </c>
      <c r="L1811" s="76">
        <v>0.10100000000000001</v>
      </c>
      <c r="M1811" s="76">
        <v>0.112</v>
      </c>
    </row>
    <row r="1812" spans="3:13" x14ac:dyDescent="0.15">
      <c r="C1812" s="76">
        <v>498</v>
      </c>
      <c r="D1812" s="76">
        <v>1.01E-2</v>
      </c>
      <c r="E1812" s="76">
        <v>2.07E-2</v>
      </c>
      <c r="F1812" s="76">
        <v>3.1099999999999999E-2</v>
      </c>
      <c r="G1812" s="76">
        <v>4.1500000000000002E-2</v>
      </c>
      <c r="H1812" s="76">
        <v>5.1700000000000003E-2</v>
      </c>
      <c r="I1812" s="76">
        <v>6.2E-2</v>
      </c>
      <c r="J1812" s="76">
        <v>7.22E-2</v>
      </c>
      <c r="K1812" s="76">
        <v>8.2299999999999998E-2</v>
      </c>
      <c r="L1812" s="76">
        <v>9.2200000000000004E-2</v>
      </c>
      <c r="M1812" s="76">
        <v>0.10199999999999999</v>
      </c>
    </row>
    <row r="1813" spans="3:13" x14ac:dyDescent="0.15">
      <c r="C1813" s="76">
        <v>500</v>
      </c>
      <c r="D1813" s="76">
        <v>9.1500000000000001E-3</v>
      </c>
      <c r="E1813" s="76">
        <v>1.8700000000000001E-2</v>
      </c>
      <c r="F1813" s="76">
        <v>2.8199999999999999E-2</v>
      </c>
      <c r="G1813" s="76">
        <v>3.7600000000000001E-2</v>
      </c>
      <c r="H1813" s="76">
        <v>4.6899999999999997E-2</v>
      </c>
      <c r="I1813" s="76">
        <v>5.6300000000000003E-2</v>
      </c>
      <c r="J1813" s="76">
        <v>6.5500000000000003E-2</v>
      </c>
      <c r="K1813" s="76">
        <v>7.46E-2</v>
      </c>
      <c r="L1813" s="76">
        <v>8.3599999999999994E-2</v>
      </c>
      <c r="M1813" s="76">
        <v>9.2799999999999994E-2</v>
      </c>
    </row>
    <row r="1814" spans="3:13" x14ac:dyDescent="0.15">
      <c r="C1814" s="76">
        <v>502</v>
      </c>
      <c r="D1814" s="76">
        <v>8.2699999999999996E-3</v>
      </c>
      <c r="E1814" s="76">
        <v>1.6899999999999998E-2</v>
      </c>
      <c r="F1814" s="76">
        <v>2.5499999999999998E-2</v>
      </c>
      <c r="G1814" s="76">
        <v>3.4000000000000002E-2</v>
      </c>
      <c r="H1814" s="76">
        <v>4.24E-2</v>
      </c>
      <c r="I1814" s="76">
        <v>5.0799999999999998E-2</v>
      </c>
      <c r="J1814" s="76">
        <v>5.91E-2</v>
      </c>
      <c r="K1814" s="76">
        <v>6.7299999999999999E-2</v>
      </c>
      <c r="L1814" s="76">
        <v>7.5499999999999998E-2</v>
      </c>
      <c r="M1814" s="76">
        <v>8.3699999999999997E-2</v>
      </c>
    </row>
    <row r="1815" spans="3:13" x14ac:dyDescent="0.15">
      <c r="C1815" s="76">
        <v>504</v>
      </c>
      <c r="D1815" s="76">
        <v>7.4799999999999997E-3</v>
      </c>
      <c r="E1815" s="76">
        <v>1.5299999999999999E-2</v>
      </c>
      <c r="F1815" s="76">
        <v>2.3099999999999999E-2</v>
      </c>
      <c r="G1815" s="76">
        <v>3.0700000000000002E-2</v>
      </c>
      <c r="H1815" s="76">
        <v>3.8399999999999997E-2</v>
      </c>
      <c r="I1815" s="76">
        <v>4.5900000000000003E-2</v>
      </c>
      <c r="J1815" s="76">
        <v>5.3400000000000003E-2</v>
      </c>
      <c r="K1815" s="76">
        <v>6.0999999999999999E-2</v>
      </c>
      <c r="L1815" s="76">
        <v>6.8400000000000002E-2</v>
      </c>
      <c r="M1815" s="76">
        <v>7.5899999999999995E-2</v>
      </c>
    </row>
    <row r="1816" spans="3:13" x14ac:dyDescent="0.15">
      <c r="C1816" s="76">
        <v>506</v>
      </c>
      <c r="D1816" s="76">
        <v>6.77E-3</v>
      </c>
      <c r="E1816" s="76">
        <v>1.3899999999999999E-2</v>
      </c>
      <c r="F1816" s="76">
        <v>2.0899999999999998E-2</v>
      </c>
      <c r="G1816" s="76">
        <v>2.7799999999999998E-2</v>
      </c>
      <c r="H1816" s="76">
        <v>3.4799999999999998E-2</v>
      </c>
      <c r="I1816" s="76">
        <v>4.1599999999999998E-2</v>
      </c>
      <c r="J1816" s="76">
        <v>4.8399999999999999E-2</v>
      </c>
      <c r="K1816" s="76">
        <v>5.5199999999999999E-2</v>
      </c>
      <c r="L1816" s="76">
        <v>6.1899999999999997E-2</v>
      </c>
      <c r="M1816" s="76">
        <v>6.8699999999999997E-2</v>
      </c>
    </row>
    <row r="1817" spans="3:13" x14ac:dyDescent="0.15">
      <c r="C1817" s="76">
        <v>508</v>
      </c>
      <c r="D1817" s="76">
        <v>6.13E-3</v>
      </c>
      <c r="E1817" s="76">
        <v>1.26E-2</v>
      </c>
      <c r="F1817" s="76">
        <v>1.89E-2</v>
      </c>
      <c r="G1817" s="76">
        <v>2.52E-2</v>
      </c>
      <c r="H1817" s="76">
        <v>3.15E-2</v>
      </c>
      <c r="I1817" s="76">
        <v>3.7699999999999997E-2</v>
      </c>
      <c r="J1817" s="76">
        <v>4.3900000000000002E-2</v>
      </c>
      <c r="K1817" s="76">
        <v>0.05</v>
      </c>
      <c r="L1817" s="76">
        <v>5.6099999999999997E-2</v>
      </c>
      <c r="M1817" s="76">
        <v>6.2199999999999998E-2</v>
      </c>
    </row>
    <row r="1818" spans="3:13" x14ac:dyDescent="0.15">
      <c r="C1818" s="76">
        <v>510</v>
      </c>
      <c r="D1818" s="76">
        <v>5.5700000000000003E-3</v>
      </c>
      <c r="E1818" s="76">
        <v>1.14E-2</v>
      </c>
      <c r="F1818" s="76">
        <v>1.72E-2</v>
      </c>
      <c r="G1818" s="76">
        <v>2.29E-2</v>
      </c>
      <c r="H1818" s="76">
        <v>2.86E-2</v>
      </c>
      <c r="I1818" s="76">
        <v>3.4299999999999997E-2</v>
      </c>
      <c r="J1818" s="76">
        <v>3.9899999999999998E-2</v>
      </c>
      <c r="K1818" s="76">
        <v>4.5499999999999999E-2</v>
      </c>
      <c r="L1818" s="76">
        <v>5.0900000000000001E-2</v>
      </c>
      <c r="M1818" s="76">
        <v>5.6500000000000002E-2</v>
      </c>
    </row>
    <row r="1819" spans="3:13" x14ac:dyDescent="0.15">
      <c r="C1819" s="76">
        <v>512</v>
      </c>
      <c r="D1819" s="76">
        <v>5.0200000000000002E-3</v>
      </c>
      <c r="E1819" s="76">
        <v>1.03E-2</v>
      </c>
      <c r="F1819" s="76">
        <v>1.55E-2</v>
      </c>
      <c r="G1819" s="76">
        <v>2.07E-2</v>
      </c>
      <c r="H1819" s="76">
        <v>2.5700000000000001E-2</v>
      </c>
      <c r="I1819" s="76">
        <v>3.09E-2</v>
      </c>
      <c r="J1819" s="76">
        <v>3.5900000000000001E-2</v>
      </c>
      <c r="K1819" s="76">
        <v>4.1099999999999998E-2</v>
      </c>
      <c r="L1819" s="76">
        <v>4.5900000000000003E-2</v>
      </c>
      <c r="M1819" s="76">
        <v>5.11E-2</v>
      </c>
    </row>
    <row r="1820" spans="3:13" x14ac:dyDescent="0.15">
      <c r="C1820" s="76">
        <v>514</v>
      </c>
      <c r="D1820" s="76">
        <v>4.5799999999999999E-3</v>
      </c>
      <c r="E1820" s="76">
        <v>9.3900000000000008E-3</v>
      </c>
      <c r="F1820" s="76">
        <v>1.41E-2</v>
      </c>
      <c r="G1820" s="76">
        <v>1.89E-2</v>
      </c>
      <c r="H1820" s="76">
        <v>2.3599999999999999E-2</v>
      </c>
      <c r="I1820" s="76">
        <v>2.8199999999999999E-2</v>
      </c>
      <c r="J1820" s="76">
        <v>3.2800000000000003E-2</v>
      </c>
      <c r="K1820" s="76">
        <v>3.7499999999999999E-2</v>
      </c>
      <c r="L1820" s="76">
        <v>4.2000000000000003E-2</v>
      </c>
      <c r="M1820" s="76">
        <v>4.6600000000000003E-2</v>
      </c>
    </row>
    <row r="1821" spans="3:13" x14ac:dyDescent="0.15">
      <c r="C1821" s="76">
        <v>516</v>
      </c>
      <c r="D1821" s="76">
        <v>4.2199999999999998E-3</v>
      </c>
      <c r="E1821" s="76">
        <v>8.6099999999999996E-3</v>
      </c>
      <c r="F1821" s="76">
        <v>1.3100000000000001E-2</v>
      </c>
      <c r="G1821" s="76">
        <v>1.7299999999999999E-2</v>
      </c>
      <c r="H1821" s="76">
        <v>2.1700000000000001E-2</v>
      </c>
      <c r="I1821" s="76">
        <v>2.5899999999999999E-2</v>
      </c>
      <c r="J1821" s="76">
        <v>3.0099999999999998E-2</v>
      </c>
      <c r="K1821" s="76">
        <v>3.4500000000000003E-2</v>
      </c>
      <c r="L1821" s="76">
        <v>3.8600000000000002E-2</v>
      </c>
      <c r="M1821" s="76">
        <v>4.2799999999999998E-2</v>
      </c>
    </row>
    <row r="1822" spans="3:13" x14ac:dyDescent="0.15">
      <c r="C1822" s="76">
        <v>518</v>
      </c>
      <c r="D1822" s="76">
        <v>3.8999999999999998E-3</v>
      </c>
      <c r="E1822" s="76">
        <v>7.9500000000000005E-3</v>
      </c>
      <c r="F1822" s="76">
        <v>1.2E-2</v>
      </c>
      <c r="G1822" s="76">
        <v>1.6E-2</v>
      </c>
      <c r="H1822" s="76">
        <v>0.02</v>
      </c>
      <c r="I1822" s="76">
        <v>2.3900000000000001E-2</v>
      </c>
      <c r="J1822" s="76">
        <v>2.7799999999999998E-2</v>
      </c>
      <c r="K1822" s="76">
        <v>3.1800000000000002E-2</v>
      </c>
      <c r="L1822" s="76">
        <v>3.56E-2</v>
      </c>
      <c r="M1822" s="76">
        <v>3.9600000000000003E-2</v>
      </c>
    </row>
    <row r="1823" spans="3:13" x14ac:dyDescent="0.15">
      <c r="C1823" s="76">
        <v>520</v>
      </c>
      <c r="D1823" s="76">
        <v>3.6099999999999999E-3</v>
      </c>
      <c r="E1823" s="76">
        <v>7.3499999999999998E-3</v>
      </c>
      <c r="F1823" s="76">
        <v>1.11E-2</v>
      </c>
      <c r="G1823" s="76">
        <v>1.4800000000000001E-2</v>
      </c>
      <c r="H1823" s="76">
        <v>1.8499999999999999E-2</v>
      </c>
      <c r="I1823" s="76">
        <v>2.2200000000000001E-2</v>
      </c>
      <c r="J1823" s="76">
        <v>2.5700000000000001E-2</v>
      </c>
      <c r="K1823" s="76">
        <v>2.9399999999999999E-2</v>
      </c>
      <c r="L1823" s="76">
        <v>3.3000000000000002E-2</v>
      </c>
      <c r="M1823" s="76">
        <v>3.6600000000000001E-2</v>
      </c>
    </row>
    <row r="1824" spans="3:13" x14ac:dyDescent="0.15">
      <c r="C1824" s="76">
        <v>522</v>
      </c>
      <c r="D1824" s="76">
        <v>3.3400000000000001E-3</v>
      </c>
      <c r="E1824" s="76">
        <v>6.8199999999999997E-3</v>
      </c>
      <c r="F1824" s="76">
        <v>1.03E-2</v>
      </c>
      <c r="G1824" s="76">
        <v>1.37E-2</v>
      </c>
      <c r="H1824" s="76">
        <v>1.7100000000000001E-2</v>
      </c>
      <c r="I1824" s="76">
        <v>2.0500000000000001E-2</v>
      </c>
      <c r="J1824" s="76">
        <v>2.3800000000000002E-2</v>
      </c>
      <c r="K1824" s="76">
        <v>2.7300000000000001E-2</v>
      </c>
      <c r="L1824" s="76">
        <v>3.0599999999999999E-2</v>
      </c>
      <c r="M1824" s="76">
        <v>3.39E-2</v>
      </c>
    </row>
    <row r="1825" spans="3:13" x14ac:dyDescent="0.15">
      <c r="C1825" s="76">
        <v>524</v>
      </c>
      <c r="D1825" s="76">
        <v>3.0699999999999998E-3</v>
      </c>
      <c r="E1825" s="76">
        <v>6.2399999999999999E-3</v>
      </c>
      <c r="F1825" s="76">
        <v>9.4199999999999996E-3</v>
      </c>
      <c r="G1825" s="76">
        <v>1.26E-2</v>
      </c>
      <c r="H1825" s="76">
        <v>1.5699999999999999E-2</v>
      </c>
      <c r="I1825" s="76">
        <v>1.8800000000000001E-2</v>
      </c>
      <c r="J1825" s="76">
        <v>2.18E-2</v>
      </c>
      <c r="K1825" s="76">
        <v>2.5000000000000001E-2</v>
      </c>
      <c r="L1825" s="76">
        <v>2.8000000000000001E-2</v>
      </c>
      <c r="M1825" s="76">
        <v>3.1099999999999999E-2</v>
      </c>
    </row>
    <row r="1826" spans="3:13" x14ac:dyDescent="0.15">
      <c r="C1826" s="76">
        <v>526</v>
      </c>
      <c r="D1826" s="76">
        <v>2.8400000000000001E-3</v>
      </c>
      <c r="E1826" s="76">
        <v>5.77E-3</v>
      </c>
      <c r="F1826" s="76">
        <v>8.7299999999999999E-3</v>
      </c>
      <c r="G1826" s="76">
        <v>1.1599999999999999E-2</v>
      </c>
      <c r="H1826" s="76">
        <v>1.4500000000000001E-2</v>
      </c>
      <c r="I1826" s="76">
        <v>1.7399999999999999E-2</v>
      </c>
      <c r="J1826" s="76">
        <v>2.0199999999999999E-2</v>
      </c>
      <c r="K1826" s="76">
        <v>2.3099999999999999E-2</v>
      </c>
      <c r="L1826" s="76">
        <v>2.5999999999999999E-2</v>
      </c>
      <c r="M1826" s="76">
        <v>2.8799999999999999E-2</v>
      </c>
    </row>
    <row r="1827" spans="3:13" x14ac:dyDescent="0.15">
      <c r="C1827" s="76">
        <v>528</v>
      </c>
      <c r="D1827" s="76">
        <v>2.6199999999999999E-3</v>
      </c>
      <c r="E1827" s="76">
        <v>5.3299999999999997E-3</v>
      </c>
      <c r="F1827" s="76">
        <v>8.0499999999999999E-3</v>
      </c>
      <c r="G1827" s="76">
        <v>1.0699999999999999E-2</v>
      </c>
      <c r="H1827" s="76">
        <v>1.34E-2</v>
      </c>
      <c r="I1827" s="76">
        <v>1.6E-2</v>
      </c>
      <c r="J1827" s="76">
        <v>1.8599999999999998E-2</v>
      </c>
      <c r="K1827" s="76">
        <v>2.1299999999999999E-2</v>
      </c>
      <c r="L1827" s="76">
        <v>2.4E-2</v>
      </c>
      <c r="M1827" s="76">
        <v>2.6599999999999999E-2</v>
      </c>
    </row>
    <row r="1828" spans="3:13" x14ac:dyDescent="0.15">
      <c r="C1828" s="76">
        <v>530</v>
      </c>
      <c r="D1828" s="76">
        <v>2.4099999999999998E-3</v>
      </c>
      <c r="E1828" s="76">
        <v>4.8999999999999998E-3</v>
      </c>
      <c r="F1828" s="76">
        <v>7.3899999999999999E-3</v>
      </c>
      <c r="G1828" s="76">
        <v>9.9000000000000008E-3</v>
      </c>
      <c r="H1828" s="76">
        <v>1.23E-2</v>
      </c>
      <c r="I1828" s="76">
        <v>1.4800000000000001E-2</v>
      </c>
      <c r="J1828" s="76">
        <v>1.7100000000000001E-2</v>
      </c>
      <c r="K1828" s="76">
        <v>1.9699999999999999E-2</v>
      </c>
      <c r="L1828" s="76">
        <v>2.2100000000000002E-2</v>
      </c>
      <c r="M1828" s="76">
        <v>2.4400000000000002E-2</v>
      </c>
    </row>
    <row r="1829" spans="3:13" x14ac:dyDescent="0.15">
      <c r="C1829" s="76">
        <v>532</v>
      </c>
      <c r="D1829" s="76">
        <v>2.2100000000000002E-3</v>
      </c>
      <c r="E1829" s="76">
        <v>4.4900000000000001E-3</v>
      </c>
      <c r="F1829" s="76">
        <v>6.7999999999999996E-3</v>
      </c>
      <c r="G1829" s="76">
        <v>9.0699999999999999E-3</v>
      </c>
      <c r="H1829" s="76">
        <v>1.1299999999999999E-2</v>
      </c>
      <c r="I1829" s="76">
        <v>1.35E-2</v>
      </c>
      <c r="J1829" s="76">
        <v>1.5699999999999999E-2</v>
      </c>
      <c r="K1829" s="76">
        <v>1.7999999999999999E-2</v>
      </c>
      <c r="L1829" s="76">
        <v>2.0400000000000001E-2</v>
      </c>
      <c r="M1829" s="76">
        <v>2.24E-2</v>
      </c>
    </row>
    <row r="1830" spans="3:13" x14ac:dyDescent="0.15">
      <c r="C1830" s="76">
        <v>534</v>
      </c>
      <c r="D1830" s="76">
        <v>2.0200000000000001E-3</v>
      </c>
      <c r="E1830" s="76">
        <v>4.1000000000000003E-3</v>
      </c>
      <c r="F1830" s="76">
        <v>6.2100000000000002E-3</v>
      </c>
      <c r="G1830" s="76">
        <v>8.2799999999999992E-3</v>
      </c>
      <c r="H1830" s="76">
        <v>1.03E-2</v>
      </c>
      <c r="I1830" s="76">
        <v>1.23E-2</v>
      </c>
      <c r="J1830" s="76">
        <v>1.43E-2</v>
      </c>
      <c r="K1830" s="76">
        <v>1.6400000000000001E-2</v>
      </c>
      <c r="L1830" s="76">
        <v>1.8499999999999999E-2</v>
      </c>
      <c r="M1830" s="76">
        <v>2.0400000000000001E-2</v>
      </c>
    </row>
    <row r="1831" spans="3:13" x14ac:dyDescent="0.15">
      <c r="C1831" s="76">
        <v>536</v>
      </c>
      <c r="D1831" s="76">
        <v>1.81E-3</v>
      </c>
      <c r="E1831" s="76">
        <v>3.7000000000000002E-3</v>
      </c>
      <c r="F1831" s="76">
        <v>5.5900000000000004E-3</v>
      </c>
      <c r="G1831" s="76">
        <v>7.45E-3</v>
      </c>
      <c r="H1831" s="76">
        <v>9.2899999999999996E-3</v>
      </c>
      <c r="I1831" s="76">
        <v>1.11E-2</v>
      </c>
      <c r="J1831" s="76">
        <v>1.29E-2</v>
      </c>
      <c r="K1831" s="76">
        <v>1.4800000000000001E-2</v>
      </c>
      <c r="L1831" s="76">
        <v>1.66E-2</v>
      </c>
      <c r="M1831" s="76">
        <v>1.8499999999999999E-2</v>
      </c>
    </row>
    <row r="1832" spans="3:13" x14ac:dyDescent="0.15">
      <c r="C1832" s="76">
        <v>538</v>
      </c>
      <c r="D1832" s="76">
        <v>1.66E-3</v>
      </c>
      <c r="E1832" s="76">
        <v>3.3800000000000002E-3</v>
      </c>
      <c r="F1832" s="76">
        <v>5.0800000000000003E-3</v>
      </c>
      <c r="G1832" s="76">
        <v>6.77E-3</v>
      </c>
      <c r="H1832" s="76">
        <v>8.4600000000000005E-3</v>
      </c>
      <c r="I1832" s="76">
        <v>1.01E-2</v>
      </c>
      <c r="J1832" s="76">
        <v>1.17E-2</v>
      </c>
      <c r="K1832" s="76">
        <v>1.35E-2</v>
      </c>
      <c r="L1832" s="76">
        <v>1.5100000000000001E-2</v>
      </c>
      <c r="M1832" s="76">
        <v>1.6799999999999999E-2</v>
      </c>
    </row>
    <row r="1833" spans="3:13" x14ac:dyDescent="0.15">
      <c r="C1833" s="76">
        <v>540</v>
      </c>
      <c r="D1833" s="76">
        <v>1.5100000000000001E-3</v>
      </c>
      <c r="E1833" s="76">
        <v>3.0799999999999998E-3</v>
      </c>
      <c r="F1833" s="76">
        <v>4.62E-3</v>
      </c>
      <c r="G1833" s="76">
        <v>6.1500000000000001E-3</v>
      </c>
      <c r="H1833" s="76">
        <v>7.6899999999999998E-3</v>
      </c>
      <c r="I1833" s="76">
        <v>9.1500000000000001E-3</v>
      </c>
      <c r="J1833" s="76">
        <v>1.06E-2</v>
      </c>
      <c r="K1833" s="76">
        <v>1.23E-2</v>
      </c>
      <c r="L1833" s="76">
        <v>1.37E-2</v>
      </c>
      <c r="M1833" s="76">
        <v>1.5299999999999999E-2</v>
      </c>
    </row>
    <row r="1834" spans="3:13" x14ac:dyDescent="0.15">
      <c r="C1834" s="76">
        <v>542</v>
      </c>
      <c r="D1834" s="76">
        <v>1.3699999999999999E-3</v>
      </c>
      <c r="E1834" s="76">
        <v>2.8E-3</v>
      </c>
      <c r="F1834" s="76">
        <v>4.2100000000000002E-3</v>
      </c>
      <c r="G1834" s="76">
        <v>5.6100000000000004E-3</v>
      </c>
      <c r="H1834" s="76">
        <v>6.9899999999999997E-3</v>
      </c>
      <c r="I1834" s="76">
        <v>8.3700000000000007E-3</v>
      </c>
      <c r="J1834" s="76">
        <v>9.7000000000000003E-3</v>
      </c>
      <c r="K1834" s="76">
        <v>1.11E-2</v>
      </c>
      <c r="L1834" s="76">
        <v>1.2500000000000001E-2</v>
      </c>
      <c r="M1834" s="76">
        <v>1.3899999999999999E-2</v>
      </c>
    </row>
    <row r="1835" spans="3:13" x14ac:dyDescent="0.15">
      <c r="C1835" s="76">
        <v>544</v>
      </c>
      <c r="D1835" s="76">
        <v>1.2600000000000001E-3</v>
      </c>
      <c r="E1835" s="76">
        <v>2.5600000000000002E-3</v>
      </c>
      <c r="F1835" s="76">
        <v>3.8400000000000001E-3</v>
      </c>
      <c r="G1835" s="76">
        <v>5.0899999999999999E-3</v>
      </c>
      <c r="H1835" s="76">
        <v>6.3499999999999997E-3</v>
      </c>
      <c r="I1835" s="76">
        <v>7.62E-3</v>
      </c>
      <c r="J1835" s="76">
        <v>8.8100000000000001E-3</v>
      </c>
      <c r="K1835" s="76">
        <v>1.01E-2</v>
      </c>
      <c r="L1835" s="76">
        <v>1.14E-2</v>
      </c>
      <c r="M1835" s="76">
        <v>1.26E-2</v>
      </c>
    </row>
    <row r="1836" spans="3:13" x14ac:dyDescent="0.15">
      <c r="C1836" s="76">
        <v>546</v>
      </c>
      <c r="D1836" s="76">
        <v>1.14E-3</v>
      </c>
      <c r="E1836" s="76">
        <v>2.33E-3</v>
      </c>
      <c r="F1836" s="76">
        <v>3.46E-3</v>
      </c>
      <c r="G1836" s="76">
        <v>4.62E-3</v>
      </c>
      <c r="H1836" s="76">
        <v>5.7299999999999999E-3</v>
      </c>
      <c r="I1836" s="76">
        <v>6.8700000000000002E-3</v>
      </c>
      <c r="J1836" s="76">
        <v>8.0199999999999994E-3</v>
      </c>
      <c r="K1836" s="76">
        <v>9.1599999999999997E-3</v>
      </c>
      <c r="L1836" s="76">
        <v>1.04E-2</v>
      </c>
      <c r="M1836" s="76">
        <v>1.14E-2</v>
      </c>
    </row>
    <row r="1837" spans="3:13" x14ac:dyDescent="0.15">
      <c r="C1837" s="76">
        <v>548</v>
      </c>
      <c r="D1837" s="76">
        <v>1.0300000000000001E-3</v>
      </c>
      <c r="E1837" s="76">
        <v>2.0899999999999998E-3</v>
      </c>
      <c r="F1837" s="76">
        <v>3.14E-3</v>
      </c>
      <c r="G1837" s="76">
        <v>4.1999999999999997E-3</v>
      </c>
      <c r="H1837" s="76">
        <v>5.2100000000000002E-3</v>
      </c>
      <c r="I1837" s="76">
        <v>6.2199999999999998E-3</v>
      </c>
      <c r="J1837" s="76">
        <v>7.28E-3</v>
      </c>
      <c r="K1837" s="76">
        <v>8.2799999999999992E-3</v>
      </c>
      <c r="L1837" s="76">
        <v>9.3799999999999994E-3</v>
      </c>
      <c r="M1837" s="76">
        <v>1.04E-2</v>
      </c>
    </row>
    <row r="1838" spans="3:13" x14ac:dyDescent="0.15">
      <c r="C1838" s="76">
        <v>550</v>
      </c>
      <c r="D1838" s="76">
        <v>9.3800000000000003E-4</v>
      </c>
      <c r="E1838" s="76">
        <v>1.92E-3</v>
      </c>
      <c r="F1838" s="76">
        <v>2.8500000000000001E-3</v>
      </c>
      <c r="G1838" s="76">
        <v>3.8300000000000001E-3</v>
      </c>
      <c r="H1838" s="76">
        <v>4.7600000000000003E-3</v>
      </c>
      <c r="I1838" s="76">
        <v>5.6800000000000002E-3</v>
      </c>
      <c r="J1838" s="76">
        <v>6.5599999999999999E-3</v>
      </c>
      <c r="K1838" s="76">
        <v>7.5399999999999998E-3</v>
      </c>
      <c r="L1838" s="76">
        <v>8.5199999999999998E-3</v>
      </c>
      <c r="M1838" s="76">
        <v>9.4500000000000001E-3</v>
      </c>
    </row>
    <row r="1839" spans="3:13" x14ac:dyDescent="0.15">
      <c r="C1839" s="76">
        <v>552</v>
      </c>
      <c r="D1839" s="76">
        <v>8.5999999999999998E-4</v>
      </c>
      <c r="E1839" s="76">
        <v>1.75E-3</v>
      </c>
      <c r="F1839" s="76">
        <v>2.5999999999999999E-3</v>
      </c>
      <c r="G1839" s="76">
        <v>3.5000000000000001E-3</v>
      </c>
      <c r="H1839" s="76">
        <v>4.3499999999999997E-3</v>
      </c>
      <c r="I1839" s="76">
        <v>5.1799999999999997E-3</v>
      </c>
      <c r="J1839" s="76">
        <v>6.0499999999999998E-3</v>
      </c>
      <c r="K1839" s="76">
        <v>6.8500000000000002E-3</v>
      </c>
      <c r="L1839" s="76">
        <v>7.8200000000000006E-3</v>
      </c>
      <c r="M1839" s="76">
        <v>8.6800000000000002E-3</v>
      </c>
    </row>
    <row r="1840" spans="3:13" x14ac:dyDescent="0.15">
      <c r="C1840" s="76">
        <v>554</v>
      </c>
      <c r="D1840" s="76">
        <v>7.8200000000000003E-4</v>
      </c>
      <c r="E1840" s="76">
        <v>1.6100000000000001E-3</v>
      </c>
      <c r="F1840" s="76">
        <v>2.3700000000000001E-3</v>
      </c>
      <c r="G1840" s="76">
        <v>3.2100000000000002E-3</v>
      </c>
      <c r="H1840" s="76">
        <v>3.9399999999999999E-3</v>
      </c>
      <c r="I1840" s="76">
        <v>4.7099999999999998E-3</v>
      </c>
      <c r="J1840" s="76">
        <v>5.5199999999999997E-3</v>
      </c>
      <c r="K1840" s="76">
        <v>6.2300000000000003E-3</v>
      </c>
      <c r="L1840" s="76">
        <v>7.1500000000000001E-3</v>
      </c>
      <c r="M1840" s="76">
        <v>7.8600000000000007E-3</v>
      </c>
    </row>
    <row r="1841" spans="3:13" x14ac:dyDescent="0.15">
      <c r="C1841" s="76">
        <v>556</v>
      </c>
      <c r="D1841" s="76">
        <v>7.1699999999999997E-4</v>
      </c>
      <c r="E1841" s="76">
        <v>1.4599999999999999E-3</v>
      </c>
      <c r="F1841" s="76">
        <v>2.1800000000000001E-3</v>
      </c>
      <c r="G1841" s="76">
        <v>2.9099999999999998E-3</v>
      </c>
      <c r="H1841" s="76">
        <v>3.5899999999999999E-3</v>
      </c>
      <c r="I1841" s="76">
        <v>4.28E-3</v>
      </c>
      <c r="J1841" s="76">
        <v>5.0699999999999999E-3</v>
      </c>
      <c r="K1841" s="76">
        <v>5.6600000000000001E-3</v>
      </c>
      <c r="L1841" s="76">
        <v>6.5100000000000002E-3</v>
      </c>
      <c r="M1841" s="76">
        <v>7.1700000000000002E-3</v>
      </c>
    </row>
    <row r="1842" spans="3:13" x14ac:dyDescent="0.15">
      <c r="C1842" s="76">
        <v>558</v>
      </c>
      <c r="D1842" s="76">
        <v>6.4700000000000001E-4</v>
      </c>
      <c r="E1842" s="76">
        <v>1.32E-3</v>
      </c>
      <c r="F1842" s="76">
        <v>1.9599999999999999E-3</v>
      </c>
      <c r="G1842" s="76">
        <v>2.6199999999999999E-3</v>
      </c>
      <c r="H1842" s="76">
        <v>3.2699999999999999E-3</v>
      </c>
      <c r="I1842" s="76">
        <v>3.8899999999999998E-3</v>
      </c>
      <c r="J1842" s="76">
        <v>4.5500000000000002E-3</v>
      </c>
      <c r="K1842" s="76">
        <v>5.1700000000000001E-3</v>
      </c>
      <c r="L1842" s="76">
        <v>5.8999999999999999E-3</v>
      </c>
      <c r="M1842" s="76">
        <v>6.45E-3</v>
      </c>
    </row>
    <row r="1843" spans="3:13" x14ac:dyDescent="0.15">
      <c r="C1843" s="76">
        <v>560</v>
      </c>
      <c r="D1843" s="76">
        <v>5.8699999999999996E-4</v>
      </c>
      <c r="E1843" s="76">
        <v>1.2099999999999999E-3</v>
      </c>
      <c r="F1843" s="76">
        <v>1.7899999999999999E-3</v>
      </c>
      <c r="G1843" s="76">
        <v>2.3900000000000002E-3</v>
      </c>
      <c r="H1843" s="76">
        <v>2.99E-3</v>
      </c>
      <c r="I1843" s="76">
        <v>3.5699999999999998E-3</v>
      </c>
      <c r="J1843" s="76">
        <v>4.1799999999999997E-3</v>
      </c>
      <c r="K1843" s="76">
        <v>4.6600000000000001E-3</v>
      </c>
      <c r="L1843" s="76">
        <v>5.3800000000000002E-3</v>
      </c>
      <c r="M1843" s="76">
        <v>5.9199999999999999E-3</v>
      </c>
    </row>
    <row r="1844" spans="3:13" x14ac:dyDescent="0.15">
      <c r="C1844" s="76">
        <v>562</v>
      </c>
      <c r="D1844" s="76">
        <v>5.3700000000000004E-4</v>
      </c>
      <c r="E1844" s="76">
        <v>1.1100000000000001E-3</v>
      </c>
      <c r="F1844" s="76">
        <v>1.6299999999999999E-3</v>
      </c>
      <c r="G1844" s="76">
        <v>2.1900000000000001E-3</v>
      </c>
      <c r="H1844" s="76">
        <v>2.7299999999999998E-3</v>
      </c>
      <c r="I1844" s="76">
        <v>3.2699999999999999E-3</v>
      </c>
      <c r="J1844" s="76">
        <v>3.8400000000000001E-3</v>
      </c>
      <c r="K1844" s="76">
        <v>4.28E-3</v>
      </c>
      <c r="L1844" s="76">
        <v>4.9699999999999996E-3</v>
      </c>
      <c r="M1844" s="76">
        <v>5.4200000000000003E-3</v>
      </c>
    </row>
    <row r="1845" spans="3:13" x14ac:dyDescent="0.15">
      <c r="C1845" s="76">
        <v>564</v>
      </c>
      <c r="D1845" s="76">
        <v>4.9700000000000005E-4</v>
      </c>
      <c r="E1845" s="76">
        <v>1.01E-3</v>
      </c>
      <c r="F1845" s="76">
        <v>1.5E-3</v>
      </c>
      <c r="G1845" s="76">
        <v>2.0100000000000001E-3</v>
      </c>
      <c r="H1845" s="76">
        <v>2.5300000000000001E-3</v>
      </c>
      <c r="I1845" s="76">
        <v>3.0000000000000001E-3</v>
      </c>
      <c r="J1845" s="76">
        <v>3.5100000000000001E-3</v>
      </c>
      <c r="K1845" s="76">
        <v>3.9100000000000003E-3</v>
      </c>
      <c r="L1845" s="76">
        <v>4.5500000000000002E-3</v>
      </c>
      <c r="M1845" s="76">
        <v>5.0200000000000002E-3</v>
      </c>
    </row>
    <row r="1846" spans="3:13" x14ac:dyDescent="0.15">
      <c r="C1846" s="76">
        <v>566</v>
      </c>
      <c r="D1846" s="76">
        <v>4.6099999999999998E-4</v>
      </c>
      <c r="E1846" s="76">
        <v>9.2699999999999998E-4</v>
      </c>
      <c r="F1846" s="76">
        <v>1.3699999999999999E-3</v>
      </c>
      <c r="G1846" s="76">
        <v>1.8400000000000001E-3</v>
      </c>
      <c r="H1846" s="76">
        <v>2.3400000000000001E-3</v>
      </c>
      <c r="I1846" s="76">
        <v>2.7499999999999998E-3</v>
      </c>
      <c r="J1846" s="76">
        <v>3.2499999999999999E-3</v>
      </c>
      <c r="K1846" s="76">
        <v>3.63E-3</v>
      </c>
      <c r="L1846" s="76">
        <v>4.1799999999999997E-3</v>
      </c>
      <c r="M1846" s="76">
        <v>4.62E-3</v>
      </c>
    </row>
    <row r="1847" spans="3:13" x14ac:dyDescent="0.15">
      <c r="C1847" s="76">
        <v>568</v>
      </c>
      <c r="D1847" s="76">
        <v>4.2499999999999998E-4</v>
      </c>
      <c r="E1847" s="76">
        <v>8.43E-4</v>
      </c>
      <c r="F1847" s="76">
        <v>1.2700000000000001E-3</v>
      </c>
      <c r="G1847" s="76">
        <v>1.72E-3</v>
      </c>
      <c r="H1847" s="76">
        <v>2.1199999999999999E-3</v>
      </c>
      <c r="I1847" s="76">
        <v>2.5500000000000002E-3</v>
      </c>
      <c r="J1847" s="76">
        <v>3.0000000000000001E-3</v>
      </c>
      <c r="K1847" s="76">
        <v>3.32E-3</v>
      </c>
      <c r="L1847" s="76">
        <v>3.8700000000000002E-3</v>
      </c>
      <c r="M1847" s="76">
        <v>4.1700000000000001E-3</v>
      </c>
    </row>
    <row r="1848" spans="3:13" x14ac:dyDescent="0.15">
      <c r="C1848" s="76">
        <v>570</v>
      </c>
      <c r="D1848" s="76">
        <v>3.8499999999999998E-4</v>
      </c>
      <c r="E1848" s="76">
        <v>7.8399999999999997E-4</v>
      </c>
      <c r="F1848" s="76">
        <v>1.17E-3</v>
      </c>
      <c r="G1848" s="76">
        <v>1.6000000000000001E-3</v>
      </c>
      <c r="H1848" s="76">
        <v>1.9499999999999999E-3</v>
      </c>
      <c r="I1848" s="76">
        <v>2.3E-3</v>
      </c>
      <c r="J1848" s="76">
        <v>2.7899999999999999E-3</v>
      </c>
      <c r="K1848" s="76">
        <v>3.14E-3</v>
      </c>
      <c r="L1848" s="76">
        <v>3.5300000000000002E-3</v>
      </c>
      <c r="M1848" s="76">
        <v>3.9199999999999999E-3</v>
      </c>
    </row>
    <row r="1849" spans="3:13" x14ac:dyDescent="0.15">
      <c r="C1849" s="76">
        <v>572</v>
      </c>
      <c r="D1849" s="76">
        <v>3.6099999999999999E-4</v>
      </c>
      <c r="E1849" s="76">
        <v>7.27E-4</v>
      </c>
      <c r="F1849" s="76">
        <v>1.09E-3</v>
      </c>
      <c r="G1849" s="76">
        <v>1.42E-3</v>
      </c>
      <c r="H1849" s="76">
        <v>1.8400000000000001E-3</v>
      </c>
      <c r="I1849" s="76">
        <v>2.2000000000000001E-3</v>
      </c>
      <c r="J1849" s="76">
        <v>2.6099999999999999E-3</v>
      </c>
      <c r="K1849" s="76">
        <v>2.8900000000000002E-3</v>
      </c>
      <c r="L1849" s="76">
        <v>3.2799999999999999E-3</v>
      </c>
      <c r="M1849" s="76">
        <v>3.5899999999999999E-3</v>
      </c>
    </row>
    <row r="1850" spans="3:13" x14ac:dyDescent="0.15">
      <c r="C1850" s="76">
        <v>574</v>
      </c>
      <c r="D1850" s="76">
        <v>3.3399999999999999E-4</v>
      </c>
      <c r="E1850" s="76">
        <v>7.0299999999999996E-4</v>
      </c>
      <c r="F1850" s="76">
        <v>1.0200000000000001E-3</v>
      </c>
      <c r="G1850" s="76">
        <v>1.3699999999999999E-3</v>
      </c>
      <c r="H1850" s="76">
        <v>1.7099999999999999E-3</v>
      </c>
      <c r="I1850" s="76">
        <v>2.0100000000000001E-3</v>
      </c>
      <c r="J1850" s="76">
        <v>2.3999999999999998E-3</v>
      </c>
      <c r="K1850" s="76">
        <v>2.66E-3</v>
      </c>
      <c r="L1850" s="76">
        <v>2.97E-3</v>
      </c>
      <c r="M1850" s="76">
        <v>3.29E-3</v>
      </c>
    </row>
    <row r="1851" spans="3:13" x14ac:dyDescent="0.15">
      <c r="C1851" s="76">
        <v>576</v>
      </c>
      <c r="D1851" s="76">
        <v>3.1500000000000001E-4</v>
      </c>
      <c r="E1851" s="76">
        <v>6.3599999999999996E-4</v>
      </c>
      <c r="F1851" s="76">
        <v>9.41E-4</v>
      </c>
      <c r="G1851" s="76">
        <v>1.2800000000000001E-3</v>
      </c>
      <c r="H1851" s="76">
        <v>1.57E-3</v>
      </c>
      <c r="I1851" s="76">
        <v>1.9599999999999999E-3</v>
      </c>
      <c r="J1851" s="76">
        <v>2.2499999999999998E-3</v>
      </c>
      <c r="K1851" s="76">
        <v>2.4599999999999999E-3</v>
      </c>
      <c r="L1851" s="76">
        <v>2.7799999999999999E-3</v>
      </c>
      <c r="M1851" s="76">
        <v>3.0500000000000002E-3</v>
      </c>
    </row>
    <row r="1852" spans="3:13" x14ac:dyDescent="0.15">
      <c r="C1852" s="76">
        <v>578</v>
      </c>
      <c r="D1852" s="76">
        <v>2.8600000000000001E-4</v>
      </c>
      <c r="E1852" s="76">
        <v>5.5999999999999995E-4</v>
      </c>
      <c r="F1852" s="76">
        <v>8.4000000000000003E-4</v>
      </c>
      <c r="G1852" s="76">
        <v>1.14E-3</v>
      </c>
      <c r="H1852" s="76">
        <v>1.4599999999999999E-3</v>
      </c>
      <c r="I1852" s="76">
        <v>1.7799999999999999E-3</v>
      </c>
      <c r="J1852" s="76">
        <v>2.0400000000000001E-3</v>
      </c>
      <c r="K1852" s="76">
        <v>2.2599999999999999E-3</v>
      </c>
      <c r="L1852" s="76">
        <v>2.5300000000000001E-3</v>
      </c>
      <c r="M1852" s="76">
        <v>2.8800000000000002E-3</v>
      </c>
    </row>
    <row r="1853" spans="3:13" x14ac:dyDescent="0.15">
      <c r="C1853" s="76">
        <v>580</v>
      </c>
      <c r="D1853" s="76">
        <v>2.72E-4</v>
      </c>
      <c r="E1853" s="76">
        <v>5.1000000000000004E-4</v>
      </c>
      <c r="F1853" s="76">
        <v>7.8899999999999999E-4</v>
      </c>
      <c r="G1853" s="76">
        <v>1.0499999999999999E-3</v>
      </c>
      <c r="H1853" s="76">
        <v>1.34E-3</v>
      </c>
      <c r="I1853" s="76">
        <v>1.6199999999999999E-3</v>
      </c>
      <c r="J1853" s="76">
        <v>1.9400000000000001E-3</v>
      </c>
      <c r="K1853" s="76">
        <v>2.0500000000000002E-3</v>
      </c>
      <c r="L1853" s="76">
        <v>2.3400000000000001E-3</v>
      </c>
      <c r="M1853" s="76">
        <v>2.5899999999999999E-3</v>
      </c>
    </row>
    <row r="1854" spans="3:13" x14ac:dyDescent="0.15">
      <c r="C1854" s="76">
        <v>582</v>
      </c>
      <c r="D1854" s="76">
        <v>2.5099999999999998E-4</v>
      </c>
      <c r="E1854" s="76">
        <v>4.6999999999999999E-4</v>
      </c>
      <c r="F1854" s="76">
        <v>7.5600000000000005E-4</v>
      </c>
      <c r="G1854" s="76">
        <v>9.6900000000000003E-4</v>
      </c>
      <c r="H1854" s="76">
        <v>1.1900000000000001E-3</v>
      </c>
      <c r="I1854" s="76">
        <v>1.5100000000000001E-3</v>
      </c>
      <c r="J1854" s="76">
        <v>1.75E-3</v>
      </c>
      <c r="K1854" s="76">
        <v>1.9400000000000001E-3</v>
      </c>
      <c r="L1854" s="76">
        <v>2.14E-3</v>
      </c>
      <c r="M1854" s="76">
        <v>2.3500000000000001E-3</v>
      </c>
    </row>
    <row r="1855" spans="3:13" x14ac:dyDescent="0.15">
      <c r="C1855" s="76">
        <v>584</v>
      </c>
      <c r="D1855" s="76">
        <v>2.2699999999999999E-4</v>
      </c>
      <c r="E1855" s="76">
        <v>4.37E-4</v>
      </c>
      <c r="F1855" s="76">
        <v>6.8199999999999999E-4</v>
      </c>
      <c r="G1855" s="76">
        <v>8.9099999999999997E-4</v>
      </c>
      <c r="H1855" s="76">
        <v>1.1100000000000001E-3</v>
      </c>
      <c r="I1855" s="76">
        <v>1.39E-3</v>
      </c>
      <c r="J1855" s="76">
        <v>1.58E-3</v>
      </c>
      <c r="K1855" s="76">
        <v>1.7600000000000001E-3</v>
      </c>
      <c r="L1855" s="76">
        <v>2.0100000000000001E-3</v>
      </c>
      <c r="M1855" s="76">
        <v>2.1900000000000001E-3</v>
      </c>
    </row>
    <row r="1856" spans="3:13" x14ac:dyDescent="0.15">
      <c r="C1856" s="76">
        <v>586</v>
      </c>
      <c r="D1856" s="76">
        <v>2.0599999999999999E-4</v>
      </c>
      <c r="E1856" s="76">
        <v>4.0000000000000002E-4</v>
      </c>
      <c r="F1856" s="76">
        <v>6.3599999999999996E-4</v>
      </c>
      <c r="G1856" s="76">
        <v>8.1700000000000002E-4</v>
      </c>
      <c r="H1856" s="76">
        <v>1.0300000000000001E-3</v>
      </c>
      <c r="I1856" s="76">
        <v>1.2700000000000001E-3</v>
      </c>
      <c r="J1856" s="76">
        <v>1.5E-3</v>
      </c>
      <c r="K1856" s="76">
        <v>1.56E-3</v>
      </c>
      <c r="L1856" s="76">
        <v>1.83E-3</v>
      </c>
      <c r="M1856" s="76">
        <v>2.0400000000000001E-3</v>
      </c>
    </row>
    <row r="1857" spans="3:13" x14ac:dyDescent="0.15">
      <c r="C1857" s="76">
        <v>588</v>
      </c>
      <c r="D1857" s="76">
        <v>1.8699999999999999E-4</v>
      </c>
      <c r="E1857" s="76">
        <v>3.5300000000000002E-4</v>
      </c>
      <c r="F1857" s="76">
        <v>5.9699999999999998E-4</v>
      </c>
      <c r="G1857" s="76">
        <v>7.1000000000000002E-4</v>
      </c>
      <c r="H1857" s="76">
        <v>9.0899999999999998E-4</v>
      </c>
      <c r="I1857" s="76">
        <v>1.1900000000000001E-3</v>
      </c>
      <c r="J1857" s="76">
        <v>1.32E-3</v>
      </c>
      <c r="K1857" s="76">
        <v>1.4499999999999999E-3</v>
      </c>
      <c r="L1857" s="76">
        <v>1.65E-3</v>
      </c>
      <c r="M1857" s="76">
        <v>1.8600000000000001E-3</v>
      </c>
    </row>
    <row r="1858" spans="3:13" x14ac:dyDescent="0.15">
      <c r="C1858" s="76">
        <v>590</v>
      </c>
      <c r="D1858" s="76">
        <v>1.66E-4</v>
      </c>
      <c r="E1858" s="76">
        <v>3.3399999999999999E-4</v>
      </c>
      <c r="F1858" s="76">
        <v>5.2800000000000004E-4</v>
      </c>
      <c r="G1858" s="76">
        <v>6.6799999999999997E-4</v>
      </c>
      <c r="H1858" s="76">
        <v>8.3699999999999996E-4</v>
      </c>
      <c r="I1858" s="76">
        <v>1.08E-3</v>
      </c>
      <c r="J1858" s="76">
        <v>1.2700000000000001E-3</v>
      </c>
      <c r="K1858" s="76">
        <v>1.34E-3</v>
      </c>
      <c r="L1858" s="76">
        <v>1.5E-3</v>
      </c>
      <c r="M1858" s="76">
        <v>1.66E-3</v>
      </c>
    </row>
    <row r="1859" spans="3:13" x14ac:dyDescent="0.15">
      <c r="C1859" s="76">
        <v>592</v>
      </c>
      <c r="D1859" s="76">
        <v>1.5100000000000001E-4</v>
      </c>
      <c r="E1859" s="76">
        <v>3.0699999999999998E-4</v>
      </c>
      <c r="F1859" s="76">
        <v>5.04E-4</v>
      </c>
      <c r="G1859" s="76">
        <v>6.1899999999999998E-4</v>
      </c>
      <c r="H1859" s="76">
        <v>7.6000000000000004E-4</v>
      </c>
      <c r="I1859" s="76">
        <v>9.7099999999999997E-4</v>
      </c>
      <c r="J1859" s="76">
        <v>1.0399999999999999E-3</v>
      </c>
      <c r="K1859" s="76">
        <v>1.23E-3</v>
      </c>
      <c r="L1859" s="76">
        <v>1.3600000000000001E-3</v>
      </c>
      <c r="M1859" s="76">
        <v>1.5399999999999999E-3</v>
      </c>
    </row>
    <row r="1860" spans="3:13" x14ac:dyDescent="0.15">
      <c r="C1860" s="76">
        <v>594</v>
      </c>
      <c r="D1860" s="76">
        <v>1.3799999999999999E-4</v>
      </c>
      <c r="E1860" s="76">
        <v>2.9100000000000003E-4</v>
      </c>
      <c r="F1860" s="76">
        <v>4.6999999999999999E-4</v>
      </c>
      <c r="G1860" s="76">
        <v>5.71E-4</v>
      </c>
      <c r="H1860" s="76">
        <v>6.7599999999999995E-4</v>
      </c>
      <c r="I1860" s="76">
        <v>8.7900000000000001E-4</v>
      </c>
      <c r="J1860" s="76">
        <v>1.0399999999999999E-3</v>
      </c>
      <c r="K1860" s="76">
        <v>1.15E-3</v>
      </c>
      <c r="L1860" s="76">
        <v>1.25E-3</v>
      </c>
      <c r="M1860" s="76">
        <v>1.4400000000000001E-3</v>
      </c>
    </row>
    <row r="1861" spans="3:13" x14ac:dyDescent="0.15">
      <c r="C1861" s="76">
        <v>596</v>
      </c>
      <c r="D1861" s="76">
        <v>1.27E-4</v>
      </c>
      <c r="E1861" s="76">
        <v>2.6499999999999999E-4</v>
      </c>
      <c r="F1861" s="76">
        <v>4.1599999999999997E-4</v>
      </c>
      <c r="G1861" s="76">
        <v>5.1699999999999999E-4</v>
      </c>
      <c r="H1861" s="76">
        <v>6.4199999999999999E-4</v>
      </c>
      <c r="I1861" s="76">
        <v>8.2700000000000004E-4</v>
      </c>
      <c r="J1861" s="76">
        <v>9.2599999999999996E-4</v>
      </c>
      <c r="K1861" s="76">
        <v>1E-3</v>
      </c>
      <c r="L1861" s="76">
        <v>1.1299999999999999E-3</v>
      </c>
      <c r="M1861" s="76">
        <v>1.3500000000000001E-3</v>
      </c>
    </row>
    <row r="1862" spans="3:13" x14ac:dyDescent="0.15">
      <c r="C1862" s="76">
        <v>598</v>
      </c>
      <c r="D1862" s="76">
        <v>1.18E-4</v>
      </c>
      <c r="E1862" s="76">
        <v>2.32E-4</v>
      </c>
      <c r="F1862" s="76">
        <v>3.9199999999999999E-4</v>
      </c>
      <c r="G1862" s="76">
        <v>4.6999999999999999E-4</v>
      </c>
      <c r="H1862" s="76">
        <v>6.0300000000000002E-4</v>
      </c>
      <c r="I1862" s="76">
        <v>7.85E-4</v>
      </c>
      <c r="J1862" s="76">
        <v>8.43E-4</v>
      </c>
      <c r="K1862" s="76">
        <v>9.2699999999999998E-4</v>
      </c>
      <c r="L1862" s="76">
        <v>1.01E-3</v>
      </c>
      <c r="M1862" s="76">
        <v>1.1800000000000001E-3</v>
      </c>
    </row>
    <row r="1863" spans="3:13" x14ac:dyDescent="0.15">
      <c r="C1863" s="76">
        <v>600</v>
      </c>
      <c r="D1863" s="76">
        <v>1.12E-4</v>
      </c>
      <c r="E1863" s="76">
        <v>2.1800000000000001E-4</v>
      </c>
      <c r="F1863" s="76">
        <v>4.0099999999999999E-4</v>
      </c>
      <c r="G1863" s="76">
        <v>4.2200000000000001E-4</v>
      </c>
      <c r="H1863" s="76">
        <v>4.9799999999999996E-4</v>
      </c>
      <c r="I1863" s="76">
        <v>6.9099999999999999E-4</v>
      </c>
      <c r="J1863" s="76">
        <v>8.03E-4</v>
      </c>
      <c r="K1863" s="76">
        <v>9.41E-4</v>
      </c>
      <c r="L1863" s="76">
        <v>9.7199999999999999E-4</v>
      </c>
      <c r="M1863" s="76">
        <v>1.1000000000000001E-3</v>
      </c>
    </row>
    <row r="1864" spans="3:13" x14ac:dyDescent="0.15">
      <c r="C1864" s="76">
        <v>602</v>
      </c>
      <c r="D1864" s="76">
        <v>1.01E-4</v>
      </c>
      <c r="E1864" s="76">
        <v>2.0900000000000001E-4</v>
      </c>
      <c r="F1864" s="76">
        <v>3.6699999999999998E-4</v>
      </c>
      <c r="G1864" s="76">
        <v>4.0000000000000002E-4</v>
      </c>
      <c r="H1864" s="76">
        <v>4.5199999999999998E-4</v>
      </c>
      <c r="I1864" s="76">
        <v>6.6500000000000001E-4</v>
      </c>
      <c r="J1864" s="76">
        <v>7.2000000000000005E-4</v>
      </c>
      <c r="K1864" s="76">
        <v>8.6300000000000005E-4</v>
      </c>
      <c r="L1864" s="76">
        <v>9.6699999999999998E-4</v>
      </c>
      <c r="M1864" s="76">
        <v>1.0399999999999999E-3</v>
      </c>
    </row>
    <row r="1865" spans="3:13" x14ac:dyDescent="0.15">
      <c r="C1865" s="76">
        <v>604</v>
      </c>
      <c r="D1865" s="76">
        <v>9.1899999999999998E-5</v>
      </c>
      <c r="E1865" s="76">
        <v>1.9799999999999999E-4</v>
      </c>
      <c r="F1865" s="76">
        <v>3.39E-4</v>
      </c>
      <c r="G1865" s="76">
        <v>3.9899999999999999E-4</v>
      </c>
      <c r="H1865" s="76">
        <v>4.2700000000000002E-4</v>
      </c>
      <c r="I1865" s="76">
        <v>6.0300000000000002E-4</v>
      </c>
      <c r="J1865" s="76">
        <v>6.6500000000000001E-4</v>
      </c>
      <c r="K1865" s="76">
        <v>7.5500000000000003E-4</v>
      </c>
      <c r="L1865" s="76">
        <v>9.1100000000000003E-4</v>
      </c>
      <c r="M1865" s="76">
        <v>9.77E-4</v>
      </c>
    </row>
    <row r="1866" spans="3:13" x14ac:dyDescent="0.15">
      <c r="C1866" s="76">
        <v>606</v>
      </c>
      <c r="D1866" s="76">
        <v>8.1600000000000005E-5</v>
      </c>
      <c r="E1866" s="76">
        <v>1.84E-4</v>
      </c>
      <c r="F1866" s="76">
        <v>3.3599999999999998E-4</v>
      </c>
      <c r="G1866" s="76">
        <v>3.8000000000000002E-4</v>
      </c>
      <c r="H1866" s="76">
        <v>4.2499999999999998E-4</v>
      </c>
      <c r="I1866" s="76">
        <v>5.1699999999999999E-4</v>
      </c>
      <c r="J1866" s="76">
        <v>6.3199999999999997E-4</v>
      </c>
      <c r="K1866" s="76">
        <v>7.6000000000000004E-4</v>
      </c>
      <c r="L1866" s="76">
        <v>8.4800000000000001E-4</v>
      </c>
      <c r="M1866" s="76">
        <v>8.9499999999999996E-4</v>
      </c>
    </row>
    <row r="1867" spans="3:13" x14ac:dyDescent="0.15">
      <c r="C1867" s="76">
        <v>608</v>
      </c>
      <c r="D1867" s="76">
        <v>8.3300000000000005E-5</v>
      </c>
      <c r="E1867" s="76">
        <v>1.7699999999999999E-4</v>
      </c>
      <c r="F1867" s="76">
        <v>2.9100000000000003E-4</v>
      </c>
      <c r="G1867" s="76">
        <v>3.4400000000000001E-4</v>
      </c>
      <c r="H1867" s="76">
        <v>3.77E-4</v>
      </c>
      <c r="I1867" s="76">
        <v>5.1800000000000001E-4</v>
      </c>
      <c r="J1867" s="76">
        <v>5.9999999999999995E-4</v>
      </c>
      <c r="K1867" s="76">
        <v>6.7599999999999995E-4</v>
      </c>
      <c r="L1867" s="76">
        <v>7.7300000000000003E-4</v>
      </c>
      <c r="M1867" s="76">
        <v>8.7000000000000001E-4</v>
      </c>
    </row>
    <row r="1868" spans="3:13" x14ac:dyDescent="0.15">
      <c r="C1868" s="76">
        <v>610</v>
      </c>
      <c r="D1868" s="76">
        <v>7.4999999999999993E-5</v>
      </c>
      <c r="E1868" s="76">
        <v>1.5799999999999999E-4</v>
      </c>
      <c r="F1868" s="76">
        <v>2.9E-4</v>
      </c>
      <c r="G1868" s="76">
        <v>3.2499999999999999E-4</v>
      </c>
      <c r="H1868" s="76">
        <v>3.1700000000000001E-4</v>
      </c>
      <c r="I1868" s="76">
        <v>4.1399999999999998E-4</v>
      </c>
      <c r="J1868" s="76">
        <v>5.9400000000000002E-4</v>
      </c>
      <c r="K1868" s="76">
        <v>6.8599999999999998E-4</v>
      </c>
      <c r="L1868" s="76">
        <v>7.2800000000000002E-4</v>
      </c>
      <c r="M1868" s="76">
        <v>8.2700000000000004E-4</v>
      </c>
    </row>
    <row r="1869" spans="3:13" x14ac:dyDescent="0.15">
      <c r="C1869" s="76">
        <v>612</v>
      </c>
      <c r="D1869" s="76">
        <v>6.7999999999999999E-5</v>
      </c>
      <c r="E1869" s="76">
        <v>1.65E-4</v>
      </c>
      <c r="F1869" s="76">
        <v>2.7900000000000001E-4</v>
      </c>
      <c r="G1869" s="76">
        <v>3.4699999999999998E-4</v>
      </c>
      <c r="H1869" s="76">
        <v>3.1E-4</v>
      </c>
      <c r="I1869" s="76">
        <v>3.6499999999999998E-4</v>
      </c>
      <c r="J1869" s="76">
        <v>5.5599999999999996E-4</v>
      </c>
      <c r="K1869" s="76">
        <v>6.7000000000000002E-4</v>
      </c>
      <c r="L1869" s="76">
        <v>6.6799999999999997E-4</v>
      </c>
      <c r="M1869" s="76">
        <v>6.4499999999999996E-4</v>
      </c>
    </row>
    <row r="1870" spans="3:13" x14ac:dyDescent="0.15">
      <c r="C1870" s="76">
        <v>614</v>
      </c>
      <c r="D1870" s="76">
        <v>6.19E-5</v>
      </c>
      <c r="E1870" s="76">
        <v>1.5300000000000001E-4</v>
      </c>
      <c r="F1870" s="76">
        <v>2.5500000000000002E-4</v>
      </c>
      <c r="G1870" s="76">
        <v>2.4699999999999999E-4</v>
      </c>
      <c r="H1870" s="76">
        <v>2.9999999999999997E-4</v>
      </c>
      <c r="I1870" s="76">
        <v>3.6600000000000001E-4</v>
      </c>
      <c r="J1870" s="76">
        <v>4.7800000000000002E-4</v>
      </c>
      <c r="K1870" s="76">
        <v>6.1200000000000002E-4</v>
      </c>
      <c r="L1870" s="76">
        <v>6.3199999999999997E-4</v>
      </c>
      <c r="M1870" s="76">
        <v>7.3200000000000001E-4</v>
      </c>
    </row>
    <row r="1871" spans="3:13" x14ac:dyDescent="0.15">
      <c r="C1871" s="76">
        <v>616</v>
      </c>
      <c r="D1871" s="76">
        <v>6.4300000000000004E-5</v>
      </c>
      <c r="E1871" s="76">
        <v>1.7899999999999999E-4</v>
      </c>
      <c r="F1871" s="76">
        <v>2.4499999999999999E-4</v>
      </c>
      <c r="G1871" s="76">
        <v>2.4800000000000001E-4</v>
      </c>
      <c r="H1871" s="76">
        <v>2.6899999999999998E-4</v>
      </c>
      <c r="I1871" s="76">
        <v>3.2400000000000001E-4</v>
      </c>
      <c r="J1871" s="76">
        <v>4.3100000000000001E-4</v>
      </c>
      <c r="K1871" s="76">
        <v>5.1900000000000004E-4</v>
      </c>
      <c r="L1871" s="76">
        <v>6.9499999999999998E-4</v>
      </c>
      <c r="M1871" s="76">
        <v>6.4700000000000001E-4</v>
      </c>
    </row>
    <row r="1872" spans="3:13" x14ac:dyDescent="0.15">
      <c r="C1872" s="76">
        <v>618</v>
      </c>
      <c r="D1872" s="76">
        <v>6.8300000000000007E-5</v>
      </c>
      <c r="E1872" s="76">
        <v>1.07E-4</v>
      </c>
      <c r="F1872" s="76">
        <v>2.12E-4</v>
      </c>
      <c r="G1872" s="76">
        <v>2.7799999999999998E-4</v>
      </c>
      <c r="H1872" s="76">
        <v>3.0499999999999999E-4</v>
      </c>
      <c r="I1872" s="76">
        <v>2.7799999999999998E-4</v>
      </c>
      <c r="J1872" s="76">
        <v>3.3500000000000001E-4</v>
      </c>
      <c r="K1872" s="76">
        <v>5.1900000000000004E-4</v>
      </c>
      <c r="L1872" s="76">
        <v>5.1400000000000003E-4</v>
      </c>
      <c r="M1872" s="76">
        <v>5.44E-4</v>
      </c>
    </row>
    <row r="1873" spans="3:56" x14ac:dyDescent="0.15">
      <c r="C1873" s="81">
        <v>620</v>
      </c>
      <c r="D1873" s="76">
        <v>6.9099999999999999E-5</v>
      </c>
      <c r="E1873" s="76">
        <v>1.21E-4</v>
      </c>
      <c r="F1873" s="76">
        <v>2.13E-4</v>
      </c>
      <c r="G1873" s="76">
        <v>2.2599999999999999E-4</v>
      </c>
      <c r="H1873" s="81">
        <v>2.72E-4</v>
      </c>
      <c r="I1873" s="76">
        <v>3.21E-4</v>
      </c>
      <c r="J1873" s="76">
        <v>3.48E-4</v>
      </c>
      <c r="K1873" s="76">
        <v>4.5300000000000001E-4</v>
      </c>
      <c r="L1873" s="81">
        <v>4.9600000000000002E-4</v>
      </c>
      <c r="M1873" s="76">
        <v>4.9100000000000001E-4</v>
      </c>
      <c r="N1873" s="81"/>
      <c r="T1873" s="81"/>
      <c r="W1873" s="81"/>
      <c r="AG1873" s="81"/>
      <c r="AT1873" s="81"/>
    </row>
    <row r="1874" spans="3:56" x14ac:dyDescent="0.15">
      <c r="C1874" s="81">
        <v>622</v>
      </c>
      <c r="D1874" s="76">
        <v>5.1999999999999997E-5</v>
      </c>
      <c r="E1874" s="76">
        <v>1.17E-4</v>
      </c>
      <c r="F1874" s="76">
        <v>1.7799999999999999E-4</v>
      </c>
      <c r="G1874" s="76">
        <v>2.0100000000000001E-4</v>
      </c>
      <c r="H1874" s="81">
        <v>2.52E-4</v>
      </c>
      <c r="I1874" s="76">
        <v>2.6499999999999999E-4</v>
      </c>
      <c r="J1874" s="76">
        <v>3.3799999999999998E-4</v>
      </c>
      <c r="K1874" s="76">
        <v>3.79E-4</v>
      </c>
      <c r="L1874" s="81">
        <v>4.7600000000000002E-4</v>
      </c>
      <c r="M1874" s="76">
        <v>4.46E-4</v>
      </c>
      <c r="N1874" s="81"/>
      <c r="T1874" s="81"/>
      <c r="W1874" s="81"/>
      <c r="AG1874" s="81"/>
      <c r="AT1874" s="81"/>
    </row>
    <row r="1875" spans="3:56" x14ac:dyDescent="0.15">
      <c r="C1875" s="81">
        <v>624</v>
      </c>
      <c r="D1875" s="76">
        <v>4.88E-5</v>
      </c>
      <c r="E1875" s="76">
        <v>1.15E-4</v>
      </c>
      <c r="F1875" s="76">
        <v>1.56E-4</v>
      </c>
      <c r="G1875" s="76">
        <v>2.12E-4</v>
      </c>
      <c r="H1875" s="81">
        <v>2.3900000000000001E-4</v>
      </c>
      <c r="I1875" s="76">
        <v>1.9799999999999999E-4</v>
      </c>
      <c r="J1875" s="76">
        <v>3.1599999999999998E-4</v>
      </c>
      <c r="K1875" s="76">
        <v>3.8200000000000002E-4</v>
      </c>
      <c r="L1875" s="81">
        <v>4.9600000000000002E-4</v>
      </c>
      <c r="M1875" s="76">
        <v>3.86E-4</v>
      </c>
      <c r="N1875" s="81"/>
      <c r="T1875" s="81"/>
      <c r="W1875" s="81"/>
      <c r="AG1875" s="81"/>
      <c r="AT1875" s="81"/>
    </row>
    <row r="1876" spans="3:56" x14ac:dyDescent="0.15">
      <c r="C1876" s="81">
        <v>626</v>
      </c>
      <c r="D1876" s="76">
        <v>4.7899999999999999E-5</v>
      </c>
      <c r="E1876" s="76">
        <v>1.0399999999999999E-4</v>
      </c>
      <c r="F1876" s="76">
        <v>1.4999999999999999E-4</v>
      </c>
      <c r="G1876" s="76">
        <v>1.95E-4</v>
      </c>
      <c r="H1876" s="81">
        <v>2.33E-4</v>
      </c>
      <c r="I1876" s="76">
        <v>2.34E-4</v>
      </c>
      <c r="J1876" s="76">
        <v>2.9599999999999998E-4</v>
      </c>
      <c r="K1876" s="76">
        <v>3.5399999999999999E-4</v>
      </c>
      <c r="L1876" s="81">
        <v>4.2099999999999999E-4</v>
      </c>
      <c r="M1876" s="76">
        <v>3.3399999999999999E-4</v>
      </c>
      <c r="N1876" s="81"/>
      <c r="T1876" s="81"/>
      <c r="W1876" s="81"/>
      <c r="AG1876" s="81"/>
      <c r="AT1876" s="81"/>
    </row>
    <row r="1877" spans="3:56" x14ac:dyDescent="0.15">
      <c r="C1877" s="81">
        <v>628</v>
      </c>
      <c r="D1877" s="76">
        <v>5.0000000000000002E-5</v>
      </c>
      <c r="E1877" s="76">
        <v>1.07E-4</v>
      </c>
      <c r="F1877" s="76">
        <v>1.3100000000000001E-4</v>
      </c>
      <c r="G1877" s="76">
        <v>1.55E-4</v>
      </c>
      <c r="H1877" s="81">
        <v>1.8699999999999999E-4</v>
      </c>
      <c r="I1877" s="76">
        <v>2.2900000000000001E-4</v>
      </c>
      <c r="J1877" s="76">
        <v>2.5900000000000001E-4</v>
      </c>
      <c r="K1877" s="76">
        <v>3.6499999999999998E-4</v>
      </c>
      <c r="L1877" s="81">
        <v>3.6900000000000002E-4</v>
      </c>
      <c r="M1877" s="76">
        <v>2.9300000000000002E-4</v>
      </c>
      <c r="N1877" s="81"/>
      <c r="T1877" s="81"/>
      <c r="W1877" s="81"/>
      <c r="AG1877" s="81"/>
      <c r="AT1877" s="81"/>
    </row>
    <row r="1878" spans="3:56" x14ac:dyDescent="0.15">
      <c r="C1878" s="81">
        <v>630</v>
      </c>
      <c r="D1878" s="76">
        <v>5.0399999999999999E-5</v>
      </c>
      <c r="E1878" s="76">
        <v>7.9200000000000001E-5</v>
      </c>
      <c r="F1878" s="76">
        <v>1.3899999999999999E-4</v>
      </c>
      <c r="G1878" s="76">
        <v>1.45E-4</v>
      </c>
      <c r="H1878" s="81">
        <v>1.6899999999999999E-4</v>
      </c>
      <c r="I1878" s="76">
        <v>1.9799999999999999E-4</v>
      </c>
      <c r="J1878" s="76">
        <v>3.0600000000000001E-4</v>
      </c>
      <c r="K1878" s="76">
        <v>3.0200000000000002E-4</v>
      </c>
      <c r="L1878" s="81">
        <v>3.5199999999999999E-4</v>
      </c>
      <c r="M1878" s="76">
        <v>3.2200000000000002E-4</v>
      </c>
      <c r="N1878" s="81"/>
      <c r="T1878" s="81"/>
      <c r="W1878" s="81"/>
      <c r="AG1878" s="81"/>
      <c r="AT1878" s="81"/>
    </row>
    <row r="1879" spans="3:56" x14ac:dyDescent="0.15">
      <c r="C1879" s="81">
        <v>632</v>
      </c>
      <c r="D1879" s="76">
        <v>4.7299999999999998E-5</v>
      </c>
      <c r="E1879" s="76">
        <v>8.2700000000000004E-5</v>
      </c>
      <c r="F1879" s="76">
        <v>1.22E-4</v>
      </c>
      <c r="G1879" s="76">
        <v>1.36E-4</v>
      </c>
      <c r="H1879" s="81">
        <v>1.9699999999999999E-4</v>
      </c>
      <c r="I1879" s="76">
        <v>1.9900000000000001E-4</v>
      </c>
      <c r="J1879" s="76">
        <v>2.7099999999999997E-4</v>
      </c>
      <c r="K1879" s="76">
        <v>2.7E-4</v>
      </c>
      <c r="L1879" s="81">
        <v>3.48E-4</v>
      </c>
      <c r="M1879" s="76">
        <v>2.7900000000000001E-4</v>
      </c>
      <c r="N1879" s="81"/>
      <c r="T1879" s="81"/>
      <c r="W1879" s="81"/>
      <c r="AG1879" s="81"/>
      <c r="AT1879" s="81"/>
    </row>
    <row r="1880" spans="3:56" x14ac:dyDescent="0.15">
      <c r="C1880" s="81">
        <v>634</v>
      </c>
      <c r="D1880" s="76">
        <v>4.4799999999999998E-5</v>
      </c>
      <c r="E1880" s="76">
        <v>8.0099999999999995E-5</v>
      </c>
      <c r="F1880" s="76">
        <v>9.4099999999999997E-5</v>
      </c>
      <c r="G1880" s="76">
        <v>1.54E-4</v>
      </c>
      <c r="H1880" s="81">
        <v>2.0599999999999999E-4</v>
      </c>
      <c r="I1880" s="76">
        <v>1.9699999999999999E-4</v>
      </c>
      <c r="J1880" s="76">
        <v>2.3900000000000001E-4</v>
      </c>
      <c r="K1880" s="76">
        <v>3.0400000000000002E-4</v>
      </c>
      <c r="L1880" s="81">
        <v>3.4699999999999998E-4</v>
      </c>
      <c r="M1880" s="76">
        <v>2.7500000000000002E-4</v>
      </c>
      <c r="N1880" s="81"/>
      <c r="T1880" s="81"/>
      <c r="W1880" s="81"/>
      <c r="AG1880" s="81"/>
      <c r="AT1880" s="81"/>
    </row>
    <row r="1881" spans="3:56" x14ac:dyDescent="0.15">
      <c r="C1881" s="81">
        <v>636</v>
      </c>
      <c r="D1881" s="76">
        <v>3.9499999999999998E-5</v>
      </c>
      <c r="E1881" s="76">
        <v>7.2100000000000004E-5</v>
      </c>
      <c r="F1881" s="76">
        <v>8.1199999999999995E-5</v>
      </c>
      <c r="G1881" s="76">
        <v>1.3799999999999999E-4</v>
      </c>
      <c r="H1881" s="81">
        <v>1.75E-4</v>
      </c>
      <c r="I1881" s="76">
        <v>1.25E-4</v>
      </c>
      <c r="J1881" s="76">
        <v>1.8599999999999999E-4</v>
      </c>
      <c r="K1881" s="76">
        <v>3.0899999999999998E-4</v>
      </c>
      <c r="L1881" s="81">
        <v>3.0699999999999998E-4</v>
      </c>
      <c r="M1881" s="76">
        <v>2.7799999999999998E-4</v>
      </c>
      <c r="N1881" s="81"/>
      <c r="T1881" s="81"/>
      <c r="W1881" s="81"/>
      <c r="AG1881" s="81"/>
      <c r="AT1881" s="81"/>
    </row>
    <row r="1882" spans="3:56" x14ac:dyDescent="0.15">
      <c r="C1882" s="81">
        <v>638</v>
      </c>
      <c r="D1882" s="76">
        <v>4.07E-5</v>
      </c>
      <c r="E1882" s="76">
        <v>6.0800000000000001E-5</v>
      </c>
      <c r="F1882" s="76">
        <v>6.7500000000000001E-5</v>
      </c>
      <c r="G1882" s="76">
        <v>1.4300000000000001E-4</v>
      </c>
      <c r="H1882" s="81">
        <v>1.93E-4</v>
      </c>
      <c r="I1882" s="76">
        <v>1.75E-4</v>
      </c>
      <c r="J1882" s="76">
        <v>2.52E-4</v>
      </c>
      <c r="K1882" s="76">
        <v>2.3499999999999999E-4</v>
      </c>
      <c r="L1882" s="81">
        <v>2.9500000000000001E-4</v>
      </c>
      <c r="M1882" s="76">
        <v>2.7799999999999998E-4</v>
      </c>
      <c r="N1882" s="81"/>
      <c r="T1882" s="81"/>
      <c r="W1882" s="81"/>
      <c r="AG1882" s="81"/>
      <c r="AT1882" s="81"/>
    </row>
    <row r="1883" spans="3:56" x14ac:dyDescent="0.15">
      <c r="C1883" s="81">
        <v>640</v>
      </c>
      <c r="D1883" s="76">
        <v>3.96E-5</v>
      </c>
      <c r="E1883" s="76">
        <v>6.4999999999999994E-5</v>
      </c>
      <c r="F1883" s="76">
        <v>5.5699999999999999E-5</v>
      </c>
      <c r="G1883" s="76">
        <v>1.13E-4</v>
      </c>
      <c r="H1883" s="81">
        <v>1.92E-4</v>
      </c>
      <c r="I1883" s="76">
        <v>1.2899999999999999E-4</v>
      </c>
      <c r="J1883" s="76">
        <v>1.7899999999999999E-4</v>
      </c>
      <c r="K1883" s="76">
        <v>2.4000000000000001E-4</v>
      </c>
      <c r="L1883" s="81">
        <v>2.3000000000000001E-4</v>
      </c>
      <c r="M1883" s="76">
        <v>2.9700000000000001E-4</v>
      </c>
      <c r="N1883" s="81"/>
      <c r="T1883" s="81"/>
      <c r="W1883" s="81"/>
      <c r="AG1883" s="81"/>
      <c r="AT1883" s="81"/>
    </row>
    <row r="1884" spans="3:56" x14ac:dyDescent="0.15">
      <c r="C1884" s="81">
        <v>642</v>
      </c>
      <c r="D1884" s="76">
        <v>3.6699999999999998E-5</v>
      </c>
      <c r="E1884" s="76">
        <v>4.8300000000000002E-5</v>
      </c>
      <c r="F1884" s="76">
        <v>5.9899999999999999E-5</v>
      </c>
      <c r="G1884" s="76">
        <v>1.13E-4</v>
      </c>
      <c r="H1884" s="81">
        <v>1.85E-4</v>
      </c>
      <c r="I1884" s="76">
        <v>1.3100000000000001E-4</v>
      </c>
      <c r="J1884" s="76">
        <v>1.63E-4</v>
      </c>
      <c r="K1884" s="76">
        <v>2.5399999999999999E-4</v>
      </c>
      <c r="L1884" s="81">
        <v>2.0900000000000001E-4</v>
      </c>
      <c r="M1884" s="76">
        <v>3.1300000000000002E-4</v>
      </c>
      <c r="N1884" s="81"/>
      <c r="T1884" s="81"/>
      <c r="W1884" s="81"/>
      <c r="AG1884" s="81"/>
      <c r="AT1884" s="81"/>
    </row>
    <row r="1885" spans="3:56" x14ac:dyDescent="0.15">
      <c r="C1885" s="81">
        <v>644</v>
      </c>
      <c r="D1885" s="76">
        <v>3.5299999999999997E-5</v>
      </c>
      <c r="E1885" s="76">
        <v>4.5300000000000003E-5</v>
      </c>
      <c r="F1885" s="76">
        <v>2.8500000000000002E-5</v>
      </c>
      <c r="G1885" s="76">
        <v>1.16E-4</v>
      </c>
      <c r="H1885" s="81">
        <v>2.0599999999999999E-4</v>
      </c>
      <c r="I1885" s="76">
        <v>1.5100000000000001E-4</v>
      </c>
      <c r="J1885" s="76">
        <v>1.74E-4</v>
      </c>
      <c r="K1885" s="76">
        <v>2.4000000000000001E-4</v>
      </c>
      <c r="L1885" s="81">
        <v>1.56E-4</v>
      </c>
      <c r="M1885" s="76">
        <v>2.9399999999999999E-4</v>
      </c>
      <c r="N1885" s="81"/>
      <c r="T1885" s="81"/>
      <c r="W1885" s="81"/>
      <c r="AG1885" s="81"/>
      <c r="AT1885" s="81"/>
    </row>
    <row r="1886" spans="3:56" x14ac:dyDescent="0.15">
      <c r="C1886" s="81">
        <v>646</v>
      </c>
      <c r="D1886" s="76">
        <v>2.9899999999999998E-5</v>
      </c>
      <c r="E1886" s="76">
        <v>2.3499999999999999E-5</v>
      </c>
      <c r="F1886" s="76">
        <v>1.5400000000000002E-5</v>
      </c>
      <c r="G1886" s="76">
        <v>8.4300000000000003E-5</v>
      </c>
      <c r="H1886" s="81">
        <v>1.7100000000000001E-4</v>
      </c>
      <c r="I1886" s="76">
        <v>1.08E-4</v>
      </c>
      <c r="J1886" s="76">
        <v>1.92E-4</v>
      </c>
      <c r="K1886" s="76">
        <v>2.8400000000000002E-4</v>
      </c>
      <c r="L1886" s="81">
        <v>1.8100000000000001E-4</v>
      </c>
      <c r="M1886" s="76">
        <v>2.7399999999999999E-4</v>
      </c>
      <c r="N1886" s="81"/>
      <c r="T1886" s="81"/>
      <c r="W1886" s="81"/>
      <c r="AG1886" s="81"/>
      <c r="AT1886" s="81"/>
    </row>
    <row r="1887" spans="3:56" x14ac:dyDescent="0.15">
      <c r="C1887" s="81">
        <v>648</v>
      </c>
      <c r="D1887" s="81">
        <v>2.7100000000000001E-5</v>
      </c>
      <c r="E1887" s="81">
        <v>4.4199999999999997E-5</v>
      </c>
      <c r="F1887" s="81">
        <v>4.4499999999999997E-5</v>
      </c>
      <c r="G1887" s="81">
        <v>1.2300000000000001E-4</v>
      </c>
      <c r="H1887" s="81">
        <v>1.8900000000000001E-4</v>
      </c>
      <c r="I1887" s="81">
        <v>1.35E-4</v>
      </c>
      <c r="J1887" s="81">
        <v>1.5200000000000001E-4</v>
      </c>
      <c r="K1887" s="81">
        <v>2.61E-4</v>
      </c>
      <c r="L1887" s="81">
        <v>1.4100000000000001E-4</v>
      </c>
      <c r="M1887" s="81">
        <v>3.3E-4</v>
      </c>
      <c r="N1887" s="81"/>
      <c r="O1887" s="81"/>
      <c r="P1887" s="81"/>
      <c r="Q1887" s="81"/>
      <c r="R1887" s="81"/>
      <c r="S1887" s="81"/>
      <c r="T1887" s="81"/>
      <c r="U1887" s="81"/>
      <c r="V1887" s="81"/>
      <c r="W1887" s="81"/>
      <c r="X1887" s="81"/>
      <c r="Y1887" s="81"/>
      <c r="Z1887" s="81"/>
      <c r="AA1887" s="81"/>
      <c r="AB1887" s="81"/>
      <c r="AC1887" s="81"/>
      <c r="AD1887" s="81"/>
      <c r="AG1887" s="81"/>
      <c r="AH1887" s="81"/>
      <c r="AI1887" s="81"/>
      <c r="AJ1887" s="81"/>
      <c r="AK1887" s="81"/>
      <c r="AL1887" s="81"/>
      <c r="AM1887" s="81"/>
      <c r="AN1887" s="81"/>
      <c r="AO1887" s="81"/>
      <c r="AP1887" s="81"/>
      <c r="AQ1887" s="81"/>
      <c r="AT1887" s="81"/>
      <c r="AU1887" s="81"/>
      <c r="AV1887" s="81"/>
      <c r="AW1887" s="81"/>
      <c r="AX1887" s="81"/>
      <c r="AY1887" s="81"/>
      <c r="AZ1887" s="81"/>
      <c r="BA1887" s="81"/>
      <c r="BB1887" s="81"/>
      <c r="BC1887" s="81"/>
      <c r="BD1887" s="81"/>
    </row>
    <row r="1888" spans="3:56" x14ac:dyDescent="0.15">
      <c r="C1888" s="81">
        <v>650</v>
      </c>
      <c r="D1888" s="76">
        <v>2.8099999999999999E-5</v>
      </c>
      <c r="E1888" s="76">
        <v>4.1699999999999997E-5</v>
      </c>
      <c r="F1888" s="76">
        <v>1.45E-5</v>
      </c>
      <c r="G1888" s="76">
        <v>1.35E-4</v>
      </c>
      <c r="H1888" s="81">
        <v>1.84E-4</v>
      </c>
      <c r="I1888" s="76">
        <v>1.37E-4</v>
      </c>
      <c r="J1888" s="76">
        <v>2.14E-4</v>
      </c>
      <c r="K1888" s="76">
        <v>1.9100000000000001E-4</v>
      </c>
      <c r="L1888" s="81">
        <v>1.8699999999999999E-4</v>
      </c>
      <c r="M1888" s="76">
        <v>3.19E-4</v>
      </c>
      <c r="N1888" s="81"/>
      <c r="T1888" s="81"/>
      <c r="W1888" s="81"/>
      <c r="AG1888" s="81"/>
      <c r="AT1888" s="81"/>
    </row>
    <row r="1889" spans="3:13" x14ac:dyDescent="0.15">
      <c r="C1889" s="76">
        <v>652</v>
      </c>
      <c r="D1889" s="76">
        <v>2.4700000000000001E-5</v>
      </c>
      <c r="E1889" s="76">
        <v>4.74E-5</v>
      </c>
      <c r="F1889" s="76">
        <v>1.31E-5</v>
      </c>
      <c r="G1889" s="76">
        <v>1.22E-4</v>
      </c>
      <c r="H1889" s="76">
        <v>2.02E-4</v>
      </c>
      <c r="I1889" s="76">
        <v>9.6399999999999999E-5</v>
      </c>
      <c r="J1889" s="76">
        <v>2.0699999999999999E-4</v>
      </c>
      <c r="K1889" s="76">
        <v>2.1000000000000001E-4</v>
      </c>
      <c r="L1889" s="76">
        <v>1.85E-4</v>
      </c>
      <c r="M1889" s="76">
        <v>2.8200000000000002E-4</v>
      </c>
    </row>
    <row r="1890" spans="3:13" x14ac:dyDescent="0.15">
      <c r="C1890" s="76">
        <v>654</v>
      </c>
      <c r="D1890" s="76">
        <v>2.1699999999999999E-5</v>
      </c>
      <c r="E1890" s="76">
        <v>4.8000000000000001E-5</v>
      </c>
      <c r="F1890" s="76">
        <v>3.3500000000000001E-5</v>
      </c>
      <c r="G1890" s="76">
        <v>1.05E-4</v>
      </c>
      <c r="H1890" s="76">
        <v>1.6799999999999999E-4</v>
      </c>
      <c r="I1890" s="76">
        <v>1.9699999999999999E-4</v>
      </c>
      <c r="J1890" s="76">
        <v>1.66E-4</v>
      </c>
      <c r="K1890" s="76">
        <v>1.5799999999999999E-4</v>
      </c>
      <c r="L1890" s="76">
        <v>1.05E-4</v>
      </c>
      <c r="M1890" s="76">
        <v>3.1300000000000002E-4</v>
      </c>
    </row>
    <row r="1891" spans="3:13" x14ac:dyDescent="0.15">
      <c r="C1891" s="76">
        <v>656</v>
      </c>
      <c r="D1891" s="76">
        <v>1.7E-5</v>
      </c>
      <c r="E1891" s="76">
        <v>4.4700000000000002E-5</v>
      </c>
      <c r="F1891" s="76">
        <v>4.0200000000000001E-5</v>
      </c>
      <c r="G1891" s="76">
        <v>9.4699999999999998E-5</v>
      </c>
      <c r="H1891" s="76">
        <v>1.8599999999999999E-4</v>
      </c>
      <c r="I1891" s="76">
        <v>1.18E-4</v>
      </c>
      <c r="J1891" s="76">
        <v>2.12E-4</v>
      </c>
      <c r="K1891" s="76">
        <v>1.5200000000000001E-4</v>
      </c>
      <c r="L1891" s="76">
        <v>6.3399999999999996E-5</v>
      </c>
      <c r="M1891" s="76">
        <v>3.2899999999999997E-4</v>
      </c>
    </row>
    <row r="1892" spans="3:13" x14ac:dyDescent="0.15">
      <c r="C1892" s="76">
        <v>658</v>
      </c>
      <c r="D1892" s="76">
        <v>1.6500000000000001E-5</v>
      </c>
      <c r="E1892" s="76">
        <v>3.15E-5</v>
      </c>
      <c r="F1892" s="76">
        <v>4.8300000000000002E-5</v>
      </c>
      <c r="G1892" s="76">
        <v>1.11E-4</v>
      </c>
      <c r="H1892" s="76">
        <v>1.6899999999999999E-4</v>
      </c>
      <c r="I1892" s="76">
        <v>1.47E-4</v>
      </c>
      <c r="J1892" s="76">
        <v>1.54E-4</v>
      </c>
      <c r="K1892" s="76">
        <v>1.6000000000000001E-4</v>
      </c>
      <c r="L1892" s="76">
        <v>2.3099999999999999E-5</v>
      </c>
      <c r="M1892" s="76">
        <v>2.8499999999999999E-4</v>
      </c>
    </row>
    <row r="1893" spans="3:13" x14ac:dyDescent="0.15">
      <c r="C1893" s="76">
        <v>660</v>
      </c>
      <c r="D1893" s="76">
        <v>9.7999999999999993E-6</v>
      </c>
      <c r="E1893" s="76">
        <v>1.8199999999999999E-5</v>
      </c>
      <c r="F1893" s="76">
        <v>3.82E-5</v>
      </c>
      <c r="G1893" s="76">
        <v>9.3700000000000001E-5</v>
      </c>
      <c r="H1893" s="76">
        <v>1.75E-4</v>
      </c>
      <c r="I1893" s="76">
        <v>1.4200000000000001E-4</v>
      </c>
      <c r="J1893" s="76">
        <v>1.2799999999999999E-4</v>
      </c>
      <c r="K1893" s="76">
        <v>1.16E-4</v>
      </c>
      <c r="L1893" s="76">
        <v>7.2999999999999999E-5</v>
      </c>
      <c r="M1893" s="76">
        <v>3.4200000000000002E-4</v>
      </c>
    </row>
    <row r="1894" spans="3:13" x14ac:dyDescent="0.15">
      <c r="C1894" s="76">
        <v>662</v>
      </c>
      <c r="D1894" s="76">
        <v>3.14E-6</v>
      </c>
      <c r="E1894" s="76">
        <v>4.7200000000000002E-5</v>
      </c>
      <c r="F1894" s="76">
        <v>4.0800000000000002E-5</v>
      </c>
      <c r="G1894" s="76">
        <v>9.2999999999999997E-5</v>
      </c>
      <c r="H1894" s="76">
        <v>1.54E-4</v>
      </c>
      <c r="I1894" s="76">
        <v>1.5899999999999999E-4</v>
      </c>
      <c r="J1894" s="76">
        <v>1.37E-4</v>
      </c>
      <c r="K1894" s="76">
        <v>1.36E-4</v>
      </c>
      <c r="L1894" s="76">
        <v>6.7999999999999999E-5</v>
      </c>
      <c r="M1894" s="76">
        <v>3.1799999999999998E-4</v>
      </c>
    </row>
    <row r="1895" spans="3:13" x14ac:dyDescent="0.15">
      <c r="C1895" s="76">
        <v>664</v>
      </c>
      <c r="D1895" s="76">
        <v>8.2099999999999993E-6</v>
      </c>
      <c r="E1895" s="76">
        <v>4.1999999999999998E-5</v>
      </c>
      <c r="F1895" s="76">
        <v>2.7699999999999999E-5</v>
      </c>
      <c r="G1895" s="76">
        <v>8.7499999999999999E-5</v>
      </c>
      <c r="H1895" s="76">
        <v>1.8699999999999999E-4</v>
      </c>
      <c r="I1895" s="76">
        <v>1.8100000000000001E-4</v>
      </c>
      <c r="J1895" s="76">
        <v>1.6799999999999999E-4</v>
      </c>
      <c r="K1895" s="76">
        <v>9.59E-5</v>
      </c>
      <c r="L1895" s="76">
        <v>7.1400000000000001E-5</v>
      </c>
      <c r="M1895" s="76">
        <v>2.9999999999999997E-4</v>
      </c>
    </row>
    <row r="1896" spans="3:13" x14ac:dyDescent="0.15">
      <c r="C1896" s="76">
        <v>666</v>
      </c>
      <c r="D1896" s="76">
        <v>1.1800000000000001E-5</v>
      </c>
      <c r="E1896" s="76">
        <v>4.9400000000000001E-5</v>
      </c>
      <c r="F1896" s="76">
        <v>5.7500000000000002E-5</v>
      </c>
      <c r="G1896" s="76">
        <v>7.3899999999999994E-5</v>
      </c>
      <c r="H1896" s="76">
        <v>1.2999999999999999E-4</v>
      </c>
      <c r="I1896" s="76">
        <v>1.65E-4</v>
      </c>
      <c r="J1896" s="76">
        <v>1.3100000000000001E-4</v>
      </c>
      <c r="K1896" s="76">
        <v>1.25E-4</v>
      </c>
      <c r="L1896" s="76">
        <v>1.4200000000000001E-4</v>
      </c>
      <c r="M1896" s="76">
        <v>3.1500000000000001E-4</v>
      </c>
    </row>
    <row r="1897" spans="3:13" x14ac:dyDescent="0.15">
      <c r="C1897" s="76">
        <v>668</v>
      </c>
      <c r="D1897" s="76">
        <v>1.1199999999999999E-5</v>
      </c>
      <c r="E1897" s="76">
        <v>4.46E-5</v>
      </c>
      <c r="F1897" s="76">
        <v>5.63E-5</v>
      </c>
      <c r="G1897" s="76">
        <v>1.13E-4</v>
      </c>
      <c r="H1897" s="76">
        <v>1.66E-4</v>
      </c>
      <c r="I1897" s="76">
        <v>1.3799999999999999E-4</v>
      </c>
      <c r="J1897" s="76">
        <v>1.75E-4</v>
      </c>
      <c r="K1897" s="76">
        <v>1.13E-4</v>
      </c>
      <c r="L1897" s="76">
        <v>1.35E-4</v>
      </c>
      <c r="M1897" s="76">
        <v>3.4299999999999999E-4</v>
      </c>
    </row>
    <row r="1898" spans="3:13" x14ac:dyDescent="0.15">
      <c r="C1898" s="76">
        <v>670</v>
      </c>
      <c r="D1898" s="76">
        <v>3.4000000000000001E-6</v>
      </c>
      <c r="E1898" s="76">
        <v>6.1699999999999995E-5</v>
      </c>
      <c r="F1898" s="76">
        <v>5.3999999999999998E-5</v>
      </c>
      <c r="G1898" s="76">
        <v>1.2899999999999999E-4</v>
      </c>
      <c r="H1898" s="76">
        <v>1.76E-4</v>
      </c>
      <c r="I1898" s="76">
        <v>1.22E-4</v>
      </c>
      <c r="J1898" s="76">
        <v>1.6100000000000001E-4</v>
      </c>
      <c r="K1898" s="76">
        <v>8.2100000000000003E-5</v>
      </c>
      <c r="L1898" s="76">
        <v>1.2300000000000001E-4</v>
      </c>
      <c r="M1898" s="76">
        <v>3.1399999999999999E-4</v>
      </c>
    </row>
    <row r="1899" spans="3:13" x14ac:dyDescent="0.15">
      <c r="C1899" s="76">
        <v>672</v>
      </c>
      <c r="D1899" s="76">
        <v>4.1400000000000002E-6</v>
      </c>
      <c r="E1899" s="76">
        <v>4.7800000000000003E-5</v>
      </c>
      <c r="F1899" s="76">
        <v>5.0300000000000003E-5</v>
      </c>
      <c r="G1899" s="76">
        <v>9.0799999999999998E-5</v>
      </c>
      <c r="H1899" s="76">
        <v>1.4100000000000001E-4</v>
      </c>
      <c r="I1899" s="76">
        <v>1.75E-4</v>
      </c>
      <c r="J1899" s="76">
        <v>4.6100000000000002E-5</v>
      </c>
      <c r="K1899" s="76">
        <v>5.3100000000000003E-5</v>
      </c>
      <c r="L1899" s="76">
        <v>1.76E-4</v>
      </c>
      <c r="M1899" s="76">
        <v>2.9300000000000002E-4</v>
      </c>
    </row>
    <row r="1900" spans="3:13" x14ac:dyDescent="0.15">
      <c r="C1900" s="76">
        <v>674</v>
      </c>
      <c r="D1900" s="76">
        <v>2.08E-6</v>
      </c>
      <c r="E1900" s="76">
        <v>5.41E-5</v>
      </c>
      <c r="F1900" s="76">
        <v>7.3100000000000001E-5</v>
      </c>
      <c r="G1900" s="76">
        <v>1.11E-4</v>
      </c>
      <c r="H1900" s="76">
        <v>1.2999999999999999E-4</v>
      </c>
      <c r="I1900" s="76">
        <v>1.4100000000000001E-4</v>
      </c>
      <c r="J1900" s="76">
        <v>2.2900000000000001E-4</v>
      </c>
      <c r="K1900" s="76">
        <v>1.16E-4</v>
      </c>
      <c r="L1900" s="76">
        <v>1.6799999999999999E-4</v>
      </c>
      <c r="M1900" s="76">
        <v>2.6699999999999998E-4</v>
      </c>
    </row>
    <row r="1901" spans="3:13" x14ac:dyDescent="0.15">
      <c r="C1901" s="76">
        <v>676</v>
      </c>
      <c r="D1901" s="76">
        <v>2.9900000000000002E-6</v>
      </c>
      <c r="E1901" s="76">
        <v>4.8199999999999999E-5</v>
      </c>
      <c r="F1901" s="76">
        <v>6.1500000000000004E-5</v>
      </c>
      <c r="G1901" s="76">
        <v>1.25E-4</v>
      </c>
      <c r="H1901" s="76">
        <v>1.22E-4</v>
      </c>
      <c r="I1901" s="76">
        <v>1.47E-4</v>
      </c>
      <c r="J1901" s="76">
        <v>1.13E-4</v>
      </c>
      <c r="K1901" s="76">
        <v>1.11E-4</v>
      </c>
      <c r="L1901" s="76">
        <v>1.15E-4</v>
      </c>
      <c r="M1901" s="76">
        <v>2.3000000000000001E-4</v>
      </c>
    </row>
    <row r="1902" spans="3:13" x14ac:dyDescent="0.15">
      <c r="C1902" s="76">
        <v>678</v>
      </c>
      <c r="D1902" s="76">
        <v>4.5000000000000001E-6</v>
      </c>
      <c r="E1902" s="76">
        <v>4.35E-5</v>
      </c>
      <c r="F1902" s="76">
        <v>7.4599999999999997E-5</v>
      </c>
      <c r="G1902" s="76">
        <v>1.1E-4</v>
      </c>
      <c r="H1902" s="76">
        <v>9.6600000000000003E-5</v>
      </c>
      <c r="I1902" s="76">
        <v>1.6200000000000001E-4</v>
      </c>
      <c r="J1902" s="76">
        <v>1.08E-4</v>
      </c>
      <c r="K1902" s="76">
        <v>1.3899999999999999E-4</v>
      </c>
      <c r="L1902" s="76">
        <v>1.2999999999999999E-4</v>
      </c>
      <c r="M1902" s="76">
        <v>2.1800000000000001E-4</v>
      </c>
    </row>
    <row r="1903" spans="3:13" x14ac:dyDescent="0.15">
      <c r="C1903" s="76">
        <v>680</v>
      </c>
      <c r="D1903" s="76">
        <v>5.5099999999999998E-6</v>
      </c>
      <c r="E1903" s="76">
        <v>3.8300000000000003E-5</v>
      </c>
      <c r="F1903" s="76">
        <v>1.01E-4</v>
      </c>
      <c r="G1903" s="76">
        <v>8.25E-5</v>
      </c>
      <c r="H1903" s="76">
        <v>3.8600000000000003E-5</v>
      </c>
      <c r="I1903" s="76">
        <v>1.3999999999999999E-4</v>
      </c>
      <c r="J1903" s="76">
        <v>1.4200000000000001E-4</v>
      </c>
      <c r="K1903" s="76">
        <v>1.22E-4</v>
      </c>
      <c r="L1903" s="76">
        <v>1.16E-4</v>
      </c>
      <c r="M1903" s="76">
        <v>1.63E-4</v>
      </c>
    </row>
    <row r="1904" spans="3:13" x14ac:dyDescent="0.15">
      <c r="C1904" s="76">
        <v>682</v>
      </c>
      <c r="D1904" s="76">
        <v>1.06E-5</v>
      </c>
      <c r="E1904" s="76">
        <v>4.4400000000000002E-5</v>
      </c>
      <c r="F1904" s="76">
        <v>6.19E-5</v>
      </c>
      <c r="G1904" s="76">
        <v>8.4499999999999994E-5</v>
      </c>
      <c r="H1904" s="76">
        <v>9.2E-5</v>
      </c>
      <c r="I1904" s="76">
        <v>1.5100000000000001E-4</v>
      </c>
      <c r="J1904" s="76">
        <v>1.2799999999999999E-4</v>
      </c>
      <c r="K1904" s="76">
        <v>7.4400000000000006E-5</v>
      </c>
      <c r="L1904" s="76">
        <v>1.4200000000000001E-4</v>
      </c>
      <c r="M1904" s="76">
        <v>1.34E-4</v>
      </c>
    </row>
    <row r="1905" spans="3:13" x14ac:dyDescent="0.15">
      <c r="C1905" s="76">
        <v>684</v>
      </c>
      <c r="D1905" s="76">
        <v>1.31E-5</v>
      </c>
      <c r="E1905" s="76">
        <v>5.2299999999999997E-5</v>
      </c>
      <c r="F1905" s="76">
        <v>1.07E-4</v>
      </c>
      <c r="G1905" s="76">
        <v>7.64E-5</v>
      </c>
      <c r="H1905" s="76">
        <v>5.7500000000000002E-5</v>
      </c>
      <c r="I1905" s="76">
        <v>1.3999999999999999E-4</v>
      </c>
      <c r="J1905" s="76">
        <v>1E-4</v>
      </c>
      <c r="K1905" s="76">
        <v>1.2799999999999999E-4</v>
      </c>
      <c r="L1905" s="76">
        <v>1.22E-4</v>
      </c>
      <c r="M1905" s="76">
        <v>1E-4</v>
      </c>
    </row>
    <row r="1906" spans="3:13" x14ac:dyDescent="0.15">
      <c r="C1906" s="76">
        <v>686</v>
      </c>
      <c r="D1906" s="76">
        <v>9.4599999999999992E-6</v>
      </c>
      <c r="E1906" s="76">
        <v>2.8200000000000001E-5</v>
      </c>
      <c r="F1906" s="76">
        <v>1.05E-4</v>
      </c>
      <c r="G1906" s="76">
        <v>6.4399999999999993E-5</v>
      </c>
      <c r="H1906" s="76">
        <v>4.8300000000000002E-5</v>
      </c>
      <c r="I1906" s="76">
        <v>1.64E-4</v>
      </c>
      <c r="J1906" s="76">
        <v>6.7399999999999998E-5</v>
      </c>
      <c r="K1906" s="76">
        <v>1.4300000000000001E-4</v>
      </c>
      <c r="L1906" s="76">
        <v>1.46E-4</v>
      </c>
      <c r="M1906" s="76">
        <v>1.3300000000000001E-4</v>
      </c>
    </row>
    <row r="1907" spans="3:13" x14ac:dyDescent="0.15">
      <c r="C1907" s="76">
        <v>688</v>
      </c>
      <c r="D1907" s="76">
        <v>1.4E-5</v>
      </c>
      <c r="E1907" s="76">
        <v>2.5000000000000001E-5</v>
      </c>
      <c r="F1907" s="76">
        <v>8.92E-5</v>
      </c>
      <c r="G1907" s="76">
        <v>5.0699999999999999E-5</v>
      </c>
      <c r="H1907" s="76">
        <v>8.1600000000000005E-5</v>
      </c>
      <c r="I1907" s="76">
        <v>1.08E-4</v>
      </c>
      <c r="J1907" s="76">
        <v>1.2799999999999999E-4</v>
      </c>
      <c r="K1907" s="76">
        <v>1.05E-4</v>
      </c>
      <c r="L1907" s="76">
        <v>1.0399999999999999E-4</v>
      </c>
      <c r="M1907" s="76">
        <v>7.5199999999999998E-5</v>
      </c>
    </row>
    <row r="1908" spans="3:13" x14ac:dyDescent="0.15">
      <c r="C1908" s="76">
        <v>690</v>
      </c>
      <c r="D1908" s="76">
        <v>1.38E-5</v>
      </c>
      <c r="E1908" s="76">
        <v>3.6399999999999997E-5</v>
      </c>
      <c r="F1908" s="76">
        <v>8.1199999999999995E-5</v>
      </c>
      <c r="G1908" s="76">
        <v>5.0300000000000003E-5</v>
      </c>
      <c r="H1908" s="76">
        <v>4.57E-5</v>
      </c>
      <c r="I1908" s="76">
        <v>1.5899999999999999E-4</v>
      </c>
      <c r="J1908" s="76">
        <v>9.6600000000000003E-5</v>
      </c>
      <c r="K1908" s="76">
        <v>1.06E-4</v>
      </c>
      <c r="L1908" s="76">
        <v>1.2E-4</v>
      </c>
      <c r="M1908" s="76">
        <v>3.3699999999999999E-5</v>
      </c>
    </row>
    <row r="1909" spans="3:13" x14ac:dyDescent="0.15">
      <c r="C1909" s="76">
        <v>692</v>
      </c>
      <c r="D1909" s="76">
        <v>1.7399999999999999E-5</v>
      </c>
      <c r="E1909" s="76">
        <v>2.6699999999999998E-5</v>
      </c>
      <c r="F1909" s="76">
        <v>8.2299999999999995E-5</v>
      </c>
      <c r="G1909" s="76">
        <v>9.87E-5</v>
      </c>
      <c r="H1909" s="76">
        <v>6.3200000000000005E-5</v>
      </c>
      <c r="I1909" s="76">
        <v>1.4100000000000001E-4</v>
      </c>
      <c r="J1909" s="76">
        <v>4.6699999999999997E-5</v>
      </c>
      <c r="K1909" s="76">
        <v>1.47E-4</v>
      </c>
      <c r="L1909" s="76">
        <v>1.3799999999999999E-4</v>
      </c>
      <c r="M1909" s="76">
        <v>1.7200000000000001E-5</v>
      </c>
    </row>
    <row r="1910" spans="3:13" x14ac:dyDescent="0.15">
      <c r="C1910" s="76">
        <v>694</v>
      </c>
      <c r="D1910" s="76">
        <v>1.3200000000000001E-5</v>
      </c>
      <c r="E1910" s="76">
        <v>2.26E-5</v>
      </c>
      <c r="F1910" s="76">
        <v>8.4499999999999994E-5</v>
      </c>
      <c r="G1910" s="76">
        <v>4.5399999999999999E-5</v>
      </c>
      <c r="H1910" s="76">
        <v>6.86E-5</v>
      </c>
      <c r="I1910" s="76">
        <v>8.1199999999999995E-5</v>
      </c>
      <c r="J1910" s="76">
        <v>5.9599999999999999E-5</v>
      </c>
      <c r="K1910" s="76">
        <v>1.76E-4</v>
      </c>
      <c r="L1910" s="76">
        <v>1.2E-4</v>
      </c>
      <c r="M1910" s="76">
        <v>2.7500000000000001E-5</v>
      </c>
    </row>
    <row r="1911" spans="3:13" x14ac:dyDescent="0.15">
      <c r="C1911" s="76">
        <v>696</v>
      </c>
      <c r="D1911" s="76">
        <v>1.6799999999999998E-5</v>
      </c>
      <c r="E1911" s="76">
        <v>1.2099999999999999E-5</v>
      </c>
      <c r="F1911" s="76">
        <v>9.3900000000000006E-5</v>
      </c>
      <c r="G1911" s="76">
        <v>3.4700000000000003E-5</v>
      </c>
      <c r="H1911" s="76">
        <v>5.2899999999999998E-5</v>
      </c>
      <c r="I1911" s="76">
        <v>1.4200000000000001E-4</v>
      </c>
      <c r="J1911" s="76">
        <v>6.3499999999999999E-5</v>
      </c>
      <c r="K1911" s="76">
        <v>1.9000000000000001E-4</v>
      </c>
      <c r="L1911" s="76">
        <v>9.9300000000000001E-5</v>
      </c>
      <c r="M1911" s="76">
        <v>6.0000000000000002E-5</v>
      </c>
    </row>
    <row r="1912" spans="3:13" x14ac:dyDescent="0.15">
      <c r="C1912" s="76">
        <v>698</v>
      </c>
      <c r="D1912" s="76">
        <v>2.9E-5</v>
      </c>
      <c r="E1912" s="76">
        <v>2.1100000000000001E-6</v>
      </c>
      <c r="F1912" s="76">
        <v>8.7200000000000005E-5</v>
      </c>
      <c r="G1912" s="76">
        <v>4.1399999999999997E-5</v>
      </c>
      <c r="H1912" s="76">
        <v>5.2599999999999998E-5</v>
      </c>
      <c r="I1912" s="76">
        <v>1.3300000000000001E-4</v>
      </c>
      <c r="J1912" s="76">
        <v>2.7800000000000001E-5</v>
      </c>
      <c r="K1912" s="76">
        <v>9.5099999999999994E-5</v>
      </c>
      <c r="L1912" s="76">
        <v>1.21E-4</v>
      </c>
      <c r="M1912" s="76">
        <v>3.41E-6</v>
      </c>
    </row>
    <row r="1913" spans="3:13" x14ac:dyDescent="0.15">
      <c r="C1913" s="76">
        <v>700</v>
      </c>
      <c r="D1913" s="76">
        <v>3.29E-5</v>
      </c>
      <c r="E1913" s="76">
        <v>1.11E-5</v>
      </c>
      <c r="F1913" s="76">
        <v>8.6100000000000006E-5</v>
      </c>
      <c r="G1913" s="76">
        <v>2.19E-5</v>
      </c>
      <c r="H1913" s="76">
        <v>4.5000000000000003E-5</v>
      </c>
      <c r="I1913" s="76">
        <v>1.03E-4</v>
      </c>
      <c r="J1913" s="76">
        <v>5.1900000000000001E-5</v>
      </c>
      <c r="K1913" s="76">
        <v>1.6899999999999999E-4</v>
      </c>
      <c r="L1913" s="76">
        <v>1.5100000000000001E-4</v>
      </c>
      <c r="M1913" s="76">
        <v>2.3799999999999999E-5</v>
      </c>
    </row>
    <row r="1914" spans="3:13" x14ac:dyDescent="0.15">
      <c r="C1914" s="76">
        <v>702</v>
      </c>
      <c r="D1914" s="76">
        <v>2.9099999999999999E-5</v>
      </c>
      <c r="E1914" s="76">
        <v>1.84E-5</v>
      </c>
      <c r="F1914" s="76">
        <v>8.0099999999999995E-5</v>
      </c>
      <c r="G1914" s="76">
        <v>9.4599999999999992E-6</v>
      </c>
      <c r="H1914" s="76">
        <v>3.7499999999999997E-5</v>
      </c>
      <c r="I1914" s="76">
        <v>1.08E-4</v>
      </c>
      <c r="J1914" s="76">
        <v>8.4900000000000004E-5</v>
      </c>
      <c r="K1914" s="76">
        <v>1.85E-4</v>
      </c>
      <c r="L1914" s="76">
        <v>1.2899999999999999E-4</v>
      </c>
      <c r="M1914" s="76">
        <v>1.13E-5</v>
      </c>
    </row>
    <row r="1915" spans="3:13" x14ac:dyDescent="0.15">
      <c r="C1915" s="76">
        <v>704</v>
      </c>
      <c r="D1915" s="76">
        <v>2.7900000000000001E-5</v>
      </c>
      <c r="E1915" s="76">
        <v>1.0900000000000001E-5</v>
      </c>
      <c r="F1915" s="76">
        <v>2.6800000000000001E-5</v>
      </c>
      <c r="G1915" s="76">
        <v>2.6400000000000001E-5</v>
      </c>
      <c r="H1915" s="76">
        <v>9.8900000000000002E-6</v>
      </c>
      <c r="I1915" s="76">
        <v>9.3700000000000001E-5</v>
      </c>
      <c r="J1915" s="76">
        <v>5.0399999999999999E-5</v>
      </c>
      <c r="K1915" s="76">
        <v>1.55E-4</v>
      </c>
      <c r="L1915" s="76">
        <v>1.4200000000000001E-4</v>
      </c>
      <c r="M1915" s="76">
        <v>4.6399999999999996E-6</v>
      </c>
    </row>
    <row r="1916" spans="3:13" x14ac:dyDescent="0.15">
      <c r="C1916" s="76">
        <v>706</v>
      </c>
      <c r="D1916" s="76">
        <v>2.9099999999999999E-5</v>
      </c>
      <c r="E1916" s="76">
        <v>1.06E-5</v>
      </c>
      <c r="F1916" s="76">
        <v>6.3E-5</v>
      </c>
      <c r="G1916" s="76">
        <v>1.73E-5</v>
      </c>
      <c r="H1916" s="76">
        <v>3.2100000000000001E-5</v>
      </c>
      <c r="I1916" s="76">
        <v>1.12E-4</v>
      </c>
      <c r="J1916" s="76">
        <v>1.34E-4</v>
      </c>
      <c r="K1916" s="76">
        <v>1.9900000000000001E-4</v>
      </c>
      <c r="L1916" s="76">
        <v>1.07E-4</v>
      </c>
      <c r="M1916" s="76">
        <v>3.4499999999999998E-5</v>
      </c>
    </row>
    <row r="1917" spans="3:13" x14ac:dyDescent="0.15">
      <c r="C1917" s="76">
        <v>708</v>
      </c>
      <c r="D1917" s="76">
        <v>3.2499999999999997E-5</v>
      </c>
      <c r="E1917" s="76">
        <v>2.16E-5</v>
      </c>
      <c r="F1917" s="76">
        <v>4.99E-5</v>
      </c>
      <c r="G1917" s="76">
        <v>0</v>
      </c>
      <c r="H1917" s="76">
        <v>3.8000000000000002E-5</v>
      </c>
      <c r="I1917" s="76">
        <v>1.0900000000000001E-4</v>
      </c>
      <c r="J1917" s="76">
        <v>1.8799999999999999E-4</v>
      </c>
      <c r="K1917" s="76">
        <v>1.9900000000000001E-4</v>
      </c>
      <c r="L1917" s="76">
        <v>1.6100000000000001E-4</v>
      </c>
      <c r="M1917" s="76">
        <v>0</v>
      </c>
    </row>
    <row r="1918" spans="3:13" x14ac:dyDescent="0.15">
      <c r="C1918" s="76">
        <v>710</v>
      </c>
      <c r="D1918" s="76">
        <v>2.4899999999999999E-5</v>
      </c>
      <c r="E1918" s="76">
        <v>4.7299999999999998E-5</v>
      </c>
      <c r="F1918" s="76">
        <v>4.74E-5</v>
      </c>
      <c r="G1918" s="76">
        <v>2.8399999999999999E-5</v>
      </c>
      <c r="H1918" s="76">
        <v>8.8599999999999999E-5</v>
      </c>
      <c r="I1918" s="76">
        <v>8.9599999999999996E-5</v>
      </c>
      <c r="J1918" s="76">
        <v>1.4999999999999999E-4</v>
      </c>
      <c r="K1918" s="76">
        <v>1.92E-4</v>
      </c>
      <c r="L1918" s="76">
        <v>1.45E-4</v>
      </c>
      <c r="M1918" s="76">
        <v>0</v>
      </c>
    </row>
    <row r="1919" spans="3:13" x14ac:dyDescent="0.15">
      <c r="C1919" s="76">
        <v>712</v>
      </c>
      <c r="D1919" s="76">
        <v>2.76E-5</v>
      </c>
      <c r="E1919" s="76">
        <v>8.8300000000000002E-6</v>
      </c>
      <c r="F1919" s="76">
        <v>5.6100000000000002E-5</v>
      </c>
      <c r="G1919" s="76">
        <v>2.9099999999999999E-5</v>
      </c>
      <c r="H1919" s="76">
        <v>7.8499999999999997E-5</v>
      </c>
      <c r="I1919" s="76">
        <v>1.17E-5</v>
      </c>
      <c r="J1919" s="76">
        <v>1.07E-4</v>
      </c>
      <c r="K1919" s="76">
        <v>2.0599999999999999E-4</v>
      </c>
      <c r="L1919" s="76">
        <v>1.5899999999999999E-4</v>
      </c>
      <c r="M1919" s="76">
        <v>2.2799999999999999E-5</v>
      </c>
    </row>
    <row r="1920" spans="3:13" x14ac:dyDescent="0.15">
      <c r="C1920" s="76">
        <v>714</v>
      </c>
      <c r="D1920" s="76">
        <v>3.68E-5</v>
      </c>
      <c r="E1920" s="76">
        <v>2.6599999999999999E-5</v>
      </c>
      <c r="F1920" s="76">
        <v>8.4300000000000003E-5</v>
      </c>
      <c r="G1920" s="76">
        <v>1.01E-5</v>
      </c>
      <c r="H1920" s="76">
        <v>7.0300000000000001E-5</v>
      </c>
      <c r="I1920" s="76">
        <v>3.3000000000000003E-5</v>
      </c>
      <c r="J1920" s="76">
        <v>2.5399999999999999E-4</v>
      </c>
      <c r="K1920" s="76">
        <v>1.95E-4</v>
      </c>
      <c r="L1920" s="76">
        <v>1.2E-4</v>
      </c>
      <c r="M1920" s="76">
        <v>4.9700000000000002E-5</v>
      </c>
    </row>
    <row r="1921" spans="3:13" x14ac:dyDescent="0.15">
      <c r="C1921" s="76">
        <v>716</v>
      </c>
      <c r="D1921" s="76">
        <v>2.9E-5</v>
      </c>
      <c r="E1921" s="76">
        <v>2.3900000000000002E-5</v>
      </c>
      <c r="F1921" s="76">
        <v>5.6799999999999998E-5</v>
      </c>
      <c r="G1921" s="76">
        <v>3.5200000000000002E-5</v>
      </c>
      <c r="H1921" s="76">
        <v>5.4200000000000003E-5</v>
      </c>
      <c r="I1921" s="76">
        <v>1.47E-5</v>
      </c>
      <c r="J1921" s="76">
        <v>1.44E-4</v>
      </c>
      <c r="K1921" s="76">
        <v>2.1800000000000001E-4</v>
      </c>
      <c r="L1921" s="76">
        <v>1.2899999999999999E-4</v>
      </c>
      <c r="M1921" s="76">
        <v>1E-4</v>
      </c>
    </row>
    <row r="1922" spans="3:13" x14ac:dyDescent="0.15">
      <c r="C1922" s="76">
        <v>718</v>
      </c>
      <c r="D1922" s="76">
        <v>1.8199999999999999E-5</v>
      </c>
      <c r="E1922" s="76">
        <v>2.1999999999999999E-5</v>
      </c>
      <c r="F1922" s="76">
        <v>5.6499999999999998E-5</v>
      </c>
      <c r="G1922" s="76">
        <v>3.5500000000000002E-5</v>
      </c>
      <c r="H1922" s="76">
        <v>6.0800000000000001E-5</v>
      </c>
      <c r="I1922" s="76">
        <v>3.6000000000000001E-5</v>
      </c>
      <c r="J1922" s="76">
        <v>2.24E-4</v>
      </c>
      <c r="K1922" s="76">
        <v>2.1000000000000001E-4</v>
      </c>
      <c r="L1922" s="76">
        <v>1.3200000000000001E-4</v>
      </c>
      <c r="M1922" s="76">
        <v>1.94E-4</v>
      </c>
    </row>
    <row r="1923" spans="3:13" x14ac:dyDescent="0.15">
      <c r="C1923" s="76">
        <v>720</v>
      </c>
      <c r="D1923" s="76">
        <v>2.7100000000000001E-5</v>
      </c>
      <c r="E1923" s="76">
        <v>3.6100000000000003E-5</v>
      </c>
      <c r="F1923" s="76">
        <v>8.5500000000000005E-5</v>
      </c>
      <c r="G1923" s="76">
        <v>4.6199999999999998E-5</v>
      </c>
      <c r="H1923" s="76">
        <v>3.5800000000000003E-5</v>
      </c>
      <c r="I1923" s="76">
        <v>5.27E-5</v>
      </c>
      <c r="J1923" s="76">
        <v>1.9100000000000001E-4</v>
      </c>
      <c r="K1923" s="76">
        <v>1.9100000000000001E-4</v>
      </c>
      <c r="L1923" s="76">
        <v>1.7000000000000001E-4</v>
      </c>
      <c r="M1923" s="76">
        <v>1.26E-4</v>
      </c>
    </row>
    <row r="1924" spans="3:13" x14ac:dyDescent="0.15">
      <c r="C1924" s="76">
        <v>722</v>
      </c>
      <c r="D1924" s="76">
        <v>2.9600000000000001E-5</v>
      </c>
      <c r="E1924" s="76">
        <v>3.6399999999999997E-5</v>
      </c>
      <c r="F1924" s="76">
        <v>1.4600000000000001E-5</v>
      </c>
      <c r="G1924" s="76">
        <v>3.65E-5</v>
      </c>
      <c r="H1924" s="76">
        <v>8.3900000000000006E-5</v>
      </c>
      <c r="I1924" s="76">
        <v>9.5100000000000004E-6</v>
      </c>
      <c r="J1924" s="76">
        <v>2.2000000000000001E-4</v>
      </c>
      <c r="K1924" s="76">
        <v>2.04E-4</v>
      </c>
      <c r="L1924" s="76">
        <v>8.5599999999999994E-5</v>
      </c>
      <c r="M1924" s="76">
        <v>1.3799999999999999E-4</v>
      </c>
    </row>
    <row r="1925" spans="3:13" x14ac:dyDescent="0.15">
      <c r="C1925" s="76">
        <v>724</v>
      </c>
      <c r="D1925" s="76">
        <v>1.7499999999999998E-5</v>
      </c>
      <c r="E1925" s="76">
        <v>1.6200000000000001E-5</v>
      </c>
      <c r="F1925" s="76">
        <v>4.5599999999999997E-5</v>
      </c>
      <c r="G1925" s="76">
        <v>5.52E-5</v>
      </c>
      <c r="H1925" s="76">
        <v>8.0900000000000001E-5</v>
      </c>
      <c r="I1925" s="76">
        <v>4.0099999999999999E-5</v>
      </c>
      <c r="J1925" s="76">
        <v>2.2699999999999999E-4</v>
      </c>
      <c r="K1925" s="76">
        <v>2.12E-4</v>
      </c>
      <c r="L1925" s="76">
        <v>9.2100000000000003E-5</v>
      </c>
      <c r="M1925" s="76">
        <v>2.3699999999999999E-4</v>
      </c>
    </row>
    <row r="1926" spans="3:13" x14ac:dyDescent="0.15">
      <c r="C1926" s="76">
        <v>726</v>
      </c>
      <c r="D1926" s="76">
        <v>2.0100000000000001E-5</v>
      </c>
      <c r="E1926" s="76">
        <v>3.4199999999999998E-5</v>
      </c>
      <c r="F1926" s="76">
        <v>5.9299999999999998E-5</v>
      </c>
      <c r="G1926" s="76">
        <v>5.0599999999999997E-5</v>
      </c>
      <c r="H1926" s="76">
        <v>8.0199999999999998E-5</v>
      </c>
      <c r="I1926" s="76">
        <v>8.5599999999999994E-5</v>
      </c>
      <c r="J1926" s="76">
        <v>2.5999999999999998E-4</v>
      </c>
      <c r="K1926" s="76">
        <v>1.9900000000000001E-4</v>
      </c>
      <c r="L1926" s="76">
        <v>9.5799999999999998E-5</v>
      </c>
      <c r="M1926" s="76">
        <v>2.12E-4</v>
      </c>
    </row>
    <row r="1927" spans="3:13" x14ac:dyDescent="0.15">
      <c r="C1927" s="76">
        <v>728</v>
      </c>
      <c r="D1927" s="76">
        <v>2.0400000000000001E-5</v>
      </c>
      <c r="E1927" s="76">
        <v>2.34E-5</v>
      </c>
      <c r="F1927" s="76">
        <v>2.3600000000000001E-5</v>
      </c>
      <c r="G1927" s="76">
        <v>5.91E-5</v>
      </c>
      <c r="H1927" s="76">
        <v>6.7199999999999994E-5</v>
      </c>
      <c r="I1927" s="76">
        <v>1.9400000000000001E-5</v>
      </c>
      <c r="J1927" s="76">
        <v>1.85E-4</v>
      </c>
      <c r="K1927" s="76">
        <v>1.5100000000000001E-4</v>
      </c>
      <c r="L1927" s="76">
        <v>2.6699999999999998E-4</v>
      </c>
      <c r="M1927" s="76">
        <v>1.8699999999999999E-4</v>
      </c>
    </row>
    <row r="1928" spans="3:13" x14ac:dyDescent="0.15">
      <c r="C1928" s="76">
        <v>730</v>
      </c>
      <c r="D1928" s="76">
        <v>2.8099999999999999E-5</v>
      </c>
      <c r="E1928" s="76">
        <v>2.6599999999999999E-5</v>
      </c>
      <c r="F1928" s="76">
        <v>1.1600000000000001E-5</v>
      </c>
      <c r="G1928" s="76">
        <v>5.9599999999999999E-5</v>
      </c>
      <c r="H1928" s="76">
        <v>7.3999999999999996E-5</v>
      </c>
      <c r="I1928" s="76">
        <v>3.4100000000000002E-5</v>
      </c>
      <c r="J1928" s="76">
        <v>1.4300000000000001E-4</v>
      </c>
      <c r="K1928" s="76">
        <v>1.46E-4</v>
      </c>
      <c r="L1928" s="76">
        <v>1.6000000000000001E-4</v>
      </c>
      <c r="M1928" s="76">
        <v>1.7100000000000001E-4</v>
      </c>
    </row>
    <row r="1929" spans="3:13" x14ac:dyDescent="0.15">
      <c r="C1929" s="76">
        <v>732</v>
      </c>
      <c r="D1929" s="76">
        <v>1.52E-5</v>
      </c>
      <c r="E1929" s="76">
        <v>3.7799999999999997E-5</v>
      </c>
      <c r="F1929" s="76">
        <v>1.6699999999999999E-5</v>
      </c>
      <c r="G1929" s="76">
        <v>1.2799999999999999E-4</v>
      </c>
      <c r="H1929" s="76">
        <v>7.0699999999999997E-5</v>
      </c>
      <c r="I1929" s="76">
        <v>0</v>
      </c>
      <c r="J1929" s="76">
        <v>2.02E-4</v>
      </c>
      <c r="K1929" s="76">
        <v>1.54E-4</v>
      </c>
      <c r="L1929" s="76">
        <v>1.65E-4</v>
      </c>
      <c r="M1929" s="76">
        <v>2.31E-4</v>
      </c>
    </row>
    <row r="1930" spans="3:13" x14ac:dyDescent="0.15">
      <c r="C1930" s="76">
        <v>734</v>
      </c>
      <c r="D1930" s="76">
        <v>2.2200000000000001E-5</v>
      </c>
      <c r="E1930" s="76">
        <v>3.1600000000000002E-5</v>
      </c>
      <c r="F1930" s="76">
        <v>2.6000000000000001E-6</v>
      </c>
      <c r="G1930" s="76">
        <v>2.73E-5</v>
      </c>
      <c r="H1930" s="76">
        <v>6.6099999999999994E-5</v>
      </c>
      <c r="I1930" s="76">
        <v>8.6600000000000001E-6</v>
      </c>
      <c r="J1930" s="76">
        <v>2.2800000000000001E-4</v>
      </c>
      <c r="K1930" s="76">
        <v>1.7000000000000001E-4</v>
      </c>
      <c r="L1930" s="76">
        <v>1.35E-4</v>
      </c>
      <c r="M1930" s="76">
        <v>2.6699999999999998E-4</v>
      </c>
    </row>
    <row r="1931" spans="3:13" x14ac:dyDescent="0.15">
      <c r="C1931" s="76">
        <v>736</v>
      </c>
      <c r="D1931" s="76">
        <v>1.77E-5</v>
      </c>
      <c r="E1931" s="76">
        <v>3.18E-5</v>
      </c>
      <c r="F1931" s="76">
        <v>4.6399999999999996E-6</v>
      </c>
      <c r="G1931" s="76">
        <v>7.2299999999999996E-5</v>
      </c>
      <c r="H1931" s="76">
        <v>9.8800000000000003E-5</v>
      </c>
      <c r="I1931" s="76">
        <v>8.1799999999999996E-5</v>
      </c>
      <c r="J1931" s="76">
        <v>1.46E-4</v>
      </c>
      <c r="K1931" s="76">
        <v>8.6899999999999998E-5</v>
      </c>
      <c r="L1931" s="76">
        <v>7.4499999999999995E-5</v>
      </c>
      <c r="M1931" s="76">
        <v>1.83E-4</v>
      </c>
    </row>
    <row r="1932" spans="3:13" x14ac:dyDescent="0.15">
      <c r="C1932" s="76">
        <v>738</v>
      </c>
      <c r="D1932" s="76">
        <v>9.0999999999999993E-6</v>
      </c>
      <c r="E1932" s="76">
        <v>5.52E-5</v>
      </c>
      <c r="F1932" s="76">
        <v>2.1800000000000001E-5</v>
      </c>
      <c r="G1932" s="76">
        <v>9.4699999999999998E-5</v>
      </c>
      <c r="H1932" s="76">
        <v>7.7100000000000004E-5</v>
      </c>
      <c r="I1932" s="76">
        <v>7.8399999999999995E-5</v>
      </c>
      <c r="J1932" s="76">
        <v>1.6000000000000001E-4</v>
      </c>
      <c r="K1932" s="76">
        <v>1.07E-4</v>
      </c>
      <c r="L1932" s="76">
        <v>1.8100000000000001E-4</v>
      </c>
      <c r="M1932" s="76">
        <v>2.4800000000000001E-4</v>
      </c>
    </row>
    <row r="1933" spans="3:13" x14ac:dyDescent="0.15">
      <c r="C1933" s="76">
        <v>740</v>
      </c>
      <c r="D1933" s="76">
        <v>2.62E-5</v>
      </c>
      <c r="E1933" s="76">
        <v>4.5200000000000001E-5</v>
      </c>
      <c r="F1933" s="76">
        <v>2.48E-5</v>
      </c>
      <c r="G1933" s="76">
        <v>9.7700000000000003E-5</v>
      </c>
      <c r="H1933" s="76">
        <v>6.9800000000000003E-5</v>
      </c>
      <c r="I1933" s="76">
        <v>6.9099999999999999E-5</v>
      </c>
      <c r="J1933" s="76">
        <v>1.18E-4</v>
      </c>
      <c r="K1933" s="76">
        <v>1.35E-4</v>
      </c>
      <c r="L1933" s="76">
        <v>2.1699999999999999E-4</v>
      </c>
      <c r="M1933" s="76">
        <v>2.3699999999999999E-4</v>
      </c>
    </row>
    <row r="1934" spans="3:13" x14ac:dyDescent="0.15">
      <c r="C1934" s="76">
        <v>742</v>
      </c>
      <c r="D1934" s="76">
        <v>5.1399999999999999E-6</v>
      </c>
      <c r="E1934" s="76">
        <v>3.9400000000000002E-5</v>
      </c>
      <c r="F1934" s="76">
        <v>1.6799999999999998E-5</v>
      </c>
      <c r="G1934" s="76">
        <v>1.2899999999999999E-4</v>
      </c>
      <c r="H1934" s="76">
        <v>9.6500000000000001E-5</v>
      </c>
      <c r="I1934" s="76">
        <v>5.1700000000000003E-5</v>
      </c>
      <c r="J1934" s="76">
        <v>2.04E-4</v>
      </c>
      <c r="K1934" s="76">
        <v>5.8199999999999998E-5</v>
      </c>
      <c r="L1934" s="76">
        <v>1.8900000000000001E-4</v>
      </c>
      <c r="M1934" s="76">
        <v>3.21E-4</v>
      </c>
    </row>
    <row r="1935" spans="3:13" x14ac:dyDescent="0.15">
      <c r="C1935" s="76">
        <v>744</v>
      </c>
      <c r="D1935" s="76">
        <v>8.8200000000000003E-6</v>
      </c>
      <c r="E1935" s="76">
        <v>3.29E-5</v>
      </c>
      <c r="F1935" s="76">
        <v>9.4299999999999995E-6</v>
      </c>
      <c r="G1935" s="76">
        <v>9.1100000000000005E-5</v>
      </c>
      <c r="H1935" s="76">
        <v>4.6199999999999998E-5</v>
      </c>
      <c r="I1935" s="76">
        <v>5.49E-5</v>
      </c>
      <c r="J1935" s="76">
        <v>1.55E-4</v>
      </c>
      <c r="K1935" s="76">
        <v>4.2500000000000003E-5</v>
      </c>
      <c r="L1935" s="76">
        <v>2.41E-4</v>
      </c>
      <c r="M1935" s="76">
        <v>2.8499999999999999E-4</v>
      </c>
    </row>
    <row r="1936" spans="3:13" x14ac:dyDescent="0.15">
      <c r="C1936" s="76">
        <v>746</v>
      </c>
      <c r="D1936" s="76">
        <v>1.24E-5</v>
      </c>
      <c r="E1936" s="76">
        <v>3.0000000000000001E-5</v>
      </c>
      <c r="F1936" s="76">
        <v>2.2099999999999998E-5</v>
      </c>
      <c r="G1936" s="76">
        <v>1.08E-4</v>
      </c>
      <c r="H1936" s="76">
        <v>9.2E-5</v>
      </c>
      <c r="I1936" s="76">
        <v>8.0099999999999995E-5</v>
      </c>
      <c r="J1936" s="76">
        <v>1.6799999999999999E-4</v>
      </c>
      <c r="K1936" s="76">
        <v>4.9499999999999997E-5</v>
      </c>
      <c r="L1936" s="76">
        <v>1.8000000000000001E-4</v>
      </c>
      <c r="M1936" s="76">
        <v>2.9700000000000001E-4</v>
      </c>
    </row>
    <row r="1937" spans="3:13" x14ac:dyDescent="0.15">
      <c r="C1937" s="76">
        <v>748</v>
      </c>
      <c r="D1937" s="76">
        <v>8.49E-6</v>
      </c>
      <c r="E1937" s="76">
        <v>1.7200000000000001E-5</v>
      </c>
      <c r="F1937" s="76">
        <v>1.3499999999999999E-5</v>
      </c>
      <c r="G1937" s="76">
        <v>1.22E-4</v>
      </c>
      <c r="H1937" s="76">
        <v>1.03E-4</v>
      </c>
      <c r="I1937" s="76">
        <v>9.5600000000000006E-5</v>
      </c>
      <c r="J1937" s="76">
        <v>1.35E-4</v>
      </c>
      <c r="K1937" s="76">
        <v>4.0800000000000002E-5</v>
      </c>
      <c r="L1937" s="76">
        <v>1.6100000000000001E-4</v>
      </c>
      <c r="M1937" s="76">
        <v>2.7399999999999999E-4</v>
      </c>
    </row>
    <row r="1938" spans="3:13" x14ac:dyDescent="0.15">
      <c r="C1938" s="76">
        <v>750</v>
      </c>
      <c r="D1938" s="76">
        <v>1.3200000000000001E-5</v>
      </c>
      <c r="E1938" s="76">
        <v>2.6800000000000001E-5</v>
      </c>
      <c r="F1938" s="76">
        <v>6.55E-6</v>
      </c>
      <c r="G1938" s="76">
        <v>1.0399999999999999E-4</v>
      </c>
      <c r="H1938" s="76">
        <v>8.3599999999999999E-5</v>
      </c>
      <c r="I1938" s="76">
        <v>1.11E-4</v>
      </c>
      <c r="J1938" s="76">
        <v>1.76E-4</v>
      </c>
      <c r="K1938" s="76">
        <v>6.3899999999999995E-5</v>
      </c>
      <c r="L1938" s="76">
        <v>1.9699999999999999E-4</v>
      </c>
      <c r="M1938" s="76">
        <v>2.6400000000000002E-4</v>
      </c>
    </row>
    <row r="1939" spans="3:13" x14ac:dyDescent="0.15">
      <c r="C1939" s="76">
        <v>752</v>
      </c>
      <c r="D1939" s="76">
        <v>8.0399999999999993E-6</v>
      </c>
      <c r="E1939" s="76">
        <v>5.8600000000000001E-5</v>
      </c>
      <c r="F1939" s="76">
        <v>4.7200000000000002E-5</v>
      </c>
      <c r="G1939" s="76">
        <v>9.5000000000000005E-5</v>
      </c>
      <c r="H1939" s="76">
        <v>9.5600000000000006E-5</v>
      </c>
      <c r="I1939" s="76">
        <v>1.22E-4</v>
      </c>
      <c r="J1939" s="76">
        <v>1.3300000000000001E-4</v>
      </c>
      <c r="K1939" s="76">
        <v>4.5000000000000003E-5</v>
      </c>
      <c r="L1939" s="76">
        <v>1.4899999999999999E-4</v>
      </c>
      <c r="M1939" s="76">
        <v>3.19E-4</v>
      </c>
    </row>
    <row r="1940" spans="3:13" x14ac:dyDescent="0.15">
      <c r="C1940" s="76">
        <v>754</v>
      </c>
      <c r="D1940" s="76">
        <v>1.0200000000000001E-5</v>
      </c>
      <c r="E1940" s="76">
        <v>1.3499999999999999E-5</v>
      </c>
      <c r="F1940" s="76">
        <v>6.4399999999999993E-5</v>
      </c>
      <c r="G1940" s="76">
        <v>8.5400000000000002E-5</v>
      </c>
      <c r="H1940" s="76">
        <v>1.13E-4</v>
      </c>
      <c r="I1940" s="76">
        <v>1.3999999999999999E-4</v>
      </c>
      <c r="J1940" s="76">
        <v>3.6000000000000001E-5</v>
      </c>
      <c r="K1940" s="76">
        <v>4.1E-5</v>
      </c>
      <c r="L1940" s="76">
        <v>1.1900000000000001E-4</v>
      </c>
      <c r="M1940" s="76">
        <v>3.1500000000000001E-4</v>
      </c>
    </row>
    <row r="1941" spans="3:13" x14ac:dyDescent="0.15">
      <c r="C1941" s="76">
        <v>756</v>
      </c>
      <c r="D1941" s="76">
        <v>6.7000000000000004E-7</v>
      </c>
      <c r="E1941" s="76">
        <v>3.0499999999999999E-5</v>
      </c>
      <c r="F1941" s="76">
        <v>4.71E-5</v>
      </c>
      <c r="G1941" s="76">
        <v>1.03E-4</v>
      </c>
      <c r="H1941" s="76">
        <v>8.1899999999999999E-5</v>
      </c>
      <c r="I1941" s="76">
        <v>1.17E-4</v>
      </c>
      <c r="J1941" s="76">
        <v>9.48E-5</v>
      </c>
      <c r="K1941" s="76">
        <v>1.7E-5</v>
      </c>
      <c r="L1941" s="76">
        <v>1.75E-4</v>
      </c>
      <c r="M1941" s="76">
        <v>2.63E-4</v>
      </c>
    </row>
    <row r="1942" spans="3:13" x14ac:dyDescent="0.15">
      <c r="C1942" s="76">
        <v>758</v>
      </c>
      <c r="D1942" s="76">
        <v>0</v>
      </c>
      <c r="E1942" s="76">
        <v>2.7900000000000001E-5</v>
      </c>
      <c r="F1942" s="76">
        <v>4.2200000000000003E-5</v>
      </c>
      <c r="G1942" s="76">
        <v>5.2099999999999999E-5</v>
      </c>
      <c r="H1942" s="76">
        <v>5.7399999999999999E-5</v>
      </c>
      <c r="I1942" s="76">
        <v>1.3200000000000001E-4</v>
      </c>
      <c r="J1942" s="76">
        <v>7.9699999999999999E-5</v>
      </c>
      <c r="K1942" s="76">
        <v>8.2999999999999998E-5</v>
      </c>
      <c r="L1942" s="76">
        <v>1.7200000000000001E-4</v>
      </c>
      <c r="M1942" s="76">
        <v>2.5300000000000002E-4</v>
      </c>
    </row>
    <row r="1943" spans="3:13" x14ac:dyDescent="0.15">
      <c r="C1943" s="76">
        <v>760</v>
      </c>
      <c r="D1943" s="76">
        <v>0</v>
      </c>
      <c r="E1943" s="76">
        <v>3.6199999999999999E-5</v>
      </c>
      <c r="F1943" s="76">
        <v>6.9599999999999998E-5</v>
      </c>
      <c r="G1943" s="76">
        <v>7.1600000000000006E-5</v>
      </c>
      <c r="H1943" s="76">
        <v>1.1600000000000001E-5</v>
      </c>
      <c r="I1943" s="76">
        <v>1.46E-4</v>
      </c>
      <c r="J1943" s="76">
        <v>3.04E-5</v>
      </c>
      <c r="K1943" s="76">
        <v>4.6999999999999997E-5</v>
      </c>
      <c r="L1943" s="76">
        <v>1.5799999999999999E-4</v>
      </c>
      <c r="M1943" s="76">
        <v>2.03E-4</v>
      </c>
    </row>
    <row r="1944" spans="3:13" x14ac:dyDescent="0.15">
      <c r="C1944" s="76">
        <v>762</v>
      </c>
      <c r="D1944" s="76">
        <v>2.4400000000000001E-7</v>
      </c>
      <c r="E1944" s="76">
        <v>8.3299999999999999E-6</v>
      </c>
      <c r="F1944" s="76">
        <v>8.4900000000000004E-5</v>
      </c>
      <c r="G1944" s="76">
        <v>7.8899999999999993E-5</v>
      </c>
      <c r="H1944" s="76">
        <v>5.8400000000000003E-5</v>
      </c>
      <c r="I1944" s="76">
        <v>1.4899999999999999E-4</v>
      </c>
      <c r="J1944" s="76">
        <v>5.2299999999999997E-5</v>
      </c>
      <c r="K1944" s="76">
        <v>3.1099999999999997E-5</v>
      </c>
      <c r="L1944" s="76">
        <v>2.04E-4</v>
      </c>
      <c r="M1944" s="76">
        <v>2.7399999999999999E-4</v>
      </c>
    </row>
    <row r="1945" spans="3:13" x14ac:dyDescent="0.15">
      <c r="C1945" s="76">
        <v>764</v>
      </c>
      <c r="D1945" s="76">
        <v>5.2499999999999997E-6</v>
      </c>
      <c r="E1945" s="76">
        <v>1.7499999999999998E-5</v>
      </c>
      <c r="F1945" s="76">
        <v>5.0000000000000002E-5</v>
      </c>
      <c r="G1945" s="76">
        <v>7.0599999999999995E-5</v>
      </c>
      <c r="H1945" s="76">
        <v>6.9900000000000005E-5</v>
      </c>
      <c r="I1945" s="76">
        <v>1.3999999999999999E-4</v>
      </c>
      <c r="J1945" s="76">
        <v>6.8200000000000004E-5</v>
      </c>
      <c r="K1945" s="76">
        <v>1.12E-4</v>
      </c>
      <c r="L1945" s="76">
        <v>1.5699999999999999E-4</v>
      </c>
      <c r="M1945" s="76">
        <v>1.35E-4</v>
      </c>
    </row>
    <row r="1946" spans="3:13" x14ac:dyDescent="0.15">
      <c r="C1946" s="76">
        <v>766</v>
      </c>
      <c r="D1946" s="76">
        <v>1.17E-5</v>
      </c>
      <c r="E1946" s="76">
        <v>4.7400000000000004E-6</v>
      </c>
      <c r="F1946" s="76">
        <v>5.1700000000000003E-5</v>
      </c>
      <c r="G1946" s="76">
        <v>8.6000000000000003E-5</v>
      </c>
      <c r="H1946" s="76">
        <v>7.0099999999999996E-5</v>
      </c>
      <c r="I1946" s="76">
        <v>1.01E-4</v>
      </c>
      <c r="J1946" s="76">
        <v>1.18E-4</v>
      </c>
      <c r="K1946" s="76">
        <v>1.21E-4</v>
      </c>
      <c r="L1946" s="76">
        <v>1.17E-4</v>
      </c>
      <c r="M1946" s="76">
        <v>1.34E-4</v>
      </c>
    </row>
    <row r="1947" spans="3:13" x14ac:dyDescent="0.15">
      <c r="C1947" s="76">
        <v>768</v>
      </c>
      <c r="D1947" s="76">
        <v>1.08E-5</v>
      </c>
      <c r="E1947" s="76">
        <v>7.7300000000000005E-7</v>
      </c>
      <c r="F1947" s="76">
        <v>7.7999999999999999E-5</v>
      </c>
      <c r="G1947" s="76">
        <v>5.6900000000000001E-5</v>
      </c>
      <c r="H1947" s="76">
        <v>9.6399999999999999E-5</v>
      </c>
      <c r="I1947" s="76">
        <v>1.21E-4</v>
      </c>
      <c r="J1947" s="76">
        <v>8.3300000000000005E-5</v>
      </c>
      <c r="K1947" s="76">
        <v>1.9599999999999999E-4</v>
      </c>
      <c r="L1947" s="76">
        <v>1.15E-4</v>
      </c>
      <c r="M1947" s="76">
        <v>2.2800000000000001E-4</v>
      </c>
    </row>
    <row r="1948" spans="3:13" x14ac:dyDescent="0.15">
      <c r="C1948" s="76">
        <v>770</v>
      </c>
      <c r="D1948" s="76">
        <v>6.9399999999999996E-6</v>
      </c>
      <c r="E1948" s="76">
        <v>0</v>
      </c>
      <c r="F1948" s="76">
        <v>5.4400000000000001E-5</v>
      </c>
      <c r="G1948" s="76">
        <v>4.88E-5</v>
      </c>
      <c r="H1948" s="76">
        <v>5.0800000000000002E-5</v>
      </c>
      <c r="I1948" s="76">
        <v>2.2100000000000001E-4</v>
      </c>
      <c r="J1948" s="76">
        <v>8.9300000000000002E-5</v>
      </c>
      <c r="K1948" s="76">
        <v>9.31E-5</v>
      </c>
      <c r="L1948" s="76">
        <v>1.11E-4</v>
      </c>
      <c r="M1948" s="76">
        <v>1.8799999999999999E-4</v>
      </c>
    </row>
    <row r="1949" spans="3:13" x14ac:dyDescent="0.15">
      <c r="C1949" s="76">
        <v>772</v>
      </c>
      <c r="D1949" s="76">
        <v>5.5999999999999997E-6</v>
      </c>
      <c r="E1949" s="76">
        <v>0</v>
      </c>
      <c r="F1949" s="76">
        <v>5.8300000000000001E-5</v>
      </c>
      <c r="G1949" s="76">
        <v>5.41E-5</v>
      </c>
      <c r="H1949" s="76">
        <v>7.5300000000000001E-5</v>
      </c>
      <c r="I1949" s="76">
        <v>2.9300000000000002E-4</v>
      </c>
      <c r="J1949" s="76">
        <v>6.1600000000000007E-5</v>
      </c>
      <c r="K1949" s="76">
        <v>1.56E-4</v>
      </c>
      <c r="L1949" s="76">
        <v>1.26E-4</v>
      </c>
      <c r="M1949" s="76">
        <v>1.9000000000000001E-4</v>
      </c>
    </row>
    <row r="1950" spans="3:13" x14ac:dyDescent="0.15">
      <c r="C1950" s="76">
        <v>774</v>
      </c>
      <c r="D1950" s="76">
        <v>7.96E-6</v>
      </c>
      <c r="E1950" s="76">
        <v>0</v>
      </c>
      <c r="F1950" s="76">
        <v>6.8899999999999994E-5</v>
      </c>
      <c r="G1950" s="76">
        <v>5.8900000000000002E-5</v>
      </c>
      <c r="H1950" s="76">
        <v>2.0800000000000001E-5</v>
      </c>
      <c r="I1950" s="76">
        <v>1.73E-4</v>
      </c>
      <c r="J1950" s="76">
        <v>1.2899999999999999E-4</v>
      </c>
      <c r="K1950" s="76">
        <v>1.7100000000000001E-4</v>
      </c>
      <c r="L1950" s="76">
        <v>3.1900000000000003E-5</v>
      </c>
      <c r="M1950" s="76">
        <v>4.5800000000000002E-5</v>
      </c>
    </row>
    <row r="1951" spans="3:13" x14ac:dyDescent="0.15">
      <c r="C1951" s="76">
        <v>776</v>
      </c>
      <c r="D1951" s="76">
        <v>2.0299999999999999E-5</v>
      </c>
      <c r="E1951" s="76">
        <v>6.4099999999999996E-6</v>
      </c>
      <c r="F1951" s="76">
        <v>4.8399999999999997E-5</v>
      </c>
      <c r="G1951" s="76">
        <v>5.3499999999999999E-5</v>
      </c>
      <c r="H1951" s="76">
        <v>3.2700000000000002E-5</v>
      </c>
      <c r="I1951" s="76">
        <v>1.74E-4</v>
      </c>
      <c r="J1951" s="76">
        <v>8.2000000000000001E-5</v>
      </c>
      <c r="K1951" s="76">
        <v>1.9799999999999999E-4</v>
      </c>
      <c r="L1951" s="76">
        <v>1.17E-5</v>
      </c>
      <c r="M1951" s="76">
        <v>1.25E-4</v>
      </c>
    </row>
    <row r="1952" spans="3:13" x14ac:dyDescent="0.15">
      <c r="C1952" s="76">
        <v>778</v>
      </c>
      <c r="D1952" s="76">
        <v>2.0299999999999999E-5</v>
      </c>
      <c r="E1952" s="76">
        <v>2.5299999999999998E-5</v>
      </c>
      <c r="F1952" s="76">
        <v>7.2299999999999996E-5</v>
      </c>
      <c r="G1952" s="76">
        <v>6.4300000000000004E-5</v>
      </c>
      <c r="H1952" s="76">
        <v>5.91E-5</v>
      </c>
      <c r="I1952" s="76">
        <v>1.5699999999999999E-4</v>
      </c>
      <c r="J1952" s="76">
        <v>2.9E-5</v>
      </c>
      <c r="K1952" s="76">
        <v>2.3000000000000001E-4</v>
      </c>
      <c r="L1952" s="76">
        <v>4.6E-5</v>
      </c>
      <c r="M1952" s="76">
        <v>1.5200000000000001E-4</v>
      </c>
    </row>
    <row r="1953" spans="2:13" x14ac:dyDescent="0.15">
      <c r="C1953" s="76">
        <v>780</v>
      </c>
      <c r="D1953" s="76">
        <v>3.1399999999999998E-5</v>
      </c>
      <c r="E1953" s="120">
        <v>8.8699999999999998E-6</v>
      </c>
      <c r="F1953" s="120">
        <v>4.7299999999999998E-5</v>
      </c>
      <c r="G1953" s="76">
        <v>4.07E-5</v>
      </c>
      <c r="H1953" s="76">
        <v>3.4100000000000002E-5</v>
      </c>
      <c r="I1953" s="76">
        <v>1.9100000000000001E-4</v>
      </c>
      <c r="J1953" s="76">
        <v>1.1400000000000001E-4</v>
      </c>
      <c r="K1953" s="76">
        <v>2.6800000000000001E-4</v>
      </c>
      <c r="L1953" s="76">
        <v>7.7399999999999998E-5</v>
      </c>
      <c r="M1953" s="76">
        <v>1.76E-4</v>
      </c>
    </row>
    <row r="1954" spans="2:13" x14ac:dyDescent="0.15">
      <c r="B1954" s="76">
        <v>25</v>
      </c>
      <c r="C1954" s="76" t="s">
        <v>561</v>
      </c>
      <c r="D1954" s="76">
        <v>1</v>
      </c>
      <c r="E1954" s="76">
        <v>2</v>
      </c>
      <c r="F1954" s="76">
        <v>3</v>
      </c>
      <c r="G1954" s="76">
        <v>4</v>
      </c>
      <c r="H1954" s="76">
        <v>5</v>
      </c>
      <c r="I1954" s="76">
        <v>6</v>
      </c>
      <c r="J1954" s="76">
        <v>7</v>
      </c>
      <c r="K1954" s="76">
        <v>8</v>
      </c>
      <c r="L1954" s="76">
        <v>9</v>
      </c>
      <c r="M1954" s="76">
        <v>10</v>
      </c>
    </row>
    <row r="1955" spans="2:13" x14ac:dyDescent="0.15">
      <c r="C1955" s="76" t="s">
        <v>556</v>
      </c>
      <c r="D1955" s="76">
        <v>3.5659999999999998</v>
      </c>
      <c r="E1955" s="76">
        <v>3.702</v>
      </c>
      <c r="F1955" s="76">
        <v>3.798</v>
      </c>
      <c r="G1955" s="76">
        <v>3.8759999999999999</v>
      </c>
      <c r="H1955" s="76">
        <v>3.9449999999999998</v>
      </c>
      <c r="I1955" s="76">
        <v>4.0049999999999999</v>
      </c>
      <c r="J1955" s="76">
        <v>4.0609999999999999</v>
      </c>
      <c r="K1955" s="76">
        <v>4.1109999999999998</v>
      </c>
      <c r="L1955" s="76">
        <v>4.1589999999999998</v>
      </c>
      <c r="M1955" s="76">
        <v>4.2030000000000003</v>
      </c>
    </row>
    <row r="1956" spans="2:13" x14ac:dyDescent="0.15">
      <c r="C1956" s="76" t="s">
        <v>562</v>
      </c>
      <c r="D1956" s="76">
        <v>0.08</v>
      </c>
      <c r="E1956" s="76">
        <v>0.16</v>
      </c>
      <c r="F1956" s="76">
        <v>0.24</v>
      </c>
      <c r="G1956" s="76">
        <v>0.32</v>
      </c>
      <c r="H1956" s="76">
        <v>0.4</v>
      </c>
      <c r="I1956" s="76">
        <v>0.48</v>
      </c>
      <c r="J1956" s="76">
        <v>0.56000000000000005</v>
      </c>
      <c r="K1956" s="76">
        <v>0.64</v>
      </c>
      <c r="L1956" s="76">
        <v>0.72</v>
      </c>
      <c r="M1956" s="76">
        <v>0.8</v>
      </c>
    </row>
    <row r="1957" spans="2:13" x14ac:dyDescent="0.15">
      <c r="C1957" s="76" t="s">
        <v>557</v>
      </c>
      <c r="D1957" s="76">
        <v>2</v>
      </c>
      <c r="E1957" s="76">
        <v>4</v>
      </c>
      <c r="F1957" s="76">
        <v>6</v>
      </c>
      <c r="G1957" s="76">
        <v>8</v>
      </c>
      <c r="H1957" s="76">
        <v>10</v>
      </c>
      <c r="I1957" s="76">
        <v>12</v>
      </c>
      <c r="J1957" s="76">
        <v>14</v>
      </c>
      <c r="K1957" s="76">
        <v>16</v>
      </c>
      <c r="L1957" s="76">
        <v>18</v>
      </c>
      <c r="M1957" s="76">
        <v>20</v>
      </c>
    </row>
    <row r="1958" spans="2:13" x14ac:dyDescent="0.15">
      <c r="C1958" s="76" t="s">
        <v>560</v>
      </c>
      <c r="D1958" s="76">
        <v>8.2439999999999998</v>
      </c>
      <c r="E1958" s="76">
        <v>8.4309999999999992</v>
      </c>
      <c r="F1958" s="76">
        <v>8.4459999999999997</v>
      </c>
      <c r="G1958" s="76">
        <v>8.4420000000000002</v>
      </c>
      <c r="H1958" s="76">
        <v>8.4309999999999992</v>
      </c>
      <c r="I1958" s="76">
        <v>8.4160000000000004</v>
      </c>
      <c r="J1958" s="76">
        <v>8.3849999999999998</v>
      </c>
      <c r="K1958" s="76">
        <v>8.375</v>
      </c>
      <c r="L1958" s="76">
        <v>8.35</v>
      </c>
      <c r="M1958" s="76">
        <v>8.32</v>
      </c>
    </row>
    <row r="1959" spans="2:13" x14ac:dyDescent="0.15">
      <c r="C1959" s="76" t="s">
        <v>563</v>
      </c>
      <c r="D1959" s="76">
        <v>7.2629859999999997</v>
      </c>
      <c r="E1959" s="76">
        <v>7.1550909999999996</v>
      </c>
      <c r="F1959" s="76">
        <v>6.9862279999999997</v>
      </c>
      <c r="G1959" s="76">
        <v>6.8417380000000003</v>
      </c>
      <c r="H1959" s="76">
        <v>6.7150290000000004</v>
      </c>
      <c r="I1959" s="76">
        <v>6.6015249999999996</v>
      </c>
      <c r="J1959" s="76">
        <v>6.4874359999999998</v>
      </c>
      <c r="K1959" s="76">
        <v>6.3991030000000002</v>
      </c>
      <c r="L1959" s="76">
        <v>6.3075950000000001</v>
      </c>
      <c r="M1959" s="76">
        <v>6.2185839999999999</v>
      </c>
    </row>
    <row r="1960" spans="2:13" x14ac:dyDescent="0.15">
      <c r="C1960" s="76" t="s">
        <v>564</v>
      </c>
      <c r="D1960" s="76">
        <v>164.9</v>
      </c>
      <c r="E1960" s="76">
        <v>337.3</v>
      </c>
      <c r="F1960" s="120">
        <v>506.8</v>
      </c>
      <c r="G1960" s="76">
        <v>675.4</v>
      </c>
      <c r="H1960" s="76">
        <v>843.2</v>
      </c>
      <c r="I1960" s="76">
        <v>1010</v>
      </c>
      <c r="J1960" s="76">
        <v>1174</v>
      </c>
      <c r="K1960" s="76">
        <v>1340</v>
      </c>
      <c r="L1960" s="76">
        <v>1503</v>
      </c>
      <c r="M1960" s="76">
        <v>1664</v>
      </c>
    </row>
    <row r="1961" spans="2:13" x14ac:dyDescent="0.15">
      <c r="C1961" s="76" t="s">
        <v>565</v>
      </c>
      <c r="D1961" s="76">
        <v>164.9</v>
      </c>
      <c r="E1961" s="76">
        <v>337.3</v>
      </c>
      <c r="F1961" s="120">
        <v>506.8</v>
      </c>
      <c r="G1961" s="76">
        <v>675.4</v>
      </c>
      <c r="H1961" s="76">
        <v>843.2</v>
      </c>
      <c r="I1961" s="76">
        <v>1010</v>
      </c>
      <c r="J1961" s="76">
        <v>1174</v>
      </c>
      <c r="K1961" s="76">
        <v>1340</v>
      </c>
      <c r="L1961" s="76">
        <v>1503</v>
      </c>
      <c r="M1961" s="76">
        <v>1664</v>
      </c>
    </row>
    <row r="1962" spans="2:13" x14ac:dyDescent="0.15">
      <c r="C1962" s="76" t="s">
        <v>566</v>
      </c>
      <c r="D1962" s="76">
        <v>0.1356</v>
      </c>
      <c r="E1962" s="76">
        <v>0.1356</v>
      </c>
      <c r="F1962" s="120">
        <v>0.13550000000000001</v>
      </c>
      <c r="G1962" s="76">
        <v>0.13550000000000001</v>
      </c>
      <c r="H1962" s="76">
        <v>0.13550000000000001</v>
      </c>
      <c r="I1962" s="76">
        <v>0.13550000000000001</v>
      </c>
      <c r="J1962" s="76">
        <v>0.13550000000000001</v>
      </c>
      <c r="K1962" s="76">
        <v>0.1356</v>
      </c>
      <c r="L1962" s="76">
        <v>0.1356</v>
      </c>
      <c r="M1962" s="76">
        <v>0.13550000000000001</v>
      </c>
    </row>
    <row r="1963" spans="2:13" x14ac:dyDescent="0.15">
      <c r="C1963" s="76" t="s">
        <v>567</v>
      </c>
      <c r="D1963" s="76">
        <v>0.1173</v>
      </c>
      <c r="E1963" s="76">
        <v>0.1172</v>
      </c>
      <c r="F1963" s="76">
        <v>0.1171</v>
      </c>
      <c r="G1963" s="76">
        <v>0.11700000000000001</v>
      </c>
      <c r="H1963" s="76">
        <v>0.11700000000000001</v>
      </c>
      <c r="I1963" s="76">
        <v>0.11700000000000001</v>
      </c>
      <c r="J1963" s="76">
        <v>0.1169</v>
      </c>
      <c r="K1963" s="76">
        <v>0.1169</v>
      </c>
      <c r="L1963" s="76">
        <v>0.1168</v>
      </c>
      <c r="M1963" s="76">
        <v>0.1167</v>
      </c>
    </row>
    <row r="1964" spans="2:13" x14ac:dyDescent="0.15">
      <c r="C1964" s="76" t="s">
        <v>568</v>
      </c>
      <c r="D1964" s="76">
        <v>9.1628000000000007</v>
      </c>
      <c r="E1964" s="76">
        <v>9.3620999999999999</v>
      </c>
      <c r="F1964" s="76">
        <v>9.3848000000000003</v>
      </c>
      <c r="G1964" s="76">
        <v>9.39</v>
      </c>
      <c r="H1964" s="76">
        <v>9.3783999999999992</v>
      </c>
      <c r="I1964" s="76">
        <v>9.3660999999999994</v>
      </c>
      <c r="J1964" s="76">
        <v>9.3338000000000001</v>
      </c>
      <c r="K1964" s="76">
        <v>9.3344000000000005</v>
      </c>
      <c r="L1964" s="76">
        <v>9.2949000000000002</v>
      </c>
      <c r="M1964" s="76">
        <v>9.2760999999999996</v>
      </c>
    </row>
    <row r="1965" spans="2:13" x14ac:dyDescent="0.15">
      <c r="C1965" s="76" t="s">
        <v>569</v>
      </c>
    </row>
    <row r="1966" spans="2:13" x14ac:dyDescent="0.15">
      <c r="C1966" s="76" t="s">
        <v>570</v>
      </c>
      <c r="D1966" s="76">
        <v>4</v>
      </c>
      <c r="E1966" s="76">
        <v>4</v>
      </c>
      <c r="F1966" s="76">
        <v>4</v>
      </c>
      <c r="G1966" s="76">
        <v>4</v>
      </c>
      <c r="H1966" s="76">
        <v>4</v>
      </c>
      <c r="I1966" s="76">
        <v>4</v>
      </c>
      <c r="J1966" s="76">
        <v>4</v>
      </c>
      <c r="K1966" s="76">
        <v>4</v>
      </c>
      <c r="L1966" s="76">
        <v>4</v>
      </c>
      <c r="M1966" s="76">
        <v>4</v>
      </c>
    </row>
    <row r="1967" spans="2:13" x14ac:dyDescent="0.15">
      <c r="C1967" s="76" t="s">
        <v>571</v>
      </c>
      <c r="D1967" s="76">
        <v>100</v>
      </c>
      <c r="E1967" s="76">
        <v>100</v>
      </c>
      <c r="F1967" s="76">
        <v>100</v>
      </c>
      <c r="G1967" s="76">
        <v>100</v>
      </c>
      <c r="H1967" s="76">
        <v>100</v>
      </c>
      <c r="I1967" s="76">
        <v>100</v>
      </c>
      <c r="J1967" s="76">
        <v>100</v>
      </c>
      <c r="K1967" s="76">
        <v>100</v>
      </c>
      <c r="L1967" s="76">
        <v>100</v>
      </c>
      <c r="M1967" s="76">
        <v>100</v>
      </c>
    </row>
    <row r="1968" spans="2:13" x14ac:dyDescent="0.15">
      <c r="C1968" s="76" t="s">
        <v>572</v>
      </c>
      <c r="D1968" s="76" t="s">
        <v>574</v>
      </c>
      <c r="E1968" s="76" t="s">
        <v>574</v>
      </c>
      <c r="F1968" s="76" t="s">
        <v>574</v>
      </c>
      <c r="G1968" s="76" t="s">
        <v>574</v>
      </c>
      <c r="H1968" s="76" t="s">
        <v>574</v>
      </c>
      <c r="I1968" s="76" t="s">
        <v>574</v>
      </c>
      <c r="J1968" s="76" t="s">
        <v>574</v>
      </c>
      <c r="K1968" s="76" t="s">
        <v>574</v>
      </c>
      <c r="L1968" s="76" t="s">
        <v>574</v>
      </c>
      <c r="M1968" s="76" t="s">
        <v>574</v>
      </c>
    </row>
    <row r="1969" spans="3:13" x14ac:dyDescent="0.15">
      <c r="C1969" s="76" t="s">
        <v>573</v>
      </c>
      <c r="D1969" s="76">
        <v>1</v>
      </c>
      <c r="E1969" s="76">
        <v>2</v>
      </c>
      <c r="F1969" s="76">
        <v>3</v>
      </c>
      <c r="G1969" s="76">
        <v>4</v>
      </c>
      <c r="H1969" s="76">
        <v>5</v>
      </c>
      <c r="I1969" s="76">
        <v>6</v>
      </c>
      <c r="J1969" s="76">
        <v>7</v>
      </c>
      <c r="K1969" s="76">
        <v>8</v>
      </c>
      <c r="L1969" s="76">
        <v>9</v>
      </c>
      <c r="M1969" s="76">
        <v>10</v>
      </c>
    </row>
    <row r="1970" spans="3:13" x14ac:dyDescent="0.15">
      <c r="C1970" s="76">
        <v>380</v>
      </c>
      <c r="D1970" s="76">
        <v>3.0699999999999998E-4</v>
      </c>
      <c r="E1970" s="76">
        <v>2.3499999999999999E-4</v>
      </c>
      <c r="F1970" s="76">
        <v>2.32E-4</v>
      </c>
      <c r="G1970" s="76">
        <v>3.8499999999999998E-4</v>
      </c>
      <c r="H1970" s="76">
        <v>9.2100000000000005E-4</v>
      </c>
      <c r="I1970" s="76">
        <v>9.4200000000000002E-4</v>
      </c>
      <c r="J1970" s="76">
        <v>9.1600000000000004E-4</v>
      </c>
      <c r="K1970" s="76">
        <v>1.3699999999999999E-3</v>
      </c>
      <c r="L1970" s="76">
        <v>1.07E-3</v>
      </c>
      <c r="M1970" s="76">
        <v>1.73E-3</v>
      </c>
    </row>
    <row r="1971" spans="3:13" x14ac:dyDescent="0.15">
      <c r="C1971" s="76">
        <v>382</v>
      </c>
      <c r="D1971" s="76">
        <v>1.05E-4</v>
      </c>
      <c r="E1971" s="76">
        <v>2.3599999999999999E-4</v>
      </c>
      <c r="F1971" s="76">
        <v>6.6299999999999996E-4</v>
      </c>
      <c r="G1971" s="76">
        <v>2.4600000000000002E-4</v>
      </c>
      <c r="H1971" s="76">
        <v>9.9200000000000004E-4</v>
      </c>
      <c r="I1971" s="76">
        <v>9.810000000000001E-4</v>
      </c>
      <c r="J1971" s="76">
        <v>8.8599999999999996E-4</v>
      </c>
      <c r="K1971" s="76">
        <v>1.5299999999999999E-3</v>
      </c>
      <c r="L1971" s="76">
        <v>1.2700000000000001E-3</v>
      </c>
      <c r="M1971" s="76">
        <v>1.5499999999999999E-3</v>
      </c>
    </row>
    <row r="1972" spans="3:13" x14ac:dyDescent="0.15">
      <c r="C1972" s="76">
        <v>384</v>
      </c>
      <c r="D1972" s="76">
        <v>2.4499999999999999E-4</v>
      </c>
      <c r="E1972" s="76">
        <v>2.5700000000000001E-4</v>
      </c>
      <c r="F1972" s="76">
        <v>4.3600000000000003E-4</v>
      </c>
      <c r="G1972" s="76">
        <v>1.9599999999999999E-4</v>
      </c>
      <c r="H1972" s="76">
        <v>8.5499999999999997E-4</v>
      </c>
      <c r="I1972" s="76">
        <v>8.2799999999999996E-4</v>
      </c>
      <c r="J1972" s="76">
        <v>6.6799999999999997E-4</v>
      </c>
      <c r="K1972" s="76">
        <v>1.4300000000000001E-3</v>
      </c>
      <c r="L1972" s="76">
        <v>1.1100000000000001E-3</v>
      </c>
      <c r="M1972" s="76">
        <v>1.2600000000000001E-3</v>
      </c>
    </row>
    <row r="1973" spans="3:13" x14ac:dyDescent="0.15">
      <c r="C1973" s="76">
        <v>386</v>
      </c>
      <c r="D1973" s="76">
        <v>2.5300000000000002E-4</v>
      </c>
      <c r="E1973" s="76">
        <v>1.85E-4</v>
      </c>
      <c r="F1973" s="76">
        <v>4.5199999999999998E-4</v>
      </c>
      <c r="G1973" s="76">
        <v>2.7099999999999997E-4</v>
      </c>
      <c r="H1973" s="76">
        <v>7.5500000000000003E-4</v>
      </c>
      <c r="I1973" s="76">
        <v>8.0400000000000003E-4</v>
      </c>
      <c r="J1973" s="76">
        <v>6.3400000000000001E-4</v>
      </c>
      <c r="K1973" s="76">
        <v>1.2600000000000001E-3</v>
      </c>
      <c r="L1973" s="76">
        <v>1.0300000000000001E-3</v>
      </c>
      <c r="M1973" s="76">
        <v>1.3799999999999999E-3</v>
      </c>
    </row>
    <row r="1974" spans="3:13" x14ac:dyDescent="0.15">
      <c r="C1974" s="76">
        <v>388</v>
      </c>
      <c r="D1974" s="76">
        <v>1.85E-4</v>
      </c>
      <c r="E1974" s="76">
        <v>1.37E-4</v>
      </c>
      <c r="F1974" s="76">
        <v>4.2099999999999999E-4</v>
      </c>
      <c r="G1974" s="76">
        <v>3.8499999999999998E-4</v>
      </c>
      <c r="H1974" s="76">
        <v>7.4299999999999995E-4</v>
      </c>
      <c r="I1974" s="76">
        <v>9.0300000000000005E-4</v>
      </c>
      <c r="J1974" s="76">
        <v>6.3000000000000003E-4</v>
      </c>
      <c r="K1974" s="76">
        <v>1.06E-3</v>
      </c>
      <c r="L1974" s="76">
        <v>1.0499999999999999E-3</v>
      </c>
      <c r="M1974" s="76">
        <v>1.33E-3</v>
      </c>
    </row>
    <row r="1975" spans="3:13" x14ac:dyDescent="0.15">
      <c r="C1975" s="76">
        <v>390</v>
      </c>
      <c r="D1975" s="76">
        <v>1.8000000000000001E-4</v>
      </c>
      <c r="E1975" s="76">
        <v>1.16E-4</v>
      </c>
      <c r="F1975" s="76">
        <v>3.7399999999999998E-4</v>
      </c>
      <c r="G1975" s="76">
        <v>4.0099999999999999E-4</v>
      </c>
      <c r="H1975" s="76">
        <v>7.2599999999999997E-4</v>
      </c>
      <c r="I1975" s="76">
        <v>9.4399999999999996E-4</v>
      </c>
      <c r="J1975" s="76">
        <v>6.0099999999999997E-4</v>
      </c>
      <c r="K1975" s="76">
        <v>9.9700000000000006E-4</v>
      </c>
      <c r="L1975" s="76">
        <v>1.0499999999999999E-3</v>
      </c>
      <c r="M1975" s="76">
        <v>1.2700000000000001E-3</v>
      </c>
    </row>
    <row r="1976" spans="3:13" x14ac:dyDescent="0.15">
      <c r="C1976" s="76">
        <v>392</v>
      </c>
      <c r="D1976" s="76">
        <v>1.8799999999999999E-4</v>
      </c>
      <c r="E1976" s="76">
        <v>2.12E-4</v>
      </c>
      <c r="F1976" s="76">
        <v>3.6400000000000001E-4</v>
      </c>
      <c r="G1976" s="76">
        <v>4.0200000000000001E-4</v>
      </c>
      <c r="H1976" s="76">
        <v>6.7100000000000005E-4</v>
      </c>
      <c r="I1976" s="76">
        <v>8.5300000000000003E-4</v>
      </c>
      <c r="J1976" s="76">
        <v>5.5500000000000005E-4</v>
      </c>
      <c r="K1976" s="76">
        <v>1.23E-3</v>
      </c>
      <c r="L1976" s="76">
        <v>1.01E-3</v>
      </c>
      <c r="M1976" s="76">
        <v>1.5200000000000001E-3</v>
      </c>
    </row>
    <row r="1977" spans="3:13" x14ac:dyDescent="0.15">
      <c r="C1977" s="76">
        <v>394</v>
      </c>
      <c r="D1977" s="76">
        <v>1.64E-4</v>
      </c>
      <c r="E1977" s="76">
        <v>2.24E-4</v>
      </c>
      <c r="F1977" s="76">
        <v>3.2299999999999999E-4</v>
      </c>
      <c r="G1977" s="76">
        <v>4.0000000000000002E-4</v>
      </c>
      <c r="H1977" s="76">
        <v>6.0700000000000001E-4</v>
      </c>
      <c r="I1977" s="76">
        <v>8.2200000000000003E-4</v>
      </c>
      <c r="J1977" s="76">
        <v>6.7299999999999999E-4</v>
      </c>
      <c r="K1977" s="76">
        <v>8.6899999999999998E-4</v>
      </c>
      <c r="L1977" s="76">
        <v>1.1199999999999999E-3</v>
      </c>
      <c r="M1977" s="76">
        <v>1.34E-3</v>
      </c>
    </row>
    <row r="1978" spans="3:13" x14ac:dyDescent="0.15">
      <c r="C1978" s="76">
        <v>396</v>
      </c>
      <c r="D1978" s="76">
        <v>1.7200000000000001E-4</v>
      </c>
      <c r="E1978" s="76">
        <v>1.74E-4</v>
      </c>
      <c r="F1978" s="76">
        <v>3.1799999999999998E-4</v>
      </c>
      <c r="G1978" s="76">
        <v>3.8299999999999999E-4</v>
      </c>
      <c r="H1978" s="76">
        <v>7.67E-4</v>
      </c>
      <c r="I1978" s="76">
        <v>9.2599999999999996E-4</v>
      </c>
      <c r="J1978" s="76">
        <v>6.4700000000000001E-4</v>
      </c>
      <c r="K1978" s="76">
        <v>1.2700000000000001E-3</v>
      </c>
      <c r="L1978" s="76">
        <v>1.0300000000000001E-3</v>
      </c>
      <c r="M1978" s="76">
        <v>1.4300000000000001E-3</v>
      </c>
    </row>
    <row r="1979" spans="3:13" x14ac:dyDescent="0.15">
      <c r="C1979" s="76">
        <v>398</v>
      </c>
      <c r="D1979" s="76">
        <v>1.45E-4</v>
      </c>
      <c r="E1979" s="76">
        <v>1.4100000000000001E-4</v>
      </c>
      <c r="F1979" s="76">
        <v>2.7799999999999998E-4</v>
      </c>
      <c r="G1979" s="76">
        <v>4.3300000000000001E-4</v>
      </c>
      <c r="H1979" s="76">
        <v>7.1900000000000002E-4</v>
      </c>
      <c r="I1979" s="76">
        <v>9.77E-4</v>
      </c>
      <c r="J1979" s="76">
        <v>8.5300000000000003E-4</v>
      </c>
      <c r="K1979" s="76">
        <v>1.0200000000000001E-3</v>
      </c>
      <c r="L1979" s="76">
        <v>9.3300000000000002E-4</v>
      </c>
      <c r="M1979" s="76">
        <v>1.31E-3</v>
      </c>
    </row>
    <row r="1980" spans="3:13" x14ac:dyDescent="0.15">
      <c r="C1980" s="76">
        <v>400</v>
      </c>
      <c r="D1980" s="76">
        <v>1.44E-4</v>
      </c>
      <c r="E1980" s="76">
        <v>2.5399999999999999E-4</v>
      </c>
      <c r="F1980" s="76">
        <v>3.4400000000000001E-4</v>
      </c>
      <c r="G1980" s="76">
        <v>4.08E-4</v>
      </c>
      <c r="H1980" s="76">
        <v>6.0800000000000003E-4</v>
      </c>
      <c r="I1980" s="76">
        <v>8.3299999999999997E-4</v>
      </c>
      <c r="J1980" s="76">
        <v>8.0599999999999997E-4</v>
      </c>
      <c r="K1980" s="76">
        <v>1.14E-3</v>
      </c>
      <c r="L1980" s="76">
        <v>1.08E-3</v>
      </c>
      <c r="M1980" s="76">
        <v>1.2099999999999999E-3</v>
      </c>
    </row>
    <row r="1981" spans="3:13" x14ac:dyDescent="0.15">
      <c r="C1981" s="76">
        <v>402</v>
      </c>
      <c r="D1981" s="76">
        <v>1.4899999999999999E-4</v>
      </c>
      <c r="E1981" s="76">
        <v>1.8900000000000001E-4</v>
      </c>
      <c r="F1981" s="76">
        <v>3.1700000000000001E-4</v>
      </c>
      <c r="G1981" s="76">
        <v>4.7600000000000002E-4</v>
      </c>
      <c r="H1981" s="76">
        <v>6.6500000000000001E-4</v>
      </c>
      <c r="I1981" s="76">
        <v>7.9799999999999999E-4</v>
      </c>
      <c r="J1981" s="76">
        <v>7.9699999999999997E-4</v>
      </c>
      <c r="K1981" s="76">
        <v>1.0499999999999999E-3</v>
      </c>
      <c r="L1981" s="76">
        <v>1.0300000000000001E-3</v>
      </c>
      <c r="M1981" s="76">
        <v>1.4E-3</v>
      </c>
    </row>
    <row r="1982" spans="3:13" x14ac:dyDescent="0.15">
      <c r="C1982" s="76">
        <v>404</v>
      </c>
      <c r="D1982" s="76">
        <v>1.5699999999999999E-4</v>
      </c>
      <c r="E1982" s="76">
        <v>2.2000000000000001E-4</v>
      </c>
      <c r="F1982" s="76">
        <v>2.9999999999999997E-4</v>
      </c>
      <c r="G1982" s="76">
        <v>5.62E-4</v>
      </c>
      <c r="H1982" s="76">
        <v>7.1299999999999998E-4</v>
      </c>
      <c r="I1982" s="76">
        <v>8.2700000000000004E-4</v>
      </c>
      <c r="J1982" s="76">
        <v>8.6300000000000005E-4</v>
      </c>
      <c r="K1982" s="76">
        <v>9.9500000000000001E-4</v>
      </c>
      <c r="L1982" s="76">
        <v>1.14E-3</v>
      </c>
      <c r="M1982" s="76">
        <v>1.2800000000000001E-3</v>
      </c>
    </row>
    <row r="1983" spans="3:13" x14ac:dyDescent="0.15">
      <c r="C1983" s="76">
        <v>406</v>
      </c>
      <c r="D1983" s="76">
        <v>1.5100000000000001E-4</v>
      </c>
      <c r="E1983" s="76">
        <v>2.41E-4</v>
      </c>
      <c r="F1983" s="76">
        <v>3.6699999999999998E-4</v>
      </c>
      <c r="G1983" s="76">
        <v>6.2E-4</v>
      </c>
      <c r="H1983" s="76">
        <v>5.4199999999999995E-4</v>
      </c>
      <c r="I1983" s="76">
        <v>8.3799999999999999E-4</v>
      </c>
      <c r="J1983" s="76">
        <v>1.09E-3</v>
      </c>
      <c r="K1983" s="76">
        <v>1.25E-3</v>
      </c>
      <c r="L1983" s="76">
        <v>1.3600000000000001E-3</v>
      </c>
      <c r="M1983" s="76">
        <v>1.5100000000000001E-3</v>
      </c>
    </row>
    <row r="1984" spans="3:13" x14ac:dyDescent="0.15">
      <c r="C1984" s="76">
        <v>408</v>
      </c>
      <c r="D1984" s="76">
        <v>1.64E-4</v>
      </c>
      <c r="E1984" s="76">
        <v>2.5999999999999998E-4</v>
      </c>
      <c r="F1984" s="76">
        <v>3.79E-4</v>
      </c>
      <c r="G1984" s="76">
        <v>5.7200000000000003E-4</v>
      </c>
      <c r="H1984" s="76">
        <v>8.0199999999999998E-4</v>
      </c>
      <c r="I1984" s="76">
        <v>1.15E-3</v>
      </c>
      <c r="J1984" s="76">
        <v>1.2899999999999999E-3</v>
      </c>
      <c r="K1984" s="76">
        <v>1.3799999999999999E-3</v>
      </c>
      <c r="L1984" s="76">
        <v>1.48E-3</v>
      </c>
      <c r="M1984" s="76">
        <v>1.57E-3</v>
      </c>
    </row>
    <row r="1985" spans="3:46" x14ac:dyDescent="0.15">
      <c r="C1985" s="76">
        <v>410</v>
      </c>
      <c r="D1985" s="76">
        <v>1.6799999999999999E-4</v>
      </c>
      <c r="E1985" s="76">
        <v>2.9300000000000002E-4</v>
      </c>
      <c r="F1985" s="76">
        <v>4.37E-4</v>
      </c>
      <c r="G1985" s="76">
        <v>6.9099999999999999E-4</v>
      </c>
      <c r="H1985" s="76">
        <v>8.0999999999999996E-4</v>
      </c>
      <c r="I1985" s="76">
        <v>9.5100000000000002E-4</v>
      </c>
      <c r="J1985" s="76">
        <v>1.25E-3</v>
      </c>
      <c r="K1985" s="76">
        <v>1.39E-3</v>
      </c>
      <c r="L1985" s="76">
        <v>1.5499999999999999E-3</v>
      </c>
      <c r="M1985" s="76">
        <v>1.56E-3</v>
      </c>
    </row>
    <row r="1986" spans="3:46" x14ac:dyDescent="0.15">
      <c r="C1986" s="76">
        <v>412</v>
      </c>
      <c r="D1986" s="76">
        <v>2.05E-4</v>
      </c>
      <c r="E1986" s="76">
        <v>3.6900000000000002E-4</v>
      </c>
      <c r="F1986" s="76">
        <v>5.1500000000000005E-4</v>
      </c>
      <c r="G1986" s="76">
        <v>8.5400000000000005E-4</v>
      </c>
      <c r="H1986" s="76">
        <v>1E-3</v>
      </c>
      <c r="I1986" s="76">
        <v>1.24E-3</v>
      </c>
      <c r="J1986" s="76">
        <v>1.4300000000000001E-3</v>
      </c>
      <c r="K1986" s="76">
        <v>1.58E-3</v>
      </c>
      <c r="L1986" s="76">
        <v>1.7899999999999999E-3</v>
      </c>
      <c r="M1986" s="76">
        <v>1.98E-3</v>
      </c>
    </row>
    <row r="1987" spans="3:46" x14ac:dyDescent="0.15">
      <c r="C1987" s="76">
        <v>414</v>
      </c>
      <c r="D1987" s="76">
        <v>2.41E-4</v>
      </c>
      <c r="E1987" s="76">
        <v>4.5199999999999998E-4</v>
      </c>
      <c r="F1987" s="76">
        <v>5.7499999999999999E-4</v>
      </c>
      <c r="G1987" s="76">
        <v>9.41E-4</v>
      </c>
      <c r="H1987" s="76">
        <v>1.17E-3</v>
      </c>
      <c r="I1987" s="76">
        <v>1.39E-3</v>
      </c>
      <c r="J1987" s="76">
        <v>1.72E-3</v>
      </c>
      <c r="K1987" s="76">
        <v>1.7799999999999999E-3</v>
      </c>
      <c r="L1987" s="76">
        <v>2.1099999999999999E-3</v>
      </c>
      <c r="M1987" s="76">
        <v>2.2899999999999999E-3</v>
      </c>
    </row>
    <row r="1988" spans="3:46" x14ac:dyDescent="0.15">
      <c r="C1988" s="76">
        <v>416</v>
      </c>
      <c r="D1988" s="76">
        <v>2.6899999999999998E-4</v>
      </c>
      <c r="E1988" s="76">
        <v>5.3899999999999998E-4</v>
      </c>
      <c r="F1988" s="76">
        <v>7.3800000000000005E-4</v>
      </c>
      <c r="G1988" s="76">
        <v>1.1100000000000001E-3</v>
      </c>
      <c r="H1988" s="76">
        <v>1.3799999999999999E-3</v>
      </c>
      <c r="I1988" s="76">
        <v>1.66E-3</v>
      </c>
      <c r="J1988" s="76">
        <v>2.0300000000000001E-3</v>
      </c>
      <c r="K1988" s="76">
        <v>2.1199999999999999E-3</v>
      </c>
      <c r="L1988" s="76">
        <v>2.5999999999999999E-3</v>
      </c>
      <c r="M1988" s="76">
        <v>2.6900000000000001E-3</v>
      </c>
    </row>
    <row r="1989" spans="3:46" x14ac:dyDescent="0.15">
      <c r="C1989" s="76">
        <v>418</v>
      </c>
      <c r="D1989" s="76">
        <v>3.0200000000000002E-4</v>
      </c>
      <c r="E1989" s="76">
        <v>6.5700000000000003E-4</v>
      </c>
      <c r="F1989" s="76">
        <v>9.2599999999999996E-4</v>
      </c>
      <c r="G1989" s="76">
        <v>1.2999999999999999E-3</v>
      </c>
      <c r="H1989" s="76">
        <v>1.58E-3</v>
      </c>
      <c r="I1989" s="76">
        <v>1.9400000000000001E-3</v>
      </c>
      <c r="J1989" s="76">
        <v>2.3400000000000001E-3</v>
      </c>
      <c r="K1989" s="76">
        <v>2.5699999999999998E-3</v>
      </c>
      <c r="L1989" s="76">
        <v>3.0200000000000001E-3</v>
      </c>
      <c r="M1989" s="76">
        <v>3.2000000000000002E-3</v>
      </c>
    </row>
    <row r="1990" spans="3:46" x14ac:dyDescent="0.15">
      <c r="C1990" s="81">
        <v>420</v>
      </c>
      <c r="D1990" s="76">
        <v>3.6000000000000002E-4</v>
      </c>
      <c r="E1990" s="76">
        <v>7.9500000000000003E-4</v>
      </c>
      <c r="F1990" s="76">
        <v>1.1100000000000001E-3</v>
      </c>
      <c r="G1990" s="76">
        <v>1.5100000000000001E-3</v>
      </c>
      <c r="H1990" s="81">
        <v>1.8500000000000001E-3</v>
      </c>
      <c r="I1990" s="76">
        <v>2.3600000000000001E-3</v>
      </c>
      <c r="J1990" s="76">
        <v>2.82E-3</v>
      </c>
      <c r="K1990" s="76">
        <v>3.14E-3</v>
      </c>
      <c r="L1990" s="81">
        <v>3.6600000000000001E-3</v>
      </c>
      <c r="M1990" s="76">
        <v>3.8E-3</v>
      </c>
      <c r="N1990" s="81"/>
      <c r="T1990" s="81"/>
      <c r="W1990" s="81"/>
      <c r="AG1990" s="81"/>
      <c r="AT1990" s="81"/>
    </row>
    <row r="1991" spans="3:46" x14ac:dyDescent="0.15">
      <c r="C1991" s="81">
        <v>422</v>
      </c>
      <c r="D1991" s="76">
        <v>4.3800000000000002E-4</v>
      </c>
      <c r="E1991" s="76">
        <v>9.5399999999999999E-4</v>
      </c>
      <c r="F1991" s="76">
        <v>1.2999999999999999E-3</v>
      </c>
      <c r="G1991" s="76">
        <v>1.9599999999999999E-3</v>
      </c>
      <c r="H1991" s="81">
        <v>2.3400000000000001E-3</v>
      </c>
      <c r="I1991" s="76">
        <v>2.8300000000000001E-3</v>
      </c>
      <c r="J1991" s="76">
        <v>3.47E-3</v>
      </c>
      <c r="K1991" s="76">
        <v>3.96E-3</v>
      </c>
      <c r="L1991" s="81">
        <v>4.3899999999999998E-3</v>
      </c>
      <c r="M1991" s="76">
        <v>4.6899999999999997E-3</v>
      </c>
      <c r="N1991" s="81"/>
      <c r="T1991" s="81"/>
      <c r="W1991" s="81"/>
      <c r="AG1991" s="81"/>
      <c r="AT1991" s="81"/>
    </row>
    <row r="1992" spans="3:46" x14ac:dyDescent="0.15">
      <c r="C1992" s="81">
        <v>424</v>
      </c>
      <c r="D1992" s="76">
        <v>5.6599999999999999E-4</v>
      </c>
      <c r="E1992" s="76">
        <v>1.1999999999999999E-3</v>
      </c>
      <c r="F1992" s="76">
        <v>1.7600000000000001E-3</v>
      </c>
      <c r="G1992" s="76">
        <v>2.3700000000000001E-3</v>
      </c>
      <c r="H1992" s="81">
        <v>3.0100000000000001E-3</v>
      </c>
      <c r="I1992" s="76">
        <v>3.5300000000000002E-3</v>
      </c>
      <c r="J1992" s="76">
        <v>4.3499999999999997E-3</v>
      </c>
      <c r="K1992" s="76">
        <v>4.79E-3</v>
      </c>
      <c r="L1992" s="81">
        <v>5.4900000000000001E-3</v>
      </c>
      <c r="M1992" s="76">
        <v>5.8100000000000001E-3</v>
      </c>
      <c r="N1992" s="81"/>
      <c r="T1992" s="81"/>
      <c r="W1992" s="81"/>
      <c r="AG1992" s="81"/>
      <c r="AT1992" s="81"/>
    </row>
    <row r="1993" spans="3:46" x14ac:dyDescent="0.15">
      <c r="C1993" s="81">
        <v>426</v>
      </c>
      <c r="D1993" s="76">
        <v>7.3399999999999995E-4</v>
      </c>
      <c r="E1993" s="76">
        <v>1.5299999999999999E-3</v>
      </c>
      <c r="F1993" s="76">
        <v>2.2200000000000002E-3</v>
      </c>
      <c r="G1993" s="76">
        <v>3.0699999999999998E-3</v>
      </c>
      <c r="H1993" s="81">
        <v>3.82E-3</v>
      </c>
      <c r="I1993" s="76">
        <v>4.5399999999999998E-3</v>
      </c>
      <c r="J1993" s="76">
        <v>5.4599999999999996E-3</v>
      </c>
      <c r="K1993" s="76">
        <v>6.11E-3</v>
      </c>
      <c r="L1993" s="81">
        <v>7.0000000000000001E-3</v>
      </c>
      <c r="M1993" s="76">
        <v>7.4799999999999997E-3</v>
      </c>
      <c r="N1993" s="81"/>
      <c r="T1993" s="81"/>
      <c r="W1993" s="81"/>
      <c r="AG1993" s="81"/>
      <c r="AT1993" s="81"/>
    </row>
    <row r="1994" spans="3:46" x14ac:dyDescent="0.15">
      <c r="C1994" s="81">
        <v>428</v>
      </c>
      <c r="D1994" s="76">
        <v>9.3400000000000004E-4</v>
      </c>
      <c r="E1994" s="76">
        <v>1.97E-3</v>
      </c>
      <c r="F1994" s="76">
        <v>2.9199999999999999E-3</v>
      </c>
      <c r="G1994" s="76">
        <v>3.98E-3</v>
      </c>
      <c r="H1994" s="81">
        <v>4.9899999999999996E-3</v>
      </c>
      <c r="I1994" s="76">
        <v>5.8599999999999998E-3</v>
      </c>
      <c r="J1994" s="76">
        <v>7.0899999999999999E-3</v>
      </c>
      <c r="K1994" s="76">
        <v>7.9500000000000005E-3</v>
      </c>
      <c r="L1994" s="81">
        <v>9.0699999999999999E-3</v>
      </c>
      <c r="M1994" s="76">
        <v>9.7800000000000005E-3</v>
      </c>
      <c r="N1994" s="81"/>
      <c r="T1994" s="81"/>
      <c r="W1994" s="81"/>
      <c r="AG1994" s="81"/>
      <c r="AT1994" s="81"/>
    </row>
    <row r="1995" spans="3:46" x14ac:dyDescent="0.15">
      <c r="C1995" s="81">
        <v>430</v>
      </c>
      <c r="D1995" s="76">
        <v>1.25E-3</v>
      </c>
      <c r="E1995" s="76">
        <v>2.64E-3</v>
      </c>
      <c r="F1995" s="76">
        <v>3.9399999999999999E-3</v>
      </c>
      <c r="G1995" s="76">
        <v>5.3400000000000001E-3</v>
      </c>
      <c r="H1995" s="81">
        <v>6.62E-3</v>
      </c>
      <c r="I1995" s="76">
        <v>7.9100000000000004E-3</v>
      </c>
      <c r="J1995" s="76">
        <v>9.41E-3</v>
      </c>
      <c r="K1995" s="76">
        <v>1.0699999999999999E-2</v>
      </c>
      <c r="L1995" s="81">
        <v>1.2200000000000001E-2</v>
      </c>
      <c r="M1995" s="76">
        <v>1.3299999999999999E-2</v>
      </c>
      <c r="N1995" s="81"/>
      <c r="T1995" s="81"/>
      <c r="W1995" s="81"/>
      <c r="AG1995" s="81"/>
      <c r="AT1995" s="81"/>
    </row>
    <row r="1996" spans="3:46" x14ac:dyDescent="0.15">
      <c r="C1996" s="81">
        <v>432</v>
      </c>
      <c r="D1996" s="76">
        <v>1.73E-3</v>
      </c>
      <c r="E1996" s="76">
        <v>3.5999999999999999E-3</v>
      </c>
      <c r="F1996" s="76">
        <v>5.4099999999999999E-3</v>
      </c>
      <c r="G1996" s="76">
        <v>7.3200000000000001E-3</v>
      </c>
      <c r="H1996" s="81">
        <v>9.1199999999999996E-3</v>
      </c>
      <c r="I1996" s="76">
        <v>1.09E-2</v>
      </c>
      <c r="J1996" s="76">
        <v>1.2800000000000001E-2</v>
      </c>
      <c r="K1996" s="76">
        <v>1.47E-2</v>
      </c>
      <c r="L1996" s="81">
        <v>1.66E-2</v>
      </c>
      <c r="M1996" s="76">
        <v>1.8200000000000001E-2</v>
      </c>
      <c r="N1996" s="81"/>
      <c r="T1996" s="81"/>
      <c r="W1996" s="81"/>
      <c r="AG1996" s="81"/>
      <c r="AT1996" s="81"/>
    </row>
    <row r="1997" spans="3:46" x14ac:dyDescent="0.15">
      <c r="C1997" s="81">
        <v>434</v>
      </c>
      <c r="D1997" s="76">
        <v>2.4299999999999999E-3</v>
      </c>
      <c r="E1997" s="76">
        <v>5.0099999999999997E-3</v>
      </c>
      <c r="F1997" s="76">
        <v>7.5199999999999998E-3</v>
      </c>
      <c r="G1997" s="76">
        <v>1.01E-2</v>
      </c>
      <c r="H1997" s="81">
        <v>1.2699999999999999E-2</v>
      </c>
      <c r="I1997" s="76">
        <v>1.52E-2</v>
      </c>
      <c r="J1997" s="76">
        <v>1.7899999999999999E-2</v>
      </c>
      <c r="K1997" s="76">
        <v>2.0199999999999999E-2</v>
      </c>
      <c r="L1997" s="81">
        <v>2.29E-2</v>
      </c>
      <c r="M1997" s="76">
        <v>2.52E-2</v>
      </c>
      <c r="N1997" s="81"/>
      <c r="T1997" s="81"/>
      <c r="W1997" s="81"/>
      <c r="AG1997" s="81"/>
      <c r="AT1997" s="81"/>
    </row>
    <row r="1998" spans="3:46" x14ac:dyDescent="0.15">
      <c r="C1998" s="81">
        <v>436</v>
      </c>
      <c r="D1998" s="76">
        <v>3.47E-3</v>
      </c>
      <c r="E1998" s="76">
        <v>7.1500000000000001E-3</v>
      </c>
      <c r="F1998" s="76">
        <v>1.0800000000000001E-2</v>
      </c>
      <c r="G1998" s="76">
        <v>1.44E-2</v>
      </c>
      <c r="H1998" s="81">
        <v>1.8100000000000002E-2</v>
      </c>
      <c r="I1998" s="76">
        <v>2.1600000000000001E-2</v>
      </c>
      <c r="J1998" s="76">
        <v>2.5399999999999999E-2</v>
      </c>
      <c r="K1998" s="76">
        <v>2.8899999999999999E-2</v>
      </c>
      <c r="L1998" s="81">
        <v>3.2800000000000003E-2</v>
      </c>
      <c r="M1998" s="76">
        <v>3.6200000000000003E-2</v>
      </c>
      <c r="N1998" s="81"/>
      <c r="T1998" s="81"/>
      <c r="W1998" s="81"/>
      <c r="AG1998" s="81"/>
      <c r="AT1998" s="81"/>
    </row>
    <row r="1999" spans="3:46" x14ac:dyDescent="0.15">
      <c r="C1999" s="81">
        <v>438</v>
      </c>
      <c r="D1999" s="76">
        <v>4.96E-3</v>
      </c>
      <c r="E1999" s="76">
        <v>1.0200000000000001E-2</v>
      </c>
      <c r="F1999" s="76">
        <v>1.54E-2</v>
      </c>
      <c r="G1999" s="76">
        <v>2.06E-2</v>
      </c>
      <c r="H1999" s="81">
        <v>2.5700000000000001E-2</v>
      </c>
      <c r="I1999" s="76">
        <v>3.0800000000000001E-2</v>
      </c>
      <c r="J1999" s="76">
        <v>3.5999999999999997E-2</v>
      </c>
      <c r="K1999" s="76">
        <v>4.1099999999999998E-2</v>
      </c>
      <c r="L1999" s="81">
        <v>4.6399999999999997E-2</v>
      </c>
      <c r="M1999" s="76">
        <v>5.1299999999999998E-2</v>
      </c>
      <c r="N1999" s="81"/>
      <c r="T1999" s="81"/>
      <c r="W1999" s="81"/>
      <c r="AG1999" s="81"/>
      <c r="AT1999" s="81"/>
    </row>
    <row r="2000" spans="3:46" x14ac:dyDescent="0.15">
      <c r="C2000" s="81">
        <v>440</v>
      </c>
      <c r="D2000" s="76">
        <v>6.8300000000000001E-3</v>
      </c>
      <c r="E2000" s="76">
        <v>1.41E-2</v>
      </c>
      <c r="F2000" s="76">
        <v>2.1100000000000001E-2</v>
      </c>
      <c r="G2000" s="76">
        <v>2.8299999999999999E-2</v>
      </c>
      <c r="H2000" s="81">
        <v>3.5299999999999998E-2</v>
      </c>
      <c r="I2000" s="76">
        <v>4.24E-2</v>
      </c>
      <c r="J2000" s="76">
        <v>4.9399999999999999E-2</v>
      </c>
      <c r="K2000" s="76">
        <v>5.6399999999999999E-2</v>
      </c>
      <c r="L2000" s="81">
        <v>6.3600000000000004E-2</v>
      </c>
      <c r="M2000" s="76">
        <v>7.0400000000000004E-2</v>
      </c>
      <c r="N2000" s="81"/>
      <c r="T2000" s="81"/>
      <c r="W2000" s="81"/>
      <c r="AG2000" s="81"/>
      <c r="AT2000" s="81"/>
    </row>
    <row r="2001" spans="3:56" x14ac:dyDescent="0.15">
      <c r="C2001" s="81">
        <v>442</v>
      </c>
      <c r="D2001" s="76">
        <v>9.1400000000000006E-3</v>
      </c>
      <c r="E2001" s="76">
        <v>1.8700000000000001E-2</v>
      </c>
      <c r="F2001" s="76">
        <v>2.8199999999999999E-2</v>
      </c>
      <c r="G2001" s="76">
        <v>3.7699999999999997E-2</v>
      </c>
      <c r="H2001" s="81">
        <v>4.7199999999999999E-2</v>
      </c>
      <c r="I2001" s="76">
        <v>5.6599999999999998E-2</v>
      </c>
      <c r="J2001" s="76">
        <v>6.59E-2</v>
      </c>
      <c r="K2001" s="76">
        <v>7.5300000000000006E-2</v>
      </c>
      <c r="L2001" s="81">
        <v>8.48E-2</v>
      </c>
      <c r="M2001" s="76">
        <v>9.3799999999999994E-2</v>
      </c>
      <c r="N2001" s="81"/>
      <c r="T2001" s="81"/>
      <c r="W2001" s="81"/>
      <c r="AG2001" s="81"/>
      <c r="AT2001" s="81"/>
    </row>
    <row r="2002" spans="3:56" x14ac:dyDescent="0.15">
      <c r="C2002" s="81">
        <v>444</v>
      </c>
      <c r="D2002" s="76">
        <v>1.1900000000000001E-2</v>
      </c>
      <c r="E2002" s="76">
        <v>2.4299999999999999E-2</v>
      </c>
      <c r="F2002" s="76">
        <v>3.6600000000000001E-2</v>
      </c>
      <c r="G2002" s="76">
        <v>4.9000000000000002E-2</v>
      </c>
      <c r="H2002" s="81">
        <v>6.1199999999999997E-2</v>
      </c>
      <c r="I2002" s="76">
        <v>7.3300000000000004E-2</v>
      </c>
      <c r="J2002" s="76">
        <v>8.5500000000000007E-2</v>
      </c>
      <c r="K2002" s="76">
        <v>9.7600000000000006E-2</v>
      </c>
      <c r="L2002" s="81">
        <v>0.11</v>
      </c>
      <c r="M2002" s="76">
        <v>0.122</v>
      </c>
      <c r="N2002" s="81"/>
      <c r="T2002" s="81"/>
      <c r="W2002" s="81"/>
      <c r="AG2002" s="81"/>
      <c r="AT2002" s="81"/>
    </row>
    <row r="2003" spans="3:56" x14ac:dyDescent="0.15">
      <c r="C2003" s="81">
        <v>446</v>
      </c>
      <c r="D2003" s="76">
        <v>1.4999999999999999E-2</v>
      </c>
      <c r="E2003" s="76">
        <v>3.0700000000000002E-2</v>
      </c>
      <c r="F2003" s="76">
        <v>4.6199999999999998E-2</v>
      </c>
      <c r="G2003" s="76">
        <v>6.1600000000000002E-2</v>
      </c>
      <c r="H2003" s="81">
        <v>7.6899999999999996E-2</v>
      </c>
      <c r="I2003" s="76">
        <v>9.2200000000000004E-2</v>
      </c>
      <c r="J2003" s="76">
        <v>0.107</v>
      </c>
      <c r="K2003" s="76">
        <v>0.123</v>
      </c>
      <c r="L2003" s="81">
        <v>0.13800000000000001</v>
      </c>
      <c r="M2003" s="76">
        <v>0.153</v>
      </c>
      <c r="N2003" s="81"/>
      <c r="T2003" s="81"/>
      <c r="W2003" s="81"/>
      <c r="AG2003" s="81"/>
      <c r="AT2003" s="81"/>
    </row>
    <row r="2004" spans="3:56" x14ac:dyDescent="0.15">
      <c r="C2004" s="81">
        <v>448</v>
      </c>
      <c r="D2004" s="81">
        <v>1.8200000000000001E-2</v>
      </c>
      <c r="E2004" s="81">
        <v>3.73E-2</v>
      </c>
      <c r="F2004" s="81">
        <v>5.62E-2</v>
      </c>
      <c r="G2004" s="81">
        <v>7.4899999999999994E-2</v>
      </c>
      <c r="H2004" s="81">
        <v>9.3600000000000003E-2</v>
      </c>
      <c r="I2004" s="81">
        <v>0.112</v>
      </c>
      <c r="J2004" s="81">
        <v>0.13</v>
      </c>
      <c r="K2004" s="81">
        <v>0.14899999999999999</v>
      </c>
      <c r="L2004" s="81">
        <v>0.16700000000000001</v>
      </c>
      <c r="M2004" s="81">
        <v>0.186</v>
      </c>
      <c r="N2004" s="81"/>
      <c r="O2004" s="81"/>
      <c r="P2004" s="81"/>
      <c r="Q2004" s="81"/>
      <c r="R2004" s="81"/>
      <c r="S2004" s="81"/>
      <c r="T2004" s="81"/>
      <c r="U2004" s="81"/>
      <c r="V2004" s="81"/>
      <c r="W2004" s="81"/>
      <c r="X2004" s="81"/>
      <c r="Y2004" s="81"/>
      <c r="Z2004" s="81"/>
      <c r="AA2004" s="81"/>
      <c r="AB2004" s="81"/>
      <c r="AC2004" s="81"/>
      <c r="AD2004" s="81"/>
      <c r="AG2004" s="81"/>
      <c r="AH2004" s="81"/>
      <c r="AI2004" s="81"/>
      <c r="AJ2004" s="81"/>
      <c r="AK2004" s="81"/>
      <c r="AL2004" s="81"/>
      <c r="AM2004" s="81"/>
      <c r="AN2004" s="81"/>
      <c r="AO2004" s="81"/>
      <c r="AP2004" s="81"/>
      <c r="AQ2004" s="81"/>
      <c r="AT2004" s="81"/>
      <c r="AU2004" s="81"/>
      <c r="AV2004" s="81"/>
      <c r="AW2004" s="81"/>
      <c r="AX2004" s="81"/>
      <c r="AY2004" s="81"/>
      <c r="AZ2004" s="81"/>
      <c r="BA2004" s="81"/>
      <c r="BB2004" s="81"/>
      <c r="BC2004" s="81"/>
      <c r="BD2004" s="81"/>
    </row>
    <row r="2005" spans="3:56" x14ac:dyDescent="0.15">
      <c r="C2005" s="81">
        <v>450</v>
      </c>
      <c r="D2005" s="76">
        <v>2.1600000000000001E-2</v>
      </c>
      <c r="E2005" s="76">
        <v>4.4299999999999999E-2</v>
      </c>
      <c r="F2005" s="76">
        <v>6.6699999999999995E-2</v>
      </c>
      <c r="G2005" s="76">
        <v>8.8900000000000007E-2</v>
      </c>
      <c r="H2005" s="81">
        <v>0.111</v>
      </c>
      <c r="I2005" s="76">
        <v>0.13300000000000001</v>
      </c>
      <c r="J2005" s="76">
        <v>0.155</v>
      </c>
      <c r="K2005" s="76">
        <v>0.17699999999999999</v>
      </c>
      <c r="L2005" s="81">
        <v>0.19800000000000001</v>
      </c>
      <c r="M2005" s="76">
        <v>0.22</v>
      </c>
      <c r="N2005" s="81"/>
      <c r="T2005" s="81"/>
      <c r="W2005" s="81"/>
      <c r="AG2005" s="81"/>
      <c r="AT2005" s="81"/>
    </row>
    <row r="2006" spans="3:56" x14ac:dyDescent="0.15">
      <c r="C2006" s="76">
        <v>452</v>
      </c>
      <c r="D2006" s="76">
        <v>2.46E-2</v>
      </c>
      <c r="E2006" s="76">
        <v>5.0299999999999997E-2</v>
      </c>
      <c r="F2006" s="76">
        <v>7.5700000000000003E-2</v>
      </c>
      <c r="G2006" s="76">
        <v>0.10100000000000001</v>
      </c>
      <c r="H2006" s="76">
        <v>0.126</v>
      </c>
      <c r="I2006" s="76">
        <v>0.151</v>
      </c>
      <c r="J2006" s="76">
        <v>0.17599999999999999</v>
      </c>
      <c r="K2006" s="76">
        <v>0.2</v>
      </c>
      <c r="L2006" s="76">
        <v>0.22500000000000001</v>
      </c>
      <c r="M2006" s="76">
        <v>0.249</v>
      </c>
    </row>
    <row r="2007" spans="3:56" x14ac:dyDescent="0.15">
      <c r="C2007" s="76">
        <v>454</v>
      </c>
      <c r="D2007" s="76">
        <v>2.6800000000000001E-2</v>
      </c>
      <c r="E2007" s="76">
        <v>5.4899999999999997E-2</v>
      </c>
      <c r="F2007" s="76">
        <v>8.2600000000000007E-2</v>
      </c>
      <c r="G2007" s="76">
        <v>0.11</v>
      </c>
      <c r="H2007" s="76">
        <v>0.13800000000000001</v>
      </c>
      <c r="I2007" s="76">
        <v>0.16500000000000001</v>
      </c>
      <c r="J2007" s="76">
        <v>0.192</v>
      </c>
      <c r="K2007" s="76">
        <v>0.219</v>
      </c>
      <c r="L2007" s="76">
        <v>0.245</v>
      </c>
      <c r="M2007" s="76">
        <v>0.27200000000000002</v>
      </c>
    </row>
    <row r="2008" spans="3:56" x14ac:dyDescent="0.15">
      <c r="C2008" s="76">
        <v>456</v>
      </c>
      <c r="D2008" s="76">
        <v>2.8400000000000002E-2</v>
      </c>
      <c r="E2008" s="76">
        <v>5.8099999999999999E-2</v>
      </c>
      <c r="F2008" s="76">
        <v>8.7400000000000005E-2</v>
      </c>
      <c r="G2008" s="76">
        <v>0.11700000000000001</v>
      </c>
      <c r="H2008" s="76">
        <v>0.14499999999999999</v>
      </c>
      <c r="I2008" s="76">
        <v>0.17399999999999999</v>
      </c>
      <c r="J2008" s="76">
        <v>0.20300000000000001</v>
      </c>
      <c r="K2008" s="76">
        <v>0.23100000000000001</v>
      </c>
      <c r="L2008" s="76">
        <v>0.25900000000000001</v>
      </c>
      <c r="M2008" s="76">
        <v>0.28699999999999998</v>
      </c>
    </row>
    <row r="2009" spans="3:56" x14ac:dyDescent="0.15">
      <c r="C2009" s="76">
        <v>458</v>
      </c>
      <c r="D2009" s="76">
        <v>2.9100000000000001E-2</v>
      </c>
      <c r="E2009" s="76">
        <v>5.96E-2</v>
      </c>
      <c r="F2009" s="76">
        <v>8.9700000000000002E-2</v>
      </c>
      <c r="G2009" s="76">
        <v>0.12</v>
      </c>
      <c r="H2009" s="76">
        <v>0.14899999999999999</v>
      </c>
      <c r="I2009" s="76">
        <v>0.17899999999999999</v>
      </c>
      <c r="J2009" s="76">
        <v>0.20799999999999999</v>
      </c>
      <c r="K2009" s="76">
        <v>0.23699999999999999</v>
      </c>
      <c r="L2009" s="76">
        <v>0.26600000000000001</v>
      </c>
      <c r="M2009" s="76">
        <v>0.29499999999999998</v>
      </c>
    </row>
    <row r="2010" spans="3:56" x14ac:dyDescent="0.15">
      <c r="C2010" s="76">
        <v>460</v>
      </c>
      <c r="D2010" s="76">
        <v>2.92E-2</v>
      </c>
      <c r="E2010" s="76">
        <v>5.9700000000000003E-2</v>
      </c>
      <c r="F2010" s="76">
        <v>8.9800000000000005E-2</v>
      </c>
      <c r="G2010" s="76">
        <v>0.12</v>
      </c>
      <c r="H2010" s="76">
        <v>0.14899999999999999</v>
      </c>
      <c r="I2010" s="76">
        <v>0.17899999999999999</v>
      </c>
      <c r="J2010" s="76">
        <v>0.20799999999999999</v>
      </c>
      <c r="K2010" s="76">
        <v>0.23699999999999999</v>
      </c>
      <c r="L2010" s="76">
        <v>0.26600000000000001</v>
      </c>
      <c r="M2010" s="76">
        <v>0.29499999999999998</v>
      </c>
    </row>
    <row r="2011" spans="3:56" x14ac:dyDescent="0.15">
      <c r="C2011" s="76">
        <v>462</v>
      </c>
      <c r="D2011" s="76">
        <v>2.8500000000000001E-2</v>
      </c>
      <c r="E2011" s="76">
        <v>5.8299999999999998E-2</v>
      </c>
      <c r="F2011" s="76">
        <v>8.77E-2</v>
      </c>
      <c r="G2011" s="76">
        <v>0.11700000000000001</v>
      </c>
      <c r="H2011" s="76">
        <v>0.14599999999999999</v>
      </c>
      <c r="I2011" s="76">
        <v>0.17499999999999999</v>
      </c>
      <c r="J2011" s="76">
        <v>0.20300000000000001</v>
      </c>
      <c r="K2011" s="76">
        <v>0.23200000000000001</v>
      </c>
      <c r="L2011" s="76">
        <v>0.26</v>
      </c>
      <c r="M2011" s="76">
        <v>0.28799999999999998</v>
      </c>
    </row>
    <row r="2012" spans="3:56" x14ac:dyDescent="0.15">
      <c r="C2012" s="76">
        <v>464</v>
      </c>
      <c r="D2012" s="76">
        <v>2.7099999999999999E-2</v>
      </c>
      <c r="E2012" s="76">
        <v>5.5399999999999998E-2</v>
      </c>
      <c r="F2012" s="76">
        <v>8.3400000000000002E-2</v>
      </c>
      <c r="G2012" s="76">
        <v>0.111</v>
      </c>
      <c r="H2012" s="76">
        <v>0.13900000000000001</v>
      </c>
      <c r="I2012" s="76">
        <v>0.16600000000000001</v>
      </c>
      <c r="J2012" s="76">
        <v>0.193</v>
      </c>
      <c r="K2012" s="76">
        <v>0.22</v>
      </c>
      <c r="L2012" s="76">
        <v>0.247</v>
      </c>
      <c r="M2012" s="76">
        <v>0.27400000000000002</v>
      </c>
    </row>
    <row r="2013" spans="3:56" x14ac:dyDescent="0.15">
      <c r="C2013" s="76">
        <v>466</v>
      </c>
      <c r="D2013" s="76">
        <v>2.5600000000000001E-2</v>
      </c>
      <c r="E2013" s="76">
        <v>5.2299999999999999E-2</v>
      </c>
      <c r="F2013" s="76">
        <v>7.8700000000000006E-2</v>
      </c>
      <c r="G2013" s="76">
        <v>0.105</v>
      </c>
      <c r="H2013" s="76">
        <v>0.13100000000000001</v>
      </c>
      <c r="I2013" s="76">
        <v>0.157</v>
      </c>
      <c r="J2013" s="76">
        <v>0.182</v>
      </c>
      <c r="K2013" s="76">
        <v>0.20799999999999999</v>
      </c>
      <c r="L2013" s="76">
        <v>0.23300000000000001</v>
      </c>
      <c r="M2013" s="76">
        <v>0.25900000000000001</v>
      </c>
    </row>
    <row r="2014" spans="3:56" x14ac:dyDescent="0.15">
      <c r="C2014" s="76">
        <v>468</v>
      </c>
      <c r="D2014" s="76">
        <v>2.4E-2</v>
      </c>
      <c r="E2014" s="76">
        <v>4.9099999999999998E-2</v>
      </c>
      <c r="F2014" s="76">
        <v>7.3800000000000004E-2</v>
      </c>
      <c r="G2014" s="76">
        <v>9.8400000000000001E-2</v>
      </c>
      <c r="H2014" s="76">
        <v>0.123</v>
      </c>
      <c r="I2014" s="76">
        <v>0.14699999999999999</v>
      </c>
      <c r="J2014" s="76">
        <v>0.17100000000000001</v>
      </c>
      <c r="K2014" s="76">
        <v>0.19500000000000001</v>
      </c>
      <c r="L2014" s="76">
        <v>0.219</v>
      </c>
      <c r="M2014" s="76">
        <v>0.24299999999999999</v>
      </c>
    </row>
    <row r="2015" spans="3:56" x14ac:dyDescent="0.15">
      <c r="C2015" s="76">
        <v>470</v>
      </c>
      <c r="D2015" s="76">
        <v>2.24E-2</v>
      </c>
      <c r="E2015" s="76">
        <v>4.5900000000000003E-2</v>
      </c>
      <c r="F2015" s="76">
        <v>6.9000000000000006E-2</v>
      </c>
      <c r="G2015" s="76">
        <v>9.1899999999999996E-2</v>
      </c>
      <c r="H2015" s="76">
        <v>0.115</v>
      </c>
      <c r="I2015" s="76">
        <v>0.13800000000000001</v>
      </c>
      <c r="J2015" s="76">
        <v>0.16</v>
      </c>
      <c r="K2015" s="76">
        <v>0.183</v>
      </c>
      <c r="L2015" s="76">
        <v>0.20499999999999999</v>
      </c>
      <c r="M2015" s="76">
        <v>0.22700000000000001</v>
      </c>
    </row>
    <row r="2016" spans="3:56" x14ac:dyDescent="0.15">
      <c r="C2016" s="76">
        <v>472</v>
      </c>
      <c r="D2016" s="76">
        <v>2.1000000000000001E-2</v>
      </c>
      <c r="E2016" s="76">
        <v>4.2900000000000001E-2</v>
      </c>
      <c r="F2016" s="76">
        <v>6.4600000000000005E-2</v>
      </c>
      <c r="G2016" s="76">
        <v>8.6099999999999996E-2</v>
      </c>
      <c r="H2016" s="76">
        <v>0.108</v>
      </c>
      <c r="I2016" s="76">
        <v>0.129</v>
      </c>
      <c r="J2016" s="76">
        <v>0.15</v>
      </c>
      <c r="K2016" s="76">
        <v>0.17100000000000001</v>
      </c>
      <c r="L2016" s="76">
        <v>0.192</v>
      </c>
      <c r="M2016" s="76">
        <v>0.21299999999999999</v>
      </c>
    </row>
    <row r="2017" spans="3:13" x14ac:dyDescent="0.15">
      <c r="C2017" s="76">
        <v>474</v>
      </c>
      <c r="D2017" s="76">
        <v>1.9800000000000002E-2</v>
      </c>
      <c r="E2017" s="76">
        <v>4.0399999999999998E-2</v>
      </c>
      <c r="F2017" s="76">
        <v>6.0900000000000003E-2</v>
      </c>
      <c r="G2017" s="76">
        <v>8.1000000000000003E-2</v>
      </c>
      <c r="H2017" s="76">
        <v>0.10100000000000001</v>
      </c>
      <c r="I2017" s="76">
        <v>0.121</v>
      </c>
      <c r="J2017" s="76">
        <v>0.14099999999999999</v>
      </c>
      <c r="K2017" s="76">
        <v>0.161</v>
      </c>
      <c r="L2017" s="76">
        <v>0.18099999999999999</v>
      </c>
      <c r="M2017" s="76">
        <v>0.2</v>
      </c>
    </row>
    <row r="2018" spans="3:13" x14ac:dyDescent="0.15">
      <c r="C2018" s="76">
        <v>476</v>
      </c>
      <c r="D2018" s="76">
        <v>1.8599999999999998E-2</v>
      </c>
      <c r="E2018" s="76">
        <v>3.7999999999999999E-2</v>
      </c>
      <c r="F2018" s="76">
        <v>5.7200000000000001E-2</v>
      </c>
      <c r="G2018" s="76">
        <v>7.6200000000000004E-2</v>
      </c>
      <c r="H2018" s="76">
        <v>9.5200000000000007E-2</v>
      </c>
      <c r="I2018" s="76">
        <v>0.114</v>
      </c>
      <c r="J2018" s="76">
        <v>0.13300000000000001</v>
      </c>
      <c r="K2018" s="76">
        <v>0.151</v>
      </c>
      <c r="L2018" s="76">
        <v>0.17</v>
      </c>
      <c r="M2018" s="76">
        <v>0.189</v>
      </c>
    </row>
    <row r="2019" spans="3:13" x14ac:dyDescent="0.15">
      <c r="C2019" s="76">
        <v>478</v>
      </c>
      <c r="D2019" s="76">
        <v>1.78E-2</v>
      </c>
      <c r="E2019" s="76">
        <v>3.6299999999999999E-2</v>
      </c>
      <c r="F2019" s="76">
        <v>5.4699999999999999E-2</v>
      </c>
      <c r="G2019" s="76">
        <v>7.2800000000000004E-2</v>
      </c>
      <c r="H2019" s="76">
        <v>9.0899999999999995E-2</v>
      </c>
      <c r="I2019" s="76">
        <v>0.109</v>
      </c>
      <c r="J2019" s="76">
        <v>0.127</v>
      </c>
      <c r="K2019" s="76">
        <v>0.14499999999999999</v>
      </c>
      <c r="L2019" s="76">
        <v>0.16200000000000001</v>
      </c>
      <c r="M2019" s="76">
        <v>0.18</v>
      </c>
    </row>
    <row r="2020" spans="3:13" x14ac:dyDescent="0.15">
      <c r="C2020" s="76">
        <v>480</v>
      </c>
      <c r="D2020" s="76">
        <v>1.7100000000000001E-2</v>
      </c>
      <c r="E2020" s="76">
        <v>3.49E-2</v>
      </c>
      <c r="F2020" s="76">
        <v>5.2499999999999998E-2</v>
      </c>
      <c r="G2020" s="76">
        <v>6.9900000000000004E-2</v>
      </c>
      <c r="H2020" s="76">
        <v>8.7400000000000005E-2</v>
      </c>
      <c r="I2020" s="76">
        <v>0.105</v>
      </c>
      <c r="J2020" s="76">
        <v>0.122</v>
      </c>
      <c r="K2020" s="76">
        <v>0.13900000000000001</v>
      </c>
      <c r="L2020" s="76">
        <v>0.156</v>
      </c>
      <c r="M2020" s="76">
        <v>0.17299999999999999</v>
      </c>
    </row>
    <row r="2021" spans="3:13" x14ac:dyDescent="0.15">
      <c r="C2021" s="76">
        <v>482</v>
      </c>
      <c r="D2021" s="76">
        <v>1.6500000000000001E-2</v>
      </c>
      <c r="E2021" s="76">
        <v>3.3599999999999998E-2</v>
      </c>
      <c r="F2021" s="76">
        <v>5.0599999999999999E-2</v>
      </c>
      <c r="G2021" s="76">
        <v>6.7400000000000002E-2</v>
      </c>
      <c r="H2021" s="76">
        <v>8.4199999999999997E-2</v>
      </c>
      <c r="I2021" s="76">
        <v>0.10100000000000001</v>
      </c>
      <c r="J2021" s="76">
        <v>0.11700000000000001</v>
      </c>
      <c r="K2021" s="76">
        <v>0.13400000000000001</v>
      </c>
      <c r="L2021" s="76">
        <v>0.15</v>
      </c>
      <c r="M2021" s="76">
        <v>0.16700000000000001</v>
      </c>
    </row>
    <row r="2022" spans="3:13" x14ac:dyDescent="0.15">
      <c r="C2022" s="76">
        <v>484</v>
      </c>
      <c r="D2022" s="76">
        <v>1.5900000000000001E-2</v>
      </c>
      <c r="E2022" s="76">
        <v>3.2300000000000002E-2</v>
      </c>
      <c r="F2022" s="76">
        <v>4.87E-2</v>
      </c>
      <c r="G2022" s="76">
        <v>6.4899999999999999E-2</v>
      </c>
      <c r="H2022" s="76">
        <v>8.1000000000000003E-2</v>
      </c>
      <c r="I2022" s="76">
        <v>9.7100000000000006E-2</v>
      </c>
      <c r="J2022" s="76">
        <v>0.113</v>
      </c>
      <c r="K2022" s="76">
        <v>0.129</v>
      </c>
      <c r="L2022" s="76">
        <v>0.14399999999999999</v>
      </c>
      <c r="M2022" s="76">
        <v>0.16</v>
      </c>
    </row>
    <row r="2023" spans="3:13" x14ac:dyDescent="0.15">
      <c r="C2023" s="76">
        <v>486</v>
      </c>
      <c r="D2023" s="76">
        <v>1.52E-2</v>
      </c>
      <c r="E2023" s="76">
        <v>3.1099999999999999E-2</v>
      </c>
      <c r="F2023" s="76">
        <v>4.6699999999999998E-2</v>
      </c>
      <c r="G2023" s="76">
        <v>6.2300000000000001E-2</v>
      </c>
      <c r="H2023" s="76">
        <v>7.7700000000000005E-2</v>
      </c>
      <c r="I2023" s="76">
        <v>9.3100000000000002E-2</v>
      </c>
      <c r="J2023" s="76">
        <v>0.108</v>
      </c>
      <c r="K2023" s="76">
        <v>0.124</v>
      </c>
      <c r="L2023" s="76">
        <v>0.13900000000000001</v>
      </c>
      <c r="M2023" s="76">
        <v>0.154</v>
      </c>
    </row>
    <row r="2024" spans="3:13" x14ac:dyDescent="0.15">
      <c r="C2024" s="76">
        <v>488</v>
      </c>
      <c r="D2024" s="76">
        <v>1.44E-2</v>
      </c>
      <c r="E2024" s="76">
        <v>2.9399999999999999E-2</v>
      </c>
      <c r="F2024" s="76">
        <v>4.41E-2</v>
      </c>
      <c r="G2024" s="76">
        <v>5.8900000000000001E-2</v>
      </c>
      <c r="H2024" s="76">
        <v>7.3400000000000007E-2</v>
      </c>
      <c r="I2024" s="76">
        <v>8.7999999999999995E-2</v>
      </c>
      <c r="J2024" s="76">
        <v>0.10199999999999999</v>
      </c>
      <c r="K2024" s="76">
        <v>0.11700000000000001</v>
      </c>
      <c r="L2024" s="76">
        <v>0.13100000000000001</v>
      </c>
      <c r="M2024" s="76">
        <v>0.14499999999999999</v>
      </c>
    </row>
    <row r="2025" spans="3:13" x14ac:dyDescent="0.15">
      <c r="C2025" s="76">
        <v>490</v>
      </c>
      <c r="D2025" s="76">
        <v>1.3599999999999999E-2</v>
      </c>
      <c r="E2025" s="76">
        <v>2.7699999999999999E-2</v>
      </c>
      <c r="F2025" s="76">
        <v>4.1799999999999997E-2</v>
      </c>
      <c r="G2025" s="76">
        <v>5.5599999999999997E-2</v>
      </c>
      <c r="H2025" s="76">
        <v>6.93E-2</v>
      </c>
      <c r="I2025" s="76">
        <v>8.3099999999999993E-2</v>
      </c>
      <c r="J2025" s="76">
        <v>9.6600000000000005E-2</v>
      </c>
      <c r="K2025" s="76">
        <v>0.11</v>
      </c>
      <c r="L2025" s="76">
        <v>0.124</v>
      </c>
      <c r="M2025" s="76">
        <v>0.13700000000000001</v>
      </c>
    </row>
    <row r="2026" spans="3:13" x14ac:dyDescent="0.15">
      <c r="C2026" s="76">
        <v>492</v>
      </c>
      <c r="D2026" s="76">
        <v>1.2699999999999999E-2</v>
      </c>
      <c r="E2026" s="76">
        <v>2.5999999999999999E-2</v>
      </c>
      <c r="F2026" s="76">
        <v>3.9100000000000003E-2</v>
      </c>
      <c r="G2026" s="76">
        <v>5.21E-2</v>
      </c>
      <c r="H2026" s="76">
        <v>6.5000000000000002E-2</v>
      </c>
      <c r="I2026" s="76">
        <v>7.7899999999999997E-2</v>
      </c>
      <c r="J2026" s="76">
        <v>9.06E-2</v>
      </c>
      <c r="K2026" s="76">
        <v>0.10299999999999999</v>
      </c>
      <c r="L2026" s="76">
        <v>0.11600000000000001</v>
      </c>
      <c r="M2026" s="76">
        <v>0.128</v>
      </c>
    </row>
    <row r="2027" spans="3:13" x14ac:dyDescent="0.15">
      <c r="C2027" s="76">
        <v>494</v>
      </c>
      <c r="D2027" s="76">
        <v>1.18E-2</v>
      </c>
      <c r="E2027" s="76">
        <v>2.4199999999999999E-2</v>
      </c>
      <c r="F2027" s="76">
        <v>3.6299999999999999E-2</v>
      </c>
      <c r="G2027" s="76">
        <v>4.8399999999999999E-2</v>
      </c>
      <c r="H2027" s="76">
        <v>6.0499999999999998E-2</v>
      </c>
      <c r="I2027" s="76">
        <v>7.2499999999999995E-2</v>
      </c>
      <c r="J2027" s="76">
        <v>8.43E-2</v>
      </c>
      <c r="K2027" s="76">
        <v>9.6199999999999994E-2</v>
      </c>
      <c r="L2027" s="76">
        <v>0.108</v>
      </c>
      <c r="M2027" s="76">
        <v>0.11899999999999999</v>
      </c>
    </row>
    <row r="2028" spans="3:13" x14ac:dyDescent="0.15">
      <c r="C2028" s="76">
        <v>496</v>
      </c>
      <c r="D2028" s="76">
        <v>1.0999999999999999E-2</v>
      </c>
      <c r="E2028" s="76">
        <v>2.24E-2</v>
      </c>
      <c r="F2028" s="76">
        <v>3.3700000000000001E-2</v>
      </c>
      <c r="G2028" s="76">
        <v>4.4900000000000002E-2</v>
      </c>
      <c r="H2028" s="76">
        <v>5.6000000000000001E-2</v>
      </c>
      <c r="I2028" s="76">
        <v>6.7100000000000007E-2</v>
      </c>
      <c r="J2028" s="76">
        <v>7.8E-2</v>
      </c>
      <c r="K2028" s="76">
        <v>8.9099999999999999E-2</v>
      </c>
      <c r="L2028" s="76">
        <v>9.9900000000000003E-2</v>
      </c>
      <c r="M2028" s="76">
        <v>0.111</v>
      </c>
    </row>
    <row r="2029" spans="3:13" x14ac:dyDescent="0.15">
      <c r="C2029" s="76">
        <v>498</v>
      </c>
      <c r="D2029" s="76">
        <v>1.01E-2</v>
      </c>
      <c r="E2029" s="76">
        <v>2.06E-2</v>
      </c>
      <c r="F2029" s="76">
        <v>3.09E-2</v>
      </c>
      <c r="G2029" s="76">
        <v>4.1200000000000001E-2</v>
      </c>
      <c r="H2029" s="76">
        <v>5.1400000000000001E-2</v>
      </c>
      <c r="I2029" s="76">
        <v>6.1600000000000002E-2</v>
      </c>
      <c r="J2029" s="76">
        <v>7.1599999999999997E-2</v>
      </c>
      <c r="K2029" s="76">
        <v>8.1799999999999998E-2</v>
      </c>
      <c r="L2029" s="76">
        <v>9.1600000000000001E-2</v>
      </c>
      <c r="M2029" s="76">
        <v>0.10199999999999999</v>
      </c>
    </row>
    <row r="2030" spans="3:13" x14ac:dyDescent="0.15">
      <c r="C2030" s="76">
        <v>500</v>
      </c>
      <c r="D2030" s="76">
        <v>9.1199999999999996E-3</v>
      </c>
      <c r="E2030" s="76">
        <v>1.8700000000000001E-2</v>
      </c>
      <c r="F2030" s="76">
        <v>2.8000000000000001E-2</v>
      </c>
      <c r="G2030" s="76">
        <v>3.7400000000000003E-2</v>
      </c>
      <c r="H2030" s="76">
        <v>4.65E-2</v>
      </c>
      <c r="I2030" s="76">
        <v>5.5899999999999998E-2</v>
      </c>
      <c r="J2030" s="76">
        <v>6.5000000000000002E-2</v>
      </c>
      <c r="K2030" s="76">
        <v>7.4200000000000002E-2</v>
      </c>
      <c r="L2030" s="76">
        <v>8.3099999999999993E-2</v>
      </c>
      <c r="M2030" s="76">
        <v>9.2100000000000001E-2</v>
      </c>
    </row>
    <row r="2031" spans="3:13" x14ac:dyDescent="0.15">
      <c r="C2031" s="76">
        <v>502</v>
      </c>
      <c r="D2031" s="76">
        <v>8.2400000000000008E-3</v>
      </c>
      <c r="E2031" s="76">
        <v>1.6799999999999999E-2</v>
      </c>
      <c r="F2031" s="76">
        <v>2.53E-2</v>
      </c>
      <c r="G2031" s="76">
        <v>3.3700000000000001E-2</v>
      </c>
      <c r="H2031" s="76">
        <v>4.2000000000000003E-2</v>
      </c>
      <c r="I2031" s="76">
        <v>5.04E-2</v>
      </c>
      <c r="J2031" s="76">
        <v>5.8700000000000002E-2</v>
      </c>
      <c r="K2031" s="76">
        <v>6.7100000000000007E-2</v>
      </c>
      <c r="L2031" s="76">
        <v>7.51E-2</v>
      </c>
      <c r="M2031" s="76">
        <v>8.3199999999999996E-2</v>
      </c>
    </row>
    <row r="2032" spans="3:13" x14ac:dyDescent="0.15">
      <c r="C2032" s="76">
        <v>504</v>
      </c>
      <c r="D2032" s="76">
        <v>7.4700000000000001E-3</v>
      </c>
      <c r="E2032" s="76">
        <v>1.5299999999999999E-2</v>
      </c>
      <c r="F2032" s="76">
        <v>2.29E-2</v>
      </c>
      <c r="G2032" s="76">
        <v>3.0599999999999999E-2</v>
      </c>
      <c r="H2032" s="76">
        <v>3.7999999999999999E-2</v>
      </c>
      <c r="I2032" s="76">
        <v>4.5600000000000002E-2</v>
      </c>
      <c r="J2032" s="76">
        <v>5.3199999999999997E-2</v>
      </c>
      <c r="K2032" s="76">
        <v>6.0699999999999997E-2</v>
      </c>
      <c r="L2032" s="76">
        <v>6.7900000000000002E-2</v>
      </c>
      <c r="M2032" s="76">
        <v>7.5300000000000006E-2</v>
      </c>
    </row>
    <row r="2033" spans="3:13" x14ac:dyDescent="0.15">
      <c r="C2033" s="76">
        <v>506</v>
      </c>
      <c r="D2033" s="76">
        <v>6.7499999999999999E-3</v>
      </c>
      <c r="E2033" s="76">
        <v>1.38E-2</v>
      </c>
      <c r="F2033" s="76">
        <v>2.07E-2</v>
      </c>
      <c r="G2033" s="76">
        <v>2.7699999999999999E-2</v>
      </c>
      <c r="H2033" s="76">
        <v>3.44E-2</v>
      </c>
      <c r="I2033" s="76">
        <v>4.1300000000000003E-2</v>
      </c>
      <c r="J2033" s="76">
        <v>4.8099999999999997E-2</v>
      </c>
      <c r="K2033" s="76">
        <v>5.4899999999999997E-2</v>
      </c>
      <c r="L2033" s="76">
        <v>6.1499999999999999E-2</v>
      </c>
      <c r="M2033" s="76">
        <v>6.8199999999999997E-2</v>
      </c>
    </row>
    <row r="2034" spans="3:13" x14ac:dyDescent="0.15">
      <c r="C2034" s="76">
        <v>508</v>
      </c>
      <c r="D2034" s="76">
        <v>6.11E-3</v>
      </c>
      <c r="E2034" s="76">
        <v>1.2500000000000001E-2</v>
      </c>
      <c r="F2034" s="76">
        <v>1.8800000000000001E-2</v>
      </c>
      <c r="G2034" s="76">
        <v>2.5100000000000001E-2</v>
      </c>
      <c r="H2034" s="76">
        <v>3.1199999999999999E-2</v>
      </c>
      <c r="I2034" s="76">
        <v>3.7400000000000003E-2</v>
      </c>
      <c r="J2034" s="76">
        <v>4.36E-2</v>
      </c>
      <c r="K2034" s="76">
        <v>4.9700000000000001E-2</v>
      </c>
      <c r="L2034" s="76">
        <v>5.5800000000000002E-2</v>
      </c>
      <c r="M2034" s="76">
        <v>6.1800000000000001E-2</v>
      </c>
    </row>
    <row r="2035" spans="3:13" x14ac:dyDescent="0.15">
      <c r="C2035" s="76">
        <v>510</v>
      </c>
      <c r="D2035" s="76">
        <v>5.5599999999999998E-3</v>
      </c>
      <c r="E2035" s="76">
        <v>1.14E-2</v>
      </c>
      <c r="F2035" s="76">
        <v>1.72E-2</v>
      </c>
      <c r="G2035" s="76">
        <v>2.2700000000000001E-2</v>
      </c>
      <c r="H2035" s="76">
        <v>2.8299999999999999E-2</v>
      </c>
      <c r="I2035" s="76">
        <v>3.39E-2</v>
      </c>
      <c r="J2035" s="76">
        <v>3.9600000000000003E-2</v>
      </c>
      <c r="K2035" s="76">
        <v>4.5199999999999997E-2</v>
      </c>
      <c r="L2035" s="76">
        <v>5.0700000000000002E-2</v>
      </c>
      <c r="M2035" s="76">
        <v>5.6099999999999997E-2</v>
      </c>
    </row>
    <row r="2036" spans="3:13" x14ac:dyDescent="0.15">
      <c r="C2036" s="76">
        <v>512</v>
      </c>
      <c r="D2036" s="76">
        <v>5.0099999999999997E-3</v>
      </c>
      <c r="E2036" s="76">
        <v>1.0200000000000001E-2</v>
      </c>
      <c r="F2036" s="76">
        <v>1.54E-2</v>
      </c>
      <c r="G2036" s="76">
        <v>2.0500000000000001E-2</v>
      </c>
      <c r="H2036" s="76">
        <v>2.5600000000000001E-2</v>
      </c>
      <c r="I2036" s="76">
        <v>3.0700000000000002E-2</v>
      </c>
      <c r="J2036" s="76">
        <v>3.5700000000000003E-2</v>
      </c>
      <c r="K2036" s="76">
        <v>4.0800000000000003E-2</v>
      </c>
      <c r="L2036" s="76">
        <v>4.5699999999999998E-2</v>
      </c>
      <c r="M2036" s="76">
        <v>5.0599999999999999E-2</v>
      </c>
    </row>
    <row r="2037" spans="3:13" x14ac:dyDescent="0.15">
      <c r="C2037" s="76">
        <v>514</v>
      </c>
      <c r="D2037" s="76">
        <v>4.5700000000000003E-3</v>
      </c>
      <c r="E2037" s="76">
        <v>9.3600000000000003E-3</v>
      </c>
      <c r="F2037" s="76">
        <v>1.41E-2</v>
      </c>
      <c r="G2037" s="76">
        <v>1.8800000000000001E-2</v>
      </c>
      <c r="H2037" s="76">
        <v>2.3300000000000001E-2</v>
      </c>
      <c r="I2037" s="76">
        <v>2.8000000000000001E-2</v>
      </c>
      <c r="J2037" s="76">
        <v>3.2599999999999997E-2</v>
      </c>
      <c r="K2037" s="76">
        <v>3.7199999999999997E-2</v>
      </c>
      <c r="L2037" s="76">
        <v>4.1799999999999997E-2</v>
      </c>
      <c r="M2037" s="76">
        <v>4.6300000000000001E-2</v>
      </c>
    </row>
    <row r="2038" spans="3:13" x14ac:dyDescent="0.15">
      <c r="C2038" s="76">
        <v>516</v>
      </c>
      <c r="D2038" s="76">
        <v>4.1799999999999997E-3</v>
      </c>
      <c r="E2038" s="76">
        <v>8.6E-3</v>
      </c>
      <c r="F2038" s="76">
        <v>1.29E-2</v>
      </c>
      <c r="G2038" s="76">
        <v>1.7299999999999999E-2</v>
      </c>
      <c r="H2038" s="76">
        <v>2.1499999999999998E-2</v>
      </c>
      <c r="I2038" s="76">
        <v>2.5700000000000001E-2</v>
      </c>
      <c r="J2038" s="76">
        <v>0.03</v>
      </c>
      <c r="K2038" s="76">
        <v>3.4200000000000001E-2</v>
      </c>
      <c r="L2038" s="76">
        <v>3.8399999999999997E-2</v>
      </c>
      <c r="M2038" s="76">
        <v>4.2599999999999999E-2</v>
      </c>
    </row>
    <row r="2039" spans="3:13" x14ac:dyDescent="0.15">
      <c r="C2039" s="76">
        <v>518</v>
      </c>
      <c r="D2039" s="76">
        <v>3.8700000000000002E-3</v>
      </c>
      <c r="E2039" s="76">
        <v>7.9500000000000005E-3</v>
      </c>
      <c r="F2039" s="76">
        <v>1.1900000000000001E-2</v>
      </c>
      <c r="G2039" s="76">
        <v>1.5900000000000001E-2</v>
      </c>
      <c r="H2039" s="76">
        <v>1.9800000000000002E-2</v>
      </c>
      <c r="I2039" s="76">
        <v>2.3800000000000002E-2</v>
      </c>
      <c r="J2039" s="76">
        <v>2.7699999999999999E-2</v>
      </c>
      <c r="K2039" s="76">
        <v>3.1600000000000003E-2</v>
      </c>
      <c r="L2039" s="76">
        <v>3.5499999999999997E-2</v>
      </c>
      <c r="M2039" s="76">
        <v>3.9300000000000002E-2</v>
      </c>
    </row>
    <row r="2040" spans="3:13" x14ac:dyDescent="0.15">
      <c r="C2040" s="76">
        <v>520</v>
      </c>
      <c r="D2040" s="76">
        <v>3.5899999999999999E-3</v>
      </c>
      <c r="E2040" s="76">
        <v>7.3699999999999998E-3</v>
      </c>
      <c r="F2040" s="76">
        <v>1.0999999999999999E-2</v>
      </c>
      <c r="G2040" s="76">
        <v>1.4800000000000001E-2</v>
      </c>
      <c r="H2040" s="76">
        <v>1.84E-2</v>
      </c>
      <c r="I2040" s="76">
        <v>2.1999999999999999E-2</v>
      </c>
      <c r="J2040" s="76">
        <v>2.5700000000000001E-2</v>
      </c>
      <c r="K2040" s="76">
        <v>2.92E-2</v>
      </c>
      <c r="L2040" s="76">
        <v>3.2800000000000003E-2</v>
      </c>
      <c r="M2040" s="76">
        <v>3.6400000000000002E-2</v>
      </c>
    </row>
    <row r="2041" spans="3:13" x14ac:dyDescent="0.15">
      <c r="C2041" s="76">
        <v>522</v>
      </c>
      <c r="D2041" s="76">
        <v>3.32E-3</v>
      </c>
      <c r="E2041" s="76">
        <v>6.8300000000000001E-3</v>
      </c>
      <c r="F2041" s="76">
        <v>1.0200000000000001E-2</v>
      </c>
      <c r="G2041" s="76">
        <v>1.37E-2</v>
      </c>
      <c r="H2041" s="76">
        <v>1.7100000000000001E-2</v>
      </c>
      <c r="I2041" s="76">
        <v>2.0400000000000001E-2</v>
      </c>
      <c r="J2041" s="76">
        <v>2.3699999999999999E-2</v>
      </c>
      <c r="K2041" s="76">
        <v>2.7E-2</v>
      </c>
      <c r="L2041" s="76">
        <v>3.0499999999999999E-2</v>
      </c>
      <c r="M2041" s="76">
        <v>3.3700000000000001E-2</v>
      </c>
    </row>
    <row r="2042" spans="3:13" x14ac:dyDescent="0.15">
      <c r="C2042" s="76">
        <v>524</v>
      </c>
      <c r="D2042" s="76">
        <v>3.0500000000000002E-3</v>
      </c>
      <c r="E2042" s="76">
        <v>6.2599999999999999E-3</v>
      </c>
      <c r="F2042" s="76">
        <v>9.3699999999999999E-3</v>
      </c>
      <c r="G2042" s="76">
        <v>1.2500000000000001E-2</v>
      </c>
      <c r="H2042" s="76">
        <v>1.5599999999999999E-2</v>
      </c>
      <c r="I2042" s="76">
        <v>1.8700000000000001E-2</v>
      </c>
      <c r="J2042" s="76">
        <v>2.18E-2</v>
      </c>
      <c r="K2042" s="76">
        <v>2.4799999999999999E-2</v>
      </c>
      <c r="L2042" s="76">
        <v>2.7900000000000001E-2</v>
      </c>
      <c r="M2042" s="76">
        <v>3.09E-2</v>
      </c>
    </row>
    <row r="2043" spans="3:13" x14ac:dyDescent="0.15">
      <c r="C2043" s="76">
        <v>526</v>
      </c>
      <c r="D2043" s="76">
        <v>2.81E-3</v>
      </c>
      <c r="E2043" s="76">
        <v>5.79E-3</v>
      </c>
      <c r="F2043" s="76">
        <v>8.6800000000000002E-3</v>
      </c>
      <c r="G2043" s="76">
        <v>1.1599999999999999E-2</v>
      </c>
      <c r="H2043" s="76">
        <v>1.4500000000000001E-2</v>
      </c>
      <c r="I2043" s="76">
        <v>1.7299999999999999E-2</v>
      </c>
      <c r="J2043" s="76">
        <v>2.01E-2</v>
      </c>
      <c r="K2043" s="76">
        <v>2.29E-2</v>
      </c>
      <c r="L2043" s="76">
        <v>2.58E-2</v>
      </c>
      <c r="M2043" s="76">
        <v>2.86E-2</v>
      </c>
    </row>
    <row r="2044" spans="3:13" x14ac:dyDescent="0.15">
      <c r="C2044" s="76">
        <v>528</v>
      </c>
      <c r="D2044" s="76">
        <v>2.5999999999999999E-3</v>
      </c>
      <c r="E2044" s="76">
        <v>5.3400000000000001E-3</v>
      </c>
      <c r="F2044" s="76">
        <v>8.0300000000000007E-3</v>
      </c>
      <c r="G2044" s="76">
        <v>1.0699999999999999E-2</v>
      </c>
      <c r="H2044" s="76">
        <v>1.34E-2</v>
      </c>
      <c r="I2044" s="76">
        <v>1.5900000000000001E-2</v>
      </c>
      <c r="J2044" s="76">
        <v>1.8599999999999998E-2</v>
      </c>
      <c r="K2044" s="76">
        <v>2.12E-2</v>
      </c>
      <c r="L2044" s="76">
        <v>2.3900000000000001E-2</v>
      </c>
      <c r="M2044" s="76">
        <v>2.63E-2</v>
      </c>
    </row>
    <row r="2045" spans="3:13" x14ac:dyDescent="0.15">
      <c r="C2045" s="76">
        <v>530</v>
      </c>
      <c r="D2045" s="76">
        <v>2.3900000000000002E-3</v>
      </c>
      <c r="E2045" s="76">
        <v>4.9199999999999999E-3</v>
      </c>
      <c r="F2045" s="76">
        <v>7.4000000000000003E-3</v>
      </c>
      <c r="G2045" s="76">
        <v>9.8499999999999994E-3</v>
      </c>
      <c r="H2045" s="76">
        <v>1.23E-2</v>
      </c>
      <c r="I2045" s="76">
        <v>1.47E-2</v>
      </c>
      <c r="J2045" s="76">
        <v>1.7100000000000001E-2</v>
      </c>
      <c r="K2045" s="76">
        <v>1.95E-2</v>
      </c>
      <c r="L2045" s="76">
        <v>2.1899999999999999E-2</v>
      </c>
      <c r="M2045" s="76">
        <v>2.4299999999999999E-2</v>
      </c>
    </row>
    <row r="2046" spans="3:13" x14ac:dyDescent="0.15">
      <c r="C2046" s="76">
        <v>532</v>
      </c>
      <c r="D2046" s="76">
        <v>2.1900000000000001E-3</v>
      </c>
      <c r="E2046" s="76">
        <v>4.5199999999999997E-3</v>
      </c>
      <c r="F2046" s="76">
        <v>6.7499999999999999E-3</v>
      </c>
      <c r="G2046" s="76">
        <v>9.0200000000000002E-3</v>
      </c>
      <c r="H2046" s="76">
        <v>1.1299999999999999E-2</v>
      </c>
      <c r="I2046" s="76">
        <v>1.35E-2</v>
      </c>
      <c r="J2046" s="76">
        <v>1.5699999999999999E-2</v>
      </c>
      <c r="K2046" s="76">
        <v>1.78E-2</v>
      </c>
      <c r="L2046" s="76">
        <v>2.01E-2</v>
      </c>
      <c r="M2046" s="76">
        <v>2.23E-2</v>
      </c>
    </row>
    <row r="2047" spans="3:13" x14ac:dyDescent="0.15">
      <c r="C2047" s="76">
        <v>534</v>
      </c>
      <c r="D2047" s="76">
        <v>2E-3</v>
      </c>
      <c r="E2047" s="76">
        <v>4.13E-3</v>
      </c>
      <c r="F2047" s="76">
        <v>6.1700000000000001E-3</v>
      </c>
      <c r="G2047" s="76">
        <v>8.2199999999999999E-3</v>
      </c>
      <c r="H2047" s="76">
        <v>1.03E-2</v>
      </c>
      <c r="I2047" s="76">
        <v>1.23E-2</v>
      </c>
      <c r="J2047" s="76">
        <v>1.43E-2</v>
      </c>
      <c r="K2047" s="76">
        <v>1.6199999999999999E-2</v>
      </c>
      <c r="L2047" s="76">
        <v>1.83E-2</v>
      </c>
      <c r="M2047" s="76">
        <v>2.0299999999999999E-2</v>
      </c>
    </row>
    <row r="2048" spans="3:13" x14ac:dyDescent="0.15">
      <c r="C2048" s="76">
        <v>536</v>
      </c>
      <c r="D2048" s="76">
        <v>1.8E-3</v>
      </c>
      <c r="E2048" s="76">
        <v>3.7100000000000002E-3</v>
      </c>
      <c r="F2048" s="76">
        <v>5.5799999999999999E-3</v>
      </c>
      <c r="G2048" s="76">
        <v>7.4200000000000004E-3</v>
      </c>
      <c r="H2048" s="76">
        <v>9.3500000000000007E-3</v>
      </c>
      <c r="I2048" s="76">
        <v>1.0999999999999999E-2</v>
      </c>
      <c r="J2048" s="76">
        <v>1.29E-2</v>
      </c>
      <c r="K2048" s="76">
        <v>1.46E-2</v>
      </c>
      <c r="L2048" s="76">
        <v>1.6500000000000001E-2</v>
      </c>
      <c r="M2048" s="76">
        <v>1.83E-2</v>
      </c>
    </row>
    <row r="2049" spans="3:13" x14ac:dyDescent="0.15">
      <c r="C2049" s="76">
        <v>538</v>
      </c>
      <c r="D2049" s="76">
        <v>1.64E-3</v>
      </c>
      <c r="E2049" s="76">
        <v>3.3899999999999998E-3</v>
      </c>
      <c r="F2049" s="76">
        <v>5.0699999999999999E-3</v>
      </c>
      <c r="G2049" s="76">
        <v>6.7299999999999999E-3</v>
      </c>
      <c r="H2049" s="76">
        <v>8.4899999999999993E-3</v>
      </c>
      <c r="I2049" s="76">
        <v>0.01</v>
      </c>
      <c r="J2049" s="76">
        <v>1.18E-2</v>
      </c>
      <c r="K2049" s="76">
        <v>1.3299999999999999E-2</v>
      </c>
      <c r="L2049" s="76">
        <v>1.4999999999999999E-2</v>
      </c>
      <c r="M2049" s="76">
        <v>1.6500000000000001E-2</v>
      </c>
    </row>
    <row r="2050" spans="3:13" x14ac:dyDescent="0.15">
      <c r="C2050" s="76">
        <v>540</v>
      </c>
      <c r="D2050" s="76">
        <v>1.49E-3</v>
      </c>
      <c r="E2050" s="76">
        <v>3.0699999999999998E-3</v>
      </c>
      <c r="F2050" s="76">
        <v>4.62E-3</v>
      </c>
      <c r="G2050" s="76">
        <v>6.13E-3</v>
      </c>
      <c r="H2050" s="76">
        <v>7.7000000000000002E-3</v>
      </c>
      <c r="I2050" s="76">
        <v>9.2700000000000005E-3</v>
      </c>
      <c r="J2050" s="76">
        <v>1.0699999999999999E-2</v>
      </c>
      <c r="K2050" s="76">
        <v>1.21E-2</v>
      </c>
      <c r="L2050" s="76">
        <v>1.37E-2</v>
      </c>
      <c r="M2050" s="76">
        <v>1.5299999999999999E-2</v>
      </c>
    </row>
    <row r="2051" spans="3:13" x14ac:dyDescent="0.15">
      <c r="C2051" s="76">
        <v>542</v>
      </c>
      <c r="D2051" s="76">
        <v>1.3600000000000001E-3</v>
      </c>
      <c r="E2051" s="76">
        <v>2.7899999999999999E-3</v>
      </c>
      <c r="F2051" s="76">
        <v>4.2100000000000002E-3</v>
      </c>
      <c r="G2051" s="76">
        <v>5.5799999999999999E-3</v>
      </c>
      <c r="H2051" s="76">
        <v>7.0000000000000001E-3</v>
      </c>
      <c r="I2051" s="76">
        <v>8.3700000000000007E-3</v>
      </c>
      <c r="J2051" s="76">
        <v>9.7300000000000008E-3</v>
      </c>
      <c r="K2051" s="76">
        <v>1.0999999999999999E-2</v>
      </c>
      <c r="L2051" s="76">
        <v>1.24E-2</v>
      </c>
      <c r="M2051" s="76">
        <v>1.38E-2</v>
      </c>
    </row>
    <row r="2052" spans="3:13" x14ac:dyDescent="0.15">
      <c r="C2052" s="76">
        <v>544</v>
      </c>
      <c r="D2052" s="76">
        <v>1.24E-3</v>
      </c>
      <c r="E2052" s="76">
        <v>2.5500000000000002E-3</v>
      </c>
      <c r="F2052" s="76">
        <v>3.8300000000000001E-3</v>
      </c>
      <c r="G2052" s="76">
        <v>5.0899999999999999E-3</v>
      </c>
      <c r="H2052" s="76">
        <v>6.3800000000000003E-3</v>
      </c>
      <c r="I2052" s="76">
        <v>7.6E-3</v>
      </c>
      <c r="J2052" s="76">
        <v>8.8500000000000002E-3</v>
      </c>
      <c r="K2052" s="76">
        <v>0.01</v>
      </c>
      <c r="L2052" s="76">
        <v>1.12E-2</v>
      </c>
      <c r="M2052" s="76">
        <v>1.2500000000000001E-2</v>
      </c>
    </row>
    <row r="2053" spans="3:13" x14ac:dyDescent="0.15">
      <c r="C2053" s="76">
        <v>546</v>
      </c>
      <c r="D2053" s="76">
        <v>1.1199999999999999E-3</v>
      </c>
      <c r="E2053" s="76">
        <v>2.3E-3</v>
      </c>
      <c r="F2053" s="76">
        <v>3.47E-3</v>
      </c>
      <c r="G2053" s="76">
        <v>4.6100000000000004E-3</v>
      </c>
      <c r="H2053" s="76">
        <v>5.7499999999999999E-3</v>
      </c>
      <c r="I2053" s="76">
        <v>6.9300000000000004E-3</v>
      </c>
      <c r="J2053" s="76">
        <v>7.9900000000000006E-3</v>
      </c>
      <c r="K2053" s="76">
        <v>9.0500000000000008E-3</v>
      </c>
      <c r="L2053" s="76">
        <v>1.01E-2</v>
      </c>
      <c r="M2053" s="76">
        <v>1.1299999999999999E-2</v>
      </c>
    </row>
    <row r="2054" spans="3:13" x14ac:dyDescent="0.15">
      <c r="C2054" s="76">
        <v>548</v>
      </c>
      <c r="D2054" s="76">
        <v>1.0200000000000001E-3</v>
      </c>
      <c r="E2054" s="76">
        <v>2.0600000000000002E-3</v>
      </c>
      <c r="F2054" s="76">
        <v>3.16E-3</v>
      </c>
      <c r="G2054" s="76">
        <v>4.1399999999999996E-3</v>
      </c>
      <c r="H2054" s="76">
        <v>5.1500000000000001E-3</v>
      </c>
      <c r="I2054" s="76">
        <v>6.2300000000000003E-3</v>
      </c>
      <c r="J2054" s="76">
        <v>7.2500000000000004E-3</v>
      </c>
      <c r="K2054" s="76">
        <v>8.1899999999999994E-3</v>
      </c>
      <c r="L2054" s="76">
        <v>9.1999999999999998E-3</v>
      </c>
      <c r="M2054" s="76">
        <v>1.0200000000000001E-2</v>
      </c>
    </row>
    <row r="2055" spans="3:13" x14ac:dyDescent="0.15">
      <c r="C2055" s="76">
        <v>550</v>
      </c>
      <c r="D2055" s="76">
        <v>9.3199999999999999E-4</v>
      </c>
      <c r="E2055" s="76">
        <v>1.9E-3</v>
      </c>
      <c r="F2055" s="76">
        <v>2.8700000000000002E-3</v>
      </c>
      <c r="G2055" s="76">
        <v>3.7799999999999999E-3</v>
      </c>
      <c r="H2055" s="76">
        <v>4.7400000000000003E-3</v>
      </c>
      <c r="I2055" s="76">
        <v>5.7299999999999999E-3</v>
      </c>
      <c r="J2055" s="76">
        <v>6.6400000000000001E-3</v>
      </c>
      <c r="K2055" s="76">
        <v>7.5100000000000002E-3</v>
      </c>
      <c r="L2055" s="76">
        <v>8.3800000000000003E-3</v>
      </c>
      <c r="M2055" s="76">
        <v>9.3100000000000006E-3</v>
      </c>
    </row>
    <row r="2056" spans="3:13" x14ac:dyDescent="0.15">
      <c r="C2056" s="76">
        <v>552</v>
      </c>
      <c r="D2056" s="76">
        <v>8.4699999999999999E-4</v>
      </c>
      <c r="E2056" s="76">
        <v>1.74E-3</v>
      </c>
      <c r="F2056" s="76">
        <v>2.65E-3</v>
      </c>
      <c r="G2056" s="76">
        <v>3.48E-3</v>
      </c>
      <c r="H2056" s="76">
        <v>4.3200000000000001E-3</v>
      </c>
      <c r="I2056" s="76">
        <v>5.2500000000000003E-3</v>
      </c>
      <c r="J2056" s="76">
        <v>6.0499999999999998E-3</v>
      </c>
      <c r="K2056" s="76">
        <v>6.8599999999999998E-3</v>
      </c>
      <c r="L2056" s="76">
        <v>7.6400000000000001E-3</v>
      </c>
      <c r="M2056" s="76">
        <v>8.4499999999999992E-3</v>
      </c>
    </row>
    <row r="2057" spans="3:13" x14ac:dyDescent="0.15">
      <c r="C2057" s="76">
        <v>554</v>
      </c>
      <c r="D2057" s="76">
        <v>7.8600000000000002E-4</v>
      </c>
      <c r="E2057" s="76">
        <v>1.58E-3</v>
      </c>
      <c r="F2057" s="76">
        <v>2.4199999999999998E-3</v>
      </c>
      <c r="G2057" s="76">
        <v>3.14E-3</v>
      </c>
      <c r="H2057" s="76">
        <v>3.9100000000000003E-3</v>
      </c>
      <c r="I2057" s="76">
        <v>4.7999999999999996E-3</v>
      </c>
      <c r="J2057" s="76">
        <v>5.5399999999999998E-3</v>
      </c>
      <c r="K2057" s="76">
        <v>6.28E-3</v>
      </c>
      <c r="L2057" s="76">
        <v>6.9699999999999996E-3</v>
      </c>
      <c r="M2057" s="76">
        <v>7.7499999999999999E-3</v>
      </c>
    </row>
    <row r="2058" spans="3:13" x14ac:dyDescent="0.15">
      <c r="C2058" s="76">
        <v>556</v>
      </c>
      <c r="D2058" s="76">
        <v>7.1500000000000003E-4</v>
      </c>
      <c r="E2058" s="76">
        <v>1.4400000000000001E-3</v>
      </c>
      <c r="F2058" s="76">
        <v>2.1800000000000001E-3</v>
      </c>
      <c r="G2058" s="76">
        <v>2.8400000000000001E-3</v>
      </c>
      <c r="H2058" s="76">
        <v>3.5999999999999999E-3</v>
      </c>
      <c r="I2058" s="76">
        <v>4.3499999999999997E-3</v>
      </c>
      <c r="J2058" s="76">
        <v>5.0499999999999998E-3</v>
      </c>
      <c r="K2058" s="76">
        <v>5.6800000000000002E-3</v>
      </c>
      <c r="L2058" s="76">
        <v>6.3400000000000001E-3</v>
      </c>
      <c r="M2058" s="76">
        <v>7.0000000000000001E-3</v>
      </c>
    </row>
    <row r="2059" spans="3:13" x14ac:dyDescent="0.15">
      <c r="C2059" s="76">
        <v>558</v>
      </c>
      <c r="D2059" s="76">
        <v>6.38E-4</v>
      </c>
      <c r="E2059" s="76">
        <v>1.2999999999999999E-3</v>
      </c>
      <c r="F2059" s="76">
        <v>1.99E-3</v>
      </c>
      <c r="G2059" s="76">
        <v>2.5999999999999999E-3</v>
      </c>
      <c r="H2059" s="76">
        <v>3.2399999999999998E-3</v>
      </c>
      <c r="I2059" s="76">
        <v>3.9300000000000003E-3</v>
      </c>
      <c r="J2059" s="76">
        <v>4.5399999999999998E-3</v>
      </c>
      <c r="K2059" s="76">
        <v>5.1999999999999998E-3</v>
      </c>
      <c r="L2059" s="76">
        <v>5.77E-3</v>
      </c>
      <c r="M2059" s="76">
        <v>6.3899999999999998E-3</v>
      </c>
    </row>
    <row r="2060" spans="3:13" x14ac:dyDescent="0.15">
      <c r="C2060" s="76">
        <v>560</v>
      </c>
      <c r="D2060" s="76">
        <v>5.9500000000000004E-4</v>
      </c>
      <c r="E2060" s="76">
        <v>1.1900000000000001E-3</v>
      </c>
      <c r="F2060" s="76">
        <v>1.82E-3</v>
      </c>
      <c r="G2060" s="76">
        <v>2.3700000000000001E-3</v>
      </c>
      <c r="H2060" s="76">
        <v>2.97E-3</v>
      </c>
      <c r="I2060" s="76">
        <v>3.63E-3</v>
      </c>
      <c r="J2060" s="76">
        <v>4.1900000000000001E-3</v>
      </c>
      <c r="K2060" s="76">
        <v>4.7400000000000003E-3</v>
      </c>
      <c r="L2060" s="76">
        <v>5.2500000000000003E-3</v>
      </c>
      <c r="M2060" s="76">
        <v>5.8399999999999997E-3</v>
      </c>
    </row>
    <row r="2061" spans="3:13" x14ac:dyDescent="0.15">
      <c r="C2061" s="76">
        <v>562</v>
      </c>
      <c r="D2061" s="76">
        <v>5.44E-4</v>
      </c>
      <c r="E2061" s="76">
        <v>1.1000000000000001E-3</v>
      </c>
      <c r="F2061" s="76">
        <v>1.6800000000000001E-3</v>
      </c>
      <c r="G2061" s="76">
        <v>2.16E-3</v>
      </c>
      <c r="H2061" s="76">
        <v>2.7200000000000002E-3</v>
      </c>
      <c r="I2061" s="76">
        <v>3.2599999999999999E-3</v>
      </c>
      <c r="J2061" s="76">
        <v>3.81E-3</v>
      </c>
      <c r="K2061" s="76">
        <v>4.3299999999999996E-3</v>
      </c>
      <c r="L2061" s="76">
        <v>4.7999999999999996E-3</v>
      </c>
      <c r="M2061" s="76">
        <v>5.3299999999999997E-3</v>
      </c>
    </row>
    <row r="2062" spans="3:13" x14ac:dyDescent="0.15">
      <c r="C2062" s="76">
        <v>564</v>
      </c>
      <c r="D2062" s="76">
        <v>5.0500000000000002E-4</v>
      </c>
      <c r="E2062" s="76">
        <v>1.01E-3</v>
      </c>
      <c r="F2062" s="76">
        <v>1.5399999999999999E-3</v>
      </c>
      <c r="G2062" s="76">
        <v>2E-3</v>
      </c>
      <c r="H2062" s="76">
        <v>2.5100000000000001E-3</v>
      </c>
      <c r="I2062" s="76">
        <v>3.0500000000000002E-3</v>
      </c>
      <c r="J2062" s="76">
        <v>3.48E-3</v>
      </c>
      <c r="K2062" s="76">
        <v>3.98E-3</v>
      </c>
      <c r="L2062" s="76">
        <v>4.45E-3</v>
      </c>
      <c r="M2062" s="76">
        <v>4.8900000000000002E-3</v>
      </c>
    </row>
    <row r="2063" spans="3:13" x14ac:dyDescent="0.15">
      <c r="C2063" s="76">
        <v>566</v>
      </c>
      <c r="D2063" s="76">
        <v>4.66E-4</v>
      </c>
      <c r="E2063" s="76">
        <v>9.2199999999999997E-4</v>
      </c>
      <c r="F2063" s="76">
        <v>1.41E-3</v>
      </c>
      <c r="G2063" s="76">
        <v>1.8600000000000001E-3</v>
      </c>
      <c r="H2063" s="76">
        <v>2.3400000000000001E-3</v>
      </c>
      <c r="I2063" s="76">
        <v>2.8300000000000001E-3</v>
      </c>
      <c r="J2063" s="76">
        <v>3.2100000000000002E-3</v>
      </c>
      <c r="K2063" s="76">
        <v>3.7000000000000002E-3</v>
      </c>
      <c r="L2063" s="76">
        <v>4.13E-3</v>
      </c>
      <c r="M2063" s="76">
        <v>4.4900000000000001E-3</v>
      </c>
    </row>
    <row r="2064" spans="3:13" x14ac:dyDescent="0.15">
      <c r="C2064" s="76">
        <v>568</v>
      </c>
      <c r="D2064" s="76">
        <v>4.3100000000000001E-4</v>
      </c>
      <c r="E2064" s="76">
        <v>8.43E-4</v>
      </c>
      <c r="F2064" s="76">
        <v>1.2899999999999999E-3</v>
      </c>
      <c r="G2064" s="76">
        <v>1.72E-3</v>
      </c>
      <c r="H2064" s="76">
        <v>2.1299999999999999E-3</v>
      </c>
      <c r="I2064" s="76">
        <v>2.5899999999999999E-3</v>
      </c>
      <c r="J2064" s="76">
        <v>2.9499999999999999E-3</v>
      </c>
      <c r="K2064" s="76">
        <v>3.46E-3</v>
      </c>
      <c r="L2064" s="76">
        <v>3.8E-3</v>
      </c>
      <c r="M2064" s="76">
        <v>4.1700000000000001E-3</v>
      </c>
    </row>
    <row r="2065" spans="3:13" x14ac:dyDescent="0.15">
      <c r="C2065" s="76">
        <v>570</v>
      </c>
      <c r="D2065" s="76">
        <v>3.9399999999999998E-4</v>
      </c>
      <c r="E2065" s="76">
        <v>7.94E-4</v>
      </c>
      <c r="F2065" s="76">
        <v>1.1800000000000001E-3</v>
      </c>
      <c r="G2065" s="76">
        <v>1.58E-3</v>
      </c>
      <c r="H2065" s="76">
        <v>1.98E-3</v>
      </c>
      <c r="I2065" s="76">
        <v>2.4099999999999998E-3</v>
      </c>
      <c r="J2065" s="76">
        <v>2.7699999999999999E-3</v>
      </c>
      <c r="K2065" s="76">
        <v>3.1700000000000001E-3</v>
      </c>
      <c r="L2065" s="76">
        <v>3.5400000000000002E-3</v>
      </c>
      <c r="M2065" s="76">
        <v>3.7299999999999998E-3</v>
      </c>
    </row>
    <row r="2066" spans="3:13" x14ac:dyDescent="0.15">
      <c r="C2066" s="76">
        <v>572</v>
      </c>
      <c r="D2066" s="76">
        <v>3.6999999999999999E-4</v>
      </c>
      <c r="E2066" s="76">
        <v>7.3899999999999997E-4</v>
      </c>
      <c r="F2066" s="76">
        <v>1.1000000000000001E-3</v>
      </c>
      <c r="G2066" s="76">
        <v>1.4599999999999999E-3</v>
      </c>
      <c r="H2066" s="76">
        <v>1.8500000000000001E-3</v>
      </c>
      <c r="I2066" s="76">
        <v>2.2300000000000002E-3</v>
      </c>
      <c r="J2066" s="76">
        <v>2.5500000000000002E-3</v>
      </c>
      <c r="K2066" s="76">
        <v>2.9399999999999999E-3</v>
      </c>
      <c r="L2066" s="76">
        <v>3.29E-3</v>
      </c>
      <c r="M2066" s="76">
        <v>3.5200000000000001E-3</v>
      </c>
    </row>
    <row r="2067" spans="3:13" x14ac:dyDescent="0.15">
      <c r="C2067" s="76">
        <v>574</v>
      </c>
      <c r="D2067" s="76">
        <v>3.4600000000000001E-4</v>
      </c>
      <c r="E2067" s="76">
        <v>6.7599999999999995E-4</v>
      </c>
      <c r="F2067" s="76">
        <v>1.0200000000000001E-3</v>
      </c>
      <c r="G2067" s="76">
        <v>1.3799999999999999E-3</v>
      </c>
      <c r="H2067" s="76">
        <v>1.72E-3</v>
      </c>
      <c r="I2067" s="76">
        <v>2.0500000000000002E-3</v>
      </c>
      <c r="J2067" s="76">
        <v>2.3600000000000001E-3</v>
      </c>
      <c r="K2067" s="76">
        <v>2.7599999999999999E-3</v>
      </c>
      <c r="L2067" s="76">
        <v>3.0400000000000002E-3</v>
      </c>
      <c r="M2067" s="76">
        <v>3.29E-3</v>
      </c>
    </row>
    <row r="2068" spans="3:13" x14ac:dyDescent="0.15">
      <c r="C2068" s="76">
        <v>576</v>
      </c>
      <c r="D2068" s="76">
        <v>3.2699999999999998E-4</v>
      </c>
      <c r="E2068" s="76">
        <v>6.3000000000000003E-4</v>
      </c>
      <c r="F2068" s="76">
        <v>9.4700000000000003E-4</v>
      </c>
      <c r="G2068" s="76">
        <v>1.2899999999999999E-3</v>
      </c>
      <c r="H2068" s="76">
        <v>1.57E-3</v>
      </c>
      <c r="I2068" s="76">
        <v>1.89E-3</v>
      </c>
      <c r="J2068" s="76">
        <v>2.15E-3</v>
      </c>
      <c r="K2068" s="76">
        <v>2.5699999999999998E-3</v>
      </c>
      <c r="L2068" s="76">
        <v>2.7899999999999999E-3</v>
      </c>
      <c r="M2068" s="76">
        <v>3.0200000000000001E-3</v>
      </c>
    </row>
    <row r="2069" spans="3:13" x14ac:dyDescent="0.15">
      <c r="C2069" s="76">
        <v>578</v>
      </c>
      <c r="D2069" s="76">
        <v>2.9700000000000001E-4</v>
      </c>
      <c r="E2069" s="76">
        <v>5.7899999999999998E-4</v>
      </c>
      <c r="F2069" s="76">
        <v>8.5899999999999995E-4</v>
      </c>
      <c r="G2069" s="76">
        <v>1.2099999999999999E-3</v>
      </c>
      <c r="H2069" s="76">
        <v>1.39E-3</v>
      </c>
      <c r="I2069" s="76">
        <v>1.6999999999999999E-3</v>
      </c>
      <c r="J2069" s="76">
        <v>1.97E-3</v>
      </c>
      <c r="K2069" s="76">
        <v>2.3500000000000001E-3</v>
      </c>
      <c r="L2069" s="76">
        <v>2.64E-3</v>
      </c>
      <c r="M2069" s="76">
        <v>2.7000000000000001E-3</v>
      </c>
    </row>
    <row r="2070" spans="3:13" x14ac:dyDescent="0.15">
      <c r="C2070" s="76">
        <v>580</v>
      </c>
      <c r="D2070" s="76">
        <v>2.7300000000000002E-4</v>
      </c>
      <c r="E2070" s="76">
        <v>5.3899999999999998E-4</v>
      </c>
      <c r="F2070" s="76">
        <v>7.6999999999999996E-4</v>
      </c>
      <c r="G2070" s="76">
        <v>1.08E-3</v>
      </c>
      <c r="H2070" s="76">
        <v>1.3600000000000001E-3</v>
      </c>
      <c r="I2070" s="76">
        <v>1.5499999999999999E-3</v>
      </c>
      <c r="J2070" s="76">
        <v>1.7799999999999999E-3</v>
      </c>
      <c r="K2070" s="76">
        <v>2.2300000000000002E-3</v>
      </c>
      <c r="L2070" s="76">
        <v>2.4099999999999998E-3</v>
      </c>
      <c r="M2070" s="76">
        <v>2.3800000000000002E-3</v>
      </c>
    </row>
    <row r="2071" spans="3:13" x14ac:dyDescent="0.15">
      <c r="C2071" s="76">
        <v>582</v>
      </c>
      <c r="D2071" s="76">
        <v>2.5300000000000002E-4</v>
      </c>
      <c r="E2071" s="76">
        <v>4.9299999999999995E-4</v>
      </c>
      <c r="F2071" s="76">
        <v>7.0100000000000002E-4</v>
      </c>
      <c r="G2071" s="76">
        <v>1.01E-3</v>
      </c>
      <c r="H2071" s="76">
        <v>1.2700000000000001E-3</v>
      </c>
      <c r="I2071" s="76">
        <v>1.56E-3</v>
      </c>
      <c r="J2071" s="76">
        <v>1.6199999999999999E-3</v>
      </c>
      <c r="K2071" s="76">
        <v>2.0400000000000001E-3</v>
      </c>
      <c r="L2071" s="76">
        <v>2.2100000000000002E-3</v>
      </c>
      <c r="M2071" s="76">
        <v>2.5000000000000001E-3</v>
      </c>
    </row>
    <row r="2072" spans="3:13" x14ac:dyDescent="0.15">
      <c r="C2072" s="76">
        <v>584</v>
      </c>
      <c r="D2072" s="76">
        <v>2.3800000000000001E-4</v>
      </c>
      <c r="E2072" s="76">
        <v>4.46E-4</v>
      </c>
      <c r="F2072" s="76">
        <v>6.6299999999999996E-4</v>
      </c>
      <c r="G2072" s="76">
        <v>9.3099999999999997E-4</v>
      </c>
      <c r="H2072" s="76">
        <v>1.1800000000000001E-3</v>
      </c>
      <c r="I2072" s="76">
        <v>1.3600000000000001E-3</v>
      </c>
      <c r="J2072" s="76">
        <v>1.49E-3</v>
      </c>
      <c r="K2072" s="76">
        <v>1.91E-3</v>
      </c>
      <c r="L2072" s="76">
        <v>2.0799999999999998E-3</v>
      </c>
      <c r="M2072" s="76">
        <v>2.1900000000000001E-3</v>
      </c>
    </row>
    <row r="2073" spans="3:13" x14ac:dyDescent="0.15">
      <c r="C2073" s="76">
        <v>586</v>
      </c>
      <c r="D2073" s="76">
        <v>2.0900000000000001E-4</v>
      </c>
      <c r="E2073" s="76">
        <v>4.08E-4</v>
      </c>
      <c r="F2073" s="76">
        <v>6.0700000000000001E-4</v>
      </c>
      <c r="G2073" s="76">
        <v>8.4000000000000003E-4</v>
      </c>
      <c r="H2073" s="76">
        <v>1.0499999999999999E-3</v>
      </c>
      <c r="I2073" s="76">
        <v>1.24E-3</v>
      </c>
      <c r="J2073" s="76">
        <v>1.3500000000000001E-3</v>
      </c>
      <c r="K2073" s="76">
        <v>1.6199999999999999E-3</v>
      </c>
      <c r="L2073" s="76">
        <v>1.9E-3</v>
      </c>
      <c r="M2073" s="76">
        <v>1.92E-3</v>
      </c>
    </row>
    <row r="2074" spans="3:13" x14ac:dyDescent="0.15">
      <c r="C2074" s="76">
        <v>588</v>
      </c>
      <c r="D2074" s="76">
        <v>1.9799999999999999E-4</v>
      </c>
      <c r="E2074" s="76">
        <v>3.7399999999999998E-4</v>
      </c>
      <c r="F2074" s="76">
        <v>5.4799999999999998E-4</v>
      </c>
      <c r="G2074" s="76">
        <v>7.7300000000000003E-4</v>
      </c>
      <c r="H2074" s="76">
        <v>9.4700000000000003E-4</v>
      </c>
      <c r="I2074" s="76">
        <v>1.07E-3</v>
      </c>
      <c r="J2074" s="76">
        <v>1.25E-3</v>
      </c>
      <c r="K2074" s="76">
        <v>1.5900000000000001E-3</v>
      </c>
      <c r="L2074" s="76">
        <v>1.6999999999999999E-3</v>
      </c>
      <c r="M2074" s="76">
        <v>1.75E-3</v>
      </c>
    </row>
    <row r="2075" spans="3:13" x14ac:dyDescent="0.15">
      <c r="C2075" s="76">
        <v>590</v>
      </c>
      <c r="D2075" s="76">
        <v>1.73E-4</v>
      </c>
      <c r="E2075" s="76">
        <v>3.3799999999999998E-4</v>
      </c>
      <c r="F2075" s="76">
        <v>4.9399999999999997E-4</v>
      </c>
      <c r="G2075" s="76">
        <v>7.0299999999999996E-4</v>
      </c>
      <c r="H2075" s="76">
        <v>8.7600000000000004E-4</v>
      </c>
      <c r="I2075" s="76">
        <v>9.9200000000000004E-4</v>
      </c>
      <c r="J2075" s="76">
        <v>1.1299999999999999E-3</v>
      </c>
      <c r="K2075" s="76">
        <v>1.4E-3</v>
      </c>
      <c r="L2075" s="76">
        <v>1.6100000000000001E-3</v>
      </c>
      <c r="M2075" s="76">
        <v>1.6000000000000001E-3</v>
      </c>
    </row>
    <row r="2076" spans="3:13" x14ac:dyDescent="0.15">
      <c r="C2076" s="76">
        <v>592</v>
      </c>
      <c r="D2076" s="76">
        <v>1.55E-4</v>
      </c>
      <c r="E2076" s="76">
        <v>3.19E-4</v>
      </c>
      <c r="F2076" s="76">
        <v>4.2499999999999998E-4</v>
      </c>
      <c r="G2076" s="76">
        <v>6.5099999999999999E-4</v>
      </c>
      <c r="H2076" s="76">
        <v>8.2799999999999996E-4</v>
      </c>
      <c r="I2076" s="76">
        <v>8.8099999999999995E-4</v>
      </c>
      <c r="J2076" s="76">
        <v>1.0399999999999999E-3</v>
      </c>
      <c r="K2076" s="76">
        <v>1.2600000000000001E-3</v>
      </c>
      <c r="L2076" s="76">
        <v>1.49E-3</v>
      </c>
      <c r="M2076" s="76">
        <v>1.4599999999999999E-3</v>
      </c>
    </row>
    <row r="2077" spans="3:13" x14ac:dyDescent="0.15">
      <c r="C2077" s="76">
        <v>594</v>
      </c>
      <c r="D2077" s="76">
        <v>1.3899999999999999E-4</v>
      </c>
      <c r="E2077" s="76">
        <v>2.9100000000000003E-4</v>
      </c>
      <c r="F2077" s="76">
        <v>4.3199999999999998E-4</v>
      </c>
      <c r="G2077" s="76">
        <v>6.29E-4</v>
      </c>
      <c r="H2077" s="76">
        <v>7.7999999999999999E-4</v>
      </c>
      <c r="I2077" s="76">
        <v>8.1800000000000004E-4</v>
      </c>
      <c r="J2077" s="76">
        <v>9.4799999999999995E-4</v>
      </c>
      <c r="K2077" s="76">
        <v>1.1800000000000001E-3</v>
      </c>
      <c r="L2077" s="76">
        <v>1.3500000000000001E-3</v>
      </c>
      <c r="M2077" s="76">
        <v>1.32E-3</v>
      </c>
    </row>
    <row r="2078" spans="3:13" x14ac:dyDescent="0.15">
      <c r="C2078" s="76">
        <v>596</v>
      </c>
      <c r="D2078" s="76">
        <v>1.2899999999999999E-4</v>
      </c>
      <c r="E2078" s="76">
        <v>2.61E-4</v>
      </c>
      <c r="F2078" s="76">
        <v>3.9300000000000001E-4</v>
      </c>
      <c r="G2078" s="76">
        <v>5.4799999999999998E-4</v>
      </c>
      <c r="H2078" s="76">
        <v>7.1699999999999997E-4</v>
      </c>
      <c r="I2078" s="76">
        <v>7.3899999999999997E-4</v>
      </c>
      <c r="J2078" s="76">
        <v>8.8500000000000004E-4</v>
      </c>
      <c r="K2078" s="76">
        <v>1.06E-3</v>
      </c>
      <c r="L2078" s="76">
        <v>1.25E-3</v>
      </c>
      <c r="M2078" s="76">
        <v>1.2700000000000001E-3</v>
      </c>
    </row>
    <row r="2079" spans="3:13" x14ac:dyDescent="0.15">
      <c r="C2079" s="76">
        <v>598</v>
      </c>
      <c r="D2079" s="76">
        <v>1.2300000000000001E-4</v>
      </c>
      <c r="E2079" s="76">
        <v>2.4600000000000002E-4</v>
      </c>
      <c r="F2079" s="76">
        <v>3.1799999999999998E-4</v>
      </c>
      <c r="G2079" s="76">
        <v>5.04E-4</v>
      </c>
      <c r="H2079" s="76">
        <v>6.3199999999999997E-4</v>
      </c>
      <c r="I2079" s="76">
        <v>6.4499999999999996E-4</v>
      </c>
      <c r="J2079" s="76">
        <v>8.0999999999999996E-4</v>
      </c>
      <c r="K2079" s="76">
        <v>9.2199999999999997E-4</v>
      </c>
      <c r="L2079" s="76">
        <v>1.16E-3</v>
      </c>
      <c r="M2079" s="76">
        <v>1.1900000000000001E-3</v>
      </c>
    </row>
    <row r="2080" spans="3:13" x14ac:dyDescent="0.15">
      <c r="C2080" s="76">
        <v>600</v>
      </c>
      <c r="D2080" s="76">
        <v>1.3300000000000001E-4</v>
      </c>
      <c r="E2080" s="76">
        <v>2.2800000000000001E-4</v>
      </c>
      <c r="F2080" s="76">
        <v>2.9399999999999999E-4</v>
      </c>
      <c r="G2080" s="76">
        <v>4.3800000000000002E-4</v>
      </c>
      <c r="H2080" s="76">
        <v>6.0800000000000003E-4</v>
      </c>
      <c r="I2080" s="76">
        <v>6.29E-4</v>
      </c>
      <c r="J2080" s="76">
        <v>8.12E-4</v>
      </c>
      <c r="K2080" s="76">
        <v>8.8000000000000003E-4</v>
      </c>
      <c r="L2080" s="76">
        <v>1.0200000000000001E-3</v>
      </c>
      <c r="M2080" s="76">
        <v>1.07E-3</v>
      </c>
    </row>
    <row r="2081" spans="3:13" x14ac:dyDescent="0.15">
      <c r="C2081" s="76">
        <v>602</v>
      </c>
      <c r="D2081" s="76">
        <v>9.6500000000000001E-5</v>
      </c>
      <c r="E2081" s="76">
        <v>2.03E-4</v>
      </c>
      <c r="F2081" s="76">
        <v>2.8200000000000002E-4</v>
      </c>
      <c r="G2081" s="76">
        <v>3.7800000000000003E-4</v>
      </c>
      <c r="H2081" s="76">
        <v>5.3899999999999998E-4</v>
      </c>
      <c r="I2081" s="76">
        <v>5.7799999999999995E-4</v>
      </c>
      <c r="J2081" s="76">
        <v>7.0699999999999995E-4</v>
      </c>
      <c r="K2081" s="76">
        <v>8.5800000000000004E-4</v>
      </c>
      <c r="L2081" s="76">
        <v>9.7799999999999992E-4</v>
      </c>
      <c r="M2081" s="76">
        <v>9.990000000000001E-4</v>
      </c>
    </row>
    <row r="2082" spans="3:13" x14ac:dyDescent="0.15">
      <c r="C2082" s="76">
        <v>604</v>
      </c>
      <c r="D2082" s="76">
        <v>9.1399999999999999E-5</v>
      </c>
      <c r="E2082" s="76">
        <v>1.9599999999999999E-4</v>
      </c>
      <c r="F2082" s="76">
        <v>2.7399999999999999E-4</v>
      </c>
      <c r="G2082" s="76">
        <v>3.6400000000000001E-4</v>
      </c>
      <c r="H2082" s="76">
        <v>5.04E-4</v>
      </c>
      <c r="I2082" s="76">
        <v>4.9200000000000003E-4</v>
      </c>
      <c r="J2082" s="76">
        <v>6.6E-4</v>
      </c>
      <c r="K2082" s="76">
        <v>7.3999999999999999E-4</v>
      </c>
      <c r="L2082" s="76">
        <v>9.1100000000000003E-4</v>
      </c>
      <c r="M2082" s="76">
        <v>9.5E-4</v>
      </c>
    </row>
    <row r="2083" spans="3:13" x14ac:dyDescent="0.15">
      <c r="C2083" s="76">
        <v>606</v>
      </c>
      <c r="D2083" s="76">
        <v>8.6000000000000003E-5</v>
      </c>
      <c r="E2083" s="76">
        <v>1.8599999999999999E-4</v>
      </c>
      <c r="F2083" s="76">
        <v>2.43E-4</v>
      </c>
      <c r="G2083" s="76">
        <v>3.48E-4</v>
      </c>
      <c r="H2083" s="76">
        <v>4.6200000000000001E-4</v>
      </c>
      <c r="I2083" s="76">
        <v>5.0699999999999996E-4</v>
      </c>
      <c r="J2083" s="76">
        <v>6.4000000000000005E-4</v>
      </c>
      <c r="K2083" s="76">
        <v>6.96E-4</v>
      </c>
      <c r="L2083" s="76">
        <v>8.4099999999999995E-4</v>
      </c>
      <c r="M2083" s="76">
        <v>9.6500000000000004E-4</v>
      </c>
    </row>
    <row r="2084" spans="3:13" x14ac:dyDescent="0.15">
      <c r="C2084" s="76">
        <v>608</v>
      </c>
      <c r="D2084" s="76">
        <v>7.5500000000000006E-5</v>
      </c>
      <c r="E2084" s="76">
        <v>1.7000000000000001E-4</v>
      </c>
      <c r="F2084" s="76">
        <v>2.33E-4</v>
      </c>
      <c r="G2084" s="76">
        <v>3.1199999999999999E-4</v>
      </c>
      <c r="H2084" s="76">
        <v>3.9899999999999999E-4</v>
      </c>
      <c r="I2084" s="76">
        <v>4.5800000000000002E-4</v>
      </c>
      <c r="J2084" s="76">
        <v>6.2100000000000002E-4</v>
      </c>
      <c r="K2084" s="76">
        <v>6.0599999999999998E-4</v>
      </c>
      <c r="L2084" s="76">
        <v>7.2999999999999996E-4</v>
      </c>
      <c r="M2084" s="76">
        <v>8.2700000000000004E-4</v>
      </c>
    </row>
    <row r="2085" spans="3:13" x14ac:dyDescent="0.15">
      <c r="C2085" s="76">
        <v>610</v>
      </c>
      <c r="D2085" s="76">
        <v>7.1400000000000001E-5</v>
      </c>
      <c r="E2085" s="76">
        <v>1.64E-4</v>
      </c>
      <c r="F2085" s="76">
        <v>2.23E-4</v>
      </c>
      <c r="G2085" s="76">
        <v>2.6600000000000001E-4</v>
      </c>
      <c r="H2085" s="76">
        <v>4.1100000000000002E-4</v>
      </c>
      <c r="I2085" s="76">
        <v>4.2299999999999998E-4</v>
      </c>
      <c r="J2085" s="76">
        <v>5.8699999999999996E-4</v>
      </c>
      <c r="K2085" s="76">
        <v>6.0899999999999995E-4</v>
      </c>
      <c r="L2085" s="76">
        <v>6.9800000000000005E-4</v>
      </c>
      <c r="M2085" s="76">
        <v>7.67E-4</v>
      </c>
    </row>
    <row r="2086" spans="3:13" x14ac:dyDescent="0.15">
      <c r="C2086" s="76">
        <v>612</v>
      </c>
      <c r="D2086" s="76">
        <v>6.1799999999999998E-5</v>
      </c>
      <c r="E2086" s="76">
        <v>1.66E-4</v>
      </c>
      <c r="F2086" s="76">
        <v>2.13E-4</v>
      </c>
      <c r="G2086" s="76">
        <v>2.5799999999999998E-4</v>
      </c>
      <c r="H2086" s="76">
        <v>3.6099999999999999E-4</v>
      </c>
      <c r="I2086" s="76">
        <v>3.7500000000000001E-4</v>
      </c>
      <c r="J2086" s="76">
        <v>5.3399999999999997E-4</v>
      </c>
      <c r="K2086" s="76">
        <v>5.7399999999999997E-4</v>
      </c>
      <c r="L2086" s="76">
        <v>6.5499999999999998E-4</v>
      </c>
      <c r="M2086" s="76">
        <v>7.2900000000000005E-4</v>
      </c>
    </row>
    <row r="2087" spans="3:13" x14ac:dyDescent="0.15">
      <c r="C2087" s="76">
        <v>614</v>
      </c>
      <c r="D2087" s="76">
        <v>6.5099999999999997E-5</v>
      </c>
      <c r="E2087" s="76">
        <v>1.4999999999999999E-4</v>
      </c>
      <c r="F2087" s="76">
        <v>1.9100000000000001E-4</v>
      </c>
      <c r="G2087" s="76">
        <v>2.5999999999999998E-4</v>
      </c>
      <c r="H2087" s="76">
        <v>3.0600000000000001E-4</v>
      </c>
      <c r="I2087" s="76">
        <v>3.6200000000000002E-4</v>
      </c>
      <c r="J2087" s="76">
        <v>5.1500000000000005E-4</v>
      </c>
      <c r="K2087" s="76">
        <v>5.3600000000000002E-4</v>
      </c>
      <c r="L2087" s="76">
        <v>5.44E-4</v>
      </c>
      <c r="M2087" s="76">
        <v>6.8900000000000005E-4</v>
      </c>
    </row>
    <row r="2088" spans="3:13" x14ac:dyDescent="0.15">
      <c r="C2088" s="76">
        <v>616</v>
      </c>
      <c r="D2088" s="76">
        <v>6.0900000000000003E-5</v>
      </c>
      <c r="E2088" s="76">
        <v>1.5300000000000001E-4</v>
      </c>
      <c r="F2088" s="76">
        <v>1.9100000000000001E-4</v>
      </c>
      <c r="G2088" s="76">
        <v>2.32E-4</v>
      </c>
      <c r="H2088" s="76">
        <v>2.92E-4</v>
      </c>
      <c r="I2088" s="76">
        <v>3.2699999999999998E-4</v>
      </c>
      <c r="J2088" s="76">
        <v>5.0000000000000001E-4</v>
      </c>
      <c r="K2088" s="76">
        <v>4.4499999999999997E-4</v>
      </c>
      <c r="L2088" s="76">
        <v>5.7700000000000004E-4</v>
      </c>
      <c r="M2088" s="76">
        <v>6.8099999999999996E-4</v>
      </c>
    </row>
    <row r="2089" spans="3:13" x14ac:dyDescent="0.15">
      <c r="C2089" s="76">
        <v>618</v>
      </c>
      <c r="D2089" s="76">
        <v>5.5300000000000002E-5</v>
      </c>
      <c r="E2089" s="76">
        <v>1.3100000000000001E-4</v>
      </c>
      <c r="F2089" s="76">
        <v>1.5899999999999999E-4</v>
      </c>
      <c r="G2089" s="76">
        <v>2.12E-4</v>
      </c>
      <c r="H2089" s="76">
        <v>2.6499999999999999E-4</v>
      </c>
      <c r="I2089" s="76">
        <v>3.1E-4</v>
      </c>
      <c r="J2089" s="76">
        <v>4.4900000000000002E-4</v>
      </c>
      <c r="K2089" s="76">
        <v>4.0299999999999998E-4</v>
      </c>
      <c r="L2089" s="76">
        <v>4.8200000000000001E-4</v>
      </c>
      <c r="M2089" s="76">
        <v>6.4999999999999997E-4</v>
      </c>
    </row>
    <row r="2090" spans="3:13" x14ac:dyDescent="0.15">
      <c r="C2090" s="76">
        <v>620</v>
      </c>
      <c r="D2090" s="76">
        <v>5.1900000000000001E-5</v>
      </c>
      <c r="E2090" s="76">
        <v>1.2799999999999999E-4</v>
      </c>
      <c r="F2090" s="76">
        <v>1.65E-4</v>
      </c>
      <c r="G2090" s="76">
        <v>1.8000000000000001E-4</v>
      </c>
      <c r="H2090" s="76">
        <v>2.5099999999999998E-4</v>
      </c>
      <c r="I2090" s="76">
        <v>3.1399999999999999E-4</v>
      </c>
      <c r="J2090" s="76">
        <v>4.2200000000000001E-4</v>
      </c>
      <c r="K2090" s="76">
        <v>4.2299999999999998E-4</v>
      </c>
      <c r="L2090" s="76">
        <v>4.0499999999999998E-4</v>
      </c>
      <c r="M2090" s="76">
        <v>4.9700000000000005E-4</v>
      </c>
    </row>
    <row r="2091" spans="3:13" x14ac:dyDescent="0.15">
      <c r="C2091" s="76">
        <v>622</v>
      </c>
      <c r="D2091" s="76">
        <v>5.0000000000000002E-5</v>
      </c>
      <c r="E2091" s="76">
        <v>1.07E-4</v>
      </c>
      <c r="F2091" s="76">
        <v>1.64E-4</v>
      </c>
      <c r="G2091" s="76">
        <v>1.8200000000000001E-4</v>
      </c>
      <c r="H2091" s="76">
        <v>1.95E-4</v>
      </c>
      <c r="I2091" s="76">
        <v>2.5300000000000002E-4</v>
      </c>
      <c r="J2091" s="76">
        <v>3.97E-4</v>
      </c>
      <c r="K2091" s="76">
        <v>3.8900000000000002E-4</v>
      </c>
      <c r="L2091" s="76">
        <v>3.59E-4</v>
      </c>
      <c r="M2091" s="76">
        <v>5.7899999999999998E-4</v>
      </c>
    </row>
    <row r="2092" spans="3:13" x14ac:dyDescent="0.15">
      <c r="C2092" s="76">
        <v>624</v>
      </c>
      <c r="D2092" s="76">
        <v>4.85E-5</v>
      </c>
      <c r="E2092" s="76">
        <v>1.16E-4</v>
      </c>
      <c r="F2092" s="76">
        <v>1.4799999999999999E-4</v>
      </c>
      <c r="G2092" s="76">
        <v>1.45E-4</v>
      </c>
      <c r="H2092" s="76">
        <v>1.8100000000000001E-4</v>
      </c>
      <c r="I2092" s="76">
        <v>1.7899999999999999E-4</v>
      </c>
      <c r="J2092" s="76">
        <v>3.9199999999999999E-4</v>
      </c>
      <c r="K2092" s="76">
        <v>3.6600000000000001E-4</v>
      </c>
      <c r="L2092" s="76">
        <v>4.1800000000000002E-4</v>
      </c>
      <c r="M2092" s="76">
        <v>6.0700000000000001E-4</v>
      </c>
    </row>
    <row r="2093" spans="3:13" x14ac:dyDescent="0.15">
      <c r="C2093" s="76">
        <v>626</v>
      </c>
      <c r="D2093" s="76">
        <v>4.3099999999999997E-5</v>
      </c>
      <c r="E2093" s="76">
        <v>1.06E-4</v>
      </c>
      <c r="F2093" s="76">
        <v>1.35E-4</v>
      </c>
      <c r="G2093" s="76">
        <v>1.08E-4</v>
      </c>
      <c r="H2093" s="76">
        <v>1.7699999999999999E-4</v>
      </c>
      <c r="I2093" s="76">
        <v>2.2499999999999999E-4</v>
      </c>
      <c r="J2093" s="76">
        <v>3.4699999999999998E-4</v>
      </c>
      <c r="K2093" s="76">
        <v>3.1100000000000002E-4</v>
      </c>
      <c r="L2093" s="76">
        <v>3.8900000000000002E-4</v>
      </c>
      <c r="M2093" s="76">
        <v>4.9200000000000003E-4</v>
      </c>
    </row>
    <row r="2094" spans="3:13" x14ac:dyDescent="0.15">
      <c r="C2094" s="76">
        <v>628</v>
      </c>
      <c r="D2094" s="76">
        <v>4.2400000000000001E-5</v>
      </c>
      <c r="E2094" s="76">
        <v>9.6899999999999997E-5</v>
      </c>
      <c r="F2094" s="76">
        <v>1.46E-4</v>
      </c>
      <c r="G2094" s="76">
        <v>1.3799999999999999E-4</v>
      </c>
      <c r="H2094" s="76">
        <v>1.84E-4</v>
      </c>
      <c r="I2094" s="76">
        <v>2.3000000000000001E-4</v>
      </c>
      <c r="J2094" s="76">
        <v>3.1100000000000002E-4</v>
      </c>
      <c r="K2094" s="76">
        <v>1.63E-4</v>
      </c>
      <c r="L2094" s="76">
        <v>3.1799999999999998E-4</v>
      </c>
      <c r="M2094" s="76">
        <v>5.1599999999999997E-4</v>
      </c>
    </row>
    <row r="2095" spans="3:13" x14ac:dyDescent="0.15">
      <c r="C2095" s="76">
        <v>630</v>
      </c>
      <c r="D2095" s="76">
        <v>4.3999999999999999E-5</v>
      </c>
      <c r="E2095" s="76">
        <v>9.7899999999999994E-5</v>
      </c>
      <c r="F2095" s="76">
        <v>1.46E-4</v>
      </c>
      <c r="G2095" s="76">
        <v>1.2E-4</v>
      </c>
      <c r="H2095" s="76">
        <v>1.6000000000000001E-4</v>
      </c>
      <c r="I2095" s="76">
        <v>2.2000000000000001E-4</v>
      </c>
      <c r="J2095" s="76">
        <v>2.9E-4</v>
      </c>
      <c r="K2095" s="76">
        <v>2.32E-4</v>
      </c>
      <c r="L2095" s="76">
        <v>3.2400000000000001E-4</v>
      </c>
      <c r="M2095" s="76">
        <v>4.73E-4</v>
      </c>
    </row>
    <row r="2096" spans="3:13" x14ac:dyDescent="0.15">
      <c r="C2096" s="76">
        <v>632</v>
      </c>
      <c r="D2096" s="76">
        <v>3.6699999999999998E-5</v>
      </c>
      <c r="E2096" s="76">
        <v>9.1899999999999998E-5</v>
      </c>
      <c r="F2096" s="76">
        <v>1.27E-4</v>
      </c>
      <c r="G2096" s="76">
        <v>1.1E-4</v>
      </c>
      <c r="H2096" s="76">
        <v>1.5899999999999999E-4</v>
      </c>
      <c r="I2096" s="76">
        <v>2.0699999999999999E-4</v>
      </c>
      <c r="J2096" s="76">
        <v>2.9E-4</v>
      </c>
      <c r="K2096" s="76">
        <v>2.04E-4</v>
      </c>
      <c r="L2096" s="76">
        <v>3.2000000000000003E-4</v>
      </c>
      <c r="M2096" s="76">
        <v>4.8200000000000001E-4</v>
      </c>
    </row>
    <row r="2097" spans="3:46" x14ac:dyDescent="0.15">
      <c r="C2097" s="76">
        <v>634</v>
      </c>
      <c r="D2097" s="76">
        <v>4.1699999999999997E-5</v>
      </c>
      <c r="E2097" s="76">
        <v>8.8800000000000004E-5</v>
      </c>
      <c r="F2097" s="76">
        <v>1.2799999999999999E-4</v>
      </c>
      <c r="G2097" s="76">
        <v>1.18E-4</v>
      </c>
      <c r="H2097" s="76">
        <v>1.18E-4</v>
      </c>
      <c r="I2097" s="76">
        <v>2.3699999999999999E-4</v>
      </c>
      <c r="J2097" s="76">
        <v>2.2800000000000001E-4</v>
      </c>
      <c r="K2097" s="76">
        <v>2.43E-4</v>
      </c>
      <c r="L2097" s="76">
        <v>3.4499999999999998E-4</v>
      </c>
      <c r="M2097" s="76">
        <v>4.3899999999999999E-4</v>
      </c>
    </row>
    <row r="2098" spans="3:46" x14ac:dyDescent="0.15">
      <c r="C2098" s="76">
        <v>636</v>
      </c>
      <c r="D2098" s="76">
        <v>4.2700000000000001E-5</v>
      </c>
      <c r="E2098" s="76">
        <v>8.7999999999999998E-5</v>
      </c>
      <c r="F2098" s="76">
        <v>1.85E-4</v>
      </c>
      <c r="G2098" s="76">
        <v>7.9400000000000006E-5</v>
      </c>
      <c r="H2098" s="76">
        <v>8.9400000000000005E-5</v>
      </c>
      <c r="I2098" s="76">
        <v>2.05E-4</v>
      </c>
      <c r="J2098" s="76">
        <v>1.93E-4</v>
      </c>
      <c r="K2098" s="76">
        <v>2.0900000000000001E-4</v>
      </c>
      <c r="L2098" s="76">
        <v>3.0299999999999999E-4</v>
      </c>
      <c r="M2098" s="76">
        <v>3.6299999999999999E-4</v>
      </c>
    </row>
    <row r="2099" spans="3:46" x14ac:dyDescent="0.15">
      <c r="C2099" s="76">
        <v>638</v>
      </c>
      <c r="D2099" s="76">
        <v>2.5599999999999999E-5</v>
      </c>
      <c r="E2099" s="76">
        <v>7.7600000000000002E-5</v>
      </c>
      <c r="F2099" s="76">
        <v>1.2799999999999999E-4</v>
      </c>
      <c r="G2099" s="76">
        <v>1.16E-4</v>
      </c>
      <c r="H2099" s="76">
        <v>8.4699999999999999E-5</v>
      </c>
      <c r="I2099" s="76">
        <v>2.1699999999999999E-4</v>
      </c>
      <c r="J2099" s="76">
        <v>2.05E-4</v>
      </c>
      <c r="K2099" s="76">
        <v>2.3800000000000001E-4</v>
      </c>
      <c r="L2099" s="76">
        <v>2.34E-4</v>
      </c>
      <c r="M2099" s="76">
        <v>3.39E-4</v>
      </c>
    </row>
    <row r="2100" spans="3:46" x14ac:dyDescent="0.15">
      <c r="C2100" s="76">
        <v>640</v>
      </c>
      <c r="D2100" s="76">
        <v>2.2500000000000001E-5</v>
      </c>
      <c r="E2100" s="76">
        <v>6.9099999999999999E-5</v>
      </c>
      <c r="F2100" s="76">
        <v>1.15E-4</v>
      </c>
      <c r="G2100" s="76">
        <v>1.2999999999999999E-4</v>
      </c>
      <c r="H2100" s="76">
        <v>7.9599999999999997E-5</v>
      </c>
      <c r="I2100" s="76">
        <v>2.1499999999999999E-4</v>
      </c>
      <c r="J2100" s="76">
        <v>1.66E-4</v>
      </c>
      <c r="K2100" s="76">
        <v>2.0900000000000001E-4</v>
      </c>
      <c r="L2100" s="76">
        <v>2.81E-4</v>
      </c>
      <c r="M2100" s="76">
        <v>4.0099999999999999E-4</v>
      </c>
    </row>
    <row r="2101" spans="3:46" x14ac:dyDescent="0.15">
      <c r="C2101" s="76">
        <v>642</v>
      </c>
      <c r="D2101" s="76">
        <v>2.3900000000000002E-5</v>
      </c>
      <c r="E2101" s="76">
        <v>6.4499999999999996E-5</v>
      </c>
      <c r="F2101" s="76">
        <v>1.12E-4</v>
      </c>
      <c r="G2101" s="76">
        <v>1.05E-4</v>
      </c>
      <c r="H2101" s="76">
        <v>9.7200000000000004E-5</v>
      </c>
      <c r="I2101" s="76">
        <v>1.9699999999999999E-4</v>
      </c>
      <c r="J2101" s="76">
        <v>1.12E-4</v>
      </c>
      <c r="K2101" s="76">
        <v>2.1100000000000001E-4</v>
      </c>
      <c r="L2101" s="76">
        <v>2.31E-4</v>
      </c>
      <c r="M2101" s="76">
        <v>4.0000000000000002E-4</v>
      </c>
    </row>
    <row r="2102" spans="3:46" x14ac:dyDescent="0.15">
      <c r="C2102" s="76">
        <v>644</v>
      </c>
      <c r="D2102" s="76">
        <v>2.4700000000000001E-5</v>
      </c>
      <c r="E2102" s="76">
        <v>5.8699999999999997E-5</v>
      </c>
      <c r="F2102" s="76">
        <v>1.1E-4</v>
      </c>
      <c r="G2102" s="76">
        <v>1.2799999999999999E-4</v>
      </c>
      <c r="H2102" s="76">
        <v>1.03E-4</v>
      </c>
      <c r="I2102" s="76">
        <v>1.5899999999999999E-4</v>
      </c>
      <c r="J2102" s="76">
        <v>1.35E-4</v>
      </c>
      <c r="K2102" s="76">
        <v>2.4800000000000001E-4</v>
      </c>
      <c r="L2102" s="76">
        <v>1.9699999999999999E-4</v>
      </c>
      <c r="M2102" s="76">
        <v>3.7500000000000001E-4</v>
      </c>
    </row>
    <row r="2103" spans="3:46" x14ac:dyDescent="0.15">
      <c r="C2103" s="76">
        <v>646</v>
      </c>
      <c r="D2103" s="76">
        <v>2.6400000000000001E-5</v>
      </c>
      <c r="E2103" s="76">
        <v>4.7500000000000003E-5</v>
      </c>
      <c r="F2103" s="76">
        <v>8.4599999999999996E-5</v>
      </c>
      <c r="G2103" s="76">
        <v>8.7999999999999998E-5</v>
      </c>
      <c r="H2103" s="76">
        <v>7.3200000000000004E-5</v>
      </c>
      <c r="I2103" s="76">
        <v>1.5100000000000001E-4</v>
      </c>
      <c r="J2103" s="76">
        <v>1.3200000000000001E-4</v>
      </c>
      <c r="K2103" s="76">
        <v>2.32E-4</v>
      </c>
      <c r="L2103" s="76">
        <v>1.7799999999999999E-4</v>
      </c>
      <c r="M2103" s="76">
        <v>2.1699999999999999E-4</v>
      </c>
    </row>
    <row r="2104" spans="3:46" x14ac:dyDescent="0.15">
      <c r="C2104" s="76">
        <v>648</v>
      </c>
      <c r="D2104" s="76">
        <v>1.77E-5</v>
      </c>
      <c r="E2104" s="76">
        <v>4.35E-5</v>
      </c>
      <c r="F2104" s="76">
        <v>8.2799999999999993E-5</v>
      </c>
      <c r="G2104" s="76">
        <v>1.13E-4</v>
      </c>
      <c r="H2104" s="76">
        <v>9.2100000000000003E-5</v>
      </c>
      <c r="I2104" s="76">
        <v>1.35E-4</v>
      </c>
      <c r="J2104" s="76">
        <v>1.03E-4</v>
      </c>
      <c r="K2104" s="76">
        <v>2.14E-4</v>
      </c>
      <c r="L2104" s="76">
        <v>2.72E-4</v>
      </c>
      <c r="M2104" s="76">
        <v>2.6800000000000001E-4</v>
      </c>
    </row>
    <row r="2105" spans="3:46" x14ac:dyDescent="0.15">
      <c r="C2105" s="76">
        <v>650</v>
      </c>
      <c r="D2105" s="76">
        <v>2.12E-5</v>
      </c>
      <c r="E2105" s="76">
        <v>3.6999999999999998E-5</v>
      </c>
      <c r="F2105" s="76">
        <v>8.4599999999999996E-5</v>
      </c>
      <c r="G2105" s="76">
        <v>1.3100000000000001E-4</v>
      </c>
      <c r="H2105" s="76">
        <v>9.5699999999999995E-5</v>
      </c>
      <c r="I2105" s="76">
        <v>1.63E-4</v>
      </c>
      <c r="J2105" s="76">
        <v>9.8099999999999999E-5</v>
      </c>
      <c r="K2105" s="76">
        <v>2.3000000000000001E-4</v>
      </c>
      <c r="L2105" s="76">
        <v>2.5399999999999999E-4</v>
      </c>
      <c r="M2105" s="76">
        <v>3.0699999999999998E-4</v>
      </c>
    </row>
    <row r="2106" spans="3:46" x14ac:dyDescent="0.15">
      <c r="C2106" s="76">
        <v>652</v>
      </c>
      <c r="D2106" s="76">
        <v>2.73E-5</v>
      </c>
      <c r="E2106" s="76">
        <v>2.8399999999999999E-5</v>
      </c>
      <c r="F2106" s="76">
        <v>8.3599999999999999E-5</v>
      </c>
      <c r="G2106" s="76">
        <v>8.3700000000000002E-5</v>
      </c>
      <c r="H2106" s="76">
        <v>1.03E-4</v>
      </c>
      <c r="I2106" s="76">
        <v>1.64E-4</v>
      </c>
      <c r="J2106" s="76">
        <v>1.11E-4</v>
      </c>
      <c r="K2106" s="76">
        <v>2.23E-4</v>
      </c>
      <c r="L2106" s="76">
        <v>2.0900000000000001E-4</v>
      </c>
      <c r="M2106" s="76">
        <v>2.9100000000000003E-4</v>
      </c>
    </row>
    <row r="2107" spans="3:46" x14ac:dyDescent="0.15">
      <c r="C2107" s="81">
        <v>654</v>
      </c>
      <c r="D2107" s="76">
        <v>2.51E-5</v>
      </c>
      <c r="E2107" s="76">
        <v>4.4599999999999996E-6</v>
      </c>
      <c r="F2107" s="76">
        <v>5.1900000000000001E-5</v>
      </c>
      <c r="G2107" s="76">
        <v>1.22E-4</v>
      </c>
      <c r="H2107" s="81">
        <v>1.2400000000000001E-4</v>
      </c>
      <c r="I2107" s="76">
        <v>1.2400000000000001E-4</v>
      </c>
      <c r="J2107" s="76">
        <v>8.5799999999999998E-5</v>
      </c>
      <c r="K2107" s="76">
        <v>1.94E-4</v>
      </c>
      <c r="L2107" s="81">
        <v>3.0600000000000001E-4</v>
      </c>
      <c r="M2107" s="76">
        <v>3.0600000000000001E-4</v>
      </c>
      <c r="N2107" s="81"/>
      <c r="T2107" s="81"/>
      <c r="W2107" s="81"/>
      <c r="AG2107" s="81"/>
      <c r="AT2107" s="81"/>
    </row>
    <row r="2108" spans="3:46" x14ac:dyDescent="0.15">
      <c r="C2108" s="81">
        <v>656</v>
      </c>
      <c r="D2108" s="76">
        <v>1.6699999999999999E-5</v>
      </c>
      <c r="E2108" s="76">
        <v>2.0000000000000002E-5</v>
      </c>
      <c r="F2108" s="76">
        <v>3.9199999999999997E-5</v>
      </c>
      <c r="G2108" s="76">
        <v>1.03E-4</v>
      </c>
      <c r="H2108" s="81">
        <v>1.01E-4</v>
      </c>
      <c r="I2108" s="76">
        <v>1.11E-4</v>
      </c>
      <c r="J2108" s="76">
        <v>4.99E-5</v>
      </c>
      <c r="K2108" s="76">
        <v>2.5099999999999998E-4</v>
      </c>
      <c r="L2108" s="81">
        <v>2.1900000000000001E-4</v>
      </c>
      <c r="M2108" s="76">
        <v>1.9699999999999999E-4</v>
      </c>
      <c r="N2108" s="81"/>
      <c r="T2108" s="81"/>
      <c r="W2108" s="81"/>
      <c r="AG2108" s="81"/>
      <c r="AT2108" s="81"/>
    </row>
    <row r="2109" spans="3:46" x14ac:dyDescent="0.15">
      <c r="C2109" s="81">
        <v>658</v>
      </c>
      <c r="D2109" s="76">
        <v>2.0000000000000002E-5</v>
      </c>
      <c r="E2109" s="76">
        <v>4.1099999999999996E-6</v>
      </c>
      <c r="F2109" s="76">
        <v>6.8200000000000004E-5</v>
      </c>
      <c r="G2109" s="76">
        <v>8.8300000000000005E-5</v>
      </c>
      <c r="H2109" s="81">
        <v>1.08E-4</v>
      </c>
      <c r="I2109" s="76">
        <v>1.22E-4</v>
      </c>
      <c r="J2109" s="76">
        <v>6.0999999999999999E-5</v>
      </c>
      <c r="K2109" s="76">
        <v>2.42E-4</v>
      </c>
      <c r="L2109" s="81">
        <v>1.94E-4</v>
      </c>
      <c r="M2109" s="76">
        <v>1.9900000000000001E-4</v>
      </c>
      <c r="N2109" s="81"/>
      <c r="T2109" s="81"/>
      <c r="W2109" s="81"/>
      <c r="AG2109" s="81"/>
      <c r="AT2109" s="81"/>
    </row>
    <row r="2110" spans="3:46" x14ac:dyDescent="0.15">
      <c r="C2110" s="81">
        <v>660</v>
      </c>
      <c r="D2110" s="76">
        <v>1.8199999999999999E-5</v>
      </c>
      <c r="E2110" s="76">
        <v>7.5900000000000002E-6</v>
      </c>
      <c r="F2110" s="76">
        <v>4.0500000000000002E-5</v>
      </c>
      <c r="G2110" s="76">
        <v>9.3200000000000002E-5</v>
      </c>
      <c r="H2110" s="81">
        <v>8.8800000000000004E-5</v>
      </c>
      <c r="I2110" s="76">
        <v>1.65E-4</v>
      </c>
      <c r="J2110" s="76">
        <v>9.1000000000000003E-5</v>
      </c>
      <c r="K2110" s="76">
        <v>2.24E-4</v>
      </c>
      <c r="L2110" s="81">
        <v>2.6600000000000001E-4</v>
      </c>
      <c r="M2110" s="76">
        <v>2.13E-4</v>
      </c>
      <c r="N2110" s="81"/>
      <c r="T2110" s="81"/>
      <c r="W2110" s="81"/>
      <c r="AG2110" s="81"/>
      <c r="AT2110" s="81"/>
    </row>
    <row r="2111" spans="3:46" x14ac:dyDescent="0.15">
      <c r="C2111" s="81">
        <v>662</v>
      </c>
      <c r="D2111" s="76">
        <v>1.43E-5</v>
      </c>
      <c r="E2111" s="76">
        <v>2.3199999999999998E-6</v>
      </c>
      <c r="F2111" s="76">
        <v>4.0399999999999999E-5</v>
      </c>
      <c r="G2111" s="76">
        <v>1.08E-4</v>
      </c>
      <c r="H2111" s="81">
        <v>8.4300000000000003E-5</v>
      </c>
      <c r="I2111" s="76">
        <v>7.9599999999999997E-5</v>
      </c>
      <c r="J2111" s="76">
        <v>7.36E-5</v>
      </c>
      <c r="K2111" s="76">
        <v>2.1100000000000001E-4</v>
      </c>
      <c r="L2111" s="81">
        <v>1.95E-4</v>
      </c>
      <c r="M2111" s="76">
        <v>2.6200000000000003E-4</v>
      </c>
      <c r="N2111" s="81"/>
      <c r="T2111" s="81"/>
      <c r="W2111" s="81"/>
      <c r="AG2111" s="81"/>
      <c r="AT2111" s="81"/>
    </row>
    <row r="2112" spans="3:46" x14ac:dyDescent="0.15">
      <c r="C2112" s="81">
        <v>664</v>
      </c>
      <c r="D2112" s="76">
        <v>2.4000000000000001E-5</v>
      </c>
      <c r="E2112" s="76">
        <v>7.4900000000000003E-6</v>
      </c>
      <c r="F2112" s="76">
        <v>3.1699999999999998E-5</v>
      </c>
      <c r="G2112" s="76">
        <v>9.2200000000000005E-5</v>
      </c>
      <c r="H2112" s="81">
        <v>1.45E-4</v>
      </c>
      <c r="I2112" s="76">
        <v>2.0000000000000001E-4</v>
      </c>
      <c r="J2112" s="76">
        <v>1.43E-5</v>
      </c>
      <c r="K2112" s="76">
        <v>2.63E-4</v>
      </c>
      <c r="L2112" s="81">
        <v>2.02E-4</v>
      </c>
      <c r="M2112" s="76">
        <v>2.9300000000000001E-5</v>
      </c>
      <c r="N2112" s="81"/>
      <c r="T2112" s="81"/>
      <c r="W2112" s="81"/>
      <c r="AG2112" s="81"/>
      <c r="AT2112" s="81"/>
    </row>
    <row r="2113" spans="3:56" x14ac:dyDescent="0.15">
      <c r="C2113" s="81">
        <v>666</v>
      </c>
      <c r="D2113" s="76">
        <v>2.1100000000000001E-5</v>
      </c>
      <c r="E2113" s="76">
        <v>2.58E-5</v>
      </c>
      <c r="F2113" s="76">
        <v>3.6699999999999998E-5</v>
      </c>
      <c r="G2113" s="76">
        <v>1.26E-4</v>
      </c>
      <c r="H2113" s="81">
        <v>1.35E-4</v>
      </c>
      <c r="I2113" s="76">
        <v>1.11E-4</v>
      </c>
      <c r="J2113" s="76">
        <v>8.8700000000000001E-5</v>
      </c>
      <c r="K2113" s="76">
        <v>2.0799999999999999E-4</v>
      </c>
      <c r="L2113" s="81">
        <v>2.14E-4</v>
      </c>
      <c r="M2113" s="76">
        <v>1.1E-4</v>
      </c>
      <c r="N2113" s="81"/>
      <c r="T2113" s="81"/>
      <c r="W2113" s="81"/>
      <c r="AG2113" s="81"/>
      <c r="AT2113" s="81"/>
    </row>
    <row r="2114" spans="3:56" x14ac:dyDescent="0.15">
      <c r="C2114" s="81">
        <v>668</v>
      </c>
      <c r="D2114" s="76">
        <v>1.29E-5</v>
      </c>
      <c r="E2114" s="76">
        <v>8.5299999999999996E-6</v>
      </c>
      <c r="F2114" s="76">
        <v>2.7500000000000001E-5</v>
      </c>
      <c r="G2114" s="76">
        <v>1E-4</v>
      </c>
      <c r="H2114" s="81">
        <v>1.15E-4</v>
      </c>
      <c r="I2114" s="76">
        <v>1.34E-4</v>
      </c>
      <c r="J2114" s="76">
        <v>6.2000000000000003E-5</v>
      </c>
      <c r="K2114" s="76">
        <v>2.0900000000000001E-4</v>
      </c>
      <c r="L2114" s="81">
        <v>1.7899999999999999E-4</v>
      </c>
      <c r="M2114" s="76">
        <v>8.3300000000000005E-5</v>
      </c>
      <c r="N2114" s="81"/>
      <c r="T2114" s="81"/>
      <c r="W2114" s="81"/>
      <c r="AG2114" s="81"/>
      <c r="AT2114" s="81"/>
    </row>
    <row r="2115" spans="3:56" x14ac:dyDescent="0.15">
      <c r="C2115" s="81">
        <v>670</v>
      </c>
      <c r="D2115" s="76">
        <v>9.0100000000000001E-6</v>
      </c>
      <c r="E2115" s="76">
        <v>1.49E-5</v>
      </c>
      <c r="F2115" s="76">
        <v>3.4600000000000001E-5</v>
      </c>
      <c r="G2115" s="76">
        <v>8.7200000000000005E-5</v>
      </c>
      <c r="H2115" s="81">
        <v>1.12E-4</v>
      </c>
      <c r="I2115" s="76">
        <v>1.64E-4</v>
      </c>
      <c r="J2115" s="76">
        <v>9.59E-5</v>
      </c>
      <c r="K2115" s="76">
        <v>2.5099999999999998E-4</v>
      </c>
      <c r="L2115" s="81">
        <v>1.7699999999999999E-4</v>
      </c>
      <c r="M2115" s="76">
        <v>1.2E-4</v>
      </c>
      <c r="N2115" s="81"/>
      <c r="T2115" s="81"/>
      <c r="W2115" s="81"/>
      <c r="AG2115" s="81"/>
      <c r="AT2115" s="81"/>
    </row>
    <row r="2116" spans="3:56" x14ac:dyDescent="0.15">
      <c r="C2116" s="81">
        <v>672</v>
      </c>
      <c r="D2116" s="76">
        <v>7.7800000000000001E-6</v>
      </c>
      <c r="E2116" s="76">
        <v>2.6100000000000001E-5</v>
      </c>
      <c r="F2116" s="76">
        <v>5.5099999999999998E-5</v>
      </c>
      <c r="G2116" s="76">
        <v>6.4900000000000005E-5</v>
      </c>
      <c r="H2116" s="81">
        <v>1.08E-4</v>
      </c>
      <c r="I2116" s="76">
        <v>1.07E-4</v>
      </c>
      <c r="J2116" s="76">
        <v>7.3899999999999994E-5</v>
      </c>
      <c r="K2116" s="76">
        <v>2.5099999999999998E-4</v>
      </c>
      <c r="L2116" s="81">
        <v>1.2300000000000001E-4</v>
      </c>
      <c r="M2116" s="76">
        <v>8.1000000000000004E-5</v>
      </c>
      <c r="N2116" s="81"/>
      <c r="T2116" s="81"/>
      <c r="W2116" s="81"/>
      <c r="AG2116" s="81"/>
      <c r="AT2116" s="81"/>
    </row>
    <row r="2117" spans="3:56" x14ac:dyDescent="0.15">
      <c r="C2117" s="81">
        <v>674</v>
      </c>
      <c r="D2117" s="76">
        <v>6.8600000000000004E-6</v>
      </c>
      <c r="E2117" s="76">
        <v>3.04E-5</v>
      </c>
      <c r="F2117" s="76">
        <v>5.7000000000000003E-5</v>
      </c>
      <c r="G2117" s="76">
        <v>1.03E-4</v>
      </c>
      <c r="H2117" s="81">
        <v>1.1400000000000001E-4</v>
      </c>
      <c r="I2117" s="76">
        <v>1.16E-4</v>
      </c>
      <c r="J2117" s="76">
        <v>1.18E-4</v>
      </c>
      <c r="K2117" s="76">
        <v>2.7300000000000002E-4</v>
      </c>
      <c r="L2117" s="81">
        <v>1.7899999999999999E-4</v>
      </c>
      <c r="M2117" s="76">
        <v>1.55E-4</v>
      </c>
      <c r="N2117" s="81"/>
      <c r="T2117" s="81"/>
      <c r="W2117" s="81"/>
      <c r="AG2117" s="81"/>
      <c r="AT2117" s="81"/>
    </row>
    <row r="2118" spans="3:56" x14ac:dyDescent="0.15">
      <c r="C2118" s="81">
        <v>676</v>
      </c>
      <c r="D2118" s="76">
        <v>1.66E-5</v>
      </c>
      <c r="E2118" s="76">
        <v>2.2399999999999999E-5</v>
      </c>
      <c r="F2118" s="76">
        <v>6.6600000000000006E-5</v>
      </c>
      <c r="G2118" s="76">
        <v>1.3100000000000001E-4</v>
      </c>
      <c r="H2118" s="81">
        <v>1.13E-4</v>
      </c>
      <c r="I2118" s="76">
        <v>1.15E-4</v>
      </c>
      <c r="J2118" s="76">
        <v>1.6899999999999999E-4</v>
      </c>
      <c r="K2118" s="76">
        <v>1.92E-4</v>
      </c>
      <c r="L2118" s="81">
        <v>1.6699999999999999E-4</v>
      </c>
      <c r="M2118" s="76">
        <v>1.9599999999999999E-4</v>
      </c>
      <c r="N2118" s="81"/>
      <c r="T2118" s="81"/>
      <c r="W2118" s="81"/>
      <c r="AG2118" s="81"/>
      <c r="AT2118" s="81"/>
    </row>
    <row r="2119" spans="3:56" x14ac:dyDescent="0.15">
      <c r="C2119" s="81">
        <v>678</v>
      </c>
      <c r="D2119" s="76">
        <v>2.05E-5</v>
      </c>
      <c r="E2119" s="76">
        <v>4.2799999999999997E-5</v>
      </c>
      <c r="F2119" s="76">
        <v>5.94E-5</v>
      </c>
      <c r="G2119" s="76">
        <v>1.06E-4</v>
      </c>
      <c r="H2119" s="81">
        <v>1.26E-4</v>
      </c>
      <c r="I2119" s="76">
        <v>1.01E-4</v>
      </c>
      <c r="J2119" s="76">
        <v>1.44E-4</v>
      </c>
      <c r="K2119" s="76">
        <v>2.1699999999999999E-4</v>
      </c>
      <c r="L2119" s="81">
        <v>2.05E-4</v>
      </c>
      <c r="M2119" s="76">
        <v>1.4999999999999999E-4</v>
      </c>
      <c r="N2119" s="81"/>
      <c r="T2119" s="81"/>
      <c r="W2119" s="81"/>
      <c r="AG2119" s="81"/>
      <c r="AT2119" s="81"/>
    </row>
    <row r="2120" spans="3:56" x14ac:dyDescent="0.15">
      <c r="C2120" s="81">
        <v>680</v>
      </c>
      <c r="D2120" s="76">
        <v>2.6599999999999999E-5</v>
      </c>
      <c r="E2120" s="76">
        <v>4.8399999999999997E-5</v>
      </c>
      <c r="F2120" s="76">
        <v>4.4700000000000002E-5</v>
      </c>
      <c r="G2120" s="76">
        <v>1.1E-4</v>
      </c>
      <c r="H2120" s="81">
        <v>1.34E-4</v>
      </c>
      <c r="I2120" s="76">
        <v>9.4500000000000007E-5</v>
      </c>
      <c r="J2120" s="76">
        <v>1.7000000000000001E-4</v>
      </c>
      <c r="K2120" s="76">
        <v>1.7699999999999999E-4</v>
      </c>
      <c r="L2120" s="81">
        <v>1.84E-4</v>
      </c>
      <c r="M2120" s="76">
        <v>1.85E-4</v>
      </c>
      <c r="N2120" s="81"/>
      <c r="T2120" s="81"/>
      <c r="W2120" s="81"/>
      <c r="AG2120" s="81"/>
      <c r="AT2120" s="81"/>
    </row>
    <row r="2121" spans="3:56" x14ac:dyDescent="0.15">
      <c r="C2121" s="81">
        <v>682</v>
      </c>
      <c r="D2121" s="81">
        <v>2.8E-5</v>
      </c>
      <c r="E2121" s="81">
        <v>4.6100000000000002E-5</v>
      </c>
      <c r="F2121" s="81">
        <v>2.3099999999999999E-5</v>
      </c>
      <c r="G2121" s="81">
        <v>1.2899999999999999E-4</v>
      </c>
      <c r="H2121" s="81">
        <v>1.44E-4</v>
      </c>
      <c r="I2121" s="81">
        <v>1.02E-4</v>
      </c>
      <c r="J2121" s="81">
        <v>2.1699999999999999E-4</v>
      </c>
      <c r="K2121" s="81">
        <v>2.3599999999999999E-4</v>
      </c>
      <c r="L2121" s="81">
        <v>8.6100000000000006E-5</v>
      </c>
      <c r="M2121" s="81">
        <v>1.6699999999999999E-4</v>
      </c>
      <c r="N2121" s="81"/>
      <c r="O2121" s="81"/>
      <c r="P2121" s="81"/>
      <c r="Q2121" s="81"/>
      <c r="R2121" s="81"/>
      <c r="S2121" s="81"/>
      <c r="T2121" s="81"/>
      <c r="U2121" s="81"/>
      <c r="V2121" s="81"/>
      <c r="W2121" s="81"/>
      <c r="X2121" s="81"/>
      <c r="Y2121" s="81"/>
      <c r="Z2121" s="81"/>
      <c r="AA2121" s="81"/>
      <c r="AB2121" s="81"/>
      <c r="AC2121" s="81"/>
      <c r="AD2121" s="81"/>
      <c r="AG2121" s="81"/>
      <c r="AH2121" s="81"/>
      <c r="AI2121" s="81"/>
      <c r="AJ2121" s="81"/>
      <c r="AK2121" s="81"/>
      <c r="AL2121" s="81"/>
      <c r="AM2121" s="81"/>
      <c r="AN2121" s="81"/>
      <c r="AO2121" s="81"/>
      <c r="AP2121" s="81"/>
      <c r="AQ2121" s="81"/>
      <c r="AT2121" s="81"/>
      <c r="AU2121" s="81"/>
      <c r="AV2121" s="81"/>
      <c r="AW2121" s="81"/>
      <c r="AX2121" s="81"/>
      <c r="AY2121" s="81"/>
      <c r="AZ2121" s="81"/>
      <c r="BA2121" s="81"/>
      <c r="BB2121" s="81"/>
      <c r="BC2121" s="81"/>
      <c r="BD2121" s="81"/>
    </row>
    <row r="2122" spans="3:56" x14ac:dyDescent="0.15">
      <c r="C2122" s="81">
        <v>684</v>
      </c>
      <c r="D2122" s="76">
        <v>9.5899999999999997E-6</v>
      </c>
      <c r="E2122" s="76">
        <v>5.4700000000000001E-5</v>
      </c>
      <c r="F2122" s="76">
        <v>2.51E-5</v>
      </c>
      <c r="G2122" s="76">
        <v>9.7299999999999993E-5</v>
      </c>
      <c r="H2122" s="81">
        <v>1.36E-4</v>
      </c>
      <c r="I2122" s="76">
        <v>1.11E-4</v>
      </c>
      <c r="J2122" s="76">
        <v>2.0100000000000001E-4</v>
      </c>
      <c r="K2122" s="76">
        <v>1.8599999999999999E-4</v>
      </c>
      <c r="L2122" s="81">
        <v>1.06E-4</v>
      </c>
      <c r="M2122" s="76">
        <v>1.4799999999999999E-4</v>
      </c>
      <c r="N2122" s="81"/>
      <c r="T2122" s="81"/>
      <c r="W2122" s="81"/>
      <c r="AG2122" s="81"/>
      <c r="AT2122" s="81"/>
    </row>
    <row r="2123" spans="3:56" x14ac:dyDescent="0.15">
      <c r="C2123" s="76">
        <v>686</v>
      </c>
      <c r="D2123" s="76">
        <v>1.5800000000000001E-5</v>
      </c>
      <c r="E2123" s="76">
        <v>6.8399999999999996E-5</v>
      </c>
      <c r="F2123" s="76">
        <v>4.2200000000000003E-5</v>
      </c>
      <c r="G2123" s="76">
        <v>1.17E-4</v>
      </c>
      <c r="H2123" s="76">
        <v>1.2799999999999999E-4</v>
      </c>
      <c r="I2123" s="76">
        <v>8.5599999999999994E-5</v>
      </c>
      <c r="J2123" s="76">
        <v>1.6100000000000001E-4</v>
      </c>
      <c r="K2123" s="76">
        <v>1.6899999999999999E-4</v>
      </c>
      <c r="L2123" s="76">
        <v>1.26E-4</v>
      </c>
      <c r="M2123" s="76">
        <v>2.6800000000000001E-4</v>
      </c>
    </row>
    <row r="2124" spans="3:56" x14ac:dyDescent="0.15">
      <c r="C2124" s="76">
        <v>688</v>
      </c>
      <c r="D2124" s="76">
        <v>1.6799999999999998E-5</v>
      </c>
      <c r="E2124" s="76">
        <v>5.5099999999999998E-5</v>
      </c>
      <c r="F2124" s="76">
        <v>4.2200000000000003E-5</v>
      </c>
      <c r="G2124" s="76">
        <v>1.1400000000000001E-4</v>
      </c>
      <c r="H2124" s="76">
        <v>1.03E-4</v>
      </c>
      <c r="I2124" s="76">
        <v>1.2899999999999999E-4</v>
      </c>
      <c r="J2124" s="76">
        <v>1.56E-4</v>
      </c>
      <c r="K2124" s="76">
        <v>1.8100000000000001E-4</v>
      </c>
      <c r="L2124" s="76">
        <v>1.4200000000000001E-4</v>
      </c>
      <c r="M2124" s="76">
        <v>2.2100000000000001E-4</v>
      </c>
    </row>
    <row r="2125" spans="3:56" x14ac:dyDescent="0.15">
      <c r="C2125" s="76">
        <v>690</v>
      </c>
      <c r="D2125" s="76">
        <v>2.34E-5</v>
      </c>
      <c r="E2125" s="76">
        <v>5.4799999999999997E-5</v>
      </c>
      <c r="F2125" s="76">
        <v>3.6900000000000002E-5</v>
      </c>
      <c r="G2125" s="76">
        <v>1.1400000000000001E-4</v>
      </c>
      <c r="H2125" s="76">
        <v>1.2400000000000001E-4</v>
      </c>
      <c r="I2125" s="76">
        <v>1.1E-4</v>
      </c>
      <c r="J2125" s="76">
        <v>1.8100000000000001E-4</v>
      </c>
      <c r="K2125" s="76">
        <v>1.6699999999999999E-4</v>
      </c>
      <c r="L2125" s="76">
        <v>1.3200000000000001E-4</v>
      </c>
      <c r="M2125" s="76">
        <v>2.33E-4</v>
      </c>
    </row>
    <row r="2126" spans="3:56" x14ac:dyDescent="0.15">
      <c r="C2126" s="76">
        <v>692</v>
      </c>
      <c r="D2126" s="76">
        <v>1.8499999999999999E-5</v>
      </c>
      <c r="E2126" s="76">
        <v>7.1799999999999997E-5</v>
      </c>
      <c r="F2126" s="76">
        <v>6.2700000000000006E-5</v>
      </c>
      <c r="G2126" s="76">
        <v>7.5699999999999997E-5</v>
      </c>
      <c r="H2126" s="76">
        <v>1.07E-4</v>
      </c>
      <c r="I2126" s="76">
        <v>8.9499999999999994E-5</v>
      </c>
      <c r="J2126" s="76">
        <v>1.74E-4</v>
      </c>
      <c r="K2126" s="76">
        <v>1.6100000000000001E-4</v>
      </c>
      <c r="L2126" s="76">
        <v>1.44E-4</v>
      </c>
      <c r="M2126" s="76">
        <v>1.8100000000000001E-4</v>
      </c>
    </row>
    <row r="2127" spans="3:56" x14ac:dyDescent="0.15">
      <c r="C2127" s="76">
        <v>694</v>
      </c>
      <c r="D2127" s="76">
        <v>1.88E-5</v>
      </c>
      <c r="E2127" s="76">
        <v>5.1499999999999998E-5</v>
      </c>
      <c r="F2127" s="76">
        <v>5.6199999999999997E-5</v>
      </c>
      <c r="G2127" s="76">
        <v>7.8300000000000006E-5</v>
      </c>
      <c r="H2127" s="76">
        <v>1.01E-4</v>
      </c>
      <c r="I2127" s="76">
        <v>9.1100000000000005E-5</v>
      </c>
      <c r="J2127" s="76">
        <v>1.95E-4</v>
      </c>
      <c r="K2127" s="76">
        <v>1.9799999999999999E-4</v>
      </c>
      <c r="L2127" s="76">
        <v>8.7999999999999998E-5</v>
      </c>
      <c r="M2127" s="76">
        <v>1.7200000000000001E-4</v>
      </c>
    </row>
    <row r="2128" spans="3:56" x14ac:dyDescent="0.15">
      <c r="C2128" s="76">
        <v>696</v>
      </c>
      <c r="D2128" s="76">
        <v>2.0699999999999998E-5</v>
      </c>
      <c r="E2128" s="76">
        <v>6.5900000000000003E-5</v>
      </c>
      <c r="F2128" s="76">
        <v>8.9900000000000003E-5</v>
      </c>
      <c r="G2128" s="76">
        <v>8.5799999999999998E-5</v>
      </c>
      <c r="H2128" s="76">
        <v>1.2999999999999999E-4</v>
      </c>
      <c r="I2128" s="76">
        <v>4.3900000000000003E-5</v>
      </c>
      <c r="J2128" s="76">
        <v>1.9699999999999999E-4</v>
      </c>
      <c r="K2128" s="76">
        <v>1.12E-4</v>
      </c>
      <c r="L2128" s="76">
        <v>9.0199999999999997E-5</v>
      </c>
      <c r="M2128" s="76">
        <v>1.2300000000000001E-4</v>
      </c>
    </row>
    <row r="2129" spans="3:13" x14ac:dyDescent="0.15">
      <c r="C2129" s="76">
        <v>698</v>
      </c>
      <c r="D2129" s="76">
        <v>2.2099999999999998E-5</v>
      </c>
      <c r="E2129" s="76">
        <v>7.0500000000000006E-5</v>
      </c>
      <c r="F2129" s="76">
        <v>1.66E-5</v>
      </c>
      <c r="G2129" s="76">
        <v>1.08E-4</v>
      </c>
      <c r="H2129" s="76">
        <v>9.1600000000000004E-5</v>
      </c>
      <c r="I2129" s="76">
        <v>5.1999999999999997E-5</v>
      </c>
      <c r="J2129" s="76">
        <v>2.1900000000000001E-4</v>
      </c>
      <c r="K2129" s="76">
        <v>1.3799999999999999E-4</v>
      </c>
      <c r="L2129" s="76">
        <v>5.6799999999999998E-5</v>
      </c>
      <c r="M2129" s="76">
        <v>1.4899999999999999E-4</v>
      </c>
    </row>
    <row r="2130" spans="3:13" x14ac:dyDescent="0.15">
      <c r="C2130" s="76">
        <v>700</v>
      </c>
      <c r="D2130" s="76">
        <v>1.9400000000000001E-5</v>
      </c>
      <c r="E2130" s="76">
        <v>6.8100000000000002E-5</v>
      </c>
      <c r="F2130" s="76">
        <v>6.2199999999999994E-5</v>
      </c>
      <c r="G2130" s="76">
        <v>8.7100000000000003E-5</v>
      </c>
      <c r="H2130" s="76">
        <v>1.17E-4</v>
      </c>
      <c r="I2130" s="76">
        <v>6.1600000000000007E-5</v>
      </c>
      <c r="J2130" s="76">
        <v>1.3300000000000001E-4</v>
      </c>
      <c r="K2130" s="76">
        <v>1.6000000000000001E-4</v>
      </c>
      <c r="L2130" s="76">
        <v>8.6000000000000003E-5</v>
      </c>
      <c r="M2130" s="76">
        <v>1.27E-4</v>
      </c>
    </row>
    <row r="2131" spans="3:13" x14ac:dyDescent="0.15">
      <c r="C2131" s="76">
        <v>702</v>
      </c>
      <c r="D2131" s="76">
        <v>2.23E-5</v>
      </c>
      <c r="E2131" s="76">
        <v>4.0599999999999998E-5</v>
      </c>
      <c r="F2131" s="76">
        <v>6.3899999999999995E-5</v>
      </c>
      <c r="G2131" s="76">
        <v>8.6799999999999996E-5</v>
      </c>
      <c r="H2131" s="76">
        <v>8.53E-5</v>
      </c>
      <c r="I2131" s="76">
        <v>6.8200000000000004E-5</v>
      </c>
      <c r="J2131" s="76">
        <v>1.5300000000000001E-4</v>
      </c>
      <c r="K2131" s="76">
        <v>2.03E-4</v>
      </c>
      <c r="L2131" s="76">
        <v>1.02E-4</v>
      </c>
      <c r="M2131" s="76">
        <v>3.7799999999999997E-5</v>
      </c>
    </row>
    <row r="2132" spans="3:13" x14ac:dyDescent="0.15">
      <c r="C2132" s="76">
        <v>704</v>
      </c>
      <c r="D2132" s="76">
        <v>2.23E-5</v>
      </c>
      <c r="E2132" s="76">
        <v>3.6600000000000002E-5</v>
      </c>
      <c r="F2132" s="76">
        <v>8.0900000000000001E-5</v>
      </c>
      <c r="G2132" s="76">
        <v>1.11E-4</v>
      </c>
      <c r="H2132" s="76">
        <v>1.3200000000000001E-4</v>
      </c>
      <c r="I2132" s="76">
        <v>4.1699999999999997E-5</v>
      </c>
      <c r="J2132" s="76">
        <v>2.1699999999999999E-4</v>
      </c>
      <c r="K2132" s="76">
        <v>1.3200000000000001E-4</v>
      </c>
      <c r="L2132" s="76">
        <v>7.2100000000000004E-5</v>
      </c>
      <c r="M2132" s="76">
        <v>1.6000000000000001E-4</v>
      </c>
    </row>
    <row r="2133" spans="3:13" x14ac:dyDescent="0.15">
      <c r="C2133" s="76">
        <v>706</v>
      </c>
      <c r="D2133" s="76">
        <v>2.6599999999999999E-5</v>
      </c>
      <c r="E2133" s="76">
        <v>3.9700000000000003E-5</v>
      </c>
      <c r="F2133" s="76">
        <v>7.5799999999999999E-5</v>
      </c>
      <c r="G2133" s="76">
        <v>8.3499999999999997E-5</v>
      </c>
      <c r="H2133" s="76">
        <v>6.7700000000000006E-5</v>
      </c>
      <c r="I2133" s="76">
        <v>5.9799999999999997E-5</v>
      </c>
      <c r="J2133" s="76">
        <v>1.4300000000000001E-4</v>
      </c>
      <c r="K2133" s="76">
        <v>1.46E-4</v>
      </c>
      <c r="L2133" s="76">
        <v>1.5799999999999999E-4</v>
      </c>
      <c r="M2133" s="76">
        <v>7.86E-5</v>
      </c>
    </row>
    <row r="2134" spans="3:13" x14ac:dyDescent="0.15">
      <c r="C2134" s="76">
        <v>708</v>
      </c>
      <c r="D2134" s="76">
        <v>1.66E-5</v>
      </c>
      <c r="E2134" s="76">
        <v>3.5599999999999998E-5</v>
      </c>
      <c r="F2134" s="76">
        <v>8.6199999999999995E-5</v>
      </c>
      <c r="G2134" s="76">
        <v>7.8899999999999993E-5</v>
      </c>
      <c r="H2134" s="76">
        <v>4.3399999999999998E-5</v>
      </c>
      <c r="I2134" s="76">
        <v>7.8999999999999996E-5</v>
      </c>
      <c r="J2134" s="76">
        <v>1.6200000000000001E-4</v>
      </c>
      <c r="K2134" s="76">
        <v>1.44E-4</v>
      </c>
      <c r="L2134" s="76">
        <v>1.3899999999999999E-4</v>
      </c>
      <c r="M2134" s="76">
        <v>1.4799999999999999E-4</v>
      </c>
    </row>
    <row r="2135" spans="3:13" x14ac:dyDescent="0.15">
      <c r="C2135" s="76">
        <v>710</v>
      </c>
      <c r="D2135" s="76">
        <v>1.77E-5</v>
      </c>
      <c r="E2135" s="76">
        <v>2.9600000000000001E-5</v>
      </c>
      <c r="F2135" s="76">
        <v>7.3300000000000006E-5</v>
      </c>
      <c r="G2135" s="76">
        <v>8.4699999999999999E-5</v>
      </c>
      <c r="H2135" s="76">
        <v>4.4499999999999997E-5</v>
      </c>
      <c r="I2135" s="76">
        <v>7.1299999999999998E-5</v>
      </c>
      <c r="J2135" s="76">
        <v>1.37E-4</v>
      </c>
      <c r="K2135" s="76">
        <v>2.0000000000000001E-4</v>
      </c>
      <c r="L2135" s="76">
        <v>1.74E-4</v>
      </c>
      <c r="M2135" s="76">
        <v>1.3999999999999999E-4</v>
      </c>
    </row>
    <row r="2136" spans="3:13" x14ac:dyDescent="0.15">
      <c r="C2136" s="76">
        <v>712</v>
      </c>
      <c r="D2136" s="76">
        <v>1.6699999999999999E-5</v>
      </c>
      <c r="E2136" s="76">
        <v>1.91E-5</v>
      </c>
      <c r="F2136" s="76">
        <v>5.3699999999999997E-5</v>
      </c>
      <c r="G2136" s="76">
        <v>7.86E-5</v>
      </c>
      <c r="H2136" s="76">
        <v>8.0699999999999996E-5</v>
      </c>
      <c r="I2136" s="76">
        <v>1.02E-4</v>
      </c>
      <c r="J2136" s="76">
        <v>9.9300000000000001E-5</v>
      </c>
      <c r="K2136" s="76">
        <v>1.35E-4</v>
      </c>
      <c r="L2136" s="76">
        <v>1.92E-4</v>
      </c>
      <c r="M2136" s="76">
        <v>7.8499999999999997E-5</v>
      </c>
    </row>
    <row r="2137" spans="3:13" x14ac:dyDescent="0.15">
      <c r="C2137" s="76">
        <v>714</v>
      </c>
      <c r="D2137" s="76">
        <v>1.84E-5</v>
      </c>
      <c r="E2137" s="76">
        <v>1.8E-5</v>
      </c>
      <c r="F2137" s="76">
        <v>6.0800000000000001E-5</v>
      </c>
      <c r="G2137" s="76">
        <v>4.4199999999999997E-5</v>
      </c>
      <c r="H2137" s="76">
        <v>6.4599999999999998E-5</v>
      </c>
      <c r="I2137" s="76">
        <v>9.6299999999999996E-5</v>
      </c>
      <c r="J2137" s="76">
        <v>1.56E-4</v>
      </c>
      <c r="K2137" s="76">
        <v>1.5100000000000001E-4</v>
      </c>
      <c r="L2137" s="76">
        <v>2.2000000000000001E-4</v>
      </c>
      <c r="M2137" s="76">
        <v>9.5400000000000001E-5</v>
      </c>
    </row>
    <row r="2138" spans="3:13" x14ac:dyDescent="0.15">
      <c r="C2138" s="76">
        <v>716</v>
      </c>
      <c r="D2138" s="76">
        <v>2.4199999999999999E-5</v>
      </c>
      <c r="E2138" s="76">
        <v>2.12E-5</v>
      </c>
      <c r="F2138" s="76">
        <v>3.3399999999999999E-5</v>
      </c>
      <c r="G2138" s="76">
        <v>7.8899999999999993E-5</v>
      </c>
      <c r="H2138" s="76">
        <v>4.2899999999999999E-5</v>
      </c>
      <c r="I2138" s="76">
        <v>7.2000000000000002E-5</v>
      </c>
      <c r="J2138" s="76">
        <v>1.21E-4</v>
      </c>
      <c r="K2138" s="76">
        <v>1.22E-4</v>
      </c>
      <c r="L2138" s="76">
        <v>2.4399999999999999E-4</v>
      </c>
      <c r="M2138" s="76">
        <v>2.03E-4</v>
      </c>
    </row>
    <row r="2139" spans="3:13" x14ac:dyDescent="0.15">
      <c r="C2139" s="76">
        <v>718</v>
      </c>
      <c r="D2139" s="76">
        <v>1.6200000000000001E-5</v>
      </c>
      <c r="E2139" s="76">
        <v>1.49E-5</v>
      </c>
      <c r="F2139" s="76">
        <v>5.41E-5</v>
      </c>
      <c r="G2139" s="76">
        <v>6.3200000000000005E-5</v>
      </c>
      <c r="H2139" s="76">
        <v>3.1300000000000002E-5</v>
      </c>
      <c r="I2139" s="76">
        <v>7.4200000000000001E-5</v>
      </c>
      <c r="J2139" s="76">
        <v>8.6399999999999999E-5</v>
      </c>
      <c r="K2139" s="76">
        <v>1.3899999999999999E-4</v>
      </c>
      <c r="L2139" s="76">
        <v>2.4499999999999999E-4</v>
      </c>
      <c r="M2139" s="76">
        <v>2.1000000000000001E-4</v>
      </c>
    </row>
    <row r="2140" spans="3:13" x14ac:dyDescent="0.15">
      <c r="C2140" s="76">
        <v>720</v>
      </c>
      <c r="D2140" s="76">
        <v>1.6500000000000001E-5</v>
      </c>
      <c r="E2140" s="76">
        <v>5.8100000000000003E-6</v>
      </c>
      <c r="F2140" s="76">
        <v>8.5199999999999997E-5</v>
      </c>
      <c r="G2140" s="76">
        <v>7.2600000000000003E-5</v>
      </c>
      <c r="H2140" s="76">
        <v>1.0499999999999999E-5</v>
      </c>
      <c r="I2140" s="76">
        <v>3.2799999999999998E-5</v>
      </c>
      <c r="J2140" s="76">
        <v>4.9200000000000003E-5</v>
      </c>
      <c r="K2140" s="76">
        <v>1.4899999999999999E-4</v>
      </c>
      <c r="L2140" s="76">
        <v>2.2699999999999999E-4</v>
      </c>
      <c r="M2140" s="76">
        <v>1.6799999999999999E-4</v>
      </c>
    </row>
    <row r="2141" spans="3:13" x14ac:dyDescent="0.15">
      <c r="C2141" s="76">
        <v>722</v>
      </c>
      <c r="D2141" s="76">
        <v>6.0499999999999997E-6</v>
      </c>
      <c r="E2141" s="76">
        <v>8.6899999999999998E-6</v>
      </c>
      <c r="F2141" s="76">
        <v>5.3699999999999997E-5</v>
      </c>
      <c r="G2141" s="76">
        <v>7.5300000000000001E-5</v>
      </c>
      <c r="H2141" s="76">
        <v>1.56E-5</v>
      </c>
      <c r="I2141" s="76">
        <v>4.85E-5</v>
      </c>
      <c r="J2141" s="76">
        <v>5.5300000000000002E-5</v>
      </c>
      <c r="K2141" s="76">
        <v>1.17E-4</v>
      </c>
      <c r="L2141" s="76">
        <v>2.2699999999999999E-4</v>
      </c>
      <c r="M2141" s="76">
        <v>9.5400000000000001E-5</v>
      </c>
    </row>
    <row r="2142" spans="3:13" x14ac:dyDescent="0.15">
      <c r="C2142" s="76">
        <v>724</v>
      </c>
      <c r="D2142" s="76">
        <v>1.06E-5</v>
      </c>
      <c r="E2142" s="76">
        <v>4.2599999999999999E-6</v>
      </c>
      <c r="F2142" s="76">
        <v>3.29E-5</v>
      </c>
      <c r="G2142" s="76">
        <v>6.3E-5</v>
      </c>
      <c r="H2142" s="76">
        <v>3.67E-6</v>
      </c>
      <c r="I2142" s="76">
        <v>8.2000000000000001E-5</v>
      </c>
      <c r="J2142" s="76">
        <v>3.8999999999999999E-5</v>
      </c>
      <c r="K2142" s="76">
        <v>1.55E-4</v>
      </c>
      <c r="L2142" s="76">
        <v>1.74E-4</v>
      </c>
      <c r="M2142" s="76">
        <v>1.13E-4</v>
      </c>
    </row>
    <row r="2143" spans="3:13" x14ac:dyDescent="0.15">
      <c r="C2143" s="76">
        <v>726</v>
      </c>
      <c r="D2143" s="76">
        <v>1.4100000000000001E-5</v>
      </c>
      <c r="E2143" s="76">
        <v>1.2099999999999999E-5</v>
      </c>
      <c r="F2143" s="76">
        <v>2.97E-5</v>
      </c>
      <c r="G2143" s="76">
        <v>4.0299999999999997E-5</v>
      </c>
      <c r="H2143" s="76">
        <v>1.8199999999999999E-6</v>
      </c>
      <c r="I2143" s="76">
        <v>5.6199999999999997E-5</v>
      </c>
      <c r="J2143" s="76">
        <v>7.4900000000000003E-6</v>
      </c>
      <c r="K2143" s="76">
        <v>1.75E-4</v>
      </c>
      <c r="L2143" s="76">
        <v>1.64E-4</v>
      </c>
      <c r="M2143" s="76">
        <v>1.37E-4</v>
      </c>
    </row>
    <row r="2144" spans="3:13" x14ac:dyDescent="0.15">
      <c r="C2144" s="76">
        <v>728</v>
      </c>
      <c r="D2144" s="76">
        <v>8.9400000000000008E-6</v>
      </c>
      <c r="E2144" s="76">
        <v>2.8600000000000001E-6</v>
      </c>
      <c r="F2144" s="76">
        <v>4.3800000000000001E-5</v>
      </c>
      <c r="G2144" s="76">
        <v>5.5300000000000002E-5</v>
      </c>
      <c r="H2144" s="76">
        <v>4.3600000000000003E-5</v>
      </c>
      <c r="I2144" s="76">
        <v>2.6100000000000001E-5</v>
      </c>
      <c r="J2144" s="76">
        <v>3.3300000000000003E-5</v>
      </c>
      <c r="K2144" s="76">
        <v>1.7899999999999999E-4</v>
      </c>
      <c r="L2144" s="76">
        <v>2.5099999999999998E-4</v>
      </c>
      <c r="M2144" s="76">
        <v>1.73E-4</v>
      </c>
    </row>
    <row r="2145" spans="3:13" x14ac:dyDescent="0.15">
      <c r="C2145" s="76">
        <v>730</v>
      </c>
      <c r="D2145" s="76">
        <v>1.3200000000000001E-5</v>
      </c>
      <c r="E2145" s="76">
        <v>1.2799999999999999E-5</v>
      </c>
      <c r="F2145" s="76">
        <v>2.1299999999999999E-5</v>
      </c>
      <c r="G2145" s="76">
        <v>4.9100000000000001E-5</v>
      </c>
      <c r="H2145" s="76">
        <v>2.1800000000000001E-5</v>
      </c>
      <c r="I2145" s="76">
        <v>4.7800000000000003E-5</v>
      </c>
      <c r="J2145" s="76">
        <v>1.49E-5</v>
      </c>
      <c r="K2145" s="76">
        <v>1.4899999999999999E-4</v>
      </c>
      <c r="L2145" s="76">
        <v>2.2499999999999999E-4</v>
      </c>
      <c r="M2145" s="76">
        <v>1.9000000000000001E-4</v>
      </c>
    </row>
    <row r="2146" spans="3:13" x14ac:dyDescent="0.15">
      <c r="C2146" s="76">
        <v>732</v>
      </c>
      <c r="D2146" s="76">
        <v>1.47E-5</v>
      </c>
      <c r="E2146" s="76">
        <v>1.2799999999999999E-5</v>
      </c>
      <c r="F2146" s="76">
        <v>0</v>
      </c>
      <c r="G2146" s="76">
        <v>5.9599999999999999E-5</v>
      </c>
      <c r="H2146" s="76">
        <v>2.1500000000000001E-5</v>
      </c>
      <c r="I2146" s="76">
        <v>5.0800000000000002E-5</v>
      </c>
      <c r="J2146" s="76">
        <v>0</v>
      </c>
      <c r="K2146" s="76">
        <v>1.01E-4</v>
      </c>
      <c r="L2146" s="76">
        <v>1.46E-4</v>
      </c>
      <c r="M2146" s="76">
        <v>1.7000000000000001E-4</v>
      </c>
    </row>
    <row r="2147" spans="3:13" x14ac:dyDescent="0.15">
      <c r="C2147" s="76">
        <v>734</v>
      </c>
      <c r="D2147" s="76">
        <v>1.63E-5</v>
      </c>
      <c r="E2147" s="76">
        <v>2.4000000000000001E-5</v>
      </c>
      <c r="F2147" s="76">
        <v>2.48E-6</v>
      </c>
      <c r="G2147" s="76">
        <v>2.9300000000000001E-5</v>
      </c>
      <c r="H2147" s="76">
        <v>2.6400000000000001E-5</v>
      </c>
      <c r="I2147" s="76">
        <v>4.1900000000000002E-5</v>
      </c>
      <c r="J2147" s="76">
        <v>0</v>
      </c>
      <c r="K2147" s="76">
        <v>1.44E-4</v>
      </c>
      <c r="L2147" s="76">
        <v>1.3200000000000001E-4</v>
      </c>
      <c r="M2147" s="76">
        <v>1.54E-4</v>
      </c>
    </row>
    <row r="2148" spans="3:13" x14ac:dyDescent="0.15">
      <c r="C2148" s="76">
        <v>736</v>
      </c>
      <c r="D2148" s="76">
        <v>2.0599999999999999E-5</v>
      </c>
      <c r="E2148" s="76">
        <v>2.6599999999999999E-5</v>
      </c>
      <c r="F2148" s="76">
        <v>3.0499999999999999E-5</v>
      </c>
      <c r="G2148" s="76">
        <v>5.0099999999999998E-5</v>
      </c>
      <c r="H2148" s="76">
        <v>8.8100000000000004E-6</v>
      </c>
      <c r="I2148" s="76">
        <v>9.0899999999999994E-6</v>
      </c>
      <c r="J2148" s="76">
        <v>0</v>
      </c>
      <c r="K2148" s="76">
        <v>1.65E-4</v>
      </c>
      <c r="L2148" s="76">
        <v>1.18E-4</v>
      </c>
      <c r="M2148" s="76">
        <v>1.8200000000000001E-4</v>
      </c>
    </row>
    <row r="2149" spans="3:13" x14ac:dyDescent="0.15">
      <c r="C2149" s="76">
        <v>738</v>
      </c>
      <c r="D2149" s="76">
        <v>2.0999999999999999E-5</v>
      </c>
      <c r="E2149" s="76">
        <v>1.3900000000000001E-5</v>
      </c>
      <c r="F2149" s="76">
        <v>3.2700000000000002E-5</v>
      </c>
      <c r="G2149" s="76">
        <v>3.8800000000000001E-5</v>
      </c>
      <c r="H2149" s="76">
        <v>6.5100000000000004E-6</v>
      </c>
      <c r="I2149" s="76">
        <v>3.4700000000000003E-5</v>
      </c>
      <c r="J2149" s="76">
        <v>0</v>
      </c>
      <c r="K2149" s="76">
        <v>1.6200000000000001E-4</v>
      </c>
      <c r="L2149" s="76">
        <v>1.4100000000000001E-4</v>
      </c>
      <c r="M2149" s="76">
        <v>2.2699999999999999E-4</v>
      </c>
    </row>
    <row r="2150" spans="3:13" x14ac:dyDescent="0.15">
      <c r="C2150" s="76">
        <v>740</v>
      </c>
      <c r="D2150" s="76">
        <v>2.05E-5</v>
      </c>
      <c r="E2150" s="76">
        <v>7.6699999999999994E-6</v>
      </c>
      <c r="F2150" s="76">
        <v>2.9099999999999999E-5</v>
      </c>
      <c r="G2150" s="76">
        <v>1.6099999999999998E-5</v>
      </c>
      <c r="H2150" s="76">
        <v>4.07E-5</v>
      </c>
      <c r="I2150" s="76">
        <v>4.4299999999999999E-5</v>
      </c>
      <c r="J2150" s="76">
        <v>3.3000000000000003E-5</v>
      </c>
      <c r="K2150" s="76">
        <v>2.14E-4</v>
      </c>
      <c r="L2150" s="76">
        <v>3.3599999999999997E-5</v>
      </c>
      <c r="M2150" s="76">
        <v>2.4800000000000001E-4</v>
      </c>
    </row>
    <row r="2151" spans="3:13" x14ac:dyDescent="0.15">
      <c r="C2151" s="76">
        <v>742</v>
      </c>
      <c r="D2151" s="76">
        <v>1.6500000000000001E-5</v>
      </c>
      <c r="E2151" s="76">
        <v>7.17E-6</v>
      </c>
      <c r="F2151" s="76">
        <v>5.9900000000000002E-6</v>
      </c>
      <c r="G2151" s="76">
        <v>7.3499999999999999E-6</v>
      </c>
      <c r="H2151" s="76">
        <v>2.5399999999999998E-6</v>
      </c>
      <c r="I2151" s="76">
        <v>1.29E-5</v>
      </c>
      <c r="J2151" s="76">
        <v>4.9499999999999997E-5</v>
      </c>
      <c r="K2151" s="76">
        <v>1.95E-4</v>
      </c>
      <c r="L2151" s="76">
        <v>6.9800000000000003E-5</v>
      </c>
      <c r="M2151" s="76">
        <v>8.8999999999999995E-5</v>
      </c>
    </row>
    <row r="2152" spans="3:13" x14ac:dyDescent="0.15">
      <c r="C2152" s="76">
        <v>744</v>
      </c>
      <c r="D2152" s="76">
        <v>1.11E-5</v>
      </c>
      <c r="E2152" s="76">
        <v>1.31E-5</v>
      </c>
      <c r="F2152" s="76">
        <v>2.3099999999999999E-5</v>
      </c>
      <c r="G2152" s="76">
        <v>3.2700000000000002E-5</v>
      </c>
      <c r="H2152" s="76">
        <v>5.0599999999999998E-6</v>
      </c>
      <c r="I2152" s="76">
        <v>8.7899999999999995E-5</v>
      </c>
      <c r="J2152" s="76">
        <v>2.76E-5</v>
      </c>
      <c r="K2152" s="76">
        <v>1.5799999999999999E-4</v>
      </c>
      <c r="L2152" s="76">
        <v>7.0699999999999997E-5</v>
      </c>
      <c r="M2152" s="76">
        <v>3.6900000000000002E-4</v>
      </c>
    </row>
    <row r="2153" spans="3:13" x14ac:dyDescent="0.15">
      <c r="C2153" s="76">
        <v>746</v>
      </c>
      <c r="D2153" s="76">
        <v>1.56E-5</v>
      </c>
      <c r="E2153" s="76">
        <v>3.15E-5</v>
      </c>
      <c r="F2153" s="76">
        <v>1.11E-5</v>
      </c>
      <c r="G2153" s="76">
        <v>3.3200000000000001E-5</v>
      </c>
      <c r="H2153" s="76">
        <v>3.3300000000000003E-5</v>
      </c>
      <c r="I2153" s="76">
        <v>1.5300000000000001E-4</v>
      </c>
      <c r="J2153" s="76">
        <v>1.08E-4</v>
      </c>
      <c r="K2153" s="76">
        <v>2.0000000000000001E-4</v>
      </c>
      <c r="L2153" s="76">
        <v>4.99E-5</v>
      </c>
      <c r="M2153" s="76">
        <v>1.8100000000000001E-4</v>
      </c>
    </row>
    <row r="2154" spans="3:13" x14ac:dyDescent="0.15">
      <c r="C2154" s="76">
        <v>748</v>
      </c>
      <c r="D2154" s="76">
        <v>6.9299999999999997E-6</v>
      </c>
      <c r="E2154" s="76">
        <v>9.7399999999999999E-6</v>
      </c>
      <c r="F2154" s="76">
        <v>1.59E-6</v>
      </c>
      <c r="G2154" s="76">
        <v>3.8800000000000001E-5</v>
      </c>
      <c r="H2154" s="76">
        <v>3.0199999999999999E-5</v>
      </c>
      <c r="I2154" s="76">
        <v>1.26E-4</v>
      </c>
      <c r="J2154" s="76">
        <v>1.15E-4</v>
      </c>
      <c r="K2154" s="76">
        <v>3.79E-4</v>
      </c>
      <c r="L2154" s="76">
        <v>1.0200000000000001E-5</v>
      </c>
      <c r="M2154" s="76">
        <v>2.1900000000000001E-4</v>
      </c>
    </row>
    <row r="2155" spans="3:13" x14ac:dyDescent="0.15">
      <c r="C2155" s="76">
        <v>750</v>
      </c>
      <c r="D2155" s="76">
        <v>1.6799999999999998E-5</v>
      </c>
      <c r="E2155" s="76">
        <v>4.0800000000000002E-5</v>
      </c>
      <c r="F2155" s="76">
        <v>1.1E-5</v>
      </c>
      <c r="G2155" s="76">
        <v>3.0599999999999998E-5</v>
      </c>
      <c r="H2155" s="76">
        <v>1.98E-5</v>
      </c>
      <c r="I2155" s="76">
        <v>1.37E-4</v>
      </c>
      <c r="J2155" s="76">
        <v>1.5300000000000001E-4</v>
      </c>
      <c r="K2155" s="76">
        <v>1.8599999999999999E-4</v>
      </c>
      <c r="L2155" s="76">
        <v>1.01E-5</v>
      </c>
      <c r="M2155" s="76">
        <v>1.2899999999999999E-4</v>
      </c>
    </row>
    <row r="2156" spans="3:13" x14ac:dyDescent="0.15">
      <c r="C2156" s="76">
        <v>752</v>
      </c>
      <c r="D2156" s="76">
        <v>2.0100000000000001E-5</v>
      </c>
      <c r="E2156" s="76">
        <v>3.8600000000000003E-5</v>
      </c>
      <c r="F2156" s="76">
        <v>2.9499999999999999E-5</v>
      </c>
      <c r="G2156" s="76">
        <v>3.9799999999999998E-5</v>
      </c>
      <c r="H2156" s="76">
        <v>1.38E-5</v>
      </c>
      <c r="I2156" s="76">
        <v>1.05E-4</v>
      </c>
      <c r="J2156" s="76">
        <v>2.0599999999999999E-4</v>
      </c>
      <c r="K2156" s="76">
        <v>1.95E-4</v>
      </c>
      <c r="L2156" s="76">
        <v>1.88E-5</v>
      </c>
      <c r="M2156" s="76">
        <v>6.2700000000000006E-5</v>
      </c>
    </row>
    <row r="2157" spans="3:13" x14ac:dyDescent="0.15">
      <c r="C2157" s="76">
        <v>754</v>
      </c>
      <c r="D2157" s="76">
        <v>2.1399999999999998E-5</v>
      </c>
      <c r="E2157" s="76">
        <v>3.1999999999999999E-5</v>
      </c>
      <c r="F2157" s="76">
        <v>8.3999999999999992E-6</v>
      </c>
      <c r="G2157" s="76">
        <v>2.8799999999999999E-5</v>
      </c>
      <c r="H2157" s="76">
        <v>7.9200000000000001E-5</v>
      </c>
      <c r="I2157" s="76">
        <v>1.2300000000000001E-4</v>
      </c>
      <c r="J2157" s="76">
        <v>2.03E-4</v>
      </c>
      <c r="K2157" s="76">
        <v>2.6400000000000002E-4</v>
      </c>
      <c r="L2157" s="76">
        <v>0</v>
      </c>
      <c r="M2157" s="76">
        <v>6.4999999999999994E-5</v>
      </c>
    </row>
    <row r="2158" spans="3:13" x14ac:dyDescent="0.15">
      <c r="C2158" s="76">
        <v>756</v>
      </c>
      <c r="D2158" s="76">
        <v>2.76E-5</v>
      </c>
      <c r="E2158" s="76">
        <v>4.4100000000000001E-5</v>
      </c>
      <c r="F2158" s="76">
        <v>2.34E-5</v>
      </c>
      <c r="G2158" s="76">
        <v>5.6700000000000003E-5</v>
      </c>
      <c r="H2158" s="76">
        <v>1.2300000000000001E-4</v>
      </c>
      <c r="I2158" s="76">
        <v>9.3399999999999993E-5</v>
      </c>
      <c r="J2158" s="76">
        <v>2.14E-4</v>
      </c>
      <c r="K2158" s="76">
        <v>2.0900000000000001E-4</v>
      </c>
      <c r="L2158" s="76">
        <v>0</v>
      </c>
      <c r="M2158" s="76">
        <v>1.1900000000000001E-4</v>
      </c>
    </row>
    <row r="2159" spans="3:13" x14ac:dyDescent="0.15">
      <c r="C2159" s="76">
        <v>758</v>
      </c>
      <c r="D2159" s="76">
        <v>8.7600000000000008E-6</v>
      </c>
      <c r="E2159" s="76">
        <v>5.3399999999999997E-5</v>
      </c>
      <c r="F2159" s="76">
        <v>3.0300000000000001E-5</v>
      </c>
      <c r="G2159" s="76">
        <v>7.1000000000000005E-5</v>
      </c>
      <c r="H2159" s="76">
        <v>1.12E-4</v>
      </c>
      <c r="I2159" s="76">
        <v>8.9300000000000002E-5</v>
      </c>
      <c r="J2159" s="76">
        <v>2.3900000000000001E-4</v>
      </c>
      <c r="K2159" s="76">
        <v>2.23E-4</v>
      </c>
      <c r="L2159" s="76">
        <v>0</v>
      </c>
      <c r="M2159" s="76">
        <v>8.8999999999999995E-6</v>
      </c>
    </row>
    <row r="2160" spans="3:13" x14ac:dyDescent="0.15">
      <c r="C2160" s="76">
        <v>760</v>
      </c>
      <c r="D2160" s="76">
        <v>1.15E-5</v>
      </c>
      <c r="E2160" s="76">
        <v>3.7400000000000001E-5</v>
      </c>
      <c r="F2160" s="76">
        <v>4.1600000000000002E-5</v>
      </c>
      <c r="G2160" s="76">
        <v>8.5900000000000001E-5</v>
      </c>
      <c r="H2160" s="76">
        <v>1.0900000000000001E-4</v>
      </c>
      <c r="I2160" s="76">
        <v>1.47E-4</v>
      </c>
      <c r="J2160" s="76">
        <v>2.6200000000000003E-4</v>
      </c>
      <c r="K2160" s="76">
        <v>1.35E-4</v>
      </c>
      <c r="L2160" s="76">
        <v>0</v>
      </c>
      <c r="M2160" s="76">
        <v>4.6600000000000001E-5</v>
      </c>
    </row>
    <row r="2161" spans="2:13" x14ac:dyDescent="0.15">
      <c r="C2161" s="76">
        <v>762</v>
      </c>
      <c r="D2161" s="76">
        <v>1.9700000000000001E-5</v>
      </c>
      <c r="E2161" s="76">
        <v>4.4199999999999997E-5</v>
      </c>
      <c r="F2161" s="76">
        <v>1.9199999999999999E-5</v>
      </c>
      <c r="G2161" s="76">
        <v>7.7799999999999994E-5</v>
      </c>
      <c r="H2161" s="76">
        <v>1.1900000000000001E-4</v>
      </c>
      <c r="I2161" s="76">
        <v>2.7700000000000001E-4</v>
      </c>
      <c r="J2161" s="76">
        <v>1.45E-4</v>
      </c>
      <c r="K2161" s="76">
        <v>2.1000000000000001E-4</v>
      </c>
      <c r="L2161" s="76">
        <v>0</v>
      </c>
      <c r="M2161" s="76">
        <v>2.3699999999999999E-4</v>
      </c>
    </row>
    <row r="2162" spans="2:13" x14ac:dyDescent="0.15">
      <c r="C2162" s="76">
        <v>764</v>
      </c>
      <c r="D2162" s="76">
        <v>7.0999999999999998E-6</v>
      </c>
      <c r="E2162" s="76">
        <v>3.5099999999999999E-5</v>
      </c>
      <c r="F2162" s="76">
        <v>3.6300000000000001E-5</v>
      </c>
      <c r="G2162" s="76">
        <v>8.4900000000000004E-5</v>
      </c>
      <c r="H2162" s="76">
        <v>1.2899999999999999E-4</v>
      </c>
      <c r="I2162" s="76">
        <v>3.8099999999999998E-5</v>
      </c>
      <c r="J2162" s="76">
        <v>1.9599999999999999E-4</v>
      </c>
      <c r="K2162" s="76">
        <v>1.85E-4</v>
      </c>
      <c r="L2162" s="76">
        <v>3.3899999999999997E-5</v>
      </c>
      <c r="M2162" s="76">
        <v>1.7100000000000001E-4</v>
      </c>
    </row>
    <row r="2163" spans="2:13" x14ac:dyDescent="0.15">
      <c r="C2163" s="76">
        <v>766</v>
      </c>
      <c r="D2163" s="76">
        <v>1.91E-5</v>
      </c>
      <c r="E2163" s="76">
        <v>3.2100000000000001E-5</v>
      </c>
      <c r="F2163" s="76">
        <v>2.58E-5</v>
      </c>
      <c r="G2163" s="76">
        <v>1.01E-4</v>
      </c>
      <c r="H2163" s="76">
        <v>1.16E-4</v>
      </c>
      <c r="I2163" s="76">
        <v>1.05E-4</v>
      </c>
      <c r="J2163" s="76">
        <v>2.34E-4</v>
      </c>
      <c r="K2163" s="76">
        <v>2.81E-4</v>
      </c>
      <c r="L2163" s="76">
        <v>7.5099999999999996E-5</v>
      </c>
      <c r="M2163" s="76">
        <v>1.3100000000000001E-4</v>
      </c>
    </row>
    <row r="2164" spans="2:13" x14ac:dyDescent="0.15">
      <c r="C2164" s="76">
        <v>768</v>
      </c>
      <c r="D2164" s="76">
        <v>1.9300000000000002E-5</v>
      </c>
      <c r="E2164" s="76">
        <v>5.1900000000000001E-5</v>
      </c>
      <c r="F2164" s="76">
        <v>2.6699999999999998E-5</v>
      </c>
      <c r="G2164" s="76">
        <v>1.36E-4</v>
      </c>
      <c r="H2164" s="76">
        <v>1.13E-4</v>
      </c>
      <c r="I2164" s="76">
        <v>7.6699999999999994E-5</v>
      </c>
      <c r="J2164" s="76">
        <v>2.4699999999999999E-4</v>
      </c>
      <c r="K2164" s="76">
        <v>2.32E-4</v>
      </c>
      <c r="L2164" s="76">
        <v>5.3600000000000002E-5</v>
      </c>
      <c r="M2164" s="76">
        <v>1.8000000000000001E-4</v>
      </c>
    </row>
    <row r="2165" spans="2:13" x14ac:dyDescent="0.15">
      <c r="C2165" s="76">
        <v>770</v>
      </c>
      <c r="D2165" s="76">
        <v>1.43E-5</v>
      </c>
      <c r="E2165" s="76">
        <v>6.9499999999999995E-5</v>
      </c>
      <c r="F2165" s="76">
        <v>4.5000000000000003E-5</v>
      </c>
      <c r="G2165" s="76">
        <v>1.3899999999999999E-4</v>
      </c>
      <c r="H2165" s="76">
        <v>1.7100000000000001E-4</v>
      </c>
      <c r="I2165" s="76">
        <v>1.12E-4</v>
      </c>
      <c r="J2165" s="76">
        <v>2.03E-4</v>
      </c>
      <c r="K2165" s="76">
        <v>1.2999999999999999E-4</v>
      </c>
      <c r="L2165" s="76">
        <v>1.0900000000000001E-4</v>
      </c>
      <c r="M2165" s="76">
        <v>2.6699999999999998E-4</v>
      </c>
    </row>
    <row r="2166" spans="2:13" x14ac:dyDescent="0.15">
      <c r="C2166" s="76">
        <v>772</v>
      </c>
      <c r="D2166" s="76">
        <v>1.73E-5</v>
      </c>
      <c r="E2166" s="76">
        <v>5.0699999999999999E-5</v>
      </c>
      <c r="F2166" s="76">
        <v>4.9299999999999999E-5</v>
      </c>
      <c r="G2166" s="76">
        <v>1.18E-4</v>
      </c>
      <c r="H2166" s="76">
        <v>1.5799999999999999E-4</v>
      </c>
      <c r="I2166" s="76">
        <v>1.6000000000000001E-4</v>
      </c>
      <c r="J2166" s="76">
        <v>1.3300000000000001E-4</v>
      </c>
      <c r="K2166" s="76">
        <v>1.13E-4</v>
      </c>
      <c r="L2166" s="76">
        <v>1.34E-4</v>
      </c>
      <c r="M2166" s="76">
        <v>2.02E-4</v>
      </c>
    </row>
    <row r="2167" spans="2:13" x14ac:dyDescent="0.15">
      <c r="C2167" s="76">
        <v>774</v>
      </c>
      <c r="D2167" s="76">
        <v>1.5699999999999999E-5</v>
      </c>
      <c r="E2167" s="76">
        <v>3.9499999999999998E-5</v>
      </c>
      <c r="F2167" s="76">
        <v>1.5400000000000002E-5</v>
      </c>
      <c r="G2167" s="76">
        <v>1.3899999999999999E-4</v>
      </c>
      <c r="H2167" s="76">
        <v>1.6899999999999999E-4</v>
      </c>
      <c r="I2167" s="76">
        <v>1.5100000000000001E-4</v>
      </c>
      <c r="J2167" s="76">
        <v>2.13E-4</v>
      </c>
      <c r="K2167" s="76">
        <v>1.2E-4</v>
      </c>
      <c r="L2167" s="76">
        <v>1.2999999999999999E-4</v>
      </c>
      <c r="M2167" s="76">
        <v>3.1500000000000001E-4</v>
      </c>
    </row>
    <row r="2168" spans="2:13" x14ac:dyDescent="0.15">
      <c r="C2168" s="76">
        <v>776</v>
      </c>
      <c r="D2168" s="76">
        <v>1.34E-5</v>
      </c>
      <c r="E2168" s="76">
        <v>4.8000000000000001E-5</v>
      </c>
      <c r="F2168" s="76">
        <v>1.15E-4</v>
      </c>
      <c r="G2168" s="76">
        <v>1.47E-4</v>
      </c>
      <c r="H2168" s="76">
        <v>1.2999999999999999E-4</v>
      </c>
      <c r="I2168" s="76">
        <v>1.2899999999999999E-4</v>
      </c>
      <c r="J2168" s="76">
        <v>1.94E-4</v>
      </c>
      <c r="K2168" s="76">
        <v>1.3300000000000001E-4</v>
      </c>
      <c r="L2168" s="76">
        <v>2.4600000000000002E-4</v>
      </c>
      <c r="M2168" s="76">
        <v>3.3399999999999999E-4</v>
      </c>
    </row>
    <row r="2169" spans="2:13" x14ac:dyDescent="0.15">
      <c r="C2169" s="76">
        <v>778</v>
      </c>
      <c r="D2169" s="76">
        <v>9.7599999999999997E-6</v>
      </c>
      <c r="E2169" s="76">
        <v>5.0500000000000001E-5</v>
      </c>
      <c r="F2169" s="76">
        <v>4.85E-5</v>
      </c>
      <c r="G2169" s="76">
        <v>1.5200000000000001E-4</v>
      </c>
      <c r="H2169" s="76">
        <v>1.12E-4</v>
      </c>
      <c r="I2169" s="76">
        <v>1.47E-4</v>
      </c>
      <c r="J2169" s="76">
        <v>1.83E-4</v>
      </c>
      <c r="K2169" s="76">
        <v>1.4100000000000001E-4</v>
      </c>
      <c r="L2169" s="76">
        <v>2.24E-4</v>
      </c>
      <c r="M2169" s="76">
        <v>3.0400000000000002E-4</v>
      </c>
    </row>
    <row r="2170" spans="2:13" x14ac:dyDescent="0.15">
      <c r="C2170" s="76">
        <v>780</v>
      </c>
      <c r="D2170" s="76">
        <v>7.61E-6</v>
      </c>
      <c r="E2170" s="76">
        <v>6.8999999999999997E-5</v>
      </c>
      <c r="F2170" s="120">
        <v>2.4199999999999999E-5</v>
      </c>
      <c r="G2170" s="76">
        <v>1.56E-4</v>
      </c>
      <c r="H2170" s="120">
        <v>9.8900000000000005E-5</v>
      </c>
      <c r="I2170" s="76">
        <v>7.6699999999999994E-5</v>
      </c>
      <c r="J2170" s="120">
        <v>2.6899999999999998E-4</v>
      </c>
      <c r="K2170" s="76">
        <v>1.0900000000000001E-4</v>
      </c>
      <c r="L2170" s="76">
        <v>1.7000000000000001E-4</v>
      </c>
      <c r="M2170" s="76">
        <v>2.04E-4</v>
      </c>
    </row>
    <row r="2171" spans="2:13" x14ac:dyDescent="0.15">
      <c r="B2171" s="76">
        <v>31</v>
      </c>
      <c r="C2171" s="76" t="s">
        <v>561</v>
      </c>
      <c r="D2171" s="76">
        <v>1</v>
      </c>
      <c r="E2171" s="76">
        <v>2</v>
      </c>
      <c r="F2171" s="76">
        <v>3</v>
      </c>
      <c r="G2171" s="76">
        <v>4</v>
      </c>
      <c r="H2171" s="76">
        <v>5</v>
      </c>
      <c r="I2171" s="76">
        <v>6</v>
      </c>
      <c r="J2171" s="76">
        <v>7</v>
      </c>
      <c r="K2171" s="76">
        <v>8</v>
      </c>
      <c r="L2171" s="76">
        <v>9</v>
      </c>
      <c r="M2171" s="76">
        <v>10</v>
      </c>
    </row>
    <row r="2172" spans="2:13" x14ac:dyDescent="0.15">
      <c r="C2172" s="76" t="s">
        <v>556</v>
      </c>
      <c r="D2172" s="76">
        <v>3.5710000000000002</v>
      </c>
      <c r="E2172" s="76">
        <v>3.71</v>
      </c>
      <c r="F2172" s="76">
        <v>3.8090000000000002</v>
      </c>
      <c r="G2172" s="76">
        <v>3.89</v>
      </c>
      <c r="H2172" s="76">
        <v>3.96</v>
      </c>
      <c r="I2172" s="76">
        <v>4.024</v>
      </c>
      <c r="J2172" s="76">
        <v>4.0810000000000004</v>
      </c>
      <c r="K2172" s="76">
        <v>4.1340000000000003</v>
      </c>
      <c r="L2172" s="76">
        <v>4.1840000000000002</v>
      </c>
      <c r="M2172" s="76">
        <v>4.2309999999999999</v>
      </c>
    </row>
    <row r="2173" spans="2:13" x14ac:dyDescent="0.15">
      <c r="C2173" s="76" t="s">
        <v>562</v>
      </c>
      <c r="D2173" s="76">
        <v>0.08</v>
      </c>
      <c r="E2173" s="76">
        <v>0.16</v>
      </c>
      <c r="F2173" s="76">
        <v>0.24</v>
      </c>
      <c r="G2173" s="76">
        <v>0.32</v>
      </c>
      <c r="H2173" s="76">
        <v>0.4</v>
      </c>
      <c r="I2173" s="76">
        <v>0.48</v>
      </c>
      <c r="J2173" s="76">
        <v>0.56000000000000005</v>
      </c>
      <c r="K2173" s="76">
        <v>0.64</v>
      </c>
      <c r="L2173" s="76">
        <v>0.72</v>
      </c>
      <c r="M2173" s="76">
        <v>0.8</v>
      </c>
    </row>
    <row r="2174" spans="2:13" x14ac:dyDescent="0.15">
      <c r="C2174" s="76" t="s">
        <v>557</v>
      </c>
      <c r="D2174" s="76">
        <v>2</v>
      </c>
      <c r="E2174" s="76">
        <v>4</v>
      </c>
      <c r="F2174" s="76">
        <v>6</v>
      </c>
      <c r="G2174" s="76">
        <v>8</v>
      </c>
      <c r="H2174" s="76">
        <v>10</v>
      </c>
      <c r="I2174" s="76">
        <v>12</v>
      </c>
      <c r="J2174" s="76">
        <v>14</v>
      </c>
      <c r="K2174" s="76">
        <v>16</v>
      </c>
      <c r="L2174" s="76">
        <v>18</v>
      </c>
      <c r="M2174" s="76">
        <v>20</v>
      </c>
    </row>
    <row r="2175" spans="2:13" x14ac:dyDescent="0.15">
      <c r="C2175" s="76" t="s">
        <v>560</v>
      </c>
      <c r="D2175" s="76">
        <v>8.2889999999999997</v>
      </c>
      <c r="E2175" s="76">
        <v>8.4589999999999996</v>
      </c>
      <c r="F2175" s="76">
        <v>8.4760000000000009</v>
      </c>
      <c r="G2175" s="76">
        <v>8.4789999999999992</v>
      </c>
      <c r="H2175" s="76">
        <v>8.468</v>
      </c>
      <c r="I2175" s="76">
        <v>8.4410000000000007</v>
      </c>
      <c r="J2175" s="76">
        <v>8.4280000000000008</v>
      </c>
      <c r="K2175" s="76">
        <v>8.4120000000000008</v>
      </c>
      <c r="L2175" s="76">
        <v>8.3889999999999993</v>
      </c>
      <c r="M2175" s="76">
        <v>8.375</v>
      </c>
    </row>
    <row r="2176" spans="2:13" x14ac:dyDescent="0.15">
      <c r="C2176" s="76" t="s">
        <v>563</v>
      </c>
      <c r="D2176" s="76">
        <v>7.2918589999999996</v>
      </c>
      <c r="E2176" s="76">
        <v>7.1626709999999996</v>
      </c>
      <c r="F2176" s="76">
        <v>6.9911089999999998</v>
      </c>
      <c r="G2176" s="76">
        <v>6.8481810000000003</v>
      </c>
      <c r="H2176" s="76">
        <v>6.7175039999999999</v>
      </c>
      <c r="I2176" s="76">
        <v>6.5909620000000002</v>
      </c>
      <c r="J2176" s="76">
        <v>6.4876820000000004</v>
      </c>
      <c r="K2176" s="76">
        <v>6.3920219999999999</v>
      </c>
      <c r="L2176" s="76">
        <v>6.298603</v>
      </c>
      <c r="M2176" s="76">
        <v>6.218985</v>
      </c>
    </row>
    <row r="2177" spans="3:13" x14ac:dyDescent="0.15">
      <c r="C2177" s="76" t="s">
        <v>564</v>
      </c>
      <c r="D2177" s="76">
        <v>165.8</v>
      </c>
      <c r="E2177" s="76">
        <v>338.4</v>
      </c>
      <c r="F2177" s="76">
        <v>508.6</v>
      </c>
      <c r="G2177" s="120">
        <v>678.4</v>
      </c>
      <c r="H2177" s="76">
        <v>846.9</v>
      </c>
      <c r="I2177" s="76">
        <v>1013</v>
      </c>
      <c r="J2177" s="76">
        <v>1180</v>
      </c>
      <c r="K2177" s="76">
        <v>1346</v>
      </c>
      <c r="L2177" s="76">
        <v>1510</v>
      </c>
      <c r="M2177" s="76">
        <v>1675</v>
      </c>
    </row>
    <row r="2178" spans="3:13" x14ac:dyDescent="0.15">
      <c r="C2178" s="76" t="s">
        <v>565</v>
      </c>
      <c r="D2178" s="76">
        <v>165.8</v>
      </c>
      <c r="E2178" s="76">
        <v>338.4</v>
      </c>
      <c r="F2178" s="76">
        <v>508.6</v>
      </c>
      <c r="G2178" s="120">
        <v>678.4</v>
      </c>
      <c r="H2178" s="76">
        <v>846.9</v>
      </c>
      <c r="I2178" s="76">
        <v>1013</v>
      </c>
      <c r="J2178" s="76">
        <v>1180</v>
      </c>
      <c r="K2178" s="76">
        <v>1346</v>
      </c>
      <c r="L2178" s="76">
        <v>1510</v>
      </c>
      <c r="M2178" s="76">
        <v>1675</v>
      </c>
    </row>
    <row r="2179" spans="3:13" x14ac:dyDescent="0.15">
      <c r="C2179" s="76" t="s">
        <v>566</v>
      </c>
      <c r="D2179" s="76">
        <v>0.1353</v>
      </c>
      <c r="E2179" s="76">
        <v>0.13500000000000001</v>
      </c>
      <c r="F2179" s="76">
        <v>0.13500000000000001</v>
      </c>
      <c r="G2179" s="120">
        <v>0.1351</v>
      </c>
      <c r="H2179" s="76">
        <v>0.1351</v>
      </c>
      <c r="I2179" s="76">
        <v>0.1351</v>
      </c>
      <c r="J2179" s="76">
        <v>0.1351</v>
      </c>
      <c r="K2179" s="76">
        <v>0.1351</v>
      </c>
      <c r="L2179" s="76">
        <v>0.13519999999999999</v>
      </c>
      <c r="M2179" s="76">
        <v>0.13519999999999999</v>
      </c>
    </row>
    <row r="2180" spans="3:13" x14ac:dyDescent="0.15">
      <c r="C2180" s="76" t="s">
        <v>567</v>
      </c>
      <c r="D2180" s="76">
        <v>0.1188</v>
      </c>
      <c r="E2180" s="76">
        <v>0.1187</v>
      </c>
      <c r="F2180" s="76">
        <v>0.11849999999999999</v>
      </c>
      <c r="G2180" s="120">
        <v>0.11849999999999999</v>
      </c>
      <c r="H2180" s="76">
        <v>0.11849999999999999</v>
      </c>
      <c r="I2180" s="76">
        <v>0.1183</v>
      </c>
      <c r="J2180" s="76">
        <v>0.11840000000000001</v>
      </c>
      <c r="K2180" s="76">
        <v>0.11840000000000001</v>
      </c>
      <c r="L2180" s="76">
        <v>0.11840000000000001</v>
      </c>
      <c r="M2180" s="76">
        <v>0.1183</v>
      </c>
    </row>
    <row r="2181" spans="3:13" x14ac:dyDescent="0.15">
      <c r="C2181" s="76" t="s">
        <v>568</v>
      </c>
      <c r="D2181" s="76">
        <v>9.1435999999999993</v>
      </c>
      <c r="E2181" s="76">
        <v>9.3321000000000005</v>
      </c>
      <c r="F2181" s="76">
        <v>9.3612000000000002</v>
      </c>
      <c r="G2181" s="76">
        <v>9.3694000000000006</v>
      </c>
      <c r="H2181" s="76">
        <v>9.3585999999999991</v>
      </c>
      <c r="I2181" s="76">
        <v>9.3271999999999995</v>
      </c>
      <c r="J2181" s="76">
        <v>9.3163</v>
      </c>
      <c r="K2181" s="76">
        <v>9.3009000000000004</v>
      </c>
      <c r="L2181" s="76">
        <v>9.2766999999999999</v>
      </c>
      <c r="M2181" s="76">
        <v>9.2643000000000004</v>
      </c>
    </row>
    <row r="2182" spans="3:13" x14ac:dyDescent="0.15">
      <c r="C2182" s="76" t="s">
        <v>569</v>
      </c>
    </row>
    <row r="2183" spans="3:13" x14ac:dyDescent="0.15">
      <c r="C2183" s="76" t="s">
        <v>570</v>
      </c>
      <c r="D2183" s="76">
        <v>4</v>
      </c>
      <c r="E2183" s="76">
        <v>4</v>
      </c>
      <c r="F2183" s="76">
        <v>4</v>
      </c>
      <c r="G2183" s="76">
        <v>4</v>
      </c>
      <c r="H2183" s="76">
        <v>4</v>
      </c>
      <c r="I2183" s="76">
        <v>4</v>
      </c>
      <c r="J2183" s="76">
        <v>4</v>
      </c>
      <c r="K2183" s="76">
        <v>4</v>
      </c>
      <c r="L2183" s="76">
        <v>4</v>
      </c>
      <c r="M2183" s="76">
        <v>4</v>
      </c>
    </row>
    <row r="2184" spans="3:13" x14ac:dyDescent="0.15">
      <c r="C2184" s="76" t="s">
        <v>571</v>
      </c>
      <c r="D2184" s="76">
        <v>100</v>
      </c>
      <c r="E2184" s="76">
        <v>100</v>
      </c>
      <c r="F2184" s="76">
        <v>100</v>
      </c>
      <c r="G2184" s="76">
        <v>100</v>
      </c>
      <c r="H2184" s="76">
        <v>100</v>
      </c>
      <c r="I2184" s="76">
        <v>100</v>
      </c>
      <c r="J2184" s="76">
        <v>100</v>
      </c>
      <c r="K2184" s="76">
        <v>100</v>
      </c>
      <c r="L2184" s="76">
        <v>100</v>
      </c>
      <c r="M2184" s="76">
        <v>100</v>
      </c>
    </row>
    <row r="2185" spans="3:13" x14ac:dyDescent="0.15">
      <c r="C2185" s="76" t="s">
        <v>572</v>
      </c>
      <c r="D2185" s="76" t="s">
        <v>574</v>
      </c>
      <c r="E2185" s="76" t="s">
        <v>574</v>
      </c>
      <c r="F2185" s="76" t="s">
        <v>574</v>
      </c>
      <c r="G2185" s="76" t="s">
        <v>574</v>
      </c>
      <c r="H2185" s="76" t="s">
        <v>574</v>
      </c>
      <c r="I2185" s="76" t="s">
        <v>574</v>
      </c>
      <c r="J2185" s="76" t="s">
        <v>574</v>
      </c>
      <c r="K2185" s="76" t="s">
        <v>574</v>
      </c>
      <c r="L2185" s="76" t="s">
        <v>574</v>
      </c>
      <c r="M2185" s="76" t="s">
        <v>574</v>
      </c>
    </row>
    <row r="2186" spans="3:13" x14ac:dyDescent="0.15">
      <c r="C2186" s="76" t="s">
        <v>573</v>
      </c>
      <c r="D2186" s="76">
        <v>1</v>
      </c>
      <c r="E2186" s="76">
        <v>2</v>
      </c>
      <c r="F2186" s="76">
        <v>3</v>
      </c>
      <c r="G2186" s="76">
        <v>4</v>
      </c>
      <c r="H2186" s="76">
        <v>5</v>
      </c>
      <c r="I2186" s="76">
        <v>6</v>
      </c>
      <c r="J2186" s="76">
        <v>7</v>
      </c>
      <c r="K2186" s="76">
        <v>8</v>
      </c>
      <c r="L2186" s="76">
        <v>9</v>
      </c>
      <c r="M2186" s="76">
        <v>10</v>
      </c>
    </row>
    <row r="2187" spans="3:13" x14ac:dyDescent="0.15">
      <c r="C2187" s="76">
        <v>380</v>
      </c>
      <c r="D2187" s="76">
        <v>1.03E-4</v>
      </c>
      <c r="E2187" s="76">
        <v>1.3899999999999999E-4</v>
      </c>
      <c r="F2187" s="76">
        <v>3.39E-4</v>
      </c>
      <c r="G2187" s="76">
        <v>8.2200000000000003E-4</v>
      </c>
      <c r="H2187" s="76">
        <v>7.4399999999999998E-4</v>
      </c>
      <c r="I2187" s="76">
        <v>1.0300000000000001E-3</v>
      </c>
      <c r="J2187" s="76">
        <v>4.7600000000000002E-4</v>
      </c>
      <c r="K2187" s="76">
        <v>1.1299999999999999E-3</v>
      </c>
      <c r="L2187" s="76">
        <v>1.6100000000000001E-3</v>
      </c>
      <c r="M2187" s="76">
        <v>1.89E-3</v>
      </c>
    </row>
    <row r="2188" spans="3:13" x14ac:dyDescent="0.15">
      <c r="C2188" s="76">
        <v>382</v>
      </c>
      <c r="D2188" s="76">
        <v>1.26E-4</v>
      </c>
      <c r="E2188" s="76">
        <v>2.2800000000000001E-4</v>
      </c>
      <c r="F2188" s="76">
        <v>4.06E-4</v>
      </c>
      <c r="G2188" s="76">
        <v>7.45E-4</v>
      </c>
      <c r="H2188" s="76">
        <v>8.5400000000000005E-4</v>
      </c>
      <c r="I2188" s="76">
        <v>1.1000000000000001E-3</v>
      </c>
      <c r="J2188" s="76">
        <v>7.4899999999999999E-4</v>
      </c>
      <c r="K2188" s="76">
        <v>1.2800000000000001E-3</v>
      </c>
      <c r="L2188" s="76">
        <v>1.5900000000000001E-3</v>
      </c>
      <c r="M2188" s="76">
        <v>2.15E-3</v>
      </c>
    </row>
    <row r="2189" spans="3:13" x14ac:dyDescent="0.15">
      <c r="C2189" s="76">
        <v>384</v>
      </c>
      <c r="D2189" s="76">
        <v>9.3499999999999996E-5</v>
      </c>
      <c r="E2189" s="76">
        <v>1.8599999999999999E-4</v>
      </c>
      <c r="F2189" s="76">
        <v>3.8000000000000002E-4</v>
      </c>
      <c r="G2189" s="76">
        <v>7.2800000000000002E-4</v>
      </c>
      <c r="H2189" s="76">
        <v>7.9600000000000005E-4</v>
      </c>
      <c r="I2189" s="76">
        <v>1.0300000000000001E-3</v>
      </c>
      <c r="J2189" s="76">
        <v>8.1300000000000003E-4</v>
      </c>
      <c r="K2189" s="76">
        <v>1.2800000000000001E-3</v>
      </c>
      <c r="L2189" s="76">
        <v>1.4400000000000001E-3</v>
      </c>
      <c r="M2189" s="76">
        <v>1.7799999999999999E-3</v>
      </c>
    </row>
    <row r="2190" spans="3:13" x14ac:dyDescent="0.15">
      <c r="C2190" s="76">
        <v>386</v>
      </c>
      <c r="D2190" s="76">
        <v>1.0900000000000001E-4</v>
      </c>
      <c r="E2190" s="76">
        <v>1.85E-4</v>
      </c>
      <c r="F2190" s="76">
        <v>3.86E-4</v>
      </c>
      <c r="G2190" s="76">
        <v>7.1000000000000002E-4</v>
      </c>
      <c r="H2190" s="76">
        <v>7.7399999999999995E-4</v>
      </c>
      <c r="I2190" s="76">
        <v>1E-3</v>
      </c>
      <c r="J2190" s="76">
        <v>7.18E-4</v>
      </c>
      <c r="K2190" s="76">
        <v>1.1900000000000001E-3</v>
      </c>
      <c r="L2190" s="76">
        <v>1.3799999999999999E-3</v>
      </c>
      <c r="M2190" s="76">
        <v>1.89E-3</v>
      </c>
    </row>
    <row r="2191" spans="3:13" x14ac:dyDescent="0.15">
      <c r="C2191" s="76">
        <v>388</v>
      </c>
      <c r="D2191" s="76">
        <v>9.8800000000000003E-5</v>
      </c>
      <c r="E2191" s="76">
        <v>2.4600000000000002E-4</v>
      </c>
      <c r="F2191" s="76">
        <v>3.6099999999999999E-4</v>
      </c>
      <c r="G2191" s="76">
        <v>7.3499999999999998E-4</v>
      </c>
      <c r="H2191" s="76">
        <v>7.2099999999999996E-4</v>
      </c>
      <c r="I2191" s="76">
        <v>9.3099999999999997E-4</v>
      </c>
      <c r="J2191" s="76">
        <v>8.6200000000000003E-4</v>
      </c>
      <c r="K2191" s="76">
        <v>1.1999999999999999E-3</v>
      </c>
      <c r="L2191" s="76">
        <v>1.3699999999999999E-3</v>
      </c>
      <c r="M2191" s="76">
        <v>1.73E-3</v>
      </c>
    </row>
    <row r="2192" spans="3:13" x14ac:dyDescent="0.15">
      <c r="C2192" s="76">
        <v>390</v>
      </c>
      <c r="D2192" s="76">
        <v>1.1900000000000001E-4</v>
      </c>
      <c r="E2192" s="76">
        <v>2.2800000000000001E-4</v>
      </c>
      <c r="F2192" s="76">
        <v>3.8499999999999998E-4</v>
      </c>
      <c r="G2192" s="76">
        <v>6.2E-4</v>
      </c>
      <c r="H2192" s="76">
        <v>5.9400000000000002E-4</v>
      </c>
      <c r="I2192" s="76">
        <v>9.4399999999999996E-4</v>
      </c>
      <c r="J2192" s="76">
        <v>6.6799999999999997E-4</v>
      </c>
      <c r="K2192" s="76">
        <v>1.2999999999999999E-3</v>
      </c>
      <c r="L2192" s="76">
        <v>1.4E-3</v>
      </c>
      <c r="M2192" s="76">
        <v>1.5900000000000001E-3</v>
      </c>
    </row>
    <row r="2193" spans="3:13" x14ac:dyDescent="0.15">
      <c r="C2193" s="76">
        <v>392</v>
      </c>
      <c r="D2193" s="76">
        <v>1.3200000000000001E-4</v>
      </c>
      <c r="E2193" s="76">
        <v>1.8699999999999999E-4</v>
      </c>
      <c r="F2193" s="76">
        <v>3.6600000000000001E-4</v>
      </c>
      <c r="G2193" s="76">
        <v>7.2499999999999995E-4</v>
      </c>
      <c r="H2193" s="76">
        <v>5.8399999999999999E-4</v>
      </c>
      <c r="I2193" s="76">
        <v>6.0700000000000001E-4</v>
      </c>
      <c r="J2193" s="76">
        <v>8.7200000000000005E-4</v>
      </c>
      <c r="K2193" s="76">
        <v>1.07E-3</v>
      </c>
      <c r="L2193" s="76">
        <v>1.2800000000000001E-3</v>
      </c>
      <c r="M2193" s="76">
        <v>1.48E-3</v>
      </c>
    </row>
    <row r="2194" spans="3:13" x14ac:dyDescent="0.15">
      <c r="C2194" s="76">
        <v>394</v>
      </c>
      <c r="D2194" s="76">
        <v>1.27E-4</v>
      </c>
      <c r="E2194" s="76">
        <v>2.63E-4</v>
      </c>
      <c r="F2194" s="76">
        <v>3.6499999999999998E-4</v>
      </c>
      <c r="G2194" s="76">
        <v>6.6600000000000003E-4</v>
      </c>
      <c r="H2194" s="76">
        <v>6.9499999999999998E-4</v>
      </c>
      <c r="I2194" s="76">
        <v>6.7100000000000005E-4</v>
      </c>
      <c r="J2194" s="76">
        <v>7.5199999999999996E-4</v>
      </c>
      <c r="K2194" s="76">
        <v>1.08E-3</v>
      </c>
      <c r="L2194" s="76">
        <v>1.1299999999999999E-3</v>
      </c>
      <c r="M2194" s="76">
        <v>1.3699999999999999E-3</v>
      </c>
    </row>
    <row r="2195" spans="3:13" x14ac:dyDescent="0.15">
      <c r="C2195" s="76">
        <v>396</v>
      </c>
      <c r="D2195" s="76">
        <v>9.31E-5</v>
      </c>
      <c r="E2195" s="76">
        <v>1.8599999999999999E-4</v>
      </c>
      <c r="F2195" s="76">
        <v>3.5199999999999999E-4</v>
      </c>
      <c r="G2195" s="76">
        <v>4.26E-4</v>
      </c>
      <c r="H2195" s="76">
        <v>5.5599999999999996E-4</v>
      </c>
      <c r="I2195" s="76">
        <v>7.1599999999999995E-4</v>
      </c>
      <c r="J2195" s="76">
        <v>9.41E-4</v>
      </c>
      <c r="K2195" s="76">
        <v>1.1299999999999999E-3</v>
      </c>
      <c r="L2195" s="76">
        <v>1.0499999999999999E-3</v>
      </c>
      <c r="M2195" s="76">
        <v>1.67E-3</v>
      </c>
    </row>
    <row r="2196" spans="3:13" x14ac:dyDescent="0.15">
      <c r="C2196" s="76">
        <v>398</v>
      </c>
      <c r="D2196" s="76">
        <v>1.16E-4</v>
      </c>
      <c r="E2196" s="76">
        <v>2.9599999999999998E-4</v>
      </c>
      <c r="F2196" s="76">
        <v>3.1799999999999998E-4</v>
      </c>
      <c r="G2196" s="76">
        <v>5.5000000000000003E-4</v>
      </c>
      <c r="H2196" s="76">
        <v>5.8E-4</v>
      </c>
      <c r="I2196" s="76">
        <v>6.8400000000000004E-4</v>
      </c>
      <c r="J2196" s="76">
        <v>8.5700000000000001E-4</v>
      </c>
      <c r="K2196" s="76">
        <v>1.07E-3</v>
      </c>
      <c r="L2196" s="76">
        <v>1.34E-3</v>
      </c>
      <c r="M2196" s="76">
        <v>1.58E-3</v>
      </c>
    </row>
    <row r="2197" spans="3:13" x14ac:dyDescent="0.15">
      <c r="C2197" s="76">
        <v>400</v>
      </c>
      <c r="D2197" s="76">
        <v>1.2E-4</v>
      </c>
      <c r="E2197" s="76">
        <v>2.8499999999999999E-4</v>
      </c>
      <c r="F2197" s="76">
        <v>3.88E-4</v>
      </c>
      <c r="G2197" s="76">
        <v>5.8900000000000001E-4</v>
      </c>
      <c r="H2197" s="76">
        <v>5.9900000000000003E-4</v>
      </c>
      <c r="I2197" s="76">
        <v>6.7100000000000005E-4</v>
      </c>
      <c r="J2197" s="76">
        <v>9.2599999999999996E-4</v>
      </c>
      <c r="K2197" s="76">
        <v>1.2199999999999999E-3</v>
      </c>
      <c r="L2197" s="76">
        <v>1.5200000000000001E-3</v>
      </c>
      <c r="M2197" s="76">
        <v>1.5E-3</v>
      </c>
    </row>
    <row r="2198" spans="3:13" x14ac:dyDescent="0.15">
      <c r="C2198" s="76">
        <v>402</v>
      </c>
      <c r="D2198" s="76">
        <v>1.3100000000000001E-4</v>
      </c>
      <c r="E2198" s="76">
        <v>2.9100000000000003E-4</v>
      </c>
      <c r="F2198" s="76">
        <v>3.7500000000000001E-4</v>
      </c>
      <c r="G2198" s="76">
        <v>5.7300000000000005E-4</v>
      </c>
      <c r="H2198" s="76">
        <v>5.8699999999999996E-4</v>
      </c>
      <c r="I2198" s="76">
        <v>6.7299999999999999E-4</v>
      </c>
      <c r="J2198" s="76">
        <v>8.2100000000000001E-4</v>
      </c>
      <c r="K2198" s="76">
        <v>1.14E-3</v>
      </c>
      <c r="L2198" s="76">
        <v>1.58E-3</v>
      </c>
      <c r="M2198" s="76">
        <v>1.41E-3</v>
      </c>
    </row>
    <row r="2199" spans="3:13" x14ac:dyDescent="0.15">
      <c r="C2199" s="76">
        <v>404</v>
      </c>
      <c r="D2199" s="76">
        <v>1.36E-4</v>
      </c>
      <c r="E2199" s="76">
        <v>3.0699999999999998E-4</v>
      </c>
      <c r="F2199" s="76">
        <v>4.1800000000000002E-4</v>
      </c>
      <c r="G2199" s="76">
        <v>5.9299999999999999E-4</v>
      </c>
      <c r="H2199" s="76">
        <v>5.4299999999999997E-4</v>
      </c>
      <c r="I2199" s="76">
        <v>7.3899999999999997E-4</v>
      </c>
      <c r="J2199" s="76">
        <v>9.2199999999999997E-4</v>
      </c>
      <c r="K2199" s="76">
        <v>1.1999999999999999E-3</v>
      </c>
      <c r="L2199" s="76">
        <v>1.5E-3</v>
      </c>
      <c r="M2199" s="76">
        <v>1.3600000000000001E-3</v>
      </c>
    </row>
    <row r="2200" spans="3:13" x14ac:dyDescent="0.15">
      <c r="C2200" s="76">
        <v>406</v>
      </c>
      <c r="D2200" s="76">
        <v>1.55E-4</v>
      </c>
      <c r="E2200" s="76">
        <v>3.39E-4</v>
      </c>
      <c r="F2200" s="76">
        <v>4.0000000000000002E-4</v>
      </c>
      <c r="G2200" s="76">
        <v>5.6400000000000005E-4</v>
      </c>
      <c r="H2200" s="76">
        <v>8.9700000000000001E-4</v>
      </c>
      <c r="I2200" s="76">
        <v>7.8700000000000005E-4</v>
      </c>
      <c r="J2200" s="76">
        <v>1.0399999999999999E-3</v>
      </c>
      <c r="K2200" s="76">
        <v>1.17E-3</v>
      </c>
      <c r="L2200" s="76">
        <v>1.5299999999999999E-3</v>
      </c>
      <c r="M2200" s="76">
        <v>1.5200000000000001E-3</v>
      </c>
    </row>
    <row r="2201" spans="3:13" x14ac:dyDescent="0.15">
      <c r="C2201" s="76">
        <v>408</v>
      </c>
      <c r="D2201" s="76">
        <v>1.5699999999999999E-4</v>
      </c>
      <c r="E2201" s="76">
        <v>3.19E-4</v>
      </c>
      <c r="F2201" s="76">
        <v>4.2700000000000002E-4</v>
      </c>
      <c r="G2201" s="76">
        <v>6.0800000000000003E-4</v>
      </c>
      <c r="H2201" s="76">
        <v>8.1300000000000003E-4</v>
      </c>
      <c r="I2201" s="76">
        <v>9.0899999999999998E-4</v>
      </c>
      <c r="J2201" s="76">
        <v>1.09E-3</v>
      </c>
      <c r="K2201" s="76">
        <v>1.2999999999999999E-3</v>
      </c>
      <c r="L2201" s="76">
        <v>1.64E-3</v>
      </c>
      <c r="M2201" s="76">
        <v>1.42E-3</v>
      </c>
    </row>
    <row r="2202" spans="3:13" x14ac:dyDescent="0.15">
      <c r="C2202" s="76">
        <v>410</v>
      </c>
      <c r="D2202" s="76">
        <v>1.7799999999999999E-4</v>
      </c>
      <c r="E2202" s="76">
        <v>3.7300000000000001E-4</v>
      </c>
      <c r="F2202" s="76">
        <v>4.95E-4</v>
      </c>
      <c r="G2202" s="76">
        <v>7.3499999999999998E-4</v>
      </c>
      <c r="H2202" s="76">
        <v>9.41E-4</v>
      </c>
      <c r="I2202" s="76">
        <v>9.8400000000000007E-4</v>
      </c>
      <c r="J2202" s="76">
        <v>1.25E-3</v>
      </c>
      <c r="K2202" s="76">
        <v>1.4400000000000001E-3</v>
      </c>
      <c r="L2202" s="76">
        <v>1.6900000000000001E-3</v>
      </c>
      <c r="M2202" s="76">
        <v>1.8699999999999999E-3</v>
      </c>
    </row>
    <row r="2203" spans="3:13" x14ac:dyDescent="0.15">
      <c r="C2203" s="76">
        <v>412</v>
      </c>
      <c r="D2203" s="76">
        <v>2.0100000000000001E-4</v>
      </c>
      <c r="E2203" s="76">
        <v>4.06E-4</v>
      </c>
      <c r="F2203" s="76">
        <v>6.0099999999999997E-4</v>
      </c>
      <c r="G2203" s="76">
        <v>8.03E-4</v>
      </c>
      <c r="H2203" s="76">
        <v>9.7400000000000004E-4</v>
      </c>
      <c r="I2203" s="76">
        <v>1.1999999999999999E-3</v>
      </c>
      <c r="J2203" s="76">
        <v>1.4599999999999999E-3</v>
      </c>
      <c r="K2203" s="76">
        <v>1.6100000000000001E-3</v>
      </c>
      <c r="L2203" s="76">
        <v>1.8699999999999999E-3</v>
      </c>
      <c r="M2203" s="76">
        <v>1.9499999999999999E-3</v>
      </c>
    </row>
    <row r="2204" spans="3:13" x14ac:dyDescent="0.15">
      <c r="C2204" s="76">
        <v>414</v>
      </c>
      <c r="D2204" s="76">
        <v>2.3699999999999999E-4</v>
      </c>
      <c r="E2204" s="76">
        <v>4.8200000000000001E-4</v>
      </c>
      <c r="F2204" s="76">
        <v>6.7699999999999998E-4</v>
      </c>
      <c r="G2204" s="76">
        <v>9.0700000000000004E-4</v>
      </c>
      <c r="H2204" s="76">
        <v>1.16E-3</v>
      </c>
      <c r="I2204" s="76">
        <v>1.34E-3</v>
      </c>
      <c r="J2204" s="76">
        <v>1.6999999999999999E-3</v>
      </c>
      <c r="K2204" s="76">
        <v>1.9300000000000001E-3</v>
      </c>
      <c r="L2204" s="76">
        <v>2.2300000000000002E-3</v>
      </c>
      <c r="M2204" s="76">
        <v>2.2000000000000001E-3</v>
      </c>
    </row>
    <row r="2205" spans="3:13" x14ac:dyDescent="0.15">
      <c r="C2205" s="76">
        <v>416</v>
      </c>
      <c r="D2205" s="76">
        <v>2.81E-4</v>
      </c>
      <c r="E2205" s="76">
        <v>5.5099999999999995E-4</v>
      </c>
      <c r="F2205" s="76">
        <v>7.9299999999999998E-4</v>
      </c>
      <c r="G2205" s="76">
        <v>1.0300000000000001E-3</v>
      </c>
      <c r="H2205" s="76">
        <v>1.3600000000000001E-3</v>
      </c>
      <c r="I2205" s="76">
        <v>1.6299999999999999E-3</v>
      </c>
      <c r="J2205" s="76">
        <v>2.0200000000000001E-3</v>
      </c>
      <c r="K2205" s="76">
        <v>2.2899999999999999E-3</v>
      </c>
      <c r="L2205" s="76">
        <v>2.5100000000000001E-3</v>
      </c>
      <c r="M2205" s="76">
        <v>2.6099999999999999E-3</v>
      </c>
    </row>
    <row r="2206" spans="3:13" x14ac:dyDescent="0.15">
      <c r="C2206" s="76">
        <v>418</v>
      </c>
      <c r="D2206" s="76">
        <v>3.2400000000000001E-4</v>
      </c>
      <c r="E2206" s="76">
        <v>6.5099999999999999E-4</v>
      </c>
      <c r="F2206" s="76">
        <v>9.4600000000000001E-4</v>
      </c>
      <c r="G2206" s="76">
        <v>1.25E-3</v>
      </c>
      <c r="H2206" s="76">
        <v>1.5900000000000001E-3</v>
      </c>
      <c r="I2206" s="76">
        <v>1.9300000000000001E-3</v>
      </c>
      <c r="J2206" s="76">
        <v>2.3700000000000001E-3</v>
      </c>
      <c r="K2206" s="76">
        <v>2.6099999999999999E-3</v>
      </c>
      <c r="L2206" s="76">
        <v>2.97E-3</v>
      </c>
      <c r="M2206" s="76">
        <v>3.2100000000000002E-3</v>
      </c>
    </row>
    <row r="2207" spans="3:13" x14ac:dyDescent="0.15">
      <c r="C2207" s="76">
        <v>420</v>
      </c>
      <c r="D2207" s="76">
        <v>3.7599999999999998E-4</v>
      </c>
      <c r="E2207" s="76">
        <v>7.6599999999999997E-4</v>
      </c>
      <c r="F2207" s="76">
        <v>1.1299999999999999E-3</v>
      </c>
      <c r="G2207" s="76">
        <v>1.5200000000000001E-3</v>
      </c>
      <c r="H2207" s="76">
        <v>1.9E-3</v>
      </c>
      <c r="I2207" s="76">
        <v>2.31E-3</v>
      </c>
      <c r="J2207" s="76">
        <v>2.7599999999999999E-3</v>
      </c>
      <c r="K2207" s="76">
        <v>2.97E-3</v>
      </c>
      <c r="L2207" s="76">
        <v>3.5899999999999999E-3</v>
      </c>
      <c r="M2207" s="76">
        <v>3.6800000000000001E-3</v>
      </c>
    </row>
    <row r="2208" spans="3:13" x14ac:dyDescent="0.15">
      <c r="C2208" s="76">
        <v>422</v>
      </c>
      <c r="D2208" s="76">
        <v>4.6299999999999998E-4</v>
      </c>
      <c r="E2208" s="76">
        <v>9.0899999999999998E-4</v>
      </c>
      <c r="F2208" s="76">
        <v>1.3699999999999999E-3</v>
      </c>
      <c r="G2208" s="76">
        <v>1.83E-3</v>
      </c>
      <c r="H2208" s="76">
        <v>2.33E-3</v>
      </c>
      <c r="I2208" s="76">
        <v>2.8E-3</v>
      </c>
      <c r="J2208" s="76">
        <v>3.4099999999999998E-3</v>
      </c>
      <c r="K2208" s="76">
        <v>3.9699999999999996E-3</v>
      </c>
      <c r="L2208" s="76">
        <v>4.1700000000000001E-3</v>
      </c>
      <c r="M2208" s="76">
        <v>4.6299999999999996E-3</v>
      </c>
    </row>
    <row r="2209" spans="3:46" x14ac:dyDescent="0.15">
      <c r="C2209" s="76">
        <v>424</v>
      </c>
      <c r="D2209" s="76">
        <v>5.7499999999999999E-4</v>
      </c>
      <c r="E2209" s="76">
        <v>1.16E-3</v>
      </c>
      <c r="F2209" s="76">
        <v>1.74E-3</v>
      </c>
      <c r="G2209" s="76">
        <v>2.2899999999999999E-3</v>
      </c>
      <c r="H2209" s="76">
        <v>2.8500000000000001E-3</v>
      </c>
      <c r="I2209" s="76">
        <v>3.49E-3</v>
      </c>
      <c r="J2209" s="76">
        <v>4.2199999999999998E-3</v>
      </c>
      <c r="K2209" s="76">
        <v>4.7299999999999998E-3</v>
      </c>
      <c r="L2209" s="76">
        <v>5.4599999999999996E-3</v>
      </c>
      <c r="M2209" s="76">
        <v>5.7200000000000003E-3</v>
      </c>
    </row>
    <row r="2210" spans="3:46" x14ac:dyDescent="0.15">
      <c r="C2210" s="76">
        <v>426</v>
      </c>
      <c r="D2210" s="76">
        <v>7.1400000000000001E-4</v>
      </c>
      <c r="E2210" s="76">
        <v>1.4499999999999999E-3</v>
      </c>
      <c r="F2210" s="76">
        <v>2.16E-3</v>
      </c>
      <c r="G2210" s="76">
        <v>2.8900000000000002E-3</v>
      </c>
      <c r="H2210" s="76">
        <v>3.6700000000000001E-3</v>
      </c>
      <c r="I2210" s="76">
        <v>4.47E-3</v>
      </c>
      <c r="J2210" s="76">
        <v>5.3E-3</v>
      </c>
      <c r="K2210" s="76">
        <v>5.96E-3</v>
      </c>
      <c r="L2210" s="76">
        <v>6.7400000000000003E-3</v>
      </c>
      <c r="M2210" s="76">
        <v>7.28E-3</v>
      </c>
    </row>
    <row r="2211" spans="3:46" x14ac:dyDescent="0.15">
      <c r="C2211" s="76">
        <v>428</v>
      </c>
      <c r="D2211" s="76">
        <v>9.3599999999999998E-4</v>
      </c>
      <c r="E2211" s="76">
        <v>1.8699999999999999E-3</v>
      </c>
      <c r="F2211" s="76">
        <v>2.8400000000000001E-3</v>
      </c>
      <c r="G2211" s="76">
        <v>3.81E-3</v>
      </c>
      <c r="H2211" s="76">
        <v>4.81E-3</v>
      </c>
      <c r="I2211" s="76">
        <v>5.8799999999999998E-3</v>
      </c>
      <c r="J2211" s="76">
        <v>6.8199999999999997E-3</v>
      </c>
      <c r="K2211" s="76">
        <v>7.8200000000000006E-3</v>
      </c>
      <c r="L2211" s="76">
        <v>8.6700000000000006E-3</v>
      </c>
      <c r="M2211" s="76">
        <v>9.5600000000000008E-3</v>
      </c>
    </row>
    <row r="2212" spans="3:46" x14ac:dyDescent="0.15">
      <c r="C2212" s="76">
        <v>430</v>
      </c>
      <c r="D2212" s="76">
        <v>1.24E-3</v>
      </c>
      <c r="E2212" s="76">
        <v>2.5100000000000001E-3</v>
      </c>
      <c r="F2212" s="76">
        <v>3.8300000000000001E-3</v>
      </c>
      <c r="G2212" s="76">
        <v>5.1200000000000004E-3</v>
      </c>
      <c r="H2212" s="76">
        <v>6.4000000000000003E-3</v>
      </c>
      <c r="I2212" s="76">
        <v>7.79E-3</v>
      </c>
      <c r="J2212" s="76">
        <v>9.0900000000000009E-3</v>
      </c>
      <c r="K2212" s="76">
        <v>1.04E-2</v>
      </c>
      <c r="L2212" s="76">
        <v>1.17E-2</v>
      </c>
      <c r="M2212" s="76">
        <v>1.2800000000000001E-2</v>
      </c>
    </row>
    <row r="2213" spans="3:46" x14ac:dyDescent="0.15">
      <c r="C2213" s="76">
        <v>432</v>
      </c>
      <c r="D2213" s="76">
        <v>1.6999999999999999E-3</v>
      </c>
      <c r="E2213" s="76">
        <v>3.47E-3</v>
      </c>
      <c r="F2213" s="76">
        <v>5.2500000000000003E-3</v>
      </c>
      <c r="G2213" s="76">
        <v>7.0099999999999997E-3</v>
      </c>
      <c r="H2213" s="76">
        <v>8.8000000000000005E-3</v>
      </c>
      <c r="I2213" s="76">
        <v>1.06E-2</v>
      </c>
      <c r="J2213" s="76">
        <v>1.24E-2</v>
      </c>
      <c r="K2213" s="76">
        <v>1.43E-2</v>
      </c>
      <c r="L2213" s="76">
        <v>1.5900000000000001E-2</v>
      </c>
      <c r="M2213" s="76">
        <v>1.7600000000000001E-2</v>
      </c>
    </row>
    <row r="2214" spans="3:46" x14ac:dyDescent="0.15">
      <c r="C2214" s="76">
        <v>434</v>
      </c>
      <c r="D2214" s="76">
        <v>2.3600000000000001E-3</v>
      </c>
      <c r="E2214" s="76">
        <v>4.8199999999999996E-3</v>
      </c>
      <c r="F2214" s="76">
        <v>7.3000000000000001E-3</v>
      </c>
      <c r="G2214" s="76">
        <v>9.7400000000000004E-3</v>
      </c>
      <c r="H2214" s="76">
        <v>1.2200000000000001E-2</v>
      </c>
      <c r="I2214" s="76">
        <v>1.4800000000000001E-2</v>
      </c>
      <c r="J2214" s="76">
        <v>1.72E-2</v>
      </c>
      <c r="K2214" s="76">
        <v>1.9699999999999999E-2</v>
      </c>
      <c r="L2214" s="76">
        <v>2.1999999999999999E-2</v>
      </c>
      <c r="M2214" s="76">
        <v>2.4500000000000001E-2</v>
      </c>
    </row>
    <row r="2215" spans="3:46" x14ac:dyDescent="0.15">
      <c r="C2215" s="76">
        <v>436</v>
      </c>
      <c r="D2215" s="76">
        <v>3.4099999999999998E-3</v>
      </c>
      <c r="E2215" s="76">
        <v>6.8700000000000002E-3</v>
      </c>
      <c r="F2215" s="76">
        <v>1.04E-2</v>
      </c>
      <c r="G2215" s="76">
        <v>1.4E-2</v>
      </c>
      <c r="H2215" s="76">
        <v>1.7500000000000002E-2</v>
      </c>
      <c r="I2215" s="76">
        <v>2.1000000000000001E-2</v>
      </c>
      <c r="J2215" s="76">
        <v>2.46E-2</v>
      </c>
      <c r="K2215" s="76">
        <v>2.81E-2</v>
      </c>
      <c r="L2215" s="76">
        <v>3.15E-2</v>
      </c>
      <c r="M2215" s="76">
        <v>3.5099999999999999E-2</v>
      </c>
    </row>
    <row r="2216" spans="3:46" x14ac:dyDescent="0.15">
      <c r="C2216" s="76">
        <v>438</v>
      </c>
      <c r="D2216" s="76">
        <v>4.8300000000000001E-3</v>
      </c>
      <c r="E2216" s="76">
        <v>9.8300000000000002E-3</v>
      </c>
      <c r="F2216" s="76">
        <v>1.4800000000000001E-2</v>
      </c>
      <c r="G2216" s="76">
        <v>1.9900000000000001E-2</v>
      </c>
      <c r="H2216" s="76">
        <v>2.4899999999999999E-2</v>
      </c>
      <c r="I2216" s="76">
        <v>0.03</v>
      </c>
      <c r="J2216" s="76">
        <v>3.5000000000000003E-2</v>
      </c>
      <c r="K2216" s="76">
        <v>0.04</v>
      </c>
      <c r="L2216" s="76">
        <v>4.4900000000000002E-2</v>
      </c>
      <c r="M2216" s="76">
        <v>4.9799999999999997E-2</v>
      </c>
    </row>
    <row r="2217" spans="3:46" x14ac:dyDescent="0.15">
      <c r="C2217" s="76">
        <v>440</v>
      </c>
      <c r="D2217" s="76">
        <v>6.6499999999999997E-3</v>
      </c>
      <c r="E2217" s="76">
        <v>1.3599999999999999E-2</v>
      </c>
      <c r="F2217" s="76">
        <v>2.0500000000000001E-2</v>
      </c>
      <c r="G2217" s="76">
        <v>2.7400000000000001E-2</v>
      </c>
      <c r="H2217" s="76">
        <v>3.4299999999999997E-2</v>
      </c>
      <c r="I2217" s="76">
        <v>4.1300000000000003E-2</v>
      </c>
      <c r="J2217" s="76">
        <v>4.8099999999999997E-2</v>
      </c>
      <c r="K2217" s="76">
        <v>5.5E-2</v>
      </c>
      <c r="L2217" s="76">
        <v>6.1600000000000002E-2</v>
      </c>
      <c r="M2217" s="76">
        <v>6.8599999999999994E-2</v>
      </c>
    </row>
    <row r="2218" spans="3:46" x14ac:dyDescent="0.15">
      <c r="C2218" s="76">
        <v>442</v>
      </c>
      <c r="D2218" s="76">
        <v>8.9099999999999995E-3</v>
      </c>
      <c r="E2218" s="76">
        <v>1.8200000000000001E-2</v>
      </c>
      <c r="F2218" s="76">
        <v>2.7400000000000001E-2</v>
      </c>
      <c r="G2218" s="76">
        <v>3.6700000000000003E-2</v>
      </c>
      <c r="H2218" s="76">
        <v>4.5900000000000003E-2</v>
      </c>
      <c r="I2218" s="76">
        <v>5.5100000000000003E-2</v>
      </c>
      <c r="J2218" s="76">
        <v>6.4199999999999993E-2</v>
      </c>
      <c r="K2218" s="76">
        <v>7.3300000000000004E-2</v>
      </c>
      <c r="L2218" s="76">
        <v>8.2299999999999998E-2</v>
      </c>
      <c r="M2218" s="76">
        <v>9.1499999999999998E-2</v>
      </c>
    </row>
    <row r="2219" spans="3:46" x14ac:dyDescent="0.15">
      <c r="C2219" s="76">
        <v>444</v>
      </c>
      <c r="D2219" s="76">
        <v>1.1599999999999999E-2</v>
      </c>
      <c r="E2219" s="76">
        <v>2.3699999999999999E-2</v>
      </c>
      <c r="F2219" s="76">
        <v>3.5700000000000003E-2</v>
      </c>
      <c r="G2219" s="76">
        <v>4.7600000000000003E-2</v>
      </c>
      <c r="H2219" s="76">
        <v>5.9499999999999997E-2</v>
      </c>
      <c r="I2219" s="76">
        <v>7.1499999999999994E-2</v>
      </c>
      <c r="J2219" s="76">
        <v>8.3299999999999999E-2</v>
      </c>
      <c r="K2219" s="76">
        <v>9.5100000000000004E-2</v>
      </c>
      <c r="L2219" s="76">
        <v>0.107</v>
      </c>
      <c r="M2219" s="76">
        <v>0.11899999999999999</v>
      </c>
    </row>
    <row r="2220" spans="3:46" x14ac:dyDescent="0.15">
      <c r="C2220" s="76">
        <v>446</v>
      </c>
      <c r="D2220" s="76">
        <v>1.46E-2</v>
      </c>
      <c r="E2220" s="76">
        <v>2.9899999999999999E-2</v>
      </c>
      <c r="F2220" s="76">
        <v>4.4999999999999998E-2</v>
      </c>
      <c r="G2220" s="76">
        <v>0.06</v>
      </c>
      <c r="H2220" s="76">
        <v>7.4999999999999997E-2</v>
      </c>
      <c r="I2220" s="76">
        <v>0.09</v>
      </c>
      <c r="J2220" s="76">
        <v>0.105</v>
      </c>
      <c r="K2220" s="76">
        <v>0.12</v>
      </c>
      <c r="L2220" s="76">
        <v>0.13400000000000001</v>
      </c>
      <c r="M2220" s="76">
        <v>0.14899999999999999</v>
      </c>
    </row>
    <row r="2221" spans="3:46" x14ac:dyDescent="0.15">
      <c r="C2221" s="76">
        <v>448</v>
      </c>
      <c r="D2221" s="76">
        <v>1.78E-2</v>
      </c>
      <c r="E2221" s="76">
        <v>3.6400000000000002E-2</v>
      </c>
      <c r="F2221" s="76">
        <v>5.4800000000000001E-2</v>
      </c>
      <c r="G2221" s="76">
        <v>7.3200000000000001E-2</v>
      </c>
      <c r="H2221" s="76">
        <v>9.1300000000000006E-2</v>
      </c>
      <c r="I2221" s="76">
        <v>0.11</v>
      </c>
      <c r="J2221" s="76">
        <v>0.128</v>
      </c>
      <c r="K2221" s="76">
        <v>0.14599999999999999</v>
      </c>
      <c r="L2221" s="76">
        <v>0.16300000000000001</v>
      </c>
      <c r="M2221" s="76">
        <v>0.18099999999999999</v>
      </c>
    </row>
    <row r="2222" spans="3:46" x14ac:dyDescent="0.15">
      <c r="C2222" s="76">
        <v>450</v>
      </c>
      <c r="D2222" s="76">
        <v>2.12E-2</v>
      </c>
      <c r="E2222" s="76">
        <v>4.3400000000000001E-2</v>
      </c>
      <c r="F2222" s="76">
        <v>6.5299999999999997E-2</v>
      </c>
      <c r="G2222" s="76">
        <v>8.6999999999999994E-2</v>
      </c>
      <c r="H2222" s="76">
        <v>0.109</v>
      </c>
      <c r="I2222" s="76">
        <v>0.13</v>
      </c>
      <c r="J2222" s="76">
        <v>0.152</v>
      </c>
      <c r="K2222" s="76">
        <v>0.17299999999999999</v>
      </c>
      <c r="L2222" s="76">
        <v>0.19400000000000001</v>
      </c>
      <c r="M2222" s="76">
        <v>0.216</v>
      </c>
    </row>
    <row r="2223" spans="3:46" x14ac:dyDescent="0.15">
      <c r="C2223" s="76">
        <v>452</v>
      </c>
      <c r="D2223" s="76">
        <v>2.41E-2</v>
      </c>
      <c r="E2223" s="76">
        <v>4.9299999999999997E-2</v>
      </c>
      <c r="F2223" s="76">
        <v>7.4200000000000002E-2</v>
      </c>
      <c r="G2223" s="76">
        <v>9.8900000000000002E-2</v>
      </c>
      <c r="H2223" s="76">
        <v>0.124</v>
      </c>
      <c r="I2223" s="76">
        <v>0.14799999999999999</v>
      </c>
      <c r="J2223" s="76">
        <v>0.17199999999999999</v>
      </c>
      <c r="K2223" s="76">
        <v>0.19700000000000001</v>
      </c>
      <c r="L2223" s="76">
        <v>0.221</v>
      </c>
      <c r="M2223" s="76">
        <v>0.245</v>
      </c>
    </row>
    <row r="2224" spans="3:46" x14ac:dyDescent="0.15">
      <c r="C2224" s="81">
        <v>454</v>
      </c>
      <c r="D2224" s="76">
        <v>2.64E-2</v>
      </c>
      <c r="E2224" s="76">
        <v>5.3900000000000003E-2</v>
      </c>
      <c r="F2224" s="76">
        <v>8.1199999999999994E-2</v>
      </c>
      <c r="G2224" s="76">
        <v>0.108</v>
      </c>
      <c r="H2224" s="81">
        <v>0.13500000000000001</v>
      </c>
      <c r="I2224" s="76">
        <v>0.16200000000000001</v>
      </c>
      <c r="J2224" s="76">
        <v>0.189</v>
      </c>
      <c r="K2224" s="76">
        <v>0.215</v>
      </c>
      <c r="L2224" s="81">
        <v>0.24099999999999999</v>
      </c>
      <c r="M2224" s="76">
        <v>0.26800000000000002</v>
      </c>
      <c r="N2224" s="81"/>
      <c r="T2224" s="81"/>
      <c r="W2224" s="81"/>
      <c r="AG2224" s="81"/>
      <c r="AT2224" s="81"/>
    </row>
    <row r="2225" spans="3:56" x14ac:dyDescent="0.15">
      <c r="C2225" s="81">
        <v>456</v>
      </c>
      <c r="D2225" s="76">
        <v>2.8000000000000001E-2</v>
      </c>
      <c r="E2225" s="76">
        <v>5.7200000000000001E-2</v>
      </c>
      <c r="F2225" s="76">
        <v>8.6099999999999996E-2</v>
      </c>
      <c r="G2225" s="76">
        <v>0.115</v>
      </c>
      <c r="H2225" s="81">
        <v>0.14299999999999999</v>
      </c>
      <c r="I2225" s="76">
        <v>0.17199999999999999</v>
      </c>
      <c r="J2225" s="76">
        <v>0.2</v>
      </c>
      <c r="K2225" s="76">
        <v>0.22800000000000001</v>
      </c>
      <c r="L2225" s="81">
        <v>0.25600000000000001</v>
      </c>
      <c r="M2225" s="76">
        <v>0.28299999999999997</v>
      </c>
      <c r="N2225" s="81"/>
      <c r="T2225" s="81"/>
      <c r="W2225" s="81"/>
      <c r="AG2225" s="81"/>
      <c r="AT2225" s="81"/>
    </row>
    <row r="2226" spans="3:56" x14ac:dyDescent="0.15">
      <c r="C2226" s="81">
        <v>458</v>
      </c>
      <c r="D2226" s="76">
        <v>2.8799999999999999E-2</v>
      </c>
      <c r="E2226" s="76">
        <v>5.8900000000000001E-2</v>
      </c>
      <c r="F2226" s="76">
        <v>8.8599999999999998E-2</v>
      </c>
      <c r="G2226" s="76">
        <v>0.11799999999999999</v>
      </c>
      <c r="H2226" s="81">
        <v>0.14699999999999999</v>
      </c>
      <c r="I2226" s="76">
        <v>0.17599999999999999</v>
      </c>
      <c r="J2226" s="76">
        <v>0.20499999999999999</v>
      </c>
      <c r="K2226" s="76">
        <v>0.23400000000000001</v>
      </c>
      <c r="L2226" s="81">
        <v>0.26300000000000001</v>
      </c>
      <c r="M2226" s="76">
        <v>0.29099999999999998</v>
      </c>
      <c r="N2226" s="81"/>
      <c r="T2226" s="81"/>
      <c r="W2226" s="81"/>
      <c r="AG2226" s="81"/>
      <c r="AT2226" s="81"/>
    </row>
    <row r="2227" spans="3:56" x14ac:dyDescent="0.15">
      <c r="C2227" s="81">
        <v>460</v>
      </c>
      <c r="D2227" s="76">
        <v>2.8899999999999999E-2</v>
      </c>
      <c r="E2227" s="76">
        <v>5.91E-2</v>
      </c>
      <c r="F2227" s="76">
        <v>8.8900000000000007E-2</v>
      </c>
      <c r="G2227" s="76">
        <v>0.11799999999999999</v>
      </c>
      <c r="H2227" s="81">
        <v>0.14799999999999999</v>
      </c>
      <c r="I2227" s="76">
        <v>0.17699999999999999</v>
      </c>
      <c r="J2227" s="76">
        <v>0.20599999999999999</v>
      </c>
      <c r="K2227" s="76">
        <v>0.23499999999999999</v>
      </c>
      <c r="L2227" s="81">
        <v>0.26400000000000001</v>
      </c>
      <c r="M2227" s="76">
        <v>0.29199999999999998</v>
      </c>
      <c r="N2227" s="81"/>
      <c r="T2227" s="81"/>
      <c r="W2227" s="81"/>
      <c r="AG2227" s="81"/>
      <c r="AT2227" s="81"/>
    </row>
    <row r="2228" spans="3:56" x14ac:dyDescent="0.15">
      <c r="C2228" s="81">
        <v>462</v>
      </c>
      <c r="D2228" s="76">
        <v>2.8299999999999999E-2</v>
      </c>
      <c r="E2228" s="76">
        <v>5.7799999999999997E-2</v>
      </c>
      <c r="F2228" s="76">
        <v>8.6999999999999994E-2</v>
      </c>
      <c r="G2228" s="76">
        <v>0.11600000000000001</v>
      </c>
      <c r="H2228" s="81">
        <v>0.14499999999999999</v>
      </c>
      <c r="I2228" s="76">
        <v>0.17299999999999999</v>
      </c>
      <c r="J2228" s="76">
        <v>0.20200000000000001</v>
      </c>
      <c r="K2228" s="76">
        <v>0.23</v>
      </c>
      <c r="L2228" s="81">
        <v>0.25800000000000001</v>
      </c>
      <c r="M2228" s="76">
        <v>0.28599999999999998</v>
      </c>
      <c r="N2228" s="81"/>
      <c r="T2228" s="81"/>
      <c r="W2228" s="81"/>
      <c r="AG2228" s="81"/>
      <c r="AT2228" s="81"/>
    </row>
    <row r="2229" spans="3:56" x14ac:dyDescent="0.15">
      <c r="C2229" s="81">
        <v>464</v>
      </c>
      <c r="D2229" s="76">
        <v>2.69E-2</v>
      </c>
      <c r="E2229" s="76">
        <v>5.5100000000000003E-2</v>
      </c>
      <c r="F2229" s="76">
        <v>8.2900000000000001E-2</v>
      </c>
      <c r="G2229" s="76">
        <v>0.111</v>
      </c>
      <c r="H2229" s="81">
        <v>0.13800000000000001</v>
      </c>
      <c r="I2229" s="76">
        <v>0.16500000000000001</v>
      </c>
      <c r="J2229" s="76">
        <v>0.192</v>
      </c>
      <c r="K2229" s="76">
        <v>0.219</v>
      </c>
      <c r="L2229" s="81">
        <v>0.246</v>
      </c>
      <c r="M2229" s="76">
        <v>0.27300000000000002</v>
      </c>
      <c r="N2229" s="81"/>
      <c r="T2229" s="81"/>
      <c r="W2229" s="81"/>
      <c r="AG2229" s="81"/>
      <c r="AT2229" s="81"/>
    </row>
    <row r="2230" spans="3:56" x14ac:dyDescent="0.15">
      <c r="C2230" s="81">
        <v>466</v>
      </c>
      <c r="D2230" s="76">
        <v>2.5499999999999998E-2</v>
      </c>
      <c r="E2230" s="76">
        <v>5.21E-2</v>
      </c>
      <c r="F2230" s="76">
        <v>7.8399999999999997E-2</v>
      </c>
      <c r="G2230" s="76">
        <v>0.105</v>
      </c>
      <c r="H2230" s="81">
        <v>0.13100000000000001</v>
      </c>
      <c r="I2230" s="76">
        <v>0.156</v>
      </c>
      <c r="J2230" s="76">
        <v>0.182</v>
      </c>
      <c r="K2230" s="76">
        <v>0.20699999999999999</v>
      </c>
      <c r="L2230" s="81">
        <v>0.23300000000000001</v>
      </c>
      <c r="M2230" s="76">
        <v>0.25800000000000001</v>
      </c>
      <c r="N2230" s="81"/>
      <c r="T2230" s="81"/>
      <c r="W2230" s="81"/>
      <c r="AG2230" s="81"/>
      <c r="AT2230" s="81"/>
    </row>
    <row r="2231" spans="3:56" x14ac:dyDescent="0.15">
      <c r="C2231" s="81">
        <v>468</v>
      </c>
      <c r="D2231" s="76">
        <v>2.4E-2</v>
      </c>
      <c r="E2231" s="76">
        <v>4.9000000000000002E-2</v>
      </c>
      <c r="F2231" s="76">
        <v>7.3800000000000004E-2</v>
      </c>
      <c r="G2231" s="76">
        <v>9.8400000000000001E-2</v>
      </c>
      <c r="H2231" s="81">
        <v>0.123</v>
      </c>
      <c r="I2231" s="76">
        <v>0.14699999999999999</v>
      </c>
      <c r="J2231" s="76">
        <v>0.17100000000000001</v>
      </c>
      <c r="K2231" s="76">
        <v>0.19500000000000001</v>
      </c>
      <c r="L2231" s="81">
        <v>0.219</v>
      </c>
      <c r="M2231" s="76">
        <v>0.24299999999999999</v>
      </c>
      <c r="N2231" s="81"/>
      <c r="T2231" s="81"/>
      <c r="W2231" s="81"/>
      <c r="AG2231" s="81"/>
      <c r="AT2231" s="81"/>
    </row>
    <row r="2232" spans="3:56" x14ac:dyDescent="0.15">
      <c r="C2232" s="81">
        <v>470</v>
      </c>
      <c r="D2232" s="76">
        <v>2.2499999999999999E-2</v>
      </c>
      <c r="E2232" s="76">
        <v>4.5900000000000003E-2</v>
      </c>
      <c r="F2232" s="76">
        <v>6.9000000000000006E-2</v>
      </c>
      <c r="G2232" s="76">
        <v>9.2100000000000001E-2</v>
      </c>
      <c r="H2232" s="81">
        <v>0.115</v>
      </c>
      <c r="I2232" s="76">
        <v>0.13800000000000001</v>
      </c>
      <c r="J2232" s="76">
        <v>0.16</v>
      </c>
      <c r="K2232" s="76">
        <v>0.183</v>
      </c>
      <c r="L2232" s="81">
        <v>0.20499999999999999</v>
      </c>
      <c r="M2232" s="76">
        <v>0.22700000000000001</v>
      </c>
      <c r="N2232" s="81"/>
      <c r="T2232" s="81"/>
      <c r="W2232" s="81"/>
      <c r="AG2232" s="81"/>
      <c r="AT2232" s="81"/>
    </row>
    <row r="2233" spans="3:56" x14ac:dyDescent="0.15">
      <c r="C2233" s="81">
        <v>472</v>
      </c>
      <c r="D2233" s="76">
        <v>2.1000000000000001E-2</v>
      </c>
      <c r="E2233" s="76">
        <v>4.3099999999999999E-2</v>
      </c>
      <c r="F2233" s="76">
        <v>6.4799999999999996E-2</v>
      </c>
      <c r="G2233" s="76">
        <v>8.6300000000000002E-2</v>
      </c>
      <c r="H2233" s="81">
        <v>0.108</v>
      </c>
      <c r="I2233" s="76">
        <v>0.129</v>
      </c>
      <c r="J2233" s="76">
        <v>0.15</v>
      </c>
      <c r="K2233" s="76">
        <v>0.17100000000000001</v>
      </c>
      <c r="L2233" s="81">
        <v>0.192</v>
      </c>
      <c r="M2233" s="76">
        <v>0.21299999999999999</v>
      </c>
      <c r="N2233" s="81"/>
      <c r="T2233" s="81"/>
      <c r="W2233" s="81"/>
      <c r="AG2233" s="81"/>
      <c r="AT2233" s="81"/>
    </row>
    <row r="2234" spans="3:56" x14ac:dyDescent="0.15">
      <c r="C2234" s="81">
        <v>474</v>
      </c>
      <c r="D2234" s="76">
        <v>1.9900000000000001E-2</v>
      </c>
      <c r="E2234" s="76">
        <v>4.0599999999999997E-2</v>
      </c>
      <c r="F2234" s="76">
        <v>6.1100000000000002E-2</v>
      </c>
      <c r="G2234" s="76">
        <v>8.14E-2</v>
      </c>
      <c r="H2234" s="81">
        <v>0.10199999999999999</v>
      </c>
      <c r="I2234" s="76">
        <v>0.122</v>
      </c>
      <c r="J2234" s="76">
        <v>0.14199999999999999</v>
      </c>
      <c r="K2234" s="76">
        <v>0.16200000000000001</v>
      </c>
      <c r="L2234" s="81">
        <v>0.18099999999999999</v>
      </c>
      <c r="M2234" s="76">
        <v>0.20100000000000001</v>
      </c>
      <c r="N2234" s="81"/>
      <c r="T2234" s="81"/>
      <c r="W2234" s="81"/>
      <c r="AG2234" s="81"/>
      <c r="AT2234" s="81"/>
    </row>
    <row r="2235" spans="3:56" x14ac:dyDescent="0.15">
      <c r="C2235" s="81">
        <v>476</v>
      </c>
      <c r="D2235" s="76">
        <v>1.8700000000000001E-2</v>
      </c>
      <c r="E2235" s="76">
        <v>3.8199999999999998E-2</v>
      </c>
      <c r="F2235" s="76">
        <v>5.7500000000000002E-2</v>
      </c>
      <c r="G2235" s="76">
        <v>7.6700000000000004E-2</v>
      </c>
      <c r="H2235" s="81">
        <v>9.5799999999999996E-2</v>
      </c>
      <c r="I2235" s="76">
        <v>0.115</v>
      </c>
      <c r="J2235" s="76">
        <v>0.13400000000000001</v>
      </c>
      <c r="K2235" s="76">
        <v>0.152</v>
      </c>
      <c r="L2235" s="81">
        <v>0.17100000000000001</v>
      </c>
      <c r="M2235" s="76">
        <v>0.19</v>
      </c>
      <c r="N2235" s="81"/>
      <c r="T2235" s="81"/>
      <c r="W2235" s="81"/>
      <c r="AG2235" s="81"/>
      <c r="AT2235" s="81"/>
    </row>
    <row r="2236" spans="3:56" x14ac:dyDescent="0.15">
      <c r="C2236" s="81">
        <v>478</v>
      </c>
      <c r="D2236" s="76">
        <v>1.7899999999999999E-2</v>
      </c>
      <c r="E2236" s="76">
        <v>3.6600000000000001E-2</v>
      </c>
      <c r="F2236" s="76">
        <v>5.5E-2</v>
      </c>
      <c r="G2236" s="76">
        <v>7.3400000000000007E-2</v>
      </c>
      <c r="H2236" s="81">
        <v>9.1600000000000001E-2</v>
      </c>
      <c r="I2236" s="76">
        <v>0.11</v>
      </c>
      <c r="J2236" s="76">
        <v>0.128</v>
      </c>
      <c r="K2236" s="76">
        <v>0.14599999999999999</v>
      </c>
      <c r="L2236" s="81">
        <v>0.16400000000000001</v>
      </c>
      <c r="M2236" s="76">
        <v>0.18099999999999999</v>
      </c>
      <c r="N2236" s="81"/>
      <c r="T2236" s="81"/>
      <c r="W2236" s="81"/>
      <c r="AG2236" s="81"/>
      <c r="AT2236" s="81"/>
    </row>
    <row r="2237" spans="3:56" x14ac:dyDescent="0.15">
      <c r="C2237" s="81">
        <v>480</v>
      </c>
      <c r="D2237" s="76">
        <v>1.72E-2</v>
      </c>
      <c r="E2237" s="76">
        <v>3.5200000000000002E-2</v>
      </c>
      <c r="F2237" s="76">
        <v>5.2900000000000003E-2</v>
      </c>
      <c r="G2237" s="76">
        <v>7.0599999999999996E-2</v>
      </c>
      <c r="H2237" s="81">
        <v>8.8200000000000001E-2</v>
      </c>
      <c r="I2237" s="76">
        <v>0.106</v>
      </c>
      <c r="J2237" s="76">
        <v>0.123</v>
      </c>
      <c r="K2237" s="76">
        <v>0.14000000000000001</v>
      </c>
      <c r="L2237" s="81">
        <v>0.157</v>
      </c>
      <c r="M2237" s="76">
        <v>0.17399999999999999</v>
      </c>
      <c r="N2237" s="81"/>
      <c r="T2237" s="81"/>
      <c r="W2237" s="81"/>
      <c r="AG2237" s="81"/>
      <c r="AT2237" s="81"/>
    </row>
    <row r="2238" spans="3:56" x14ac:dyDescent="0.15">
      <c r="C2238" s="81">
        <v>482</v>
      </c>
      <c r="D2238" s="81">
        <v>1.66E-2</v>
      </c>
      <c r="E2238" s="81">
        <v>3.4000000000000002E-2</v>
      </c>
      <c r="F2238" s="81">
        <v>5.0999999999999997E-2</v>
      </c>
      <c r="G2238" s="81">
        <v>6.8099999999999994E-2</v>
      </c>
      <c r="H2238" s="81">
        <v>8.5099999999999995E-2</v>
      </c>
      <c r="I2238" s="81">
        <v>0.10199999999999999</v>
      </c>
      <c r="J2238" s="81">
        <v>0.11899999999999999</v>
      </c>
      <c r="K2238" s="81">
        <v>0.13500000000000001</v>
      </c>
      <c r="L2238" s="81">
        <v>0.152</v>
      </c>
      <c r="M2238" s="81">
        <v>0.16800000000000001</v>
      </c>
      <c r="N2238" s="81"/>
      <c r="O2238" s="81"/>
      <c r="P2238" s="81"/>
      <c r="Q2238" s="81"/>
      <c r="R2238" s="81"/>
      <c r="S2238" s="81"/>
      <c r="T2238" s="81"/>
      <c r="U2238" s="81"/>
      <c r="V2238" s="81"/>
      <c r="W2238" s="81"/>
      <c r="X2238" s="81"/>
      <c r="Y2238" s="81"/>
      <c r="Z2238" s="81"/>
      <c r="AA2238" s="81"/>
      <c r="AB2238" s="81"/>
      <c r="AC2238" s="81"/>
      <c r="AD2238" s="81"/>
      <c r="AG2238" s="81"/>
      <c r="AH2238" s="81"/>
      <c r="AI2238" s="81"/>
      <c r="AJ2238" s="81"/>
      <c r="AK2238" s="81"/>
      <c r="AL2238" s="81"/>
      <c r="AM2238" s="81"/>
      <c r="AN2238" s="81"/>
      <c r="AO2238" s="81"/>
      <c r="AP2238" s="81"/>
      <c r="AQ2238" s="81"/>
      <c r="AT2238" s="81"/>
      <c r="AU2238" s="81"/>
      <c r="AV2238" s="81"/>
      <c r="AW2238" s="81"/>
      <c r="AX2238" s="81"/>
      <c r="AY2238" s="81"/>
      <c r="AZ2238" s="81"/>
      <c r="BA2238" s="81"/>
      <c r="BB2238" s="81"/>
      <c r="BC2238" s="81"/>
      <c r="BD2238" s="81"/>
    </row>
    <row r="2239" spans="3:56" x14ac:dyDescent="0.15">
      <c r="C2239" s="81">
        <v>484</v>
      </c>
      <c r="D2239" s="76">
        <v>1.6E-2</v>
      </c>
      <c r="E2239" s="76">
        <v>3.27E-2</v>
      </c>
      <c r="F2239" s="76">
        <v>4.9200000000000001E-2</v>
      </c>
      <c r="G2239" s="76">
        <v>6.5600000000000006E-2</v>
      </c>
      <c r="H2239" s="81">
        <v>8.1900000000000001E-2</v>
      </c>
      <c r="I2239" s="76">
        <v>9.8100000000000007E-2</v>
      </c>
      <c r="J2239" s="76">
        <v>0.114</v>
      </c>
      <c r="K2239" s="76">
        <v>0.13</v>
      </c>
      <c r="L2239" s="81">
        <v>0.14599999999999999</v>
      </c>
      <c r="M2239" s="76">
        <v>0.16200000000000001</v>
      </c>
      <c r="N2239" s="81"/>
      <c r="T2239" s="81"/>
      <c r="W2239" s="81"/>
      <c r="AG2239" s="81"/>
      <c r="AT2239" s="81"/>
    </row>
    <row r="2240" spans="3:56" x14ac:dyDescent="0.15">
      <c r="C2240" s="76">
        <v>486</v>
      </c>
      <c r="D2240" s="76">
        <v>1.54E-2</v>
      </c>
      <c r="E2240" s="76">
        <v>3.1399999999999997E-2</v>
      </c>
      <c r="F2240" s="76">
        <v>4.7300000000000002E-2</v>
      </c>
      <c r="G2240" s="76">
        <v>6.3E-2</v>
      </c>
      <c r="H2240" s="76">
        <v>7.8700000000000006E-2</v>
      </c>
      <c r="I2240" s="76">
        <v>9.4100000000000003E-2</v>
      </c>
      <c r="J2240" s="76">
        <v>0.11</v>
      </c>
      <c r="K2240" s="76">
        <v>0.125</v>
      </c>
      <c r="L2240" s="76">
        <v>0.14000000000000001</v>
      </c>
      <c r="M2240" s="76">
        <v>0.155</v>
      </c>
    </row>
    <row r="2241" spans="3:13" x14ac:dyDescent="0.15">
      <c r="C2241" s="76">
        <v>488</v>
      </c>
      <c r="D2241" s="76">
        <v>1.46E-2</v>
      </c>
      <c r="E2241" s="76">
        <v>2.9700000000000001E-2</v>
      </c>
      <c r="F2241" s="76">
        <v>4.4699999999999997E-2</v>
      </c>
      <c r="G2241" s="76">
        <v>5.9700000000000003E-2</v>
      </c>
      <c r="H2241" s="76">
        <v>7.4399999999999994E-2</v>
      </c>
      <c r="I2241" s="76">
        <v>8.9099999999999999E-2</v>
      </c>
      <c r="J2241" s="76">
        <v>0.104</v>
      </c>
      <c r="K2241" s="76">
        <v>0.11799999999999999</v>
      </c>
      <c r="L2241" s="76">
        <v>0.13300000000000001</v>
      </c>
      <c r="M2241" s="76">
        <v>0.14699999999999999</v>
      </c>
    </row>
    <row r="2242" spans="3:13" x14ac:dyDescent="0.15">
      <c r="C2242" s="76">
        <v>490</v>
      </c>
      <c r="D2242" s="76">
        <v>1.37E-2</v>
      </c>
      <c r="E2242" s="76">
        <v>2.81E-2</v>
      </c>
      <c r="F2242" s="76">
        <v>4.2200000000000001E-2</v>
      </c>
      <c r="G2242" s="76">
        <v>5.6300000000000003E-2</v>
      </c>
      <c r="H2242" s="76">
        <v>7.0300000000000001E-2</v>
      </c>
      <c r="I2242" s="76">
        <v>8.4099999999999994E-2</v>
      </c>
      <c r="J2242" s="76">
        <v>9.7900000000000001E-2</v>
      </c>
      <c r="K2242" s="76">
        <v>0.112</v>
      </c>
      <c r="L2242" s="76">
        <v>0.125</v>
      </c>
      <c r="M2242" s="76">
        <v>0.13900000000000001</v>
      </c>
    </row>
    <row r="2243" spans="3:13" x14ac:dyDescent="0.15">
      <c r="C2243" s="76">
        <v>492</v>
      </c>
      <c r="D2243" s="76">
        <v>1.29E-2</v>
      </c>
      <c r="E2243" s="76">
        <v>2.63E-2</v>
      </c>
      <c r="F2243" s="76">
        <v>3.9600000000000003E-2</v>
      </c>
      <c r="G2243" s="76">
        <v>5.28E-2</v>
      </c>
      <c r="H2243" s="76">
        <v>6.59E-2</v>
      </c>
      <c r="I2243" s="76">
        <v>7.8899999999999998E-2</v>
      </c>
      <c r="J2243" s="76">
        <v>9.1899999999999996E-2</v>
      </c>
      <c r="K2243" s="76">
        <v>0.105</v>
      </c>
      <c r="L2243" s="76">
        <v>0.11700000000000001</v>
      </c>
      <c r="M2243" s="76">
        <v>0.13</v>
      </c>
    </row>
    <row r="2244" spans="3:13" x14ac:dyDescent="0.15">
      <c r="C2244" s="76">
        <v>494</v>
      </c>
      <c r="D2244" s="76">
        <v>1.2E-2</v>
      </c>
      <c r="E2244" s="76">
        <v>2.4500000000000001E-2</v>
      </c>
      <c r="F2244" s="76">
        <v>3.6799999999999999E-2</v>
      </c>
      <c r="G2244" s="76">
        <v>4.9099999999999998E-2</v>
      </c>
      <c r="H2244" s="76">
        <v>6.13E-2</v>
      </c>
      <c r="I2244" s="76">
        <v>7.3400000000000007E-2</v>
      </c>
      <c r="J2244" s="76">
        <v>8.5400000000000004E-2</v>
      </c>
      <c r="K2244" s="76">
        <v>9.7299999999999998E-2</v>
      </c>
      <c r="L2244" s="76">
        <v>0.109</v>
      </c>
      <c r="M2244" s="76">
        <v>0.121</v>
      </c>
    </row>
    <row r="2245" spans="3:13" x14ac:dyDescent="0.15">
      <c r="C2245" s="76">
        <v>496</v>
      </c>
      <c r="D2245" s="76">
        <v>1.11E-2</v>
      </c>
      <c r="E2245" s="76">
        <v>2.2700000000000001E-2</v>
      </c>
      <c r="F2245" s="76">
        <v>3.4099999999999998E-2</v>
      </c>
      <c r="G2245" s="76">
        <v>4.5600000000000002E-2</v>
      </c>
      <c r="H2245" s="76">
        <v>5.6800000000000003E-2</v>
      </c>
      <c r="I2245" s="76">
        <v>6.8000000000000005E-2</v>
      </c>
      <c r="J2245" s="76">
        <v>7.9200000000000007E-2</v>
      </c>
      <c r="K2245" s="76">
        <v>9.0200000000000002E-2</v>
      </c>
      <c r="L2245" s="76">
        <v>0.10100000000000001</v>
      </c>
      <c r="M2245" s="76">
        <v>0.112</v>
      </c>
    </row>
    <row r="2246" spans="3:13" x14ac:dyDescent="0.15">
      <c r="C2246" s="76">
        <v>498</v>
      </c>
      <c r="D2246" s="76">
        <v>1.0200000000000001E-2</v>
      </c>
      <c r="E2246" s="76">
        <v>2.0799999999999999E-2</v>
      </c>
      <c r="F2246" s="76">
        <v>3.1300000000000001E-2</v>
      </c>
      <c r="G2246" s="76">
        <v>4.1700000000000001E-2</v>
      </c>
      <c r="H2246" s="76">
        <v>5.21E-2</v>
      </c>
      <c r="I2246" s="76">
        <v>6.2399999999999997E-2</v>
      </c>
      <c r="J2246" s="76">
        <v>7.2700000000000001E-2</v>
      </c>
      <c r="K2246" s="76">
        <v>8.2799999999999999E-2</v>
      </c>
      <c r="L2246" s="76">
        <v>9.2899999999999996E-2</v>
      </c>
      <c r="M2246" s="76">
        <v>0.10299999999999999</v>
      </c>
    </row>
    <row r="2247" spans="3:13" x14ac:dyDescent="0.15">
      <c r="C2247" s="76">
        <v>500</v>
      </c>
      <c r="D2247" s="76">
        <v>9.2399999999999999E-3</v>
      </c>
      <c r="E2247" s="76">
        <v>1.89E-2</v>
      </c>
      <c r="F2247" s="76">
        <v>2.8400000000000002E-2</v>
      </c>
      <c r="G2247" s="76">
        <v>3.7900000000000003E-2</v>
      </c>
      <c r="H2247" s="76">
        <v>4.7199999999999999E-2</v>
      </c>
      <c r="I2247" s="76">
        <v>5.6599999999999998E-2</v>
      </c>
      <c r="J2247" s="76">
        <v>6.59E-2</v>
      </c>
      <c r="K2247" s="76">
        <v>7.4999999999999997E-2</v>
      </c>
      <c r="L2247" s="76">
        <v>8.43E-2</v>
      </c>
      <c r="M2247" s="76">
        <v>9.3100000000000002E-2</v>
      </c>
    </row>
    <row r="2248" spans="3:13" x14ac:dyDescent="0.15">
      <c r="C2248" s="76">
        <v>502</v>
      </c>
      <c r="D2248" s="76">
        <v>8.3400000000000002E-3</v>
      </c>
      <c r="E2248" s="76">
        <v>1.7000000000000001E-2</v>
      </c>
      <c r="F2248" s="76">
        <v>2.5600000000000001E-2</v>
      </c>
      <c r="G2248" s="76">
        <v>3.4200000000000001E-2</v>
      </c>
      <c r="H2248" s="76">
        <v>4.2700000000000002E-2</v>
      </c>
      <c r="I2248" s="76">
        <v>5.0999999999999997E-2</v>
      </c>
      <c r="J2248" s="76">
        <v>5.9499999999999997E-2</v>
      </c>
      <c r="K2248" s="76">
        <v>6.7799999999999999E-2</v>
      </c>
      <c r="L2248" s="76">
        <v>7.6100000000000001E-2</v>
      </c>
      <c r="M2248" s="76">
        <v>8.4099999999999994E-2</v>
      </c>
    </row>
    <row r="2249" spans="3:13" x14ac:dyDescent="0.15">
      <c r="C2249" s="76">
        <v>504</v>
      </c>
      <c r="D2249" s="76">
        <v>7.5500000000000003E-3</v>
      </c>
      <c r="E2249" s="76">
        <v>1.54E-2</v>
      </c>
      <c r="F2249" s="76">
        <v>2.3199999999999998E-2</v>
      </c>
      <c r="G2249" s="76">
        <v>3.1E-2</v>
      </c>
      <c r="H2249" s="76">
        <v>3.8600000000000002E-2</v>
      </c>
      <c r="I2249" s="76">
        <v>4.6300000000000001E-2</v>
      </c>
      <c r="J2249" s="76">
        <v>5.3800000000000001E-2</v>
      </c>
      <c r="K2249" s="76">
        <v>6.13E-2</v>
      </c>
      <c r="L2249" s="76">
        <v>6.88E-2</v>
      </c>
      <c r="M2249" s="76">
        <v>7.6200000000000004E-2</v>
      </c>
    </row>
    <row r="2250" spans="3:13" x14ac:dyDescent="0.15">
      <c r="C2250" s="76">
        <v>506</v>
      </c>
      <c r="D2250" s="76">
        <v>6.8399999999999997E-3</v>
      </c>
      <c r="E2250" s="76">
        <v>1.4E-2</v>
      </c>
      <c r="F2250" s="76">
        <v>2.1000000000000001E-2</v>
      </c>
      <c r="G2250" s="76">
        <v>2.8000000000000001E-2</v>
      </c>
      <c r="H2250" s="76">
        <v>3.49E-2</v>
      </c>
      <c r="I2250" s="76">
        <v>4.19E-2</v>
      </c>
      <c r="J2250" s="76">
        <v>4.8800000000000003E-2</v>
      </c>
      <c r="K2250" s="76">
        <v>5.5500000000000001E-2</v>
      </c>
      <c r="L2250" s="76">
        <v>6.2399999999999997E-2</v>
      </c>
      <c r="M2250" s="76">
        <v>6.9000000000000006E-2</v>
      </c>
    </row>
    <row r="2251" spans="3:13" x14ac:dyDescent="0.15">
      <c r="C2251" s="76">
        <v>508</v>
      </c>
      <c r="D2251" s="76">
        <v>6.1900000000000002E-3</v>
      </c>
      <c r="E2251" s="76">
        <v>1.26E-2</v>
      </c>
      <c r="F2251" s="76">
        <v>1.9E-2</v>
      </c>
      <c r="G2251" s="76">
        <v>2.5399999999999999E-2</v>
      </c>
      <c r="H2251" s="76">
        <v>3.1600000000000003E-2</v>
      </c>
      <c r="I2251" s="76">
        <v>3.7999999999999999E-2</v>
      </c>
      <c r="J2251" s="76">
        <v>4.41E-2</v>
      </c>
      <c r="K2251" s="76">
        <v>5.0299999999999997E-2</v>
      </c>
      <c r="L2251" s="76">
        <v>5.6500000000000002E-2</v>
      </c>
      <c r="M2251" s="76">
        <v>6.2399999999999997E-2</v>
      </c>
    </row>
    <row r="2252" spans="3:13" x14ac:dyDescent="0.15">
      <c r="C2252" s="76">
        <v>510</v>
      </c>
      <c r="D2252" s="76">
        <v>5.6299999999999996E-3</v>
      </c>
      <c r="E2252" s="76">
        <v>1.15E-2</v>
      </c>
      <c r="F2252" s="76">
        <v>1.7299999999999999E-2</v>
      </c>
      <c r="G2252" s="76">
        <v>2.3E-2</v>
      </c>
      <c r="H2252" s="76">
        <v>2.8799999999999999E-2</v>
      </c>
      <c r="I2252" s="76">
        <v>3.4500000000000003E-2</v>
      </c>
      <c r="J2252" s="76">
        <v>0.04</v>
      </c>
      <c r="K2252" s="76">
        <v>4.5699999999999998E-2</v>
      </c>
      <c r="L2252" s="76">
        <v>5.1200000000000002E-2</v>
      </c>
      <c r="M2252" s="76">
        <v>5.67E-2</v>
      </c>
    </row>
    <row r="2253" spans="3:13" x14ac:dyDescent="0.15">
      <c r="C2253" s="76">
        <v>512</v>
      </c>
      <c r="D2253" s="76">
        <v>5.0800000000000003E-3</v>
      </c>
      <c r="E2253" s="76">
        <v>1.03E-2</v>
      </c>
      <c r="F2253" s="76">
        <v>1.5599999999999999E-2</v>
      </c>
      <c r="G2253" s="76">
        <v>2.0799999999999999E-2</v>
      </c>
      <c r="H2253" s="76">
        <v>2.5899999999999999E-2</v>
      </c>
      <c r="I2253" s="76">
        <v>3.1099999999999999E-2</v>
      </c>
      <c r="J2253" s="76">
        <v>3.61E-2</v>
      </c>
      <c r="K2253" s="76">
        <v>4.1099999999999998E-2</v>
      </c>
      <c r="L2253" s="76">
        <v>4.6199999999999998E-2</v>
      </c>
      <c r="M2253" s="76">
        <v>5.11E-2</v>
      </c>
    </row>
    <row r="2254" spans="3:13" x14ac:dyDescent="0.15">
      <c r="C2254" s="76">
        <v>514</v>
      </c>
      <c r="D2254" s="76">
        <v>4.64E-3</v>
      </c>
      <c r="E2254" s="76">
        <v>9.4299999999999991E-3</v>
      </c>
      <c r="F2254" s="76">
        <v>1.4200000000000001E-2</v>
      </c>
      <c r="G2254" s="76">
        <v>1.9E-2</v>
      </c>
      <c r="H2254" s="76">
        <v>2.3599999999999999E-2</v>
      </c>
      <c r="I2254" s="76">
        <v>2.8299999999999999E-2</v>
      </c>
      <c r="J2254" s="76">
        <v>3.2899999999999999E-2</v>
      </c>
      <c r="K2254" s="76">
        <v>3.7499999999999999E-2</v>
      </c>
      <c r="L2254" s="76">
        <v>4.2099999999999999E-2</v>
      </c>
      <c r="M2254" s="76">
        <v>4.6600000000000003E-2</v>
      </c>
    </row>
    <row r="2255" spans="3:13" x14ac:dyDescent="0.15">
      <c r="C2255" s="76">
        <v>516</v>
      </c>
      <c r="D2255" s="76">
        <v>4.2399999999999998E-3</v>
      </c>
      <c r="E2255" s="76">
        <v>8.6499999999999997E-3</v>
      </c>
      <c r="F2255" s="76">
        <v>1.3100000000000001E-2</v>
      </c>
      <c r="G2255" s="76">
        <v>1.7399999999999999E-2</v>
      </c>
      <c r="H2255" s="76">
        <v>2.1700000000000001E-2</v>
      </c>
      <c r="I2255" s="76">
        <v>2.6100000000000002E-2</v>
      </c>
      <c r="J2255" s="76">
        <v>3.0200000000000001E-2</v>
      </c>
      <c r="K2255" s="76">
        <v>3.4500000000000003E-2</v>
      </c>
      <c r="L2255" s="76">
        <v>3.8699999999999998E-2</v>
      </c>
      <c r="M2255" s="76">
        <v>4.2900000000000001E-2</v>
      </c>
    </row>
    <row r="2256" spans="3:13" x14ac:dyDescent="0.15">
      <c r="C2256" s="76">
        <v>518</v>
      </c>
      <c r="D2256" s="76">
        <v>3.9300000000000003E-3</v>
      </c>
      <c r="E2256" s="76">
        <v>8.0000000000000002E-3</v>
      </c>
      <c r="F2256" s="76">
        <v>1.21E-2</v>
      </c>
      <c r="G2256" s="76">
        <v>1.6E-2</v>
      </c>
      <c r="H2256" s="76">
        <v>0.02</v>
      </c>
      <c r="I2256" s="76">
        <v>2.4E-2</v>
      </c>
      <c r="J2256" s="76">
        <v>2.7900000000000001E-2</v>
      </c>
      <c r="K2256" s="76">
        <v>3.1899999999999998E-2</v>
      </c>
      <c r="L2256" s="76">
        <v>3.5700000000000003E-2</v>
      </c>
      <c r="M2256" s="76">
        <v>3.9600000000000003E-2</v>
      </c>
    </row>
    <row r="2257" spans="3:13" x14ac:dyDescent="0.15">
      <c r="C2257" s="76">
        <v>520</v>
      </c>
      <c r="D2257" s="76">
        <v>3.63E-3</v>
      </c>
      <c r="E2257" s="76">
        <v>7.4000000000000003E-3</v>
      </c>
      <c r="F2257" s="76">
        <v>1.12E-2</v>
      </c>
      <c r="G2257" s="76">
        <v>1.4800000000000001E-2</v>
      </c>
      <c r="H2257" s="76">
        <v>1.8499999999999999E-2</v>
      </c>
      <c r="I2257" s="76">
        <v>2.23E-2</v>
      </c>
      <c r="J2257" s="76">
        <v>2.58E-2</v>
      </c>
      <c r="K2257" s="76">
        <v>2.9499999999999998E-2</v>
      </c>
      <c r="L2257" s="76">
        <v>3.3000000000000002E-2</v>
      </c>
      <c r="M2257" s="76">
        <v>3.6700000000000003E-2</v>
      </c>
    </row>
    <row r="2258" spans="3:13" x14ac:dyDescent="0.15">
      <c r="C2258" s="76">
        <v>522</v>
      </c>
      <c r="D2258" s="76">
        <v>3.3600000000000001E-3</v>
      </c>
      <c r="E2258" s="76">
        <v>6.8399999999999997E-3</v>
      </c>
      <c r="F2258" s="76">
        <v>1.03E-2</v>
      </c>
      <c r="G2258" s="76">
        <v>1.38E-2</v>
      </c>
      <c r="H2258" s="76">
        <v>1.7100000000000001E-2</v>
      </c>
      <c r="I2258" s="76">
        <v>2.0500000000000001E-2</v>
      </c>
      <c r="J2258" s="76">
        <v>2.3900000000000001E-2</v>
      </c>
      <c r="K2258" s="76">
        <v>2.7300000000000001E-2</v>
      </c>
      <c r="L2258" s="76">
        <v>3.0599999999999999E-2</v>
      </c>
      <c r="M2258" s="76">
        <v>3.39E-2</v>
      </c>
    </row>
    <row r="2259" spans="3:13" x14ac:dyDescent="0.15">
      <c r="C2259" s="76">
        <v>524</v>
      </c>
      <c r="D2259" s="76">
        <v>3.0799999999999998E-3</v>
      </c>
      <c r="E2259" s="76">
        <v>6.2700000000000004E-3</v>
      </c>
      <c r="F2259" s="76">
        <v>9.4400000000000005E-3</v>
      </c>
      <c r="G2259" s="76">
        <v>1.26E-2</v>
      </c>
      <c r="H2259" s="76">
        <v>1.5699999999999999E-2</v>
      </c>
      <c r="I2259" s="76">
        <v>1.8800000000000001E-2</v>
      </c>
      <c r="J2259" s="76">
        <v>2.18E-2</v>
      </c>
      <c r="K2259" s="76">
        <v>2.5000000000000001E-2</v>
      </c>
      <c r="L2259" s="76">
        <v>2.8000000000000001E-2</v>
      </c>
      <c r="M2259" s="76">
        <v>3.1099999999999999E-2</v>
      </c>
    </row>
    <row r="2260" spans="3:13" x14ac:dyDescent="0.15">
      <c r="C2260" s="76">
        <v>526</v>
      </c>
      <c r="D2260" s="76">
        <v>2.8400000000000001E-3</v>
      </c>
      <c r="E2260" s="76">
        <v>5.7800000000000004E-3</v>
      </c>
      <c r="F2260" s="76">
        <v>8.7299999999999999E-3</v>
      </c>
      <c r="G2260" s="76">
        <v>1.1599999999999999E-2</v>
      </c>
      <c r="H2260" s="76">
        <v>1.4500000000000001E-2</v>
      </c>
      <c r="I2260" s="76">
        <v>1.7399999999999999E-2</v>
      </c>
      <c r="J2260" s="76">
        <v>2.0199999999999999E-2</v>
      </c>
      <c r="K2260" s="76">
        <v>2.3099999999999999E-2</v>
      </c>
      <c r="L2260" s="76">
        <v>2.5899999999999999E-2</v>
      </c>
      <c r="M2260" s="76">
        <v>2.8799999999999999E-2</v>
      </c>
    </row>
    <row r="2261" spans="3:13" x14ac:dyDescent="0.15">
      <c r="C2261" s="76">
        <v>528</v>
      </c>
      <c r="D2261" s="76">
        <v>2.63E-3</v>
      </c>
      <c r="E2261" s="76">
        <v>5.3600000000000002E-3</v>
      </c>
      <c r="F2261" s="76">
        <v>8.0700000000000008E-3</v>
      </c>
      <c r="G2261" s="76">
        <v>1.0699999999999999E-2</v>
      </c>
      <c r="H2261" s="76">
        <v>1.34E-2</v>
      </c>
      <c r="I2261" s="76">
        <v>1.6E-2</v>
      </c>
      <c r="J2261" s="76">
        <v>1.8599999999999998E-2</v>
      </c>
      <c r="K2261" s="76">
        <v>2.1299999999999999E-2</v>
      </c>
      <c r="L2261" s="76">
        <v>2.3900000000000001E-2</v>
      </c>
      <c r="M2261" s="76">
        <v>2.6599999999999999E-2</v>
      </c>
    </row>
    <row r="2262" spans="3:13" x14ac:dyDescent="0.15">
      <c r="C2262" s="76">
        <v>530</v>
      </c>
      <c r="D2262" s="76">
        <v>2.4199999999999998E-3</v>
      </c>
      <c r="E2262" s="76">
        <v>4.9399999999999999E-3</v>
      </c>
      <c r="F2262" s="76">
        <v>7.4099999999999999E-3</v>
      </c>
      <c r="G2262" s="76">
        <v>9.8399999999999998E-3</v>
      </c>
      <c r="H2262" s="76">
        <v>1.23E-2</v>
      </c>
      <c r="I2262" s="76">
        <v>1.47E-2</v>
      </c>
      <c r="J2262" s="76">
        <v>1.7100000000000001E-2</v>
      </c>
      <c r="K2262" s="76">
        <v>1.9599999999999999E-2</v>
      </c>
      <c r="L2262" s="76">
        <v>2.1899999999999999E-2</v>
      </c>
      <c r="M2262" s="76">
        <v>2.4400000000000002E-2</v>
      </c>
    </row>
    <row r="2263" spans="3:13" x14ac:dyDescent="0.15">
      <c r="C2263" s="76">
        <v>532</v>
      </c>
      <c r="D2263" s="76">
        <v>2.2200000000000002E-3</v>
      </c>
      <c r="E2263" s="76">
        <v>4.5300000000000002E-3</v>
      </c>
      <c r="F2263" s="76">
        <v>6.79E-3</v>
      </c>
      <c r="G2263" s="76">
        <v>8.9700000000000005E-3</v>
      </c>
      <c r="H2263" s="76">
        <v>1.1299999999999999E-2</v>
      </c>
      <c r="I2263" s="76">
        <v>1.35E-2</v>
      </c>
      <c r="J2263" s="76">
        <v>1.5699999999999999E-2</v>
      </c>
      <c r="K2263" s="76">
        <v>1.7899999999999999E-2</v>
      </c>
      <c r="L2263" s="76">
        <v>2.01E-2</v>
      </c>
      <c r="M2263" s="76">
        <v>2.24E-2</v>
      </c>
    </row>
    <row r="2264" spans="3:13" x14ac:dyDescent="0.15">
      <c r="C2264" s="76">
        <v>534</v>
      </c>
      <c r="D2264" s="76">
        <v>2.0200000000000001E-3</v>
      </c>
      <c r="E2264" s="76">
        <v>4.13E-3</v>
      </c>
      <c r="F2264" s="76">
        <v>6.1900000000000002E-3</v>
      </c>
      <c r="G2264" s="76">
        <v>8.2199999999999999E-3</v>
      </c>
      <c r="H2264" s="76">
        <v>1.04E-2</v>
      </c>
      <c r="I2264" s="76">
        <v>1.23E-2</v>
      </c>
      <c r="J2264" s="76">
        <v>1.44E-2</v>
      </c>
      <c r="K2264" s="76">
        <v>1.6400000000000001E-2</v>
      </c>
      <c r="L2264" s="76">
        <v>1.83E-2</v>
      </c>
      <c r="M2264" s="76">
        <v>2.0500000000000001E-2</v>
      </c>
    </row>
    <row r="2265" spans="3:13" x14ac:dyDescent="0.15">
      <c r="C2265" s="76">
        <v>536</v>
      </c>
      <c r="D2265" s="76">
        <v>1.83E-3</v>
      </c>
      <c r="E2265" s="76">
        <v>3.7200000000000002E-3</v>
      </c>
      <c r="F2265" s="76">
        <v>5.5700000000000003E-3</v>
      </c>
      <c r="G2265" s="76">
        <v>7.3800000000000003E-3</v>
      </c>
      <c r="H2265" s="76">
        <v>9.2999999999999992E-3</v>
      </c>
      <c r="I2265" s="76">
        <v>1.11E-2</v>
      </c>
      <c r="J2265" s="76">
        <v>1.29E-2</v>
      </c>
      <c r="K2265" s="76">
        <v>1.4800000000000001E-2</v>
      </c>
      <c r="L2265" s="76">
        <v>1.6400000000000001E-2</v>
      </c>
      <c r="M2265" s="76">
        <v>1.8499999999999999E-2</v>
      </c>
    </row>
    <row r="2266" spans="3:13" x14ac:dyDescent="0.15">
      <c r="C2266" s="76">
        <v>538</v>
      </c>
      <c r="D2266" s="76">
        <v>1.66E-3</v>
      </c>
      <c r="E2266" s="76">
        <v>3.3899999999999998E-3</v>
      </c>
      <c r="F2266" s="76">
        <v>5.0600000000000003E-3</v>
      </c>
      <c r="G2266" s="76">
        <v>6.6800000000000002E-3</v>
      </c>
      <c r="H2266" s="76">
        <v>8.4399999999999996E-3</v>
      </c>
      <c r="I2266" s="76">
        <v>1.01E-2</v>
      </c>
      <c r="J2266" s="76">
        <v>1.18E-2</v>
      </c>
      <c r="K2266" s="76">
        <v>1.34E-2</v>
      </c>
      <c r="L2266" s="76">
        <v>1.4999999999999999E-2</v>
      </c>
      <c r="M2266" s="76">
        <v>1.6799999999999999E-2</v>
      </c>
    </row>
    <row r="2267" spans="3:13" x14ac:dyDescent="0.15">
      <c r="C2267" s="76">
        <v>540</v>
      </c>
      <c r="D2267" s="76">
        <v>1.5100000000000001E-3</v>
      </c>
      <c r="E2267" s="76">
        <v>3.0799999999999998E-3</v>
      </c>
      <c r="F2267" s="76">
        <v>4.62E-3</v>
      </c>
      <c r="G2267" s="76">
        <v>6.11E-3</v>
      </c>
      <c r="H2267" s="76">
        <v>7.6699999999999997E-3</v>
      </c>
      <c r="I2267" s="76">
        <v>9.1299999999999992E-3</v>
      </c>
      <c r="J2267" s="76">
        <v>1.0699999999999999E-2</v>
      </c>
      <c r="K2267" s="76">
        <v>1.2200000000000001E-2</v>
      </c>
      <c r="L2267" s="76">
        <v>1.3599999999999999E-2</v>
      </c>
      <c r="M2267" s="76">
        <v>1.5299999999999999E-2</v>
      </c>
    </row>
    <row r="2268" spans="3:13" x14ac:dyDescent="0.15">
      <c r="C2268" s="76">
        <v>542</v>
      </c>
      <c r="D2268" s="76">
        <v>1.3699999999999999E-3</v>
      </c>
      <c r="E2268" s="76">
        <v>2.81E-3</v>
      </c>
      <c r="F2268" s="76">
        <v>4.1900000000000001E-3</v>
      </c>
      <c r="G2268" s="76">
        <v>5.5599999999999998E-3</v>
      </c>
      <c r="H2268" s="76">
        <v>6.9699999999999996E-3</v>
      </c>
      <c r="I2268" s="76">
        <v>8.3300000000000006E-3</v>
      </c>
      <c r="J2268" s="76">
        <v>9.7099999999999999E-3</v>
      </c>
      <c r="K2268" s="76">
        <v>1.12E-2</v>
      </c>
      <c r="L2268" s="76">
        <v>1.24E-2</v>
      </c>
      <c r="M2268" s="76">
        <v>1.3899999999999999E-2</v>
      </c>
    </row>
    <row r="2269" spans="3:13" x14ac:dyDescent="0.15">
      <c r="C2269" s="76">
        <v>544</v>
      </c>
      <c r="D2269" s="76">
        <v>1.25E-3</v>
      </c>
      <c r="E2269" s="76">
        <v>2.5600000000000002E-3</v>
      </c>
      <c r="F2269" s="76">
        <v>3.82E-3</v>
      </c>
      <c r="G2269" s="76">
        <v>5.0699999999999999E-3</v>
      </c>
      <c r="H2269" s="76">
        <v>6.3499999999999997E-3</v>
      </c>
      <c r="I2269" s="76">
        <v>7.5700000000000003E-3</v>
      </c>
      <c r="J2269" s="76">
        <v>8.8500000000000002E-3</v>
      </c>
      <c r="K2269" s="76">
        <v>1.0200000000000001E-2</v>
      </c>
      <c r="L2269" s="76">
        <v>1.12E-2</v>
      </c>
      <c r="M2269" s="76">
        <v>1.26E-2</v>
      </c>
    </row>
    <row r="2270" spans="3:13" x14ac:dyDescent="0.15">
      <c r="C2270" s="76">
        <v>546</v>
      </c>
      <c r="D2270" s="76">
        <v>1.1299999999999999E-3</v>
      </c>
      <c r="E2270" s="76">
        <v>2.3E-3</v>
      </c>
      <c r="F2270" s="76">
        <v>3.4299999999999999E-3</v>
      </c>
      <c r="G2270" s="76">
        <v>4.5599999999999998E-3</v>
      </c>
      <c r="H2270" s="76">
        <v>5.7099999999999998E-3</v>
      </c>
      <c r="I2270" s="76">
        <v>6.8300000000000001E-3</v>
      </c>
      <c r="J2270" s="76">
        <v>8.0000000000000002E-3</v>
      </c>
      <c r="K2270" s="76">
        <v>9.1400000000000006E-3</v>
      </c>
      <c r="L2270" s="76">
        <v>1.01E-2</v>
      </c>
      <c r="M2270" s="76">
        <v>1.15E-2</v>
      </c>
    </row>
    <row r="2271" spans="3:13" x14ac:dyDescent="0.15">
      <c r="C2271" s="76">
        <v>548</v>
      </c>
      <c r="D2271" s="76">
        <v>1.0200000000000001E-3</v>
      </c>
      <c r="E2271" s="76">
        <v>2.0999999999999999E-3</v>
      </c>
      <c r="F2271" s="76">
        <v>3.1199999999999999E-3</v>
      </c>
      <c r="G2271" s="76">
        <v>4.1099999999999999E-3</v>
      </c>
      <c r="H2271" s="76">
        <v>5.1999999999999998E-3</v>
      </c>
      <c r="I2271" s="76">
        <v>6.1799999999999997E-3</v>
      </c>
      <c r="J2271" s="76">
        <v>7.2700000000000004E-3</v>
      </c>
      <c r="K2271" s="76">
        <v>8.3000000000000001E-3</v>
      </c>
      <c r="L2271" s="76">
        <v>9.1999999999999998E-3</v>
      </c>
      <c r="M2271" s="76">
        <v>1.03E-2</v>
      </c>
    </row>
    <row r="2272" spans="3:13" x14ac:dyDescent="0.15">
      <c r="C2272" s="76">
        <v>550</v>
      </c>
      <c r="D2272" s="76">
        <v>9.2800000000000001E-4</v>
      </c>
      <c r="E2272" s="76">
        <v>1.91E-3</v>
      </c>
      <c r="F2272" s="76">
        <v>2.8500000000000001E-3</v>
      </c>
      <c r="G2272" s="76">
        <v>3.7499999999999999E-3</v>
      </c>
      <c r="H2272" s="76">
        <v>4.7400000000000003E-3</v>
      </c>
      <c r="I2272" s="76">
        <v>5.5999999999999999E-3</v>
      </c>
      <c r="J2272" s="76">
        <v>6.62E-3</v>
      </c>
      <c r="K2272" s="76">
        <v>7.5700000000000003E-3</v>
      </c>
      <c r="L2272" s="76">
        <v>8.43E-3</v>
      </c>
      <c r="M2272" s="76">
        <v>9.4199999999999996E-3</v>
      </c>
    </row>
    <row r="2273" spans="3:13" x14ac:dyDescent="0.15">
      <c r="C2273" s="76">
        <v>552</v>
      </c>
      <c r="D2273" s="76">
        <v>8.4400000000000002E-4</v>
      </c>
      <c r="E2273" s="76">
        <v>1.74E-3</v>
      </c>
      <c r="F2273" s="76">
        <v>2.5899999999999999E-3</v>
      </c>
      <c r="G2273" s="76">
        <v>3.4199999999999999E-3</v>
      </c>
      <c r="H2273" s="76">
        <v>4.3299999999999996E-3</v>
      </c>
      <c r="I2273" s="76">
        <v>5.13E-3</v>
      </c>
      <c r="J2273" s="76">
        <v>6.0400000000000002E-3</v>
      </c>
      <c r="K2273" s="76">
        <v>6.9199999999999999E-3</v>
      </c>
      <c r="L2273" s="76">
        <v>7.6600000000000001E-3</v>
      </c>
      <c r="M2273" s="76">
        <v>8.6E-3</v>
      </c>
    </row>
    <row r="2274" spans="3:13" x14ac:dyDescent="0.15">
      <c r="C2274" s="76">
        <v>554</v>
      </c>
      <c r="D2274" s="76">
        <v>7.6800000000000002E-4</v>
      </c>
      <c r="E2274" s="76">
        <v>1.6000000000000001E-3</v>
      </c>
      <c r="F2274" s="76">
        <v>2.3500000000000001E-3</v>
      </c>
      <c r="G2274" s="76">
        <v>3.13E-3</v>
      </c>
      <c r="H2274" s="76">
        <v>3.9699999999999996E-3</v>
      </c>
      <c r="I2274" s="76">
        <v>4.6800000000000001E-3</v>
      </c>
      <c r="J2274" s="76">
        <v>5.4900000000000001E-3</v>
      </c>
      <c r="K2274" s="76">
        <v>6.3400000000000001E-3</v>
      </c>
      <c r="L2274" s="76">
        <v>7.0099999999999997E-3</v>
      </c>
      <c r="M2274" s="76">
        <v>7.8499999999999993E-3</v>
      </c>
    </row>
    <row r="2275" spans="3:13" x14ac:dyDescent="0.15">
      <c r="C2275" s="76">
        <v>556</v>
      </c>
      <c r="D2275" s="76">
        <v>6.9899999999999997E-4</v>
      </c>
      <c r="E2275" s="76">
        <v>1.4599999999999999E-3</v>
      </c>
      <c r="F2275" s="76">
        <v>2.14E-3</v>
      </c>
      <c r="G2275" s="76">
        <v>2.8500000000000001E-3</v>
      </c>
      <c r="H2275" s="76">
        <v>3.62E-3</v>
      </c>
      <c r="I2275" s="76">
        <v>4.28E-3</v>
      </c>
      <c r="J2275" s="76">
        <v>5.0699999999999999E-3</v>
      </c>
      <c r="K2275" s="76">
        <v>5.7999999999999996E-3</v>
      </c>
      <c r="L2275" s="76">
        <v>6.3600000000000002E-3</v>
      </c>
      <c r="M2275" s="76">
        <v>7.1500000000000001E-3</v>
      </c>
    </row>
    <row r="2276" spans="3:13" x14ac:dyDescent="0.15">
      <c r="C2276" s="76">
        <v>558</v>
      </c>
      <c r="D2276" s="76">
        <v>6.3400000000000001E-4</v>
      </c>
      <c r="E2276" s="76">
        <v>1.3500000000000001E-3</v>
      </c>
      <c r="F2276" s="76">
        <v>1.9400000000000001E-3</v>
      </c>
      <c r="G2276" s="76">
        <v>2.5600000000000002E-3</v>
      </c>
      <c r="H2276" s="76">
        <v>3.2499999999999999E-3</v>
      </c>
      <c r="I2276" s="76">
        <v>3.8700000000000002E-3</v>
      </c>
      <c r="J2276" s="76">
        <v>4.62E-3</v>
      </c>
      <c r="K2276" s="76">
        <v>5.1999999999999998E-3</v>
      </c>
      <c r="L2276" s="76">
        <v>5.79E-3</v>
      </c>
      <c r="M2276" s="76">
        <v>6.4400000000000004E-3</v>
      </c>
    </row>
    <row r="2277" spans="3:13" x14ac:dyDescent="0.15">
      <c r="C2277" s="76">
        <v>560</v>
      </c>
      <c r="D2277" s="76">
        <v>5.7300000000000005E-4</v>
      </c>
      <c r="E2277" s="76">
        <v>1.2099999999999999E-3</v>
      </c>
      <c r="F2277" s="76">
        <v>1.7799999999999999E-3</v>
      </c>
      <c r="G2277" s="76">
        <v>2.3600000000000001E-3</v>
      </c>
      <c r="H2277" s="76">
        <v>2.98E-3</v>
      </c>
      <c r="I2277" s="76">
        <v>3.5500000000000002E-3</v>
      </c>
      <c r="J2277" s="76">
        <v>4.2100000000000002E-3</v>
      </c>
      <c r="K2277" s="76">
        <v>4.7499999999999999E-3</v>
      </c>
      <c r="L2277" s="76">
        <v>5.28E-3</v>
      </c>
      <c r="M2277" s="76">
        <v>5.94E-3</v>
      </c>
    </row>
    <row r="2278" spans="3:13" x14ac:dyDescent="0.15">
      <c r="C2278" s="76">
        <v>562</v>
      </c>
      <c r="D2278" s="76">
        <v>5.31E-4</v>
      </c>
      <c r="E2278" s="76">
        <v>1.1199999999999999E-3</v>
      </c>
      <c r="F2278" s="76">
        <v>1.64E-3</v>
      </c>
      <c r="G2278" s="76">
        <v>2.1900000000000001E-3</v>
      </c>
      <c r="H2278" s="76">
        <v>2.7299999999999998E-3</v>
      </c>
      <c r="I2278" s="76">
        <v>3.2299999999999998E-3</v>
      </c>
      <c r="J2278" s="76">
        <v>3.8800000000000002E-3</v>
      </c>
      <c r="K2278" s="76">
        <v>4.3400000000000001E-3</v>
      </c>
      <c r="L2278" s="76">
        <v>4.8799999999999998E-3</v>
      </c>
      <c r="M2278" s="76">
        <v>5.3299999999999997E-3</v>
      </c>
    </row>
    <row r="2279" spans="3:13" x14ac:dyDescent="0.15">
      <c r="C2279" s="76">
        <v>564</v>
      </c>
      <c r="D2279" s="76">
        <v>4.8500000000000003E-4</v>
      </c>
      <c r="E2279" s="76">
        <v>1.01E-3</v>
      </c>
      <c r="F2279" s="76">
        <v>1.5E-3</v>
      </c>
      <c r="G2279" s="76">
        <v>2.0200000000000001E-3</v>
      </c>
      <c r="H2279" s="76">
        <v>2.5100000000000001E-3</v>
      </c>
      <c r="I2279" s="76">
        <v>2.98E-3</v>
      </c>
      <c r="J2279" s="76">
        <v>3.5500000000000002E-3</v>
      </c>
      <c r="K2279" s="76">
        <v>3.9899999999999996E-3</v>
      </c>
      <c r="L2279" s="76">
        <v>4.5100000000000001E-3</v>
      </c>
      <c r="M2279" s="76">
        <v>4.9399999999999999E-3</v>
      </c>
    </row>
    <row r="2280" spans="3:13" x14ac:dyDescent="0.15">
      <c r="C2280" s="76">
        <v>566</v>
      </c>
      <c r="D2280" s="76">
        <v>4.5100000000000001E-4</v>
      </c>
      <c r="E2280" s="76">
        <v>9.2800000000000001E-4</v>
      </c>
      <c r="F2280" s="76">
        <v>1.3699999999999999E-3</v>
      </c>
      <c r="G2280" s="76">
        <v>1.91E-3</v>
      </c>
      <c r="H2280" s="76">
        <v>2.32E-3</v>
      </c>
      <c r="I2280" s="76">
        <v>2.7899999999999999E-3</v>
      </c>
      <c r="J2280" s="76">
        <v>3.29E-3</v>
      </c>
      <c r="K2280" s="76">
        <v>3.6900000000000001E-3</v>
      </c>
      <c r="L2280" s="76">
        <v>4.2399999999999998E-3</v>
      </c>
      <c r="M2280" s="76">
        <v>4.4900000000000001E-3</v>
      </c>
    </row>
    <row r="2281" spans="3:13" x14ac:dyDescent="0.15">
      <c r="C2281" s="76">
        <v>568</v>
      </c>
      <c r="D2281" s="76">
        <v>4.1599999999999997E-4</v>
      </c>
      <c r="E2281" s="76">
        <v>8.4500000000000005E-4</v>
      </c>
      <c r="F2281" s="76">
        <v>1.2600000000000001E-3</v>
      </c>
      <c r="G2281" s="76">
        <v>1.72E-3</v>
      </c>
      <c r="H2281" s="76">
        <v>2.0999999999999999E-3</v>
      </c>
      <c r="I2281" s="76">
        <v>2.5100000000000001E-3</v>
      </c>
      <c r="J2281" s="76">
        <v>3.0400000000000002E-3</v>
      </c>
      <c r="K2281" s="76">
        <v>3.4199999999999999E-3</v>
      </c>
      <c r="L2281" s="76">
        <v>3.8500000000000001E-3</v>
      </c>
      <c r="M2281" s="76">
        <v>4.1399999999999996E-3</v>
      </c>
    </row>
    <row r="2282" spans="3:13" x14ac:dyDescent="0.15">
      <c r="C2282" s="76">
        <v>570</v>
      </c>
      <c r="D2282" s="76">
        <v>3.79E-4</v>
      </c>
      <c r="E2282" s="76">
        <v>7.8700000000000005E-4</v>
      </c>
      <c r="F2282" s="76">
        <v>1.1800000000000001E-3</v>
      </c>
      <c r="G2282" s="76">
        <v>1.6100000000000001E-3</v>
      </c>
      <c r="H2282" s="76">
        <v>1.97E-3</v>
      </c>
      <c r="I2282" s="76">
        <v>2.3500000000000001E-3</v>
      </c>
      <c r="J2282" s="76">
        <v>2.7899999999999999E-3</v>
      </c>
      <c r="K2282" s="76">
        <v>3.1099999999999999E-3</v>
      </c>
      <c r="L2282" s="76">
        <v>3.5899999999999999E-3</v>
      </c>
      <c r="M2282" s="76">
        <v>3.82E-3</v>
      </c>
    </row>
    <row r="2283" spans="3:13" x14ac:dyDescent="0.15">
      <c r="C2283" s="76">
        <v>572</v>
      </c>
      <c r="D2283" s="76">
        <v>3.57E-4</v>
      </c>
      <c r="E2283" s="76">
        <v>7.4200000000000004E-4</v>
      </c>
      <c r="F2283" s="76">
        <v>1.09E-3</v>
      </c>
      <c r="G2283" s="76">
        <v>1.5200000000000001E-3</v>
      </c>
      <c r="H2283" s="76">
        <v>1.8699999999999999E-3</v>
      </c>
      <c r="I2283" s="76">
        <v>2.2100000000000002E-3</v>
      </c>
      <c r="J2283" s="76">
        <v>2.5999999999999999E-3</v>
      </c>
      <c r="K2283" s="76">
        <v>2.8900000000000002E-3</v>
      </c>
      <c r="L2283" s="76">
        <v>3.3500000000000001E-3</v>
      </c>
      <c r="M2283" s="76">
        <v>3.5599999999999998E-3</v>
      </c>
    </row>
    <row r="2284" spans="3:13" x14ac:dyDescent="0.15">
      <c r="C2284" s="76">
        <v>574</v>
      </c>
      <c r="D2284" s="76">
        <v>3.3399999999999999E-4</v>
      </c>
      <c r="E2284" s="76">
        <v>6.78E-4</v>
      </c>
      <c r="F2284" s="76">
        <v>1.0200000000000001E-3</v>
      </c>
      <c r="G2284" s="76">
        <v>1.3699999999999999E-3</v>
      </c>
      <c r="H2284" s="76">
        <v>1.74E-3</v>
      </c>
      <c r="I2284" s="76">
        <v>2.0500000000000002E-3</v>
      </c>
      <c r="J2284" s="76">
        <v>2.4099999999999998E-3</v>
      </c>
      <c r="K2284" s="76">
        <v>2.6800000000000001E-3</v>
      </c>
      <c r="L2284" s="76">
        <v>3.0799999999999998E-3</v>
      </c>
      <c r="M2284" s="76">
        <v>3.29E-3</v>
      </c>
    </row>
    <row r="2285" spans="3:13" x14ac:dyDescent="0.15">
      <c r="C2285" s="76">
        <v>576</v>
      </c>
      <c r="D2285" s="76">
        <v>3.0699999999999998E-4</v>
      </c>
      <c r="E2285" s="76">
        <v>6.3900000000000003E-4</v>
      </c>
      <c r="F2285" s="76">
        <v>9.3800000000000003E-4</v>
      </c>
      <c r="G2285" s="76">
        <v>1.2800000000000001E-3</v>
      </c>
      <c r="H2285" s="76">
        <v>1.6199999999999999E-3</v>
      </c>
      <c r="I2285" s="76">
        <v>1.9E-3</v>
      </c>
      <c r="J2285" s="76">
        <v>2.2699999999999999E-3</v>
      </c>
      <c r="K2285" s="76">
        <v>2.4399999999999999E-3</v>
      </c>
      <c r="L2285" s="76">
        <v>2.9099999999999998E-3</v>
      </c>
      <c r="M2285" s="76">
        <v>3.0599999999999998E-3</v>
      </c>
    </row>
    <row r="2286" spans="3:13" x14ac:dyDescent="0.15">
      <c r="C2286" s="76">
        <v>578</v>
      </c>
      <c r="D2286" s="76">
        <v>2.8200000000000002E-4</v>
      </c>
      <c r="E2286" s="76">
        <v>5.7200000000000003E-4</v>
      </c>
      <c r="F2286" s="76">
        <v>8.5599999999999999E-4</v>
      </c>
      <c r="G2286" s="76">
        <v>1.2099999999999999E-3</v>
      </c>
      <c r="H2286" s="76">
        <v>1.3799999999999999E-3</v>
      </c>
      <c r="I2286" s="76">
        <v>1.7099999999999999E-3</v>
      </c>
      <c r="J2286" s="76">
        <v>2.0799999999999998E-3</v>
      </c>
      <c r="K2286" s="76">
        <v>2.2499999999999998E-3</v>
      </c>
      <c r="L2286" s="76">
        <v>2.65E-3</v>
      </c>
      <c r="M2286" s="76">
        <v>2.7799999999999999E-3</v>
      </c>
    </row>
    <row r="2287" spans="3:13" x14ac:dyDescent="0.15">
      <c r="C2287" s="76">
        <v>580</v>
      </c>
      <c r="D2287" s="76">
        <v>2.5900000000000001E-4</v>
      </c>
      <c r="E2287" s="76">
        <v>5.2599999999999999E-4</v>
      </c>
      <c r="F2287" s="76">
        <v>7.8899999999999999E-4</v>
      </c>
      <c r="G2287" s="76">
        <v>1.1299999999999999E-3</v>
      </c>
      <c r="H2287" s="76">
        <v>1.32E-3</v>
      </c>
      <c r="I2287" s="76">
        <v>1.6100000000000001E-3</v>
      </c>
      <c r="J2287" s="76">
        <v>1.9E-3</v>
      </c>
      <c r="K2287" s="76">
        <v>2.0600000000000002E-3</v>
      </c>
      <c r="L2287" s="76">
        <v>2.47E-3</v>
      </c>
      <c r="M2287" s="76">
        <v>2.5600000000000002E-3</v>
      </c>
    </row>
    <row r="2288" spans="3:13" x14ac:dyDescent="0.15">
      <c r="C2288" s="76">
        <v>582</v>
      </c>
      <c r="D2288" s="76">
        <v>2.41E-4</v>
      </c>
      <c r="E2288" s="76">
        <v>4.8000000000000001E-4</v>
      </c>
      <c r="F2288" s="76">
        <v>7.1599999999999995E-4</v>
      </c>
      <c r="G2288" s="76">
        <v>1.0200000000000001E-3</v>
      </c>
      <c r="H2288" s="76">
        <v>1.25E-3</v>
      </c>
      <c r="I2288" s="76">
        <v>1.49E-3</v>
      </c>
      <c r="J2288" s="76">
        <v>1.7700000000000001E-3</v>
      </c>
      <c r="K2288" s="76">
        <v>1.91E-3</v>
      </c>
      <c r="L2288" s="76">
        <v>2.2200000000000002E-3</v>
      </c>
      <c r="M2288" s="76">
        <v>2.3700000000000001E-3</v>
      </c>
    </row>
    <row r="2289" spans="3:13" x14ac:dyDescent="0.15">
      <c r="C2289" s="76">
        <v>584</v>
      </c>
      <c r="D2289" s="76">
        <v>2.24E-4</v>
      </c>
      <c r="E2289" s="76">
        <v>4.4200000000000001E-4</v>
      </c>
      <c r="F2289" s="76">
        <v>6.6200000000000005E-4</v>
      </c>
      <c r="G2289" s="76">
        <v>9.6599999999999995E-4</v>
      </c>
      <c r="H2289" s="76">
        <v>1.1199999999999999E-3</v>
      </c>
      <c r="I2289" s="76">
        <v>1.3600000000000001E-3</v>
      </c>
      <c r="J2289" s="76">
        <v>1.64E-3</v>
      </c>
      <c r="K2289" s="76">
        <v>1.75E-3</v>
      </c>
      <c r="L2289" s="76">
        <v>2.0600000000000002E-3</v>
      </c>
      <c r="M2289" s="76">
        <v>2.16E-3</v>
      </c>
    </row>
    <row r="2290" spans="3:13" x14ac:dyDescent="0.15">
      <c r="C2290" s="76">
        <v>586</v>
      </c>
      <c r="D2290" s="76">
        <v>2.1499999999999999E-4</v>
      </c>
      <c r="E2290" s="76">
        <v>3.9399999999999998E-4</v>
      </c>
      <c r="F2290" s="76">
        <v>5.9199999999999997E-4</v>
      </c>
      <c r="G2290" s="76">
        <v>8.9599999999999999E-4</v>
      </c>
      <c r="H2290" s="76">
        <v>1.01E-3</v>
      </c>
      <c r="I2290" s="76">
        <v>1.25E-3</v>
      </c>
      <c r="J2290" s="76">
        <v>1.5E-3</v>
      </c>
      <c r="K2290" s="76">
        <v>1.57E-3</v>
      </c>
      <c r="L2290" s="76">
        <v>1.92E-3</v>
      </c>
      <c r="M2290" s="76">
        <v>1.9599999999999999E-3</v>
      </c>
    </row>
    <row r="2291" spans="3:13" x14ac:dyDescent="0.15">
      <c r="C2291" s="76">
        <v>588</v>
      </c>
      <c r="D2291" s="76">
        <v>1.93E-4</v>
      </c>
      <c r="E2291" s="76">
        <v>3.5799999999999997E-4</v>
      </c>
      <c r="F2291" s="76">
        <v>5.6599999999999999E-4</v>
      </c>
      <c r="G2291" s="76">
        <v>7.85E-4</v>
      </c>
      <c r="H2291" s="76">
        <v>9.2699999999999998E-4</v>
      </c>
      <c r="I2291" s="76">
        <v>1.1000000000000001E-3</v>
      </c>
      <c r="J2291" s="76">
        <v>1.34E-3</v>
      </c>
      <c r="K2291" s="76">
        <v>1.4499999999999999E-3</v>
      </c>
      <c r="L2291" s="76">
        <v>1.75E-3</v>
      </c>
      <c r="M2291" s="76">
        <v>1.83E-3</v>
      </c>
    </row>
    <row r="2292" spans="3:13" x14ac:dyDescent="0.15">
      <c r="C2292" s="76">
        <v>590</v>
      </c>
      <c r="D2292" s="76">
        <v>1.74E-4</v>
      </c>
      <c r="E2292" s="76">
        <v>3.1799999999999998E-4</v>
      </c>
      <c r="F2292" s="76">
        <v>4.9700000000000005E-4</v>
      </c>
      <c r="G2292" s="76">
        <v>6.8999999999999997E-4</v>
      </c>
      <c r="H2292" s="76">
        <v>8.1899999999999996E-4</v>
      </c>
      <c r="I2292" s="76">
        <v>1.0200000000000001E-3</v>
      </c>
      <c r="J2292" s="76">
        <v>1.2199999999999999E-3</v>
      </c>
      <c r="K2292" s="76">
        <v>1.2700000000000001E-3</v>
      </c>
      <c r="L2292" s="76">
        <v>1.6000000000000001E-3</v>
      </c>
      <c r="M2292" s="76">
        <v>1.8500000000000001E-3</v>
      </c>
    </row>
    <row r="2293" spans="3:13" x14ac:dyDescent="0.15">
      <c r="C2293" s="76">
        <v>592</v>
      </c>
      <c r="D2293" s="76">
        <v>1.5899999999999999E-4</v>
      </c>
      <c r="E2293" s="76">
        <v>2.8299999999999999E-4</v>
      </c>
      <c r="F2293" s="76">
        <v>4.5100000000000001E-4</v>
      </c>
      <c r="G2293" s="76">
        <v>6.6100000000000002E-4</v>
      </c>
      <c r="H2293" s="76">
        <v>7.6999999999999996E-4</v>
      </c>
      <c r="I2293" s="76">
        <v>9.1799999999999998E-4</v>
      </c>
      <c r="J2293" s="76">
        <v>1.1199999999999999E-3</v>
      </c>
      <c r="K2293" s="76">
        <v>1.17E-3</v>
      </c>
      <c r="L2293" s="76">
        <v>1.4499999999999999E-3</v>
      </c>
      <c r="M2293" s="76">
        <v>1.5399999999999999E-3</v>
      </c>
    </row>
    <row r="2294" spans="3:13" x14ac:dyDescent="0.15">
      <c r="C2294" s="76">
        <v>594</v>
      </c>
      <c r="D2294" s="76">
        <v>1.47E-4</v>
      </c>
      <c r="E2294" s="76">
        <v>2.5599999999999999E-4</v>
      </c>
      <c r="F2294" s="76">
        <v>4.1599999999999997E-4</v>
      </c>
      <c r="G2294" s="76">
        <v>6.1799999999999995E-4</v>
      </c>
      <c r="H2294" s="76">
        <v>7.1400000000000001E-4</v>
      </c>
      <c r="I2294" s="76">
        <v>8.3000000000000001E-4</v>
      </c>
      <c r="J2294" s="76">
        <v>1.01E-3</v>
      </c>
      <c r="K2294" s="76">
        <v>1.1100000000000001E-3</v>
      </c>
      <c r="L2294" s="76">
        <v>1.2800000000000001E-3</v>
      </c>
      <c r="M2294" s="76">
        <v>1.4400000000000001E-3</v>
      </c>
    </row>
    <row r="2295" spans="3:13" x14ac:dyDescent="0.15">
      <c r="C2295" s="76">
        <v>596</v>
      </c>
      <c r="D2295" s="76">
        <v>1.3899999999999999E-4</v>
      </c>
      <c r="E2295" s="76">
        <v>2.3599999999999999E-4</v>
      </c>
      <c r="F2295" s="76">
        <v>3.7500000000000001E-4</v>
      </c>
      <c r="G2295" s="76">
        <v>5.44E-4</v>
      </c>
      <c r="H2295" s="76">
        <v>6.2500000000000001E-4</v>
      </c>
      <c r="I2295" s="76">
        <v>7.5100000000000004E-4</v>
      </c>
      <c r="J2295" s="76">
        <v>8.7799999999999998E-4</v>
      </c>
      <c r="K2295" s="76">
        <v>1.0399999999999999E-3</v>
      </c>
      <c r="L2295" s="76">
        <v>1.16E-3</v>
      </c>
      <c r="M2295" s="76">
        <v>1.31E-3</v>
      </c>
    </row>
    <row r="2296" spans="3:13" x14ac:dyDescent="0.15">
      <c r="C2296" s="76">
        <v>598</v>
      </c>
      <c r="D2296" s="76">
        <v>1.3999999999999999E-4</v>
      </c>
      <c r="E2296" s="76">
        <v>2.13E-4</v>
      </c>
      <c r="F2296" s="76">
        <v>3.4900000000000003E-4</v>
      </c>
      <c r="G2296" s="76">
        <v>4.9100000000000001E-4</v>
      </c>
      <c r="H2296" s="76">
        <v>5.5500000000000005E-4</v>
      </c>
      <c r="I2296" s="76">
        <v>6.7599999999999995E-4</v>
      </c>
      <c r="J2296" s="76">
        <v>8.4699999999999999E-4</v>
      </c>
      <c r="K2296" s="76">
        <v>9.3700000000000001E-4</v>
      </c>
      <c r="L2296" s="76">
        <v>1.08E-3</v>
      </c>
      <c r="M2296" s="76">
        <v>1.1900000000000001E-3</v>
      </c>
    </row>
    <row r="2297" spans="3:13" x14ac:dyDescent="0.15">
      <c r="C2297" s="76">
        <v>600</v>
      </c>
      <c r="D2297" s="76">
        <v>1.05E-4</v>
      </c>
      <c r="E2297" s="76">
        <v>1.8699999999999999E-4</v>
      </c>
      <c r="F2297" s="76">
        <v>2.8299999999999999E-4</v>
      </c>
      <c r="G2297" s="76">
        <v>4.3899999999999999E-4</v>
      </c>
      <c r="H2297" s="76">
        <v>5.1800000000000001E-4</v>
      </c>
      <c r="I2297" s="76">
        <v>6.0800000000000003E-4</v>
      </c>
      <c r="J2297" s="76">
        <v>7.36E-4</v>
      </c>
      <c r="K2297" s="76">
        <v>8.1800000000000004E-4</v>
      </c>
      <c r="L2297" s="76">
        <v>9.9700000000000006E-4</v>
      </c>
      <c r="M2297" s="76">
        <v>1.09E-3</v>
      </c>
    </row>
    <row r="2298" spans="3:13" x14ac:dyDescent="0.15">
      <c r="C2298" s="76">
        <v>602</v>
      </c>
      <c r="D2298" s="76">
        <v>1.11E-4</v>
      </c>
      <c r="E2298" s="76">
        <v>1.6899999999999999E-4</v>
      </c>
      <c r="F2298" s="76">
        <v>2.8200000000000002E-4</v>
      </c>
      <c r="G2298" s="76">
        <v>4.0999999999999999E-4</v>
      </c>
      <c r="H2298" s="76">
        <v>4.75E-4</v>
      </c>
      <c r="I2298" s="76">
        <v>5.53E-4</v>
      </c>
      <c r="J2298" s="76">
        <v>6.5899999999999997E-4</v>
      </c>
      <c r="K2298" s="76">
        <v>7.4899999999999999E-4</v>
      </c>
      <c r="L2298" s="76">
        <v>8.7399999999999999E-4</v>
      </c>
      <c r="M2298" s="76">
        <v>9.9599999999999992E-4</v>
      </c>
    </row>
    <row r="2299" spans="3:13" x14ac:dyDescent="0.15">
      <c r="C2299" s="76">
        <v>604</v>
      </c>
      <c r="D2299" s="76">
        <v>1.07E-4</v>
      </c>
      <c r="E2299" s="76">
        <v>1.5899999999999999E-4</v>
      </c>
      <c r="F2299" s="76">
        <v>2.4000000000000001E-4</v>
      </c>
      <c r="G2299" s="76">
        <v>3.6000000000000002E-4</v>
      </c>
      <c r="H2299" s="76">
        <v>4.4700000000000002E-4</v>
      </c>
      <c r="I2299" s="76">
        <v>5.2099999999999998E-4</v>
      </c>
      <c r="J2299" s="76">
        <v>6.0300000000000002E-4</v>
      </c>
      <c r="K2299" s="76">
        <v>7.18E-4</v>
      </c>
      <c r="L2299" s="76">
        <v>8.0599999999999997E-4</v>
      </c>
      <c r="M2299" s="76">
        <v>9.6900000000000003E-4</v>
      </c>
    </row>
    <row r="2300" spans="3:13" x14ac:dyDescent="0.15">
      <c r="C2300" s="76">
        <v>606</v>
      </c>
      <c r="D2300" s="76">
        <v>1.07E-4</v>
      </c>
      <c r="E2300" s="76">
        <v>1.46E-4</v>
      </c>
      <c r="F2300" s="76">
        <v>2.24E-4</v>
      </c>
      <c r="G2300" s="76">
        <v>3.39E-4</v>
      </c>
      <c r="H2300" s="76">
        <v>4.2700000000000002E-4</v>
      </c>
      <c r="I2300" s="76">
        <v>4.8899999999999996E-4</v>
      </c>
      <c r="J2300" s="76">
        <v>5.4100000000000003E-4</v>
      </c>
      <c r="K2300" s="76">
        <v>6.6399999999999999E-4</v>
      </c>
      <c r="L2300" s="76">
        <v>7.36E-4</v>
      </c>
      <c r="M2300" s="76">
        <v>8.4500000000000005E-4</v>
      </c>
    </row>
    <row r="2301" spans="3:13" x14ac:dyDescent="0.15">
      <c r="C2301" s="76">
        <v>608</v>
      </c>
      <c r="D2301" s="76">
        <v>8.4800000000000001E-5</v>
      </c>
      <c r="E2301" s="76">
        <v>1.4300000000000001E-4</v>
      </c>
      <c r="F2301" s="76">
        <v>1.95E-4</v>
      </c>
      <c r="G2301" s="76">
        <v>3.2600000000000001E-4</v>
      </c>
      <c r="H2301" s="76">
        <v>3.8900000000000002E-4</v>
      </c>
      <c r="I2301" s="76">
        <v>4.55E-4</v>
      </c>
      <c r="J2301" s="76">
        <v>4.2999999999999999E-4</v>
      </c>
      <c r="K2301" s="76">
        <v>6.2399999999999999E-4</v>
      </c>
      <c r="L2301" s="76">
        <v>6.6699999999999995E-4</v>
      </c>
      <c r="M2301" s="76">
        <v>7.45E-4</v>
      </c>
    </row>
    <row r="2302" spans="3:13" x14ac:dyDescent="0.15">
      <c r="C2302" s="76">
        <v>610</v>
      </c>
      <c r="D2302" s="76">
        <v>8.3700000000000002E-5</v>
      </c>
      <c r="E2302" s="76">
        <v>1.3200000000000001E-4</v>
      </c>
      <c r="F2302" s="76">
        <v>2.0599999999999999E-4</v>
      </c>
      <c r="G2302" s="76">
        <v>2.7999999999999998E-4</v>
      </c>
      <c r="H2302" s="76">
        <v>3.4099999999999999E-4</v>
      </c>
      <c r="I2302" s="76">
        <v>3.79E-4</v>
      </c>
      <c r="J2302" s="76">
        <v>4.1599999999999997E-4</v>
      </c>
      <c r="K2302" s="76">
        <v>5.7499999999999999E-4</v>
      </c>
      <c r="L2302" s="76">
        <v>6.8300000000000001E-4</v>
      </c>
      <c r="M2302" s="76">
        <v>7.7999999999999999E-4</v>
      </c>
    </row>
    <row r="2303" spans="3:13" x14ac:dyDescent="0.15">
      <c r="C2303" s="76">
        <v>612</v>
      </c>
      <c r="D2303" s="76">
        <v>7.8800000000000004E-5</v>
      </c>
      <c r="E2303" s="76">
        <v>1.2799999999999999E-4</v>
      </c>
      <c r="F2303" s="76">
        <v>1.7799999999999999E-4</v>
      </c>
      <c r="G2303" s="76">
        <v>2.6400000000000002E-4</v>
      </c>
      <c r="H2303" s="76">
        <v>3.1500000000000001E-4</v>
      </c>
      <c r="I2303" s="76">
        <v>3.6600000000000001E-4</v>
      </c>
      <c r="J2303" s="76">
        <v>3.48E-4</v>
      </c>
      <c r="K2303" s="76">
        <v>5.1999999999999995E-4</v>
      </c>
      <c r="L2303" s="76">
        <v>5.9199999999999997E-4</v>
      </c>
      <c r="M2303" s="76">
        <v>6.4800000000000003E-4</v>
      </c>
    </row>
    <row r="2304" spans="3:13" x14ac:dyDescent="0.15">
      <c r="C2304" s="76">
        <v>614</v>
      </c>
      <c r="D2304" s="76">
        <v>6.8899999999999994E-5</v>
      </c>
      <c r="E2304" s="76">
        <v>1.11E-4</v>
      </c>
      <c r="F2304" s="76">
        <v>1.6000000000000001E-4</v>
      </c>
      <c r="G2304" s="76">
        <v>2.22E-4</v>
      </c>
      <c r="H2304" s="76">
        <v>2.8800000000000001E-4</v>
      </c>
      <c r="I2304" s="76">
        <v>3.6099999999999999E-4</v>
      </c>
      <c r="J2304" s="76">
        <v>3.2499999999999999E-4</v>
      </c>
      <c r="K2304" s="76">
        <v>5.04E-4</v>
      </c>
      <c r="L2304" s="76">
        <v>5.62E-4</v>
      </c>
      <c r="M2304" s="76">
        <v>6.1600000000000001E-4</v>
      </c>
    </row>
    <row r="2305" spans="3:13" x14ac:dyDescent="0.15">
      <c r="C2305" s="76">
        <v>616</v>
      </c>
      <c r="D2305" s="76">
        <v>6.3899999999999995E-5</v>
      </c>
      <c r="E2305" s="76">
        <v>1.06E-4</v>
      </c>
      <c r="F2305" s="76">
        <v>1.5699999999999999E-4</v>
      </c>
      <c r="G2305" s="76">
        <v>1.7899999999999999E-4</v>
      </c>
      <c r="H2305" s="76">
        <v>2.7999999999999998E-4</v>
      </c>
      <c r="I2305" s="76">
        <v>3.4600000000000001E-4</v>
      </c>
      <c r="J2305" s="76">
        <v>2.5700000000000001E-4</v>
      </c>
      <c r="K2305" s="76">
        <v>4.7399999999999997E-4</v>
      </c>
      <c r="L2305" s="76">
        <v>4.8099999999999998E-4</v>
      </c>
      <c r="M2305" s="76">
        <v>5.6999999999999998E-4</v>
      </c>
    </row>
    <row r="2306" spans="3:13" x14ac:dyDescent="0.15">
      <c r="C2306" s="76">
        <v>618</v>
      </c>
      <c r="D2306" s="76">
        <v>5.91E-5</v>
      </c>
      <c r="E2306" s="76">
        <v>1.08E-4</v>
      </c>
      <c r="F2306" s="76">
        <v>1.5100000000000001E-4</v>
      </c>
      <c r="G2306" s="76">
        <v>1.75E-4</v>
      </c>
      <c r="H2306" s="76">
        <v>3.1100000000000002E-4</v>
      </c>
      <c r="I2306" s="76">
        <v>3.0299999999999999E-4</v>
      </c>
      <c r="J2306" s="76">
        <v>2.2699999999999999E-4</v>
      </c>
      <c r="K2306" s="76">
        <v>4.3600000000000003E-4</v>
      </c>
      <c r="L2306" s="76">
        <v>4.06E-4</v>
      </c>
      <c r="M2306" s="76">
        <v>4.86E-4</v>
      </c>
    </row>
    <row r="2307" spans="3:13" x14ac:dyDescent="0.15">
      <c r="C2307" s="76">
        <v>620</v>
      </c>
      <c r="D2307" s="76">
        <v>5.52E-5</v>
      </c>
      <c r="E2307" s="76">
        <v>9.9400000000000004E-5</v>
      </c>
      <c r="F2307" s="76">
        <v>1.3899999999999999E-4</v>
      </c>
      <c r="G2307" s="76">
        <v>1.7799999999999999E-4</v>
      </c>
      <c r="H2307" s="76">
        <v>3.0800000000000001E-4</v>
      </c>
      <c r="I2307" s="76">
        <v>2.9700000000000001E-4</v>
      </c>
      <c r="J2307" s="76">
        <v>1.9599999999999999E-4</v>
      </c>
      <c r="K2307" s="76">
        <v>3.9599999999999998E-4</v>
      </c>
      <c r="L2307" s="76">
        <v>3.7399999999999998E-4</v>
      </c>
      <c r="M2307" s="76">
        <v>4.8899999999999996E-4</v>
      </c>
    </row>
    <row r="2308" spans="3:13" x14ac:dyDescent="0.15">
      <c r="C2308" s="76">
        <v>622</v>
      </c>
      <c r="D2308" s="76">
        <v>5.4799999999999997E-5</v>
      </c>
      <c r="E2308" s="76">
        <v>8.2600000000000002E-5</v>
      </c>
      <c r="F2308" s="76">
        <v>1.46E-4</v>
      </c>
      <c r="G2308" s="76">
        <v>1.7799999999999999E-4</v>
      </c>
      <c r="H2308" s="76">
        <v>2.4399999999999999E-4</v>
      </c>
      <c r="I2308" s="76">
        <v>2.6699999999999998E-4</v>
      </c>
      <c r="J2308" s="76">
        <v>2.13E-4</v>
      </c>
      <c r="K2308" s="76">
        <v>3.6999999999999999E-4</v>
      </c>
      <c r="L2308" s="76">
        <v>3.7599999999999998E-4</v>
      </c>
      <c r="M2308" s="76">
        <v>4.9100000000000001E-4</v>
      </c>
    </row>
    <row r="2309" spans="3:13" x14ac:dyDescent="0.15">
      <c r="C2309" s="76">
        <v>624</v>
      </c>
      <c r="D2309" s="76">
        <v>4.2400000000000001E-5</v>
      </c>
      <c r="E2309" s="76">
        <v>8.8399999999999994E-5</v>
      </c>
      <c r="F2309" s="76">
        <v>1.47E-4</v>
      </c>
      <c r="G2309" s="76">
        <v>1.8100000000000001E-4</v>
      </c>
      <c r="H2309" s="76">
        <v>2.4899999999999998E-4</v>
      </c>
      <c r="I2309" s="76">
        <v>2.4399999999999999E-4</v>
      </c>
      <c r="J2309" s="76">
        <v>2.0599999999999999E-4</v>
      </c>
      <c r="K2309" s="76">
        <v>3.5399999999999999E-4</v>
      </c>
      <c r="L2309" s="76">
        <v>3.3399999999999999E-4</v>
      </c>
      <c r="M2309" s="76">
        <v>4.9899999999999999E-4</v>
      </c>
    </row>
    <row r="2310" spans="3:13" x14ac:dyDescent="0.15">
      <c r="C2310" s="76">
        <v>626</v>
      </c>
      <c r="D2310" s="76">
        <v>3.8999999999999999E-5</v>
      </c>
      <c r="E2310" s="76">
        <v>9.1399999999999999E-5</v>
      </c>
      <c r="F2310" s="76">
        <v>1.47E-4</v>
      </c>
      <c r="G2310" s="76">
        <v>1.64E-4</v>
      </c>
      <c r="H2310" s="76">
        <v>2.4499999999999999E-4</v>
      </c>
      <c r="I2310" s="76">
        <v>2.31E-4</v>
      </c>
      <c r="J2310" s="76">
        <v>2.4499999999999999E-4</v>
      </c>
      <c r="K2310" s="76">
        <v>3.39E-4</v>
      </c>
      <c r="L2310" s="76">
        <v>2.8499999999999999E-4</v>
      </c>
      <c r="M2310" s="76">
        <v>4.2000000000000002E-4</v>
      </c>
    </row>
    <row r="2311" spans="3:13" x14ac:dyDescent="0.15">
      <c r="C2311" s="76">
        <v>628</v>
      </c>
      <c r="D2311" s="76">
        <v>3.5200000000000002E-5</v>
      </c>
      <c r="E2311" s="76">
        <v>7.8100000000000001E-5</v>
      </c>
      <c r="F2311" s="76">
        <v>1.2799999999999999E-4</v>
      </c>
      <c r="G2311" s="76">
        <v>1.4799999999999999E-4</v>
      </c>
      <c r="H2311" s="76">
        <v>2.4600000000000002E-4</v>
      </c>
      <c r="I2311" s="76">
        <v>2.24E-4</v>
      </c>
      <c r="J2311" s="76">
        <v>1.8699999999999999E-4</v>
      </c>
      <c r="K2311" s="76">
        <v>3.5199999999999999E-4</v>
      </c>
      <c r="L2311" s="76">
        <v>2.9799999999999998E-4</v>
      </c>
      <c r="M2311" s="76">
        <v>4.0499999999999998E-4</v>
      </c>
    </row>
    <row r="2312" spans="3:13" x14ac:dyDescent="0.15">
      <c r="C2312" s="76">
        <v>630</v>
      </c>
      <c r="D2312" s="76">
        <v>3.82E-5</v>
      </c>
      <c r="E2312" s="76">
        <v>7.25E-5</v>
      </c>
      <c r="F2312" s="76">
        <v>1.2E-4</v>
      </c>
      <c r="G2312" s="76">
        <v>1.15E-4</v>
      </c>
      <c r="H2312" s="76">
        <v>2.41E-4</v>
      </c>
      <c r="I2312" s="76">
        <v>2.3599999999999999E-4</v>
      </c>
      <c r="J2312" s="76">
        <v>1.6100000000000001E-4</v>
      </c>
      <c r="K2312" s="76">
        <v>2.9799999999999998E-4</v>
      </c>
      <c r="L2312" s="76">
        <v>3.3500000000000001E-4</v>
      </c>
      <c r="M2312" s="76">
        <v>4.0000000000000002E-4</v>
      </c>
    </row>
    <row r="2313" spans="3:13" x14ac:dyDescent="0.15">
      <c r="C2313" s="76">
        <v>632</v>
      </c>
      <c r="D2313" s="76">
        <v>3.9100000000000002E-5</v>
      </c>
      <c r="E2313" s="76">
        <v>8.6000000000000003E-5</v>
      </c>
      <c r="F2313" s="76">
        <v>1.22E-4</v>
      </c>
      <c r="G2313" s="76">
        <v>1.16E-4</v>
      </c>
      <c r="H2313" s="76">
        <v>2.4000000000000001E-4</v>
      </c>
      <c r="I2313" s="76">
        <v>2.41E-4</v>
      </c>
      <c r="J2313" s="76">
        <v>1.54E-4</v>
      </c>
      <c r="K2313" s="76">
        <v>2.3499999999999999E-4</v>
      </c>
      <c r="L2313" s="76">
        <v>2.5399999999999999E-4</v>
      </c>
      <c r="M2313" s="76">
        <v>3.0899999999999998E-4</v>
      </c>
    </row>
    <row r="2314" spans="3:13" x14ac:dyDescent="0.15">
      <c r="C2314" s="76">
        <v>634</v>
      </c>
      <c r="D2314" s="76">
        <v>3.2700000000000002E-5</v>
      </c>
      <c r="E2314" s="76">
        <v>8.2700000000000004E-5</v>
      </c>
      <c r="F2314" s="76">
        <v>1.13E-4</v>
      </c>
      <c r="G2314" s="76">
        <v>1.18E-4</v>
      </c>
      <c r="H2314" s="76">
        <v>2.6899999999999998E-4</v>
      </c>
      <c r="I2314" s="76">
        <v>2.1599999999999999E-4</v>
      </c>
      <c r="J2314" s="76">
        <v>1.84E-4</v>
      </c>
      <c r="K2314" s="76">
        <v>3.4099999999999999E-4</v>
      </c>
      <c r="L2314" s="76">
        <v>2.9700000000000001E-4</v>
      </c>
      <c r="M2314" s="76">
        <v>3.2600000000000001E-4</v>
      </c>
    </row>
    <row r="2315" spans="3:13" x14ac:dyDescent="0.15">
      <c r="C2315" s="76">
        <v>636</v>
      </c>
      <c r="D2315" s="76">
        <v>3.5899999999999998E-5</v>
      </c>
      <c r="E2315" s="76">
        <v>8.1600000000000005E-5</v>
      </c>
      <c r="F2315" s="76">
        <v>1.18E-4</v>
      </c>
      <c r="G2315" s="76">
        <v>1.12E-4</v>
      </c>
      <c r="H2315" s="76">
        <v>2.4000000000000001E-4</v>
      </c>
      <c r="I2315" s="76">
        <v>1.83E-4</v>
      </c>
      <c r="J2315" s="76">
        <v>1.5100000000000001E-4</v>
      </c>
      <c r="K2315" s="76">
        <v>2.7099999999999997E-4</v>
      </c>
      <c r="L2315" s="76">
        <v>2.8200000000000002E-4</v>
      </c>
      <c r="M2315" s="76">
        <v>3.1700000000000001E-4</v>
      </c>
    </row>
    <row r="2316" spans="3:13" x14ac:dyDescent="0.15">
      <c r="C2316" s="76">
        <v>638</v>
      </c>
      <c r="D2316" s="76">
        <v>2.58E-5</v>
      </c>
      <c r="E2316" s="76">
        <v>8.0199999999999998E-5</v>
      </c>
      <c r="F2316" s="76">
        <v>1.22E-4</v>
      </c>
      <c r="G2316" s="76">
        <v>9.1899999999999998E-5</v>
      </c>
      <c r="H2316" s="76">
        <v>2.2599999999999999E-4</v>
      </c>
      <c r="I2316" s="76">
        <v>1.9900000000000001E-4</v>
      </c>
      <c r="J2316" s="76">
        <v>1.3100000000000001E-4</v>
      </c>
      <c r="K2316" s="76">
        <v>2.2100000000000001E-4</v>
      </c>
      <c r="L2316" s="76">
        <v>2.9100000000000003E-4</v>
      </c>
      <c r="M2316" s="76">
        <v>2.9399999999999999E-4</v>
      </c>
    </row>
    <row r="2317" spans="3:13" x14ac:dyDescent="0.15">
      <c r="C2317" s="76">
        <v>640</v>
      </c>
      <c r="D2317" s="76">
        <v>2.9899999999999998E-5</v>
      </c>
      <c r="E2317" s="76">
        <v>8.2299999999999995E-5</v>
      </c>
      <c r="F2317" s="76">
        <v>1.08E-4</v>
      </c>
      <c r="G2317" s="76">
        <v>1.0900000000000001E-4</v>
      </c>
      <c r="H2317" s="76">
        <v>2.0799999999999999E-4</v>
      </c>
      <c r="I2317" s="76">
        <v>2.0900000000000001E-4</v>
      </c>
      <c r="J2317" s="76">
        <v>1.7799999999999999E-4</v>
      </c>
      <c r="K2317" s="76">
        <v>2.4000000000000001E-4</v>
      </c>
      <c r="L2317" s="76">
        <v>2.2900000000000001E-4</v>
      </c>
      <c r="M2317" s="76">
        <v>3.1300000000000002E-4</v>
      </c>
    </row>
    <row r="2318" spans="3:13" x14ac:dyDescent="0.15">
      <c r="C2318" s="76">
        <v>642</v>
      </c>
      <c r="D2318" s="76">
        <v>2.9499999999999999E-5</v>
      </c>
      <c r="E2318" s="76">
        <v>7.4800000000000002E-5</v>
      </c>
      <c r="F2318" s="76">
        <v>1.08E-4</v>
      </c>
      <c r="G2318" s="76">
        <v>1.21E-4</v>
      </c>
      <c r="H2318" s="76">
        <v>1.54E-4</v>
      </c>
      <c r="I2318" s="76">
        <v>2.04E-4</v>
      </c>
      <c r="J2318" s="76">
        <v>1.35E-4</v>
      </c>
      <c r="K2318" s="76">
        <v>2.0599999999999999E-4</v>
      </c>
      <c r="L2318" s="76">
        <v>2.4899999999999998E-4</v>
      </c>
      <c r="M2318" s="76">
        <v>3.0200000000000002E-4</v>
      </c>
    </row>
    <row r="2319" spans="3:13" x14ac:dyDescent="0.15">
      <c r="C2319" s="76">
        <v>644</v>
      </c>
      <c r="D2319" s="76">
        <v>3.1099999999999997E-5</v>
      </c>
      <c r="E2319" s="76">
        <v>7.64E-5</v>
      </c>
      <c r="F2319" s="76">
        <v>1.18E-4</v>
      </c>
      <c r="G2319" s="76">
        <v>1.2799999999999999E-4</v>
      </c>
      <c r="H2319" s="76">
        <v>1.8699999999999999E-4</v>
      </c>
      <c r="I2319" s="76">
        <v>1.93E-4</v>
      </c>
      <c r="J2319" s="76">
        <v>1.7799999999999999E-4</v>
      </c>
      <c r="K2319" s="76">
        <v>2.22E-4</v>
      </c>
      <c r="L2319" s="76">
        <v>2.41E-4</v>
      </c>
      <c r="M2319" s="76">
        <v>3.3500000000000001E-4</v>
      </c>
    </row>
    <row r="2320" spans="3:13" x14ac:dyDescent="0.15">
      <c r="C2320" s="76">
        <v>646</v>
      </c>
      <c r="D2320" s="76">
        <v>2.5000000000000001E-5</v>
      </c>
      <c r="E2320" s="76">
        <v>6.9300000000000004E-5</v>
      </c>
      <c r="F2320" s="76">
        <v>1.2300000000000001E-4</v>
      </c>
      <c r="G2320" s="76">
        <v>1.21E-4</v>
      </c>
      <c r="H2320" s="76">
        <v>1.66E-4</v>
      </c>
      <c r="I2320" s="76">
        <v>1.5799999999999999E-4</v>
      </c>
      <c r="J2320" s="76">
        <v>2.0100000000000001E-4</v>
      </c>
      <c r="K2320" s="76">
        <v>1.36E-4</v>
      </c>
      <c r="L2320" s="76">
        <v>2.8499999999999999E-4</v>
      </c>
      <c r="M2320" s="76">
        <v>2.7500000000000002E-4</v>
      </c>
    </row>
    <row r="2321" spans="3:13" x14ac:dyDescent="0.15">
      <c r="C2321" s="76">
        <v>648</v>
      </c>
      <c r="D2321" s="76">
        <v>4.0800000000000002E-5</v>
      </c>
      <c r="E2321" s="76">
        <v>5.5600000000000003E-5</v>
      </c>
      <c r="F2321" s="76">
        <v>1.2300000000000001E-4</v>
      </c>
      <c r="G2321" s="76">
        <v>1.37E-4</v>
      </c>
      <c r="H2321" s="76">
        <v>1.7699999999999999E-4</v>
      </c>
      <c r="I2321" s="76">
        <v>1.9900000000000001E-4</v>
      </c>
      <c r="J2321" s="76">
        <v>2.1800000000000001E-4</v>
      </c>
      <c r="K2321" s="76">
        <v>2.0900000000000001E-4</v>
      </c>
      <c r="L2321" s="76">
        <v>2.3699999999999999E-4</v>
      </c>
      <c r="M2321" s="76">
        <v>2.7500000000000002E-4</v>
      </c>
    </row>
    <row r="2322" spans="3:13" x14ac:dyDescent="0.15">
      <c r="C2322" s="76">
        <v>650</v>
      </c>
      <c r="D2322" s="76">
        <v>3.1000000000000001E-5</v>
      </c>
      <c r="E2322" s="76">
        <v>6.7100000000000005E-5</v>
      </c>
      <c r="F2322" s="76">
        <v>1.1900000000000001E-4</v>
      </c>
      <c r="G2322" s="76">
        <v>1.2999999999999999E-4</v>
      </c>
      <c r="H2322" s="76">
        <v>1.5699999999999999E-4</v>
      </c>
      <c r="I2322" s="76">
        <v>1.8900000000000001E-4</v>
      </c>
      <c r="J2322" s="76">
        <v>2.41E-4</v>
      </c>
      <c r="K2322" s="76">
        <v>1.6899999999999999E-4</v>
      </c>
      <c r="L2322" s="76">
        <v>2.0900000000000001E-4</v>
      </c>
      <c r="M2322" s="76">
        <v>1.9799999999999999E-4</v>
      </c>
    </row>
    <row r="2323" spans="3:13" x14ac:dyDescent="0.15">
      <c r="C2323" s="76">
        <v>652</v>
      </c>
      <c r="D2323" s="76">
        <v>2.7500000000000001E-5</v>
      </c>
      <c r="E2323" s="76">
        <v>6.69E-5</v>
      </c>
      <c r="F2323" s="76">
        <v>1.0399999999999999E-4</v>
      </c>
      <c r="G2323" s="76">
        <v>1.15E-4</v>
      </c>
      <c r="H2323" s="76">
        <v>1.11E-4</v>
      </c>
      <c r="I2323" s="76">
        <v>2.04E-4</v>
      </c>
      <c r="J2323" s="76">
        <v>2.41E-4</v>
      </c>
      <c r="K2323" s="76">
        <v>1.66E-4</v>
      </c>
      <c r="L2323" s="76">
        <v>2.7099999999999997E-4</v>
      </c>
      <c r="M2323" s="76">
        <v>2.0699999999999999E-4</v>
      </c>
    </row>
    <row r="2324" spans="3:13" x14ac:dyDescent="0.15">
      <c r="C2324" s="76">
        <v>654</v>
      </c>
      <c r="D2324" s="76">
        <v>2.6400000000000001E-5</v>
      </c>
      <c r="E2324" s="76">
        <v>7.5400000000000003E-5</v>
      </c>
      <c r="F2324" s="76">
        <v>9.7100000000000002E-5</v>
      </c>
      <c r="G2324" s="76">
        <v>1.11E-4</v>
      </c>
      <c r="H2324" s="76">
        <v>1.1900000000000001E-4</v>
      </c>
      <c r="I2324" s="76">
        <v>2.03E-4</v>
      </c>
      <c r="J2324" s="76">
        <v>2.8499999999999999E-4</v>
      </c>
      <c r="K2324" s="76">
        <v>1.35E-4</v>
      </c>
      <c r="L2324" s="76">
        <v>2.42E-4</v>
      </c>
      <c r="M2324" s="76">
        <v>2.0799999999999999E-4</v>
      </c>
    </row>
    <row r="2325" spans="3:13" x14ac:dyDescent="0.15">
      <c r="C2325" s="76">
        <v>656</v>
      </c>
      <c r="D2325" s="76">
        <v>2.51E-5</v>
      </c>
      <c r="E2325" s="76">
        <v>5.3699999999999997E-5</v>
      </c>
      <c r="F2325" s="76">
        <v>1.3799999999999999E-4</v>
      </c>
      <c r="G2325" s="76">
        <v>1.2400000000000001E-4</v>
      </c>
      <c r="H2325" s="76">
        <v>5.4400000000000001E-5</v>
      </c>
      <c r="I2325" s="76">
        <v>1.7699999999999999E-4</v>
      </c>
      <c r="J2325" s="76">
        <v>3.21E-4</v>
      </c>
      <c r="K2325" s="76">
        <v>1.46E-4</v>
      </c>
      <c r="L2325" s="76">
        <v>2.2499999999999999E-4</v>
      </c>
      <c r="M2325" s="76">
        <v>3.0800000000000001E-4</v>
      </c>
    </row>
    <row r="2326" spans="3:13" x14ac:dyDescent="0.15">
      <c r="C2326" s="76">
        <v>658</v>
      </c>
      <c r="D2326" s="76">
        <v>2.27E-5</v>
      </c>
      <c r="E2326" s="76">
        <v>5.5099999999999998E-5</v>
      </c>
      <c r="F2326" s="76">
        <v>1.06E-4</v>
      </c>
      <c r="G2326" s="76">
        <v>1.0399999999999999E-4</v>
      </c>
      <c r="H2326" s="76">
        <v>9.2399999999999996E-5</v>
      </c>
      <c r="I2326" s="76">
        <v>1.37E-4</v>
      </c>
      <c r="J2326" s="76">
        <v>2.9599999999999998E-4</v>
      </c>
      <c r="K2326" s="76">
        <v>1.7100000000000001E-4</v>
      </c>
      <c r="L2326" s="76">
        <v>2.22E-4</v>
      </c>
      <c r="M2326" s="76">
        <v>2.0100000000000001E-4</v>
      </c>
    </row>
    <row r="2327" spans="3:13" x14ac:dyDescent="0.15">
      <c r="C2327" s="76">
        <v>660</v>
      </c>
      <c r="D2327" s="76">
        <v>2.5299999999999998E-5</v>
      </c>
      <c r="E2327" s="76">
        <v>5.0699999999999999E-5</v>
      </c>
      <c r="F2327" s="76">
        <v>8.8900000000000006E-5</v>
      </c>
      <c r="G2327" s="76">
        <v>1.2E-4</v>
      </c>
      <c r="H2327" s="76">
        <v>1.3999999999999999E-4</v>
      </c>
      <c r="I2327" s="76">
        <v>1.5100000000000001E-4</v>
      </c>
      <c r="J2327" s="76">
        <v>2.5099999999999998E-4</v>
      </c>
      <c r="K2327" s="76">
        <v>1.3999999999999999E-4</v>
      </c>
      <c r="L2327" s="76">
        <v>2.2900000000000001E-4</v>
      </c>
      <c r="M2327" s="76">
        <v>2.63E-4</v>
      </c>
    </row>
    <row r="2328" spans="3:13" x14ac:dyDescent="0.15">
      <c r="C2328" s="76">
        <v>662</v>
      </c>
      <c r="D2328" s="76">
        <v>3.01E-5</v>
      </c>
      <c r="E2328" s="76">
        <v>4.3300000000000002E-5</v>
      </c>
      <c r="F2328" s="76">
        <v>7.7600000000000002E-5</v>
      </c>
      <c r="G2328" s="76">
        <v>1.6100000000000001E-4</v>
      </c>
      <c r="H2328" s="76">
        <v>8.0000000000000007E-5</v>
      </c>
      <c r="I2328" s="76">
        <v>2.03E-4</v>
      </c>
      <c r="J2328" s="76">
        <v>2.3499999999999999E-4</v>
      </c>
      <c r="K2328" s="76">
        <v>1.63E-4</v>
      </c>
      <c r="L2328" s="76">
        <v>1.6200000000000001E-4</v>
      </c>
      <c r="M2328" s="76">
        <v>2.5000000000000001E-4</v>
      </c>
    </row>
    <row r="2329" spans="3:13" x14ac:dyDescent="0.15">
      <c r="C2329" s="76">
        <v>664</v>
      </c>
      <c r="D2329" s="76">
        <v>2.9200000000000002E-5</v>
      </c>
      <c r="E2329" s="76">
        <v>4.2500000000000003E-5</v>
      </c>
      <c r="F2329" s="76">
        <v>1.08E-4</v>
      </c>
      <c r="G2329" s="76">
        <v>1.36E-4</v>
      </c>
      <c r="H2329" s="76">
        <v>1.02E-4</v>
      </c>
      <c r="I2329" s="76">
        <v>2.05E-4</v>
      </c>
      <c r="J2329" s="76">
        <v>2.7900000000000001E-4</v>
      </c>
      <c r="K2329" s="76">
        <v>1.6899999999999999E-4</v>
      </c>
      <c r="L2329" s="76">
        <v>2.1800000000000001E-4</v>
      </c>
      <c r="M2329" s="76">
        <v>2.4000000000000001E-4</v>
      </c>
    </row>
    <row r="2330" spans="3:13" x14ac:dyDescent="0.15">
      <c r="C2330" s="76">
        <v>666</v>
      </c>
      <c r="D2330" s="76">
        <v>2.7800000000000001E-5</v>
      </c>
      <c r="E2330" s="76">
        <v>4.2700000000000001E-5</v>
      </c>
      <c r="F2330" s="76">
        <v>9.6100000000000005E-5</v>
      </c>
      <c r="G2330" s="76">
        <v>8.8900000000000006E-5</v>
      </c>
      <c r="H2330" s="76">
        <v>4.2500000000000003E-5</v>
      </c>
      <c r="I2330" s="76">
        <v>2.0000000000000001E-4</v>
      </c>
      <c r="J2330" s="76">
        <v>3.3399999999999999E-4</v>
      </c>
      <c r="K2330" s="76">
        <v>1.25E-4</v>
      </c>
      <c r="L2330" s="76">
        <v>1.6000000000000001E-4</v>
      </c>
      <c r="M2330" s="76">
        <v>2.3499999999999999E-4</v>
      </c>
    </row>
    <row r="2331" spans="3:13" x14ac:dyDescent="0.15">
      <c r="C2331" s="76">
        <v>668</v>
      </c>
      <c r="D2331" s="76">
        <v>2.7800000000000001E-5</v>
      </c>
      <c r="E2331" s="76">
        <v>3.1399999999999998E-5</v>
      </c>
      <c r="F2331" s="76">
        <v>5.6499999999999998E-5</v>
      </c>
      <c r="G2331" s="76">
        <v>9.2899999999999995E-5</v>
      </c>
      <c r="H2331" s="76">
        <v>5.7800000000000002E-5</v>
      </c>
      <c r="I2331" s="76">
        <v>1.76E-4</v>
      </c>
      <c r="J2331" s="76">
        <v>2.6800000000000001E-4</v>
      </c>
      <c r="K2331" s="76">
        <v>1.3999999999999999E-4</v>
      </c>
      <c r="L2331" s="76">
        <v>1.7699999999999999E-4</v>
      </c>
      <c r="M2331" s="76">
        <v>1.9100000000000001E-4</v>
      </c>
    </row>
    <row r="2332" spans="3:13" x14ac:dyDescent="0.15">
      <c r="C2332" s="76">
        <v>670</v>
      </c>
      <c r="D2332" s="76">
        <v>2.55E-5</v>
      </c>
      <c r="E2332" s="76">
        <v>1.8899999999999999E-5</v>
      </c>
      <c r="F2332" s="76">
        <v>7.0099999999999996E-5</v>
      </c>
      <c r="G2332" s="76">
        <v>1.01E-4</v>
      </c>
      <c r="H2332" s="76">
        <v>8.3800000000000004E-5</v>
      </c>
      <c r="I2332" s="76">
        <v>1.5799999999999999E-4</v>
      </c>
      <c r="J2332" s="76">
        <v>2.5700000000000001E-4</v>
      </c>
      <c r="K2332" s="76">
        <v>1.3899999999999999E-4</v>
      </c>
      <c r="L2332" s="76">
        <v>1.5200000000000001E-4</v>
      </c>
      <c r="M2332" s="76">
        <v>2.2900000000000001E-4</v>
      </c>
    </row>
    <row r="2333" spans="3:13" x14ac:dyDescent="0.15">
      <c r="C2333" s="76">
        <v>672</v>
      </c>
      <c r="D2333" s="76">
        <v>2.3799999999999999E-5</v>
      </c>
      <c r="E2333" s="76">
        <v>3.4900000000000001E-5</v>
      </c>
      <c r="F2333" s="76">
        <v>6.6400000000000001E-5</v>
      </c>
      <c r="G2333" s="76">
        <v>1.05E-4</v>
      </c>
      <c r="H2333" s="76">
        <v>6.1099999999999994E-5</v>
      </c>
      <c r="I2333" s="76">
        <v>1.45E-4</v>
      </c>
      <c r="J2333" s="76">
        <v>2.2800000000000001E-4</v>
      </c>
      <c r="K2333" s="76">
        <v>1.06E-4</v>
      </c>
      <c r="L2333" s="76">
        <v>1.7000000000000001E-4</v>
      </c>
      <c r="M2333" s="76">
        <v>4.1100000000000002E-4</v>
      </c>
    </row>
    <row r="2334" spans="3:13" x14ac:dyDescent="0.15">
      <c r="C2334" s="76">
        <v>674</v>
      </c>
      <c r="D2334" s="76">
        <v>2.58E-5</v>
      </c>
      <c r="E2334" s="76">
        <v>2.1800000000000001E-5</v>
      </c>
      <c r="F2334" s="76">
        <v>5.8100000000000003E-5</v>
      </c>
      <c r="G2334" s="76">
        <v>7.3800000000000005E-5</v>
      </c>
      <c r="H2334" s="76">
        <v>6.3700000000000003E-5</v>
      </c>
      <c r="I2334" s="76">
        <v>1.0399999999999999E-4</v>
      </c>
      <c r="J2334" s="76">
        <v>2.6200000000000003E-4</v>
      </c>
      <c r="K2334" s="76">
        <v>1.16E-4</v>
      </c>
      <c r="L2334" s="76">
        <v>2.03E-4</v>
      </c>
      <c r="M2334" s="76">
        <v>2.7300000000000002E-4</v>
      </c>
    </row>
    <row r="2335" spans="3:13" x14ac:dyDescent="0.15">
      <c r="C2335" s="76">
        <v>676</v>
      </c>
      <c r="D2335" s="76">
        <v>1.8700000000000001E-5</v>
      </c>
      <c r="E2335" s="76">
        <v>1.11E-5</v>
      </c>
      <c r="F2335" s="76">
        <v>4.9499999999999997E-5</v>
      </c>
      <c r="G2335" s="76">
        <v>7.1899999999999999E-5</v>
      </c>
      <c r="H2335" s="76">
        <v>6.5400000000000004E-5</v>
      </c>
      <c r="I2335" s="76">
        <v>1.08E-4</v>
      </c>
      <c r="J2335" s="76">
        <v>1.8900000000000001E-4</v>
      </c>
      <c r="K2335" s="76">
        <v>2.0100000000000001E-4</v>
      </c>
      <c r="L2335" s="76">
        <v>1.21E-4</v>
      </c>
      <c r="M2335" s="76">
        <v>2.5000000000000001E-4</v>
      </c>
    </row>
    <row r="2336" spans="3:13" x14ac:dyDescent="0.15">
      <c r="C2336" s="76">
        <v>678</v>
      </c>
      <c r="D2336" s="76">
        <v>2.37E-5</v>
      </c>
      <c r="E2336" s="76">
        <v>2.12E-6</v>
      </c>
      <c r="F2336" s="76">
        <v>4.6100000000000002E-5</v>
      </c>
      <c r="G2336" s="76">
        <v>8.4499999999999994E-5</v>
      </c>
      <c r="H2336" s="76">
        <v>8.53E-5</v>
      </c>
      <c r="I2336" s="76">
        <v>1.17E-4</v>
      </c>
      <c r="J2336" s="76">
        <v>1.3799999999999999E-4</v>
      </c>
      <c r="K2336" s="76">
        <v>1.83E-4</v>
      </c>
      <c r="L2336" s="76">
        <v>9.1000000000000003E-5</v>
      </c>
      <c r="M2336" s="76">
        <v>2.3000000000000001E-4</v>
      </c>
    </row>
    <row r="2337" spans="3:46" x14ac:dyDescent="0.15">
      <c r="C2337" s="76">
        <v>680</v>
      </c>
      <c r="D2337" s="76">
        <v>8.0099999999999995E-6</v>
      </c>
      <c r="E2337" s="76">
        <v>2.4199999999999999E-5</v>
      </c>
      <c r="F2337" s="76">
        <v>5.0899999999999997E-5</v>
      </c>
      <c r="G2337" s="76">
        <v>3.6900000000000002E-5</v>
      </c>
      <c r="H2337" s="76">
        <v>9.6100000000000005E-5</v>
      </c>
      <c r="I2337" s="76">
        <v>1.08E-4</v>
      </c>
      <c r="J2337" s="76">
        <v>1.5899999999999999E-4</v>
      </c>
      <c r="K2337" s="76">
        <v>1.54E-4</v>
      </c>
      <c r="L2337" s="76">
        <v>1.2899999999999999E-4</v>
      </c>
      <c r="M2337" s="76">
        <v>2.1699999999999999E-4</v>
      </c>
    </row>
    <row r="2338" spans="3:46" x14ac:dyDescent="0.15">
      <c r="C2338" s="76">
        <v>682</v>
      </c>
      <c r="D2338" s="76">
        <v>3.3099999999999998E-5</v>
      </c>
      <c r="E2338" s="76">
        <v>4.0099999999999999E-5</v>
      </c>
      <c r="F2338" s="76">
        <v>4.0899999999999998E-5</v>
      </c>
      <c r="G2338" s="76">
        <v>8.9300000000000002E-5</v>
      </c>
      <c r="H2338" s="76">
        <v>6.2799999999999995E-5</v>
      </c>
      <c r="I2338" s="76">
        <v>6.5599999999999995E-5</v>
      </c>
      <c r="J2338" s="76">
        <v>9.6799999999999995E-5</v>
      </c>
      <c r="K2338" s="76">
        <v>1.64E-4</v>
      </c>
      <c r="L2338" s="76">
        <v>1.16E-4</v>
      </c>
      <c r="M2338" s="76">
        <v>1.85E-4</v>
      </c>
    </row>
    <row r="2339" spans="3:46" x14ac:dyDescent="0.15">
      <c r="C2339" s="76">
        <v>684</v>
      </c>
      <c r="D2339" s="76">
        <v>1.4E-5</v>
      </c>
      <c r="E2339" s="76">
        <v>1.11E-5</v>
      </c>
      <c r="F2339" s="76">
        <v>4.2200000000000003E-5</v>
      </c>
      <c r="G2339" s="76">
        <v>5.2599999999999998E-5</v>
      </c>
      <c r="H2339" s="76">
        <v>6.7999999999999999E-5</v>
      </c>
      <c r="I2339" s="76">
        <v>4.9400000000000001E-5</v>
      </c>
      <c r="J2339" s="76">
        <v>1.35E-4</v>
      </c>
      <c r="K2339" s="76">
        <v>1.9100000000000001E-4</v>
      </c>
      <c r="L2339" s="76">
        <v>9.8599999999999998E-5</v>
      </c>
      <c r="M2339" s="76">
        <v>1.85E-4</v>
      </c>
    </row>
    <row r="2340" spans="3:46" x14ac:dyDescent="0.15">
      <c r="C2340" s="76">
        <v>686</v>
      </c>
      <c r="D2340" s="76">
        <v>1.3699999999999999E-5</v>
      </c>
      <c r="E2340" s="76">
        <v>2.0599999999999999E-5</v>
      </c>
      <c r="F2340" s="76">
        <v>3.8600000000000003E-5</v>
      </c>
      <c r="G2340" s="76">
        <v>4.5399999999999999E-5</v>
      </c>
      <c r="H2340" s="76">
        <v>9.3599999999999998E-5</v>
      </c>
      <c r="I2340" s="76">
        <v>2.8099999999999999E-5</v>
      </c>
      <c r="J2340" s="76">
        <v>1.2799999999999999E-4</v>
      </c>
      <c r="K2340" s="76">
        <v>2.05E-4</v>
      </c>
      <c r="L2340" s="76">
        <v>1.18E-4</v>
      </c>
      <c r="M2340" s="76">
        <v>6.5699999999999998E-5</v>
      </c>
    </row>
    <row r="2341" spans="3:46" x14ac:dyDescent="0.15">
      <c r="C2341" s="81">
        <v>688</v>
      </c>
      <c r="D2341" s="76">
        <v>3.1900000000000003E-5</v>
      </c>
      <c r="E2341" s="76">
        <v>3.27E-6</v>
      </c>
      <c r="F2341" s="76">
        <v>2.8600000000000001E-5</v>
      </c>
      <c r="G2341" s="76">
        <v>6.8100000000000002E-5</v>
      </c>
      <c r="H2341" s="81">
        <v>1.13E-4</v>
      </c>
      <c r="I2341" s="76">
        <v>1.1400000000000001E-4</v>
      </c>
      <c r="J2341" s="76">
        <v>9.1799999999999995E-5</v>
      </c>
      <c r="K2341" s="76">
        <v>2.1599999999999999E-4</v>
      </c>
      <c r="L2341" s="81">
        <v>1.4799999999999999E-4</v>
      </c>
      <c r="M2341" s="76">
        <v>1.4999999999999999E-4</v>
      </c>
      <c r="N2341" s="81"/>
      <c r="T2341" s="81"/>
      <c r="W2341" s="81"/>
      <c r="AG2341" s="81"/>
      <c r="AT2341" s="81"/>
    </row>
    <row r="2342" spans="3:46" x14ac:dyDescent="0.15">
      <c r="C2342" s="81">
        <v>690</v>
      </c>
      <c r="D2342" s="76">
        <v>1.5299999999999999E-5</v>
      </c>
      <c r="E2342" s="76">
        <v>1.24E-5</v>
      </c>
      <c r="F2342" s="76">
        <v>2.3099999999999999E-5</v>
      </c>
      <c r="G2342" s="76">
        <v>4.6900000000000002E-5</v>
      </c>
      <c r="H2342" s="81">
        <v>1.26E-4</v>
      </c>
      <c r="I2342" s="76">
        <v>4.3099999999999997E-5</v>
      </c>
      <c r="J2342" s="76">
        <v>1.1400000000000001E-4</v>
      </c>
      <c r="K2342" s="76">
        <v>1.65E-4</v>
      </c>
      <c r="L2342" s="81">
        <v>1.2899999999999999E-4</v>
      </c>
      <c r="M2342" s="76">
        <v>2.1800000000000001E-4</v>
      </c>
      <c r="N2342" s="81"/>
      <c r="T2342" s="81"/>
      <c r="W2342" s="81"/>
      <c r="AG2342" s="81"/>
      <c r="AT2342" s="81"/>
    </row>
    <row r="2343" spans="3:46" x14ac:dyDescent="0.15">
      <c r="C2343" s="81">
        <v>692</v>
      </c>
      <c r="D2343" s="76">
        <v>1.47E-5</v>
      </c>
      <c r="E2343" s="76">
        <v>1.24E-5</v>
      </c>
      <c r="F2343" s="76">
        <v>2.1299999999999999E-5</v>
      </c>
      <c r="G2343" s="76">
        <v>3.8000000000000002E-5</v>
      </c>
      <c r="H2343" s="81">
        <v>9.48E-5</v>
      </c>
      <c r="I2343" s="76">
        <v>3.15E-5</v>
      </c>
      <c r="J2343" s="76">
        <v>5.6499999999999998E-5</v>
      </c>
      <c r="K2343" s="76">
        <v>1.8100000000000001E-4</v>
      </c>
      <c r="L2343" s="81">
        <v>1.6100000000000001E-4</v>
      </c>
      <c r="M2343" s="76">
        <v>1.93E-4</v>
      </c>
      <c r="N2343" s="81"/>
      <c r="T2343" s="81"/>
      <c r="W2343" s="81"/>
      <c r="AG2343" s="81"/>
      <c r="AT2343" s="81"/>
    </row>
    <row r="2344" spans="3:46" x14ac:dyDescent="0.15">
      <c r="C2344" s="81">
        <v>694</v>
      </c>
      <c r="D2344" s="76">
        <v>1.5500000000000001E-5</v>
      </c>
      <c r="E2344" s="76">
        <v>1.7600000000000001E-5</v>
      </c>
      <c r="F2344" s="76">
        <v>2.1299999999999999E-5</v>
      </c>
      <c r="G2344" s="76">
        <v>6.5900000000000003E-5</v>
      </c>
      <c r="H2344" s="81">
        <v>1.13E-4</v>
      </c>
      <c r="I2344" s="76">
        <v>3.5299999999999997E-5</v>
      </c>
      <c r="J2344" s="76">
        <v>6.5300000000000002E-5</v>
      </c>
      <c r="K2344" s="76">
        <v>2.6899999999999998E-4</v>
      </c>
      <c r="L2344" s="81">
        <v>1.63E-4</v>
      </c>
      <c r="M2344" s="76">
        <v>1.08E-4</v>
      </c>
      <c r="N2344" s="81"/>
      <c r="T2344" s="81"/>
      <c r="W2344" s="81"/>
      <c r="AG2344" s="81"/>
      <c r="AT2344" s="81"/>
    </row>
    <row r="2345" spans="3:46" x14ac:dyDescent="0.15">
      <c r="C2345" s="81">
        <v>696</v>
      </c>
      <c r="D2345" s="76">
        <v>1.4399999999999999E-5</v>
      </c>
      <c r="E2345" s="76">
        <v>3.3899999999999997E-5</v>
      </c>
      <c r="F2345" s="76">
        <v>3.6399999999999997E-5</v>
      </c>
      <c r="G2345" s="76">
        <v>4.8900000000000003E-5</v>
      </c>
      <c r="H2345" s="81">
        <v>8.9800000000000001E-5</v>
      </c>
      <c r="I2345" s="76">
        <v>2.2900000000000001E-5</v>
      </c>
      <c r="J2345" s="76">
        <v>8.1200000000000002E-6</v>
      </c>
      <c r="K2345" s="76">
        <v>2.2800000000000001E-4</v>
      </c>
      <c r="L2345" s="81">
        <v>1.6699999999999999E-4</v>
      </c>
      <c r="M2345" s="76">
        <v>1.1900000000000001E-4</v>
      </c>
      <c r="N2345" s="81"/>
      <c r="T2345" s="81"/>
      <c r="W2345" s="81"/>
      <c r="AG2345" s="81"/>
      <c r="AT2345" s="81"/>
    </row>
    <row r="2346" spans="3:46" x14ac:dyDescent="0.15">
      <c r="C2346" s="81">
        <v>698</v>
      </c>
      <c r="D2346" s="76">
        <v>1.8E-5</v>
      </c>
      <c r="E2346" s="76">
        <v>1.7600000000000001E-5</v>
      </c>
      <c r="F2346" s="76">
        <v>3.5599999999999998E-5</v>
      </c>
      <c r="G2346" s="76">
        <v>2.2099999999999998E-5</v>
      </c>
      <c r="H2346" s="81">
        <v>8.14E-5</v>
      </c>
      <c r="I2346" s="76">
        <v>1.9300000000000002E-5</v>
      </c>
      <c r="J2346" s="76">
        <v>2.5999999999999998E-5</v>
      </c>
      <c r="K2346" s="76">
        <v>2.3800000000000001E-4</v>
      </c>
      <c r="L2346" s="81">
        <v>1.46E-4</v>
      </c>
      <c r="M2346" s="76">
        <v>2.0900000000000001E-4</v>
      </c>
      <c r="N2346" s="81"/>
      <c r="T2346" s="81"/>
      <c r="W2346" s="81"/>
      <c r="AG2346" s="81"/>
      <c r="AT2346" s="81"/>
    </row>
    <row r="2347" spans="3:46" x14ac:dyDescent="0.15">
      <c r="C2347" s="81">
        <v>700</v>
      </c>
      <c r="D2347" s="76">
        <v>1.43E-5</v>
      </c>
      <c r="E2347" s="76">
        <v>2.6400000000000001E-5</v>
      </c>
      <c r="F2347" s="76">
        <v>4.1600000000000002E-5</v>
      </c>
      <c r="G2347" s="76">
        <v>4.57E-5</v>
      </c>
      <c r="H2347" s="81">
        <v>5.0699999999999999E-5</v>
      </c>
      <c r="I2347" s="76">
        <v>7.3699999999999997E-6</v>
      </c>
      <c r="J2347" s="76">
        <v>4.6E-5</v>
      </c>
      <c r="K2347" s="76">
        <v>2.33E-4</v>
      </c>
      <c r="L2347" s="81">
        <v>1.3200000000000001E-4</v>
      </c>
      <c r="M2347" s="76">
        <v>2.4899999999999998E-4</v>
      </c>
      <c r="N2347" s="81"/>
      <c r="T2347" s="81"/>
      <c r="W2347" s="81"/>
      <c r="AG2347" s="81"/>
      <c r="AT2347" s="81"/>
    </row>
    <row r="2348" spans="3:46" x14ac:dyDescent="0.15">
      <c r="C2348" s="81">
        <v>702</v>
      </c>
      <c r="D2348" s="76">
        <v>1.0699999999999999E-5</v>
      </c>
      <c r="E2348" s="76">
        <v>3.7499999999999997E-5</v>
      </c>
      <c r="F2348" s="76">
        <v>3.6399999999999997E-5</v>
      </c>
      <c r="G2348" s="76">
        <v>1.98E-5</v>
      </c>
      <c r="H2348" s="81">
        <v>1.06E-4</v>
      </c>
      <c r="I2348" s="76">
        <v>4.9699999999999998E-6</v>
      </c>
      <c r="J2348" s="76">
        <v>1.31E-5</v>
      </c>
      <c r="K2348" s="76">
        <v>2.4899999999999998E-4</v>
      </c>
      <c r="L2348" s="81">
        <v>1.93E-4</v>
      </c>
      <c r="M2348" s="76">
        <v>2.02E-4</v>
      </c>
      <c r="N2348" s="81"/>
      <c r="T2348" s="81"/>
      <c r="W2348" s="81"/>
      <c r="AG2348" s="81"/>
      <c r="AT2348" s="81"/>
    </row>
    <row r="2349" spans="3:46" x14ac:dyDescent="0.15">
      <c r="C2349" s="81">
        <v>704</v>
      </c>
      <c r="D2349" s="76">
        <v>1.24E-5</v>
      </c>
      <c r="E2349" s="76">
        <v>4.4700000000000002E-5</v>
      </c>
      <c r="F2349" s="76">
        <v>4.5800000000000002E-5</v>
      </c>
      <c r="G2349" s="76">
        <v>8.0099999999999995E-5</v>
      </c>
      <c r="H2349" s="81">
        <v>1.06E-4</v>
      </c>
      <c r="I2349" s="76">
        <v>7.8800000000000002E-7</v>
      </c>
      <c r="J2349" s="76">
        <v>3.7400000000000001E-5</v>
      </c>
      <c r="K2349" s="76">
        <v>2.2900000000000001E-4</v>
      </c>
      <c r="L2349" s="81">
        <v>1.1900000000000001E-4</v>
      </c>
      <c r="M2349" s="76">
        <v>1.4999999999999999E-4</v>
      </c>
      <c r="N2349" s="81"/>
      <c r="T2349" s="81"/>
      <c r="W2349" s="81"/>
      <c r="AG2349" s="81"/>
      <c r="AT2349" s="81"/>
    </row>
    <row r="2350" spans="3:46" x14ac:dyDescent="0.15">
      <c r="C2350" s="81">
        <v>706</v>
      </c>
      <c r="D2350" s="76">
        <v>1.7099999999999999E-5</v>
      </c>
      <c r="E2350" s="76">
        <v>4.1100000000000003E-5</v>
      </c>
      <c r="F2350" s="76">
        <v>5.0000000000000002E-5</v>
      </c>
      <c r="G2350" s="76">
        <v>4.7500000000000003E-5</v>
      </c>
      <c r="H2350" s="81">
        <v>1.4300000000000001E-4</v>
      </c>
      <c r="I2350" s="76">
        <v>1.0900000000000001E-5</v>
      </c>
      <c r="J2350" s="76">
        <v>8.7700000000000004E-5</v>
      </c>
      <c r="K2350" s="76">
        <v>1.9000000000000001E-4</v>
      </c>
      <c r="L2350" s="81">
        <v>1.18E-4</v>
      </c>
      <c r="M2350" s="76">
        <v>1.4100000000000001E-4</v>
      </c>
      <c r="N2350" s="81"/>
      <c r="T2350" s="81"/>
      <c r="W2350" s="81"/>
      <c r="AG2350" s="81"/>
      <c r="AT2350" s="81"/>
    </row>
    <row r="2351" spans="3:46" x14ac:dyDescent="0.15">
      <c r="C2351" s="81">
        <v>708</v>
      </c>
      <c r="D2351" s="76">
        <v>1.84E-5</v>
      </c>
      <c r="E2351" s="76">
        <v>5.1999999999999997E-5</v>
      </c>
      <c r="F2351" s="76">
        <v>6.2399999999999999E-5</v>
      </c>
      <c r="G2351" s="76">
        <v>4.0000000000000003E-5</v>
      </c>
      <c r="H2351" s="81">
        <v>1.45E-4</v>
      </c>
      <c r="I2351" s="76">
        <v>1.8199999999999999E-5</v>
      </c>
      <c r="J2351" s="76">
        <v>3.4199999999999998E-5</v>
      </c>
      <c r="K2351" s="76">
        <v>1.7000000000000001E-4</v>
      </c>
      <c r="L2351" s="81">
        <v>1.1900000000000001E-4</v>
      </c>
      <c r="M2351" s="76">
        <v>9.6500000000000001E-5</v>
      </c>
      <c r="N2351" s="81"/>
      <c r="T2351" s="81"/>
      <c r="W2351" s="81"/>
      <c r="AG2351" s="81"/>
      <c r="AT2351" s="81"/>
    </row>
    <row r="2352" spans="3:46" x14ac:dyDescent="0.15">
      <c r="C2352" s="81">
        <v>710</v>
      </c>
      <c r="D2352" s="76">
        <v>1.7200000000000001E-5</v>
      </c>
      <c r="E2352" s="76">
        <v>4.6300000000000001E-5</v>
      </c>
      <c r="F2352" s="76">
        <v>4.1199999999999999E-5</v>
      </c>
      <c r="G2352" s="76">
        <v>8.4800000000000001E-5</v>
      </c>
      <c r="H2352" s="81">
        <v>1.3899999999999999E-4</v>
      </c>
      <c r="I2352" s="76">
        <v>1.0499999999999999E-5</v>
      </c>
      <c r="J2352" s="76">
        <v>9.9899999999999992E-6</v>
      </c>
      <c r="K2352" s="76">
        <v>1.5799999999999999E-4</v>
      </c>
      <c r="L2352" s="81">
        <v>1.06E-4</v>
      </c>
      <c r="M2352" s="76">
        <v>1.73E-4</v>
      </c>
      <c r="N2352" s="81"/>
      <c r="T2352" s="81"/>
      <c r="W2352" s="81"/>
      <c r="AG2352" s="81"/>
      <c r="AT2352" s="81"/>
    </row>
    <row r="2353" spans="3:56" x14ac:dyDescent="0.15">
      <c r="C2353" s="81">
        <v>712</v>
      </c>
      <c r="D2353" s="76">
        <v>1.22E-5</v>
      </c>
      <c r="E2353" s="76">
        <v>3.8899999999999997E-5</v>
      </c>
      <c r="F2353" s="76">
        <v>4.1300000000000001E-5</v>
      </c>
      <c r="G2353" s="76">
        <v>5.5800000000000001E-5</v>
      </c>
      <c r="H2353" s="81">
        <v>1.4999999999999999E-4</v>
      </c>
      <c r="I2353" s="76">
        <v>3.8300000000000003E-5</v>
      </c>
      <c r="J2353" s="76">
        <v>3.4199999999999998E-5</v>
      </c>
      <c r="K2353" s="76">
        <v>1.6699999999999999E-4</v>
      </c>
      <c r="L2353" s="81">
        <v>1.19E-5</v>
      </c>
      <c r="M2353" s="76">
        <v>2.7500000000000001E-5</v>
      </c>
      <c r="N2353" s="81"/>
      <c r="T2353" s="81"/>
      <c r="W2353" s="81"/>
      <c r="AG2353" s="81"/>
      <c r="AT2353" s="81"/>
    </row>
    <row r="2354" spans="3:56" x14ac:dyDescent="0.15">
      <c r="C2354" s="81">
        <v>714</v>
      </c>
      <c r="D2354" s="76">
        <v>1.9300000000000002E-5</v>
      </c>
      <c r="E2354" s="76">
        <v>3.6699999999999998E-5</v>
      </c>
      <c r="F2354" s="76">
        <v>4.2200000000000003E-5</v>
      </c>
      <c r="G2354" s="76">
        <v>6.3700000000000003E-5</v>
      </c>
      <c r="H2354" s="81">
        <v>1.08E-4</v>
      </c>
      <c r="I2354" s="76">
        <v>2.2200000000000001E-5</v>
      </c>
      <c r="J2354" s="76">
        <v>1.7099999999999999E-5</v>
      </c>
      <c r="K2354" s="76">
        <v>1.6699999999999999E-4</v>
      </c>
      <c r="L2354" s="81">
        <v>5.8100000000000003E-5</v>
      </c>
      <c r="M2354" s="76">
        <v>7.7399999999999998E-5</v>
      </c>
      <c r="N2354" s="81"/>
      <c r="T2354" s="81"/>
      <c r="W2354" s="81"/>
      <c r="AG2354" s="81"/>
      <c r="AT2354" s="81"/>
    </row>
    <row r="2355" spans="3:56" x14ac:dyDescent="0.15">
      <c r="C2355" s="81">
        <v>716</v>
      </c>
      <c r="D2355" s="81">
        <v>1.6099999999999998E-5</v>
      </c>
      <c r="E2355" s="81">
        <v>4.5000000000000003E-5</v>
      </c>
      <c r="F2355" s="81">
        <v>3.7799999999999997E-5</v>
      </c>
      <c r="G2355" s="81">
        <v>5.24E-5</v>
      </c>
      <c r="H2355" s="81">
        <v>1.4799999999999999E-4</v>
      </c>
      <c r="I2355" s="81">
        <v>2.9200000000000002E-5</v>
      </c>
      <c r="J2355" s="81">
        <v>7.0599999999999995E-5</v>
      </c>
      <c r="K2355" s="81">
        <v>1.7799999999999999E-4</v>
      </c>
      <c r="L2355" s="81">
        <v>1.02E-4</v>
      </c>
      <c r="M2355" s="81">
        <v>7.9200000000000001E-5</v>
      </c>
      <c r="N2355" s="81"/>
      <c r="O2355" s="81"/>
      <c r="P2355" s="81"/>
      <c r="Q2355" s="81"/>
      <c r="R2355" s="81"/>
      <c r="S2355" s="81"/>
      <c r="T2355" s="81"/>
      <c r="U2355" s="81"/>
      <c r="V2355" s="81"/>
      <c r="W2355" s="81"/>
      <c r="X2355" s="81"/>
      <c r="Y2355" s="81"/>
      <c r="Z2355" s="81"/>
      <c r="AA2355" s="81"/>
      <c r="AB2355" s="81"/>
      <c r="AC2355" s="81"/>
      <c r="AD2355" s="81"/>
      <c r="AG2355" s="81"/>
      <c r="AH2355" s="81"/>
      <c r="AI2355" s="81"/>
      <c r="AJ2355" s="81"/>
      <c r="AK2355" s="81"/>
      <c r="AL2355" s="81"/>
      <c r="AM2355" s="81"/>
      <c r="AN2355" s="81"/>
      <c r="AO2355" s="81"/>
      <c r="AP2355" s="81"/>
      <c r="AQ2355" s="81"/>
      <c r="AT2355" s="81"/>
      <c r="AU2355" s="81"/>
      <c r="AV2355" s="81"/>
      <c r="AW2355" s="81"/>
      <c r="AX2355" s="81"/>
      <c r="AY2355" s="81"/>
      <c r="AZ2355" s="81"/>
      <c r="BA2355" s="81"/>
      <c r="BB2355" s="81"/>
      <c r="BC2355" s="81"/>
      <c r="BD2355" s="81"/>
    </row>
    <row r="2356" spans="3:56" x14ac:dyDescent="0.15">
      <c r="C2356" s="81">
        <v>718</v>
      </c>
      <c r="D2356" s="76">
        <v>2.2200000000000001E-5</v>
      </c>
      <c r="E2356" s="76">
        <v>3.3699999999999999E-5</v>
      </c>
      <c r="F2356" s="76">
        <v>5.5800000000000001E-5</v>
      </c>
      <c r="G2356" s="76">
        <v>8.6799999999999996E-5</v>
      </c>
      <c r="H2356" s="81">
        <v>1.2899999999999999E-4</v>
      </c>
      <c r="I2356" s="76">
        <v>2.2399999999999999E-5</v>
      </c>
      <c r="J2356" s="76">
        <v>8.03E-5</v>
      </c>
      <c r="K2356" s="76">
        <v>1.4300000000000001E-4</v>
      </c>
      <c r="L2356" s="81">
        <v>1.4300000000000001E-4</v>
      </c>
      <c r="M2356" s="76">
        <v>1.8700000000000001E-5</v>
      </c>
      <c r="N2356" s="81"/>
      <c r="T2356" s="81"/>
      <c r="W2356" s="81"/>
      <c r="AG2356" s="81"/>
      <c r="AT2356" s="81"/>
    </row>
    <row r="2357" spans="3:56" x14ac:dyDescent="0.15">
      <c r="C2357" s="76">
        <v>720</v>
      </c>
      <c r="D2357" s="76">
        <v>2.8200000000000001E-5</v>
      </c>
      <c r="E2357" s="76">
        <v>3.4600000000000001E-5</v>
      </c>
      <c r="F2357" s="76">
        <v>2.65E-5</v>
      </c>
      <c r="G2357" s="76">
        <v>7.9300000000000003E-5</v>
      </c>
      <c r="H2357" s="76">
        <v>1.2E-4</v>
      </c>
      <c r="I2357" s="76">
        <v>7.0900000000000002E-5</v>
      </c>
      <c r="J2357" s="76">
        <v>7.0300000000000001E-5</v>
      </c>
      <c r="K2357" s="76">
        <v>1.2E-4</v>
      </c>
      <c r="L2357" s="76">
        <v>8.1000000000000004E-5</v>
      </c>
      <c r="M2357" s="76">
        <v>4.9700000000000002E-5</v>
      </c>
    </row>
    <row r="2358" spans="3:56" x14ac:dyDescent="0.15">
      <c r="C2358" s="76">
        <v>722</v>
      </c>
      <c r="D2358" s="76">
        <v>3.3799999999999998E-6</v>
      </c>
      <c r="E2358" s="76">
        <v>1.0900000000000001E-5</v>
      </c>
      <c r="F2358" s="76">
        <v>3.5800000000000003E-5</v>
      </c>
      <c r="G2358" s="76">
        <v>9.6399999999999999E-5</v>
      </c>
      <c r="H2358" s="76">
        <v>9.0699999999999996E-5</v>
      </c>
      <c r="I2358" s="76">
        <v>6.9800000000000003E-5</v>
      </c>
      <c r="J2358" s="76">
        <v>1.85E-4</v>
      </c>
      <c r="K2358" s="76">
        <v>4.9299999999999999E-5</v>
      </c>
      <c r="L2358" s="76">
        <v>9.3399999999999993E-5</v>
      </c>
      <c r="M2358" s="76">
        <v>1.56E-4</v>
      </c>
    </row>
    <row r="2359" spans="3:56" x14ac:dyDescent="0.15">
      <c r="C2359" s="76">
        <v>724</v>
      </c>
      <c r="D2359" s="76">
        <v>1.1600000000000001E-5</v>
      </c>
      <c r="E2359" s="76">
        <v>4.2799999999999997E-5</v>
      </c>
      <c r="F2359" s="76">
        <v>2.9099999999999999E-5</v>
      </c>
      <c r="G2359" s="76">
        <v>8.7999999999999998E-5</v>
      </c>
      <c r="H2359" s="76">
        <v>1.08E-4</v>
      </c>
      <c r="I2359" s="76">
        <v>7.4400000000000006E-5</v>
      </c>
      <c r="J2359" s="76">
        <v>1.47E-4</v>
      </c>
      <c r="K2359" s="76">
        <v>1.1E-4</v>
      </c>
      <c r="L2359" s="76">
        <v>1.21E-4</v>
      </c>
      <c r="M2359" s="76">
        <v>6.7100000000000005E-5</v>
      </c>
    </row>
    <row r="2360" spans="3:56" x14ac:dyDescent="0.15">
      <c r="C2360" s="76">
        <v>726</v>
      </c>
      <c r="D2360" s="76">
        <v>6.8399999999999997E-6</v>
      </c>
      <c r="E2360" s="76">
        <v>3.7499999999999997E-5</v>
      </c>
      <c r="F2360" s="76">
        <v>3.4900000000000001E-5</v>
      </c>
      <c r="G2360" s="76">
        <v>4.74E-5</v>
      </c>
      <c r="H2360" s="76">
        <v>6.7500000000000001E-5</v>
      </c>
      <c r="I2360" s="76">
        <v>5.0800000000000002E-5</v>
      </c>
      <c r="J2360" s="76">
        <v>1.4100000000000001E-4</v>
      </c>
      <c r="K2360" s="76">
        <v>3.8300000000000003E-5</v>
      </c>
      <c r="L2360" s="76">
        <v>4.2200000000000003E-5</v>
      </c>
      <c r="M2360" s="76">
        <v>8.8599999999999999E-6</v>
      </c>
    </row>
    <row r="2361" spans="3:56" x14ac:dyDescent="0.15">
      <c r="C2361" s="76">
        <v>728</v>
      </c>
      <c r="D2361" s="76">
        <v>1.4399999999999999E-5</v>
      </c>
      <c r="E2361" s="76">
        <v>1.26E-5</v>
      </c>
      <c r="F2361" s="76">
        <v>3.6199999999999999E-5</v>
      </c>
      <c r="G2361" s="76">
        <v>5.41E-5</v>
      </c>
      <c r="H2361" s="76">
        <v>7.4099999999999999E-5</v>
      </c>
      <c r="I2361" s="76">
        <v>8.4099999999999998E-5</v>
      </c>
      <c r="J2361" s="76">
        <v>1.8799999999999999E-4</v>
      </c>
      <c r="K2361" s="76">
        <v>4.4700000000000002E-5</v>
      </c>
      <c r="L2361" s="76">
        <v>5.7200000000000001E-5</v>
      </c>
      <c r="M2361" s="76">
        <v>1.27E-4</v>
      </c>
    </row>
    <row r="2362" spans="3:56" x14ac:dyDescent="0.15">
      <c r="C2362" s="76">
        <v>730</v>
      </c>
      <c r="D2362" s="76">
        <v>1.2E-5</v>
      </c>
      <c r="E2362" s="76">
        <v>4.6E-5</v>
      </c>
      <c r="F2362" s="76">
        <v>2.5199999999999999E-5</v>
      </c>
      <c r="G2362" s="76">
        <v>7.6600000000000005E-5</v>
      </c>
      <c r="H2362" s="76">
        <v>9.3499999999999996E-5</v>
      </c>
      <c r="I2362" s="76">
        <v>1.12E-4</v>
      </c>
      <c r="J2362" s="76">
        <v>3.3599999999999998E-4</v>
      </c>
      <c r="K2362" s="76">
        <v>2.9499999999999999E-5</v>
      </c>
      <c r="L2362" s="76">
        <v>1.18E-4</v>
      </c>
      <c r="M2362" s="76">
        <v>7.7000000000000001E-5</v>
      </c>
    </row>
    <row r="2363" spans="3:56" x14ac:dyDescent="0.15">
      <c r="C2363" s="76">
        <v>732</v>
      </c>
      <c r="D2363" s="76">
        <v>1.26E-5</v>
      </c>
      <c r="E2363" s="76">
        <v>3.7799999999999997E-5</v>
      </c>
      <c r="F2363" s="76">
        <v>3.3800000000000002E-5</v>
      </c>
      <c r="G2363" s="76">
        <v>5.8799999999999999E-5</v>
      </c>
      <c r="H2363" s="76">
        <v>6.5199999999999999E-5</v>
      </c>
      <c r="I2363" s="76">
        <v>1.18E-4</v>
      </c>
      <c r="J2363" s="76">
        <v>2.3599999999999999E-4</v>
      </c>
      <c r="K2363" s="76">
        <v>2.3099999999999999E-5</v>
      </c>
      <c r="L2363" s="76">
        <v>9.3499999999999996E-5</v>
      </c>
      <c r="M2363" s="76">
        <v>7.3899999999999994E-5</v>
      </c>
    </row>
    <row r="2364" spans="3:56" x14ac:dyDescent="0.15">
      <c r="C2364" s="76">
        <v>734</v>
      </c>
      <c r="D2364" s="76">
        <v>1.6500000000000001E-5</v>
      </c>
      <c r="E2364" s="76">
        <v>3.6199999999999999E-5</v>
      </c>
      <c r="F2364" s="76">
        <v>2.7699999999999999E-5</v>
      </c>
      <c r="G2364" s="76">
        <v>3.29E-5</v>
      </c>
      <c r="H2364" s="76">
        <v>1.1E-4</v>
      </c>
      <c r="I2364" s="76">
        <v>1.17E-4</v>
      </c>
      <c r="J2364" s="76">
        <v>2.2699999999999999E-4</v>
      </c>
      <c r="K2364" s="76">
        <v>1.8099999999999999E-5</v>
      </c>
      <c r="L2364" s="76">
        <v>1.3200000000000001E-4</v>
      </c>
      <c r="M2364" s="76">
        <v>1.4100000000000001E-4</v>
      </c>
    </row>
    <row r="2365" spans="3:56" x14ac:dyDescent="0.15">
      <c r="C2365" s="76">
        <v>736</v>
      </c>
      <c r="D2365" s="76">
        <v>1.5E-5</v>
      </c>
      <c r="E2365" s="76">
        <v>3.5899999999999998E-5</v>
      </c>
      <c r="F2365" s="76">
        <v>1.6799999999999998E-5</v>
      </c>
      <c r="G2365" s="76">
        <v>5.5699999999999999E-5</v>
      </c>
      <c r="H2365" s="76">
        <v>6.6500000000000004E-5</v>
      </c>
      <c r="I2365" s="76">
        <v>1.36E-4</v>
      </c>
      <c r="J2365" s="76">
        <v>2.6499999999999999E-4</v>
      </c>
      <c r="K2365" s="76">
        <v>2.9500000000000001E-6</v>
      </c>
      <c r="L2365" s="76">
        <v>1.7000000000000001E-4</v>
      </c>
      <c r="M2365" s="76">
        <v>1.17E-4</v>
      </c>
    </row>
    <row r="2366" spans="3:56" x14ac:dyDescent="0.15">
      <c r="C2366" s="76">
        <v>738</v>
      </c>
      <c r="D2366" s="76">
        <v>1.7600000000000001E-5</v>
      </c>
      <c r="E2366" s="76">
        <v>4.1199999999999999E-5</v>
      </c>
      <c r="F2366" s="76">
        <v>3.7799999999999997E-5</v>
      </c>
      <c r="G2366" s="76">
        <v>4.6600000000000001E-5</v>
      </c>
      <c r="H2366" s="76">
        <v>8.5599999999999994E-5</v>
      </c>
      <c r="I2366" s="76">
        <v>9.7399999999999996E-5</v>
      </c>
      <c r="J2366" s="76">
        <v>2.3800000000000001E-4</v>
      </c>
      <c r="K2366" s="76">
        <v>2.02E-5</v>
      </c>
      <c r="L2366" s="76">
        <v>1.44E-4</v>
      </c>
      <c r="M2366" s="76">
        <v>1.35E-4</v>
      </c>
    </row>
    <row r="2367" spans="3:56" x14ac:dyDescent="0.15">
      <c r="C2367" s="76">
        <v>740</v>
      </c>
      <c r="D2367" s="76">
        <v>2.0299999999999999E-5</v>
      </c>
      <c r="E2367" s="76">
        <v>4.0800000000000002E-5</v>
      </c>
      <c r="F2367" s="76">
        <v>5.9299999999999998E-5</v>
      </c>
      <c r="G2367" s="76">
        <v>7.1699999999999995E-5</v>
      </c>
      <c r="H2367" s="76">
        <v>1.37E-4</v>
      </c>
      <c r="I2367" s="76">
        <v>1.35E-4</v>
      </c>
      <c r="J2367" s="76">
        <v>2.8600000000000001E-4</v>
      </c>
      <c r="K2367" s="76">
        <v>8.0499999999999992E-6</v>
      </c>
      <c r="L2367" s="76">
        <v>1.83E-4</v>
      </c>
      <c r="M2367" s="76">
        <v>1.85E-4</v>
      </c>
    </row>
    <row r="2368" spans="3:56" x14ac:dyDescent="0.15">
      <c r="C2368" s="76">
        <v>742</v>
      </c>
      <c r="D2368" s="76">
        <v>2.8900000000000001E-5</v>
      </c>
      <c r="E2368" s="76">
        <v>4.6799999999999999E-5</v>
      </c>
      <c r="F2368" s="76">
        <v>4.2799999999999997E-5</v>
      </c>
      <c r="G2368" s="76">
        <v>6.2799999999999995E-5</v>
      </c>
      <c r="H2368" s="76">
        <v>6.7199999999999994E-5</v>
      </c>
      <c r="I2368" s="76">
        <v>1.21E-4</v>
      </c>
      <c r="J2368" s="76">
        <v>2.8499999999999999E-4</v>
      </c>
      <c r="K2368" s="76">
        <v>3.0599999999999998E-5</v>
      </c>
      <c r="L2368" s="76">
        <v>1.9699999999999999E-4</v>
      </c>
      <c r="M2368" s="76">
        <v>1.47E-4</v>
      </c>
    </row>
    <row r="2369" spans="3:13" x14ac:dyDescent="0.15">
      <c r="C2369" s="76">
        <v>744</v>
      </c>
      <c r="D2369" s="76">
        <v>2.41E-5</v>
      </c>
      <c r="E2369" s="76">
        <v>5.6100000000000002E-5</v>
      </c>
      <c r="F2369" s="76">
        <v>6.3999999999999997E-5</v>
      </c>
      <c r="G2369" s="76">
        <v>1.16E-4</v>
      </c>
      <c r="H2369" s="76">
        <v>2.8500000000000002E-5</v>
      </c>
      <c r="I2369" s="76">
        <v>8.1699999999999994E-5</v>
      </c>
      <c r="J2369" s="76">
        <v>2.2499999999999999E-4</v>
      </c>
      <c r="K2369" s="76">
        <v>2.5000000000000001E-5</v>
      </c>
      <c r="L2369" s="76">
        <v>2.2499999999999999E-4</v>
      </c>
      <c r="M2369" s="76">
        <v>1.9000000000000001E-4</v>
      </c>
    </row>
    <row r="2370" spans="3:13" x14ac:dyDescent="0.15">
      <c r="C2370" s="76">
        <v>746</v>
      </c>
      <c r="D2370" s="76">
        <v>2.8600000000000001E-5</v>
      </c>
      <c r="E2370" s="76">
        <v>4.8300000000000002E-5</v>
      </c>
      <c r="F2370" s="76">
        <v>8.3999999999999995E-5</v>
      </c>
      <c r="G2370" s="76">
        <v>7.5300000000000001E-5</v>
      </c>
      <c r="H2370" s="76">
        <v>6.1099999999999994E-5</v>
      </c>
      <c r="I2370" s="76">
        <v>1.12E-4</v>
      </c>
      <c r="J2370" s="76">
        <v>2.72E-4</v>
      </c>
      <c r="K2370" s="76">
        <v>0</v>
      </c>
      <c r="L2370" s="76">
        <v>1.8599999999999999E-4</v>
      </c>
      <c r="M2370" s="76">
        <v>2.24E-4</v>
      </c>
    </row>
    <row r="2371" spans="3:13" x14ac:dyDescent="0.15">
      <c r="C2371" s="76">
        <v>748</v>
      </c>
      <c r="D2371" s="76">
        <v>2.9E-5</v>
      </c>
      <c r="E2371" s="76">
        <v>4.1900000000000002E-5</v>
      </c>
      <c r="F2371" s="76">
        <v>8.1199999999999995E-5</v>
      </c>
      <c r="G2371" s="76">
        <v>5.2200000000000002E-5</v>
      </c>
      <c r="H2371" s="76">
        <v>1.5999999999999999E-5</v>
      </c>
      <c r="I2371" s="76">
        <v>7.9300000000000003E-5</v>
      </c>
      <c r="J2371" s="76">
        <v>2.34E-4</v>
      </c>
      <c r="K2371" s="76">
        <v>3.8E-6</v>
      </c>
      <c r="L2371" s="76">
        <v>1.66E-4</v>
      </c>
      <c r="M2371" s="76">
        <v>2.0100000000000001E-4</v>
      </c>
    </row>
    <row r="2372" spans="3:13" x14ac:dyDescent="0.15">
      <c r="C2372" s="76">
        <v>750</v>
      </c>
      <c r="D2372" s="76">
        <v>2.1399999999999998E-5</v>
      </c>
      <c r="E2372" s="76">
        <v>3.3599999999999997E-5</v>
      </c>
      <c r="F2372" s="76">
        <v>7.2999999999999999E-5</v>
      </c>
      <c r="G2372" s="76">
        <v>4.49E-5</v>
      </c>
      <c r="H2372" s="76">
        <v>5.1400000000000003E-5</v>
      </c>
      <c r="I2372" s="76">
        <v>7.1500000000000003E-5</v>
      </c>
      <c r="J2372" s="76">
        <v>2.41E-4</v>
      </c>
      <c r="K2372" s="76">
        <v>8.3999999999999995E-5</v>
      </c>
      <c r="L2372" s="76">
        <v>2.1100000000000001E-4</v>
      </c>
      <c r="M2372" s="76">
        <v>3.7100000000000002E-4</v>
      </c>
    </row>
    <row r="2373" spans="3:13" x14ac:dyDescent="0.15">
      <c r="C2373" s="76">
        <v>752</v>
      </c>
      <c r="D2373" s="76">
        <v>2.4300000000000001E-5</v>
      </c>
      <c r="E2373" s="76">
        <v>2.0299999999999999E-5</v>
      </c>
      <c r="F2373" s="76">
        <v>8.0400000000000003E-5</v>
      </c>
      <c r="G2373" s="76">
        <v>5.2899999999999998E-5</v>
      </c>
      <c r="H2373" s="76">
        <v>7.6199999999999995E-5</v>
      </c>
      <c r="I2373" s="76">
        <v>8.25E-5</v>
      </c>
      <c r="J2373" s="76">
        <v>2.2599999999999999E-4</v>
      </c>
      <c r="K2373" s="76">
        <v>1.26E-4</v>
      </c>
      <c r="L2373" s="76">
        <v>1.95E-4</v>
      </c>
      <c r="M2373" s="76">
        <v>2.99E-4</v>
      </c>
    </row>
    <row r="2374" spans="3:13" x14ac:dyDescent="0.15">
      <c r="C2374" s="76">
        <v>754</v>
      </c>
      <c r="D2374" s="76">
        <v>2.9300000000000001E-5</v>
      </c>
      <c r="E2374" s="76">
        <v>3.9100000000000002E-5</v>
      </c>
      <c r="F2374" s="76">
        <v>8.8200000000000003E-5</v>
      </c>
      <c r="G2374" s="76">
        <v>3.7100000000000001E-5</v>
      </c>
      <c r="H2374" s="76">
        <v>1.02E-4</v>
      </c>
      <c r="I2374" s="76">
        <v>3.93E-5</v>
      </c>
      <c r="J2374" s="76">
        <v>2.4499999999999999E-4</v>
      </c>
      <c r="K2374" s="76">
        <v>1.37E-4</v>
      </c>
      <c r="L2374" s="76">
        <v>1.9699999999999999E-4</v>
      </c>
      <c r="M2374" s="76">
        <v>3.7399999999999998E-4</v>
      </c>
    </row>
    <row r="2375" spans="3:13" x14ac:dyDescent="0.15">
      <c r="C2375" s="76">
        <v>756</v>
      </c>
      <c r="D2375" s="76">
        <v>2.8E-5</v>
      </c>
      <c r="E2375" s="76">
        <v>3.9700000000000003E-5</v>
      </c>
      <c r="F2375" s="76">
        <v>9.6799999999999995E-5</v>
      </c>
      <c r="G2375" s="76">
        <v>5.77E-5</v>
      </c>
      <c r="H2375" s="76">
        <v>5.3699999999999997E-5</v>
      </c>
      <c r="I2375" s="76">
        <v>4.33E-6</v>
      </c>
      <c r="J2375" s="76">
        <v>2.2599999999999999E-4</v>
      </c>
      <c r="K2375" s="76">
        <v>7.8899999999999993E-5</v>
      </c>
      <c r="L2375" s="76">
        <v>1.06E-4</v>
      </c>
      <c r="M2375" s="76">
        <v>2.8200000000000002E-4</v>
      </c>
    </row>
    <row r="2376" spans="3:13" x14ac:dyDescent="0.15">
      <c r="C2376" s="76">
        <v>758</v>
      </c>
      <c r="D2376" s="76">
        <v>2.7900000000000001E-5</v>
      </c>
      <c r="E2376" s="76">
        <v>1.73E-5</v>
      </c>
      <c r="F2376" s="76">
        <v>8.6700000000000007E-5</v>
      </c>
      <c r="G2376" s="76">
        <v>6.9599999999999998E-5</v>
      </c>
      <c r="H2376" s="76">
        <v>6.0300000000000002E-5</v>
      </c>
      <c r="I2376" s="76">
        <v>3.1399999999999998E-5</v>
      </c>
      <c r="J2376" s="76">
        <v>1.65E-4</v>
      </c>
      <c r="K2376" s="76">
        <v>6.7199999999999994E-5</v>
      </c>
      <c r="L2376" s="76">
        <v>1.08E-4</v>
      </c>
      <c r="M2376" s="76">
        <v>3.4600000000000001E-4</v>
      </c>
    </row>
    <row r="2377" spans="3:13" x14ac:dyDescent="0.15">
      <c r="C2377" s="76">
        <v>760</v>
      </c>
      <c r="D2377" s="76">
        <v>3.6399999999999997E-5</v>
      </c>
      <c r="E2377" s="76">
        <v>4.6799999999999999E-5</v>
      </c>
      <c r="F2377" s="76">
        <v>7.75E-5</v>
      </c>
      <c r="G2377" s="76">
        <v>6.97E-5</v>
      </c>
      <c r="H2377" s="76">
        <v>1.03E-4</v>
      </c>
      <c r="I2377" s="76">
        <v>2.02E-5</v>
      </c>
      <c r="J2377" s="76">
        <v>1.0900000000000001E-4</v>
      </c>
      <c r="K2377" s="76">
        <v>8.2700000000000004E-5</v>
      </c>
      <c r="L2377" s="76">
        <v>1.1E-4</v>
      </c>
      <c r="M2377" s="76">
        <v>2.4399999999999999E-4</v>
      </c>
    </row>
    <row r="2378" spans="3:13" x14ac:dyDescent="0.15">
      <c r="C2378" s="76">
        <v>762</v>
      </c>
      <c r="D2378" s="76">
        <v>5.3399999999999997E-5</v>
      </c>
      <c r="E2378" s="76">
        <v>3.57E-5</v>
      </c>
      <c r="F2378" s="76">
        <v>7.3300000000000006E-5</v>
      </c>
      <c r="G2378" s="76">
        <v>8.0900000000000001E-5</v>
      </c>
      <c r="H2378" s="76">
        <v>8.7299999999999994E-5</v>
      </c>
      <c r="I2378" s="76">
        <v>1.3799999999999999E-6</v>
      </c>
      <c r="J2378" s="76">
        <v>1.06E-4</v>
      </c>
      <c r="K2378" s="76">
        <v>1.46E-4</v>
      </c>
      <c r="L2378" s="76">
        <v>1.76E-4</v>
      </c>
      <c r="M2378" s="76">
        <v>3.5199999999999999E-4</v>
      </c>
    </row>
    <row r="2379" spans="3:13" x14ac:dyDescent="0.15">
      <c r="C2379" s="76">
        <v>764</v>
      </c>
      <c r="D2379" s="76">
        <v>3.6100000000000003E-5</v>
      </c>
      <c r="E2379" s="76">
        <v>2.58E-5</v>
      </c>
      <c r="F2379" s="76">
        <v>3.1900000000000003E-5</v>
      </c>
      <c r="G2379" s="76">
        <v>9.2800000000000006E-5</v>
      </c>
      <c r="H2379" s="76">
        <v>1.2899999999999999E-4</v>
      </c>
      <c r="I2379" s="76">
        <v>4.3699999999999998E-5</v>
      </c>
      <c r="J2379" s="76">
        <v>8.5799999999999998E-5</v>
      </c>
      <c r="K2379" s="76">
        <v>1.8200000000000001E-4</v>
      </c>
      <c r="L2379" s="76">
        <v>1.8799999999999999E-4</v>
      </c>
      <c r="M2379" s="76">
        <v>2.8200000000000002E-4</v>
      </c>
    </row>
    <row r="2380" spans="3:13" x14ac:dyDescent="0.15">
      <c r="C2380" s="76">
        <v>766</v>
      </c>
      <c r="D2380" s="76">
        <v>4.9100000000000001E-5</v>
      </c>
      <c r="E2380" s="76">
        <v>2.2399999999999999E-5</v>
      </c>
      <c r="F2380" s="76">
        <v>4.1999999999999998E-5</v>
      </c>
      <c r="G2380" s="76">
        <v>6.6600000000000006E-5</v>
      </c>
      <c r="H2380" s="76">
        <v>1.13E-4</v>
      </c>
      <c r="I2380" s="76">
        <v>4.7899999999999999E-5</v>
      </c>
      <c r="J2380" s="76">
        <v>5.7899999999999998E-5</v>
      </c>
      <c r="K2380" s="76">
        <v>2.04E-4</v>
      </c>
      <c r="L2380" s="76">
        <v>1.5899999999999999E-4</v>
      </c>
      <c r="M2380" s="76">
        <v>2.99E-4</v>
      </c>
    </row>
    <row r="2381" spans="3:13" x14ac:dyDescent="0.15">
      <c r="C2381" s="76">
        <v>768</v>
      </c>
      <c r="D2381" s="76">
        <v>4.2599999999999999E-5</v>
      </c>
      <c r="E2381" s="76">
        <v>1.8499999999999999E-5</v>
      </c>
      <c r="F2381" s="76">
        <v>2.8099999999999999E-5</v>
      </c>
      <c r="G2381" s="76">
        <v>1.1400000000000001E-4</v>
      </c>
      <c r="H2381" s="76">
        <v>9.1100000000000005E-5</v>
      </c>
      <c r="I2381" s="76">
        <v>0</v>
      </c>
      <c r="J2381" s="76">
        <v>7.7999999999999999E-6</v>
      </c>
      <c r="K2381" s="76">
        <v>1.8100000000000001E-4</v>
      </c>
      <c r="L2381" s="76">
        <v>1.46E-4</v>
      </c>
      <c r="M2381" s="76">
        <v>1.8900000000000001E-4</v>
      </c>
    </row>
    <row r="2382" spans="3:13" x14ac:dyDescent="0.15">
      <c r="C2382" s="76">
        <v>770</v>
      </c>
      <c r="D2382" s="76">
        <v>4.5800000000000002E-5</v>
      </c>
      <c r="E2382" s="76">
        <v>3.5200000000000002E-5</v>
      </c>
      <c r="F2382" s="76">
        <v>3.0599999999999998E-5</v>
      </c>
      <c r="G2382" s="76">
        <v>7.6799999999999997E-5</v>
      </c>
      <c r="H2382" s="76">
        <v>1.6799999999999999E-4</v>
      </c>
      <c r="I2382" s="76">
        <v>2.2099999999999998E-5</v>
      </c>
      <c r="J2382" s="76">
        <v>0</v>
      </c>
      <c r="K2382" s="76">
        <v>1.4799999999999999E-4</v>
      </c>
      <c r="L2382" s="76">
        <v>1.6100000000000001E-4</v>
      </c>
      <c r="M2382" s="76">
        <v>1.8699999999999999E-4</v>
      </c>
    </row>
    <row r="2383" spans="3:13" x14ac:dyDescent="0.15">
      <c r="C2383" s="76">
        <v>772</v>
      </c>
      <c r="D2383" s="76">
        <v>3.57E-5</v>
      </c>
      <c r="E2383" s="76">
        <v>2.3799999999999999E-5</v>
      </c>
      <c r="F2383" s="76">
        <v>1.36E-5</v>
      </c>
      <c r="G2383" s="76">
        <v>6.6799999999999997E-5</v>
      </c>
      <c r="H2383" s="76">
        <v>1.7000000000000001E-4</v>
      </c>
      <c r="I2383" s="76">
        <v>0</v>
      </c>
      <c r="J2383" s="76">
        <v>0</v>
      </c>
      <c r="K2383" s="76">
        <v>1.4799999999999999E-4</v>
      </c>
      <c r="L2383" s="76">
        <v>9.8499999999999995E-5</v>
      </c>
      <c r="M2383" s="76">
        <v>1.56E-4</v>
      </c>
    </row>
    <row r="2384" spans="3:13" x14ac:dyDescent="0.15">
      <c r="C2384" s="76">
        <v>774</v>
      </c>
      <c r="D2384" s="76">
        <v>3.4100000000000002E-5</v>
      </c>
      <c r="E2384" s="76">
        <v>3.6699999999999998E-5</v>
      </c>
      <c r="F2384" s="76">
        <v>4.7899999999999999E-5</v>
      </c>
      <c r="G2384" s="76">
        <v>3.8399999999999998E-5</v>
      </c>
      <c r="H2384" s="76">
        <v>1.3799999999999999E-4</v>
      </c>
      <c r="I2384" s="76">
        <v>0</v>
      </c>
      <c r="J2384" s="76">
        <v>0</v>
      </c>
      <c r="K2384" s="76">
        <v>1.84E-4</v>
      </c>
      <c r="L2384" s="76">
        <v>1.25E-4</v>
      </c>
      <c r="M2384" s="76">
        <v>1.8100000000000001E-4</v>
      </c>
    </row>
    <row r="2385" spans="2:13" x14ac:dyDescent="0.15">
      <c r="C2385" s="76">
        <v>776</v>
      </c>
      <c r="D2385" s="76">
        <v>3.2400000000000001E-5</v>
      </c>
      <c r="E2385" s="76">
        <v>4.21E-5</v>
      </c>
      <c r="F2385" s="76">
        <v>6.8800000000000002E-6</v>
      </c>
      <c r="G2385" s="76">
        <v>2.0800000000000001E-5</v>
      </c>
      <c r="H2385" s="76">
        <v>2.22E-4</v>
      </c>
      <c r="I2385" s="76">
        <v>0</v>
      </c>
      <c r="J2385" s="76">
        <v>0</v>
      </c>
      <c r="K2385" s="76">
        <v>1.6799999999999999E-4</v>
      </c>
      <c r="L2385" s="76">
        <v>1.9000000000000001E-4</v>
      </c>
      <c r="M2385" s="76">
        <v>1.73E-4</v>
      </c>
    </row>
    <row r="2386" spans="2:13" x14ac:dyDescent="0.15">
      <c r="C2386" s="76">
        <v>778</v>
      </c>
      <c r="D2386" s="76">
        <v>3.0899999999999999E-5</v>
      </c>
      <c r="E2386" s="76">
        <v>3.7599999999999999E-5</v>
      </c>
      <c r="F2386" s="76">
        <v>9.1400000000000006E-6</v>
      </c>
      <c r="G2386" s="76">
        <v>8.7299999999999994E-5</v>
      </c>
      <c r="H2386" s="76">
        <v>1.7799999999999999E-4</v>
      </c>
      <c r="I2386" s="76">
        <v>0</v>
      </c>
      <c r="J2386" s="76">
        <v>0</v>
      </c>
      <c r="K2386" s="76">
        <v>2.2699999999999999E-4</v>
      </c>
      <c r="L2386" s="76">
        <v>2.8400000000000002E-4</v>
      </c>
      <c r="M2386" s="76">
        <v>2.0599999999999999E-4</v>
      </c>
    </row>
    <row r="2387" spans="2:13" x14ac:dyDescent="0.15">
      <c r="C2387" s="76">
        <v>780</v>
      </c>
      <c r="D2387" s="76">
        <v>3.3899999999999997E-5</v>
      </c>
      <c r="E2387" s="120">
        <v>3.3899999999999997E-5</v>
      </c>
      <c r="F2387" s="76">
        <v>1.5999999999999999E-5</v>
      </c>
      <c r="G2387" s="120">
        <v>9.8800000000000003E-5</v>
      </c>
      <c r="H2387" s="76">
        <v>1.03E-4</v>
      </c>
      <c r="I2387" s="76">
        <v>5.13E-5</v>
      </c>
      <c r="J2387" s="76">
        <v>0</v>
      </c>
      <c r="K2387" s="76">
        <v>3.6400000000000001E-4</v>
      </c>
      <c r="L2387" s="76">
        <v>1.7699999999999999E-4</v>
      </c>
      <c r="M2387" s="76">
        <v>2.2900000000000001E-4</v>
      </c>
    </row>
    <row r="2388" spans="2:13" x14ac:dyDescent="0.15">
      <c r="B2388" s="76">
        <v>32</v>
      </c>
      <c r="C2388" s="76" t="s">
        <v>561</v>
      </c>
      <c r="D2388" s="76">
        <v>1</v>
      </c>
      <c r="E2388" s="76">
        <v>2</v>
      </c>
      <c r="F2388" s="76">
        <v>3</v>
      </c>
      <c r="G2388" s="76">
        <v>4</v>
      </c>
      <c r="H2388" s="76">
        <v>5</v>
      </c>
      <c r="I2388" s="76">
        <v>6</v>
      </c>
      <c r="J2388" s="76">
        <v>7</v>
      </c>
      <c r="K2388" s="76">
        <v>8</v>
      </c>
      <c r="L2388" s="76">
        <v>9</v>
      </c>
      <c r="M2388" s="76">
        <v>10</v>
      </c>
    </row>
    <row r="2389" spans="2:13" x14ac:dyDescent="0.15">
      <c r="C2389" s="76" t="s">
        <v>556</v>
      </c>
      <c r="D2389" s="76">
        <v>3.5710000000000002</v>
      </c>
      <c r="E2389" s="76">
        <v>3.7080000000000002</v>
      </c>
      <c r="F2389" s="76">
        <v>3.806</v>
      </c>
      <c r="G2389" s="76">
        <v>3.8860000000000001</v>
      </c>
      <c r="H2389" s="76">
        <v>3.956</v>
      </c>
      <c r="I2389" s="76">
        <v>4.0179999999999998</v>
      </c>
      <c r="J2389" s="76">
        <v>4.0750000000000002</v>
      </c>
      <c r="K2389" s="76">
        <v>4.1269999999999998</v>
      </c>
      <c r="L2389" s="76">
        <v>4.1749999999999998</v>
      </c>
      <c r="M2389" s="76">
        <v>4.2210000000000001</v>
      </c>
    </row>
    <row r="2390" spans="2:13" x14ac:dyDescent="0.15">
      <c r="C2390" s="76" t="s">
        <v>562</v>
      </c>
      <c r="D2390" s="76">
        <v>0.08</v>
      </c>
      <c r="E2390" s="76">
        <v>0.16</v>
      </c>
      <c r="F2390" s="76">
        <v>0.24</v>
      </c>
      <c r="G2390" s="76">
        <v>0.32</v>
      </c>
      <c r="H2390" s="76">
        <v>0.4</v>
      </c>
      <c r="I2390" s="76">
        <v>0.48</v>
      </c>
      <c r="J2390" s="76">
        <v>0.56000000000000005</v>
      </c>
      <c r="K2390" s="76">
        <v>0.64</v>
      </c>
      <c r="L2390" s="76">
        <v>0.72</v>
      </c>
      <c r="M2390" s="76">
        <v>0.8</v>
      </c>
    </row>
    <row r="2391" spans="2:13" x14ac:dyDescent="0.15">
      <c r="C2391" s="76" t="s">
        <v>557</v>
      </c>
      <c r="D2391" s="76">
        <v>2</v>
      </c>
      <c r="E2391" s="76">
        <v>4</v>
      </c>
      <c r="F2391" s="76">
        <v>6</v>
      </c>
      <c r="G2391" s="76">
        <v>8</v>
      </c>
      <c r="H2391" s="76">
        <v>10</v>
      </c>
      <c r="I2391" s="76">
        <v>12</v>
      </c>
      <c r="J2391" s="76">
        <v>14</v>
      </c>
      <c r="K2391" s="76">
        <v>16</v>
      </c>
      <c r="L2391" s="76">
        <v>18</v>
      </c>
      <c r="M2391" s="76">
        <v>20</v>
      </c>
    </row>
    <row r="2392" spans="2:13" x14ac:dyDescent="0.15">
      <c r="C2392" s="76" t="s">
        <v>560</v>
      </c>
      <c r="D2392" s="76">
        <v>8.2750000000000004</v>
      </c>
      <c r="E2392" s="76">
        <v>8.4540000000000006</v>
      </c>
      <c r="F2392" s="76">
        <v>8.4649999999999999</v>
      </c>
      <c r="G2392" s="76">
        <v>8.4570000000000007</v>
      </c>
      <c r="H2392" s="76">
        <v>8.4420000000000002</v>
      </c>
      <c r="I2392" s="76">
        <v>8.4329999999999998</v>
      </c>
      <c r="J2392" s="76">
        <v>8.407</v>
      </c>
      <c r="K2392" s="76">
        <v>8.3930000000000007</v>
      </c>
      <c r="L2392" s="76">
        <v>8.3780000000000001</v>
      </c>
      <c r="M2392" s="76">
        <v>8.3550000000000004</v>
      </c>
    </row>
    <row r="2393" spans="2:13" x14ac:dyDescent="0.15">
      <c r="C2393" s="76" t="s">
        <v>563</v>
      </c>
      <c r="D2393" s="76">
        <v>7.2802009999999999</v>
      </c>
      <c r="E2393" s="76">
        <v>7.1619789999999997</v>
      </c>
      <c r="F2393" s="76">
        <v>6.9864290000000002</v>
      </c>
      <c r="G2393" s="76">
        <v>6.8365200000000002</v>
      </c>
      <c r="H2393" s="76">
        <v>6.7045320000000004</v>
      </c>
      <c r="I2393" s="76">
        <v>6.5933120000000001</v>
      </c>
      <c r="J2393" s="76">
        <v>6.4815329999999998</v>
      </c>
      <c r="K2393" s="76">
        <v>6.3893560000000003</v>
      </c>
      <c r="L2393" s="76">
        <v>6.3035389999999998</v>
      </c>
      <c r="M2393" s="76">
        <v>6.2185589999999999</v>
      </c>
    </row>
    <row r="2394" spans="2:13" x14ac:dyDescent="0.15">
      <c r="C2394" s="76" t="s">
        <v>564</v>
      </c>
      <c r="D2394" s="76">
        <v>165.5</v>
      </c>
      <c r="E2394" s="76">
        <v>338.2</v>
      </c>
      <c r="F2394" s="76">
        <v>507.9</v>
      </c>
      <c r="G2394" s="76">
        <v>676.6</v>
      </c>
      <c r="H2394" s="76">
        <v>844.3</v>
      </c>
      <c r="I2394" s="76">
        <v>1012</v>
      </c>
      <c r="J2394" s="76">
        <v>1177</v>
      </c>
      <c r="K2394" s="76">
        <v>1343</v>
      </c>
      <c r="L2394" s="76">
        <v>1508</v>
      </c>
      <c r="M2394" s="76">
        <v>1671</v>
      </c>
    </row>
    <row r="2395" spans="2:13" x14ac:dyDescent="0.15">
      <c r="C2395" s="76" t="s">
        <v>565</v>
      </c>
      <c r="D2395" s="76">
        <v>165.5</v>
      </c>
      <c r="E2395" s="76">
        <v>338.2</v>
      </c>
      <c r="F2395" s="76">
        <v>507.9</v>
      </c>
      <c r="G2395" s="76">
        <v>676.6</v>
      </c>
      <c r="H2395" s="76">
        <v>844.3</v>
      </c>
      <c r="I2395" s="76">
        <v>1012</v>
      </c>
      <c r="J2395" s="76">
        <v>1177</v>
      </c>
      <c r="K2395" s="76">
        <v>1343</v>
      </c>
      <c r="L2395" s="76">
        <v>1508</v>
      </c>
      <c r="M2395" s="76">
        <v>1671</v>
      </c>
    </row>
    <row r="2396" spans="2:13" x14ac:dyDescent="0.15">
      <c r="C2396" s="76" t="s">
        <v>566</v>
      </c>
      <c r="D2396" s="76">
        <v>0.1353</v>
      </c>
      <c r="E2396" s="76">
        <v>0.1353</v>
      </c>
      <c r="F2396" s="76">
        <v>0.13519999999999999</v>
      </c>
      <c r="G2396" s="76">
        <v>0.1353</v>
      </c>
      <c r="H2396" s="76">
        <v>0.13519999999999999</v>
      </c>
      <c r="I2396" s="76">
        <v>0.13519999999999999</v>
      </c>
      <c r="J2396" s="76">
        <v>0.13519999999999999</v>
      </c>
      <c r="K2396" s="76">
        <v>0.13519999999999999</v>
      </c>
      <c r="L2396" s="76">
        <v>0.1353</v>
      </c>
      <c r="M2396" s="76">
        <v>0.1353</v>
      </c>
    </row>
    <row r="2397" spans="2:13" x14ac:dyDescent="0.15">
      <c r="C2397" s="76" t="s">
        <v>567</v>
      </c>
      <c r="D2397" s="76">
        <v>0.11849999999999999</v>
      </c>
      <c r="E2397" s="76">
        <v>0.11840000000000001</v>
      </c>
      <c r="F2397" s="76">
        <v>0.1182</v>
      </c>
      <c r="G2397" s="76">
        <v>0.1181</v>
      </c>
      <c r="H2397" s="76">
        <v>0.11799999999999999</v>
      </c>
      <c r="I2397" s="76">
        <v>0.1181</v>
      </c>
      <c r="J2397" s="76">
        <v>0.11799999999999999</v>
      </c>
      <c r="K2397" s="76">
        <v>0.1179</v>
      </c>
      <c r="L2397" s="76">
        <v>0.11799999999999999</v>
      </c>
      <c r="M2397" s="76">
        <v>0.11799999999999999</v>
      </c>
    </row>
    <row r="2398" spans="2:13" x14ac:dyDescent="0.15">
      <c r="C2398" s="76" t="s">
        <v>568</v>
      </c>
      <c r="D2398" s="76">
        <v>9.1401000000000003</v>
      </c>
      <c r="E2398" s="76">
        <v>9.3340999999999994</v>
      </c>
      <c r="F2398" s="76">
        <v>9.3594000000000008</v>
      </c>
      <c r="G2398" s="76">
        <v>9.3589000000000002</v>
      </c>
      <c r="H2398" s="76">
        <v>9.3457000000000008</v>
      </c>
      <c r="I2398" s="76">
        <v>9.3407</v>
      </c>
      <c r="J2398" s="76">
        <v>9.3140999999999998</v>
      </c>
      <c r="K2398" s="76">
        <v>9.3064999999999998</v>
      </c>
      <c r="L2398" s="76">
        <v>9.2812000000000001</v>
      </c>
      <c r="M2398" s="76">
        <v>9.2545999999999999</v>
      </c>
    </row>
    <row r="2399" spans="2:13" x14ac:dyDescent="0.15">
      <c r="C2399" s="76" t="s">
        <v>569</v>
      </c>
    </row>
    <row r="2400" spans="2:13" x14ac:dyDescent="0.15">
      <c r="C2400" s="76" t="s">
        <v>570</v>
      </c>
      <c r="D2400" s="76">
        <v>4</v>
      </c>
      <c r="E2400" s="76">
        <v>4</v>
      </c>
      <c r="F2400" s="76">
        <v>4</v>
      </c>
      <c r="G2400" s="76">
        <v>4</v>
      </c>
      <c r="H2400" s="76">
        <v>4</v>
      </c>
      <c r="I2400" s="76">
        <v>4</v>
      </c>
      <c r="J2400" s="76">
        <v>4</v>
      </c>
      <c r="K2400" s="76">
        <v>4</v>
      </c>
      <c r="L2400" s="76">
        <v>4</v>
      </c>
      <c r="M2400" s="76">
        <v>4</v>
      </c>
    </row>
    <row r="2401" spans="3:13" x14ac:dyDescent="0.15">
      <c r="C2401" s="76" t="s">
        <v>571</v>
      </c>
      <c r="D2401" s="76">
        <v>100</v>
      </c>
      <c r="E2401" s="76">
        <v>100</v>
      </c>
      <c r="F2401" s="76">
        <v>100</v>
      </c>
      <c r="G2401" s="76">
        <v>100</v>
      </c>
      <c r="H2401" s="76">
        <v>100</v>
      </c>
      <c r="I2401" s="76">
        <v>100</v>
      </c>
      <c r="J2401" s="76">
        <v>100</v>
      </c>
      <c r="K2401" s="76">
        <v>100</v>
      </c>
      <c r="L2401" s="76">
        <v>100</v>
      </c>
      <c r="M2401" s="76">
        <v>100</v>
      </c>
    </row>
    <row r="2402" spans="3:13" x14ac:dyDescent="0.15">
      <c r="C2402" s="76" t="s">
        <v>572</v>
      </c>
      <c r="D2402" s="76" t="s">
        <v>574</v>
      </c>
      <c r="E2402" s="76" t="s">
        <v>574</v>
      </c>
      <c r="F2402" s="76" t="s">
        <v>574</v>
      </c>
      <c r="G2402" s="76" t="s">
        <v>574</v>
      </c>
      <c r="H2402" s="76" t="s">
        <v>574</v>
      </c>
      <c r="I2402" s="76" t="s">
        <v>574</v>
      </c>
      <c r="J2402" s="76" t="s">
        <v>574</v>
      </c>
      <c r="K2402" s="76" t="s">
        <v>574</v>
      </c>
      <c r="L2402" s="76" t="s">
        <v>574</v>
      </c>
      <c r="M2402" s="76" t="s">
        <v>574</v>
      </c>
    </row>
    <row r="2403" spans="3:13" x14ac:dyDescent="0.15">
      <c r="C2403" s="76" t="s">
        <v>573</v>
      </c>
      <c r="D2403" s="76">
        <v>1</v>
      </c>
      <c r="E2403" s="76">
        <v>2</v>
      </c>
      <c r="F2403" s="76">
        <v>3</v>
      </c>
      <c r="G2403" s="76">
        <v>4</v>
      </c>
      <c r="H2403" s="76">
        <v>5</v>
      </c>
      <c r="I2403" s="76">
        <v>6</v>
      </c>
      <c r="J2403" s="76">
        <v>7</v>
      </c>
      <c r="K2403" s="76">
        <v>8</v>
      </c>
      <c r="L2403" s="76">
        <v>9</v>
      </c>
      <c r="M2403" s="76">
        <v>10</v>
      </c>
    </row>
    <row r="2404" spans="3:13" x14ac:dyDescent="0.15">
      <c r="C2404" s="76">
        <v>380</v>
      </c>
      <c r="D2404" s="76">
        <v>1.9900000000000001E-4</v>
      </c>
      <c r="E2404" s="76">
        <v>1.6100000000000001E-4</v>
      </c>
      <c r="F2404" s="76">
        <v>3.2899999999999997E-4</v>
      </c>
      <c r="G2404" s="76">
        <v>6.38E-4</v>
      </c>
      <c r="H2404" s="76">
        <v>8.9700000000000001E-4</v>
      </c>
      <c r="I2404" s="76">
        <v>1.01E-3</v>
      </c>
      <c r="J2404" s="76">
        <v>1.17E-3</v>
      </c>
      <c r="K2404" s="76">
        <v>1.1999999999999999E-3</v>
      </c>
      <c r="L2404" s="76">
        <v>1.6299999999999999E-3</v>
      </c>
      <c r="M2404" s="76">
        <v>1.58E-3</v>
      </c>
    </row>
    <row r="2405" spans="3:13" x14ac:dyDescent="0.15">
      <c r="C2405" s="76">
        <v>382</v>
      </c>
      <c r="D2405" s="76">
        <v>1.8100000000000001E-4</v>
      </c>
      <c r="E2405" s="76">
        <v>1.8699999999999999E-4</v>
      </c>
      <c r="F2405" s="76">
        <v>2.9100000000000003E-4</v>
      </c>
      <c r="G2405" s="76">
        <v>4.8200000000000001E-4</v>
      </c>
      <c r="H2405" s="76">
        <v>4.2200000000000001E-4</v>
      </c>
      <c r="I2405" s="76">
        <v>9.5399999999999999E-4</v>
      </c>
      <c r="J2405" s="76">
        <v>1.1000000000000001E-3</v>
      </c>
      <c r="K2405" s="76">
        <v>8.2200000000000003E-4</v>
      </c>
      <c r="L2405" s="76">
        <v>1.1900000000000001E-3</v>
      </c>
      <c r="M2405" s="76">
        <v>1.7600000000000001E-3</v>
      </c>
    </row>
    <row r="2406" spans="3:13" x14ac:dyDescent="0.15">
      <c r="C2406" s="76">
        <v>384</v>
      </c>
      <c r="D2406" s="76">
        <v>1.6899999999999999E-4</v>
      </c>
      <c r="E2406" s="76">
        <v>1.94E-4</v>
      </c>
      <c r="F2406" s="76">
        <v>2.0599999999999999E-4</v>
      </c>
      <c r="G2406" s="76">
        <v>5.1000000000000004E-4</v>
      </c>
      <c r="H2406" s="76">
        <v>6.4099999999999997E-4</v>
      </c>
      <c r="I2406" s="76">
        <v>9.1600000000000004E-4</v>
      </c>
      <c r="J2406" s="76">
        <v>9.990000000000001E-4</v>
      </c>
      <c r="K2406" s="76">
        <v>1.1299999999999999E-3</v>
      </c>
      <c r="L2406" s="76">
        <v>1.1800000000000001E-3</v>
      </c>
      <c r="M2406" s="76">
        <v>1.81E-3</v>
      </c>
    </row>
    <row r="2407" spans="3:13" x14ac:dyDescent="0.15">
      <c r="C2407" s="76">
        <v>386</v>
      </c>
      <c r="D2407" s="76">
        <v>1.85E-4</v>
      </c>
      <c r="E2407" s="76">
        <v>1.18E-4</v>
      </c>
      <c r="F2407" s="76">
        <v>2.8899999999999998E-4</v>
      </c>
      <c r="G2407" s="76">
        <v>5.2599999999999999E-4</v>
      </c>
      <c r="H2407" s="76">
        <v>6.1200000000000002E-4</v>
      </c>
      <c r="I2407" s="76">
        <v>8.6799999999999996E-4</v>
      </c>
      <c r="J2407" s="76">
        <v>9.1699999999999995E-4</v>
      </c>
      <c r="K2407" s="76">
        <v>1.2800000000000001E-3</v>
      </c>
      <c r="L2407" s="76">
        <v>1.06E-3</v>
      </c>
      <c r="M2407" s="76">
        <v>1.6900000000000001E-3</v>
      </c>
    </row>
    <row r="2408" spans="3:13" x14ac:dyDescent="0.15">
      <c r="C2408" s="76">
        <v>388</v>
      </c>
      <c r="D2408" s="76">
        <v>1.8100000000000001E-4</v>
      </c>
      <c r="E2408" s="76">
        <v>1.16E-4</v>
      </c>
      <c r="F2408" s="76">
        <v>2.7900000000000001E-4</v>
      </c>
      <c r="G2408" s="76">
        <v>2.6899999999999998E-4</v>
      </c>
      <c r="H2408" s="76">
        <v>6.2600000000000004E-4</v>
      </c>
      <c r="I2408" s="76">
        <v>8.6200000000000003E-4</v>
      </c>
      <c r="J2408" s="76">
        <v>6.9099999999999999E-4</v>
      </c>
      <c r="K2408" s="76">
        <v>1.2700000000000001E-3</v>
      </c>
      <c r="L2408" s="76">
        <v>9.9700000000000006E-4</v>
      </c>
      <c r="M2408" s="76">
        <v>1.73E-3</v>
      </c>
    </row>
    <row r="2409" spans="3:13" x14ac:dyDescent="0.15">
      <c r="C2409" s="76">
        <v>390</v>
      </c>
      <c r="D2409" s="76">
        <v>1.76E-4</v>
      </c>
      <c r="E2409" s="76">
        <v>8.7399999999999997E-5</v>
      </c>
      <c r="F2409" s="76">
        <v>1.6899999999999999E-4</v>
      </c>
      <c r="G2409" s="76">
        <v>4.7100000000000001E-4</v>
      </c>
      <c r="H2409" s="76">
        <v>6.2699999999999995E-4</v>
      </c>
      <c r="I2409" s="76">
        <v>9.4600000000000001E-4</v>
      </c>
      <c r="J2409" s="76">
        <v>7.6599999999999997E-4</v>
      </c>
      <c r="K2409" s="76">
        <v>1.4400000000000001E-3</v>
      </c>
      <c r="L2409" s="76">
        <v>1.0300000000000001E-3</v>
      </c>
      <c r="M2409" s="76">
        <v>1.82E-3</v>
      </c>
    </row>
    <row r="2410" spans="3:13" x14ac:dyDescent="0.15">
      <c r="C2410" s="76">
        <v>392</v>
      </c>
      <c r="D2410" s="76">
        <v>1.83E-4</v>
      </c>
      <c r="E2410" s="76">
        <v>1.13E-4</v>
      </c>
      <c r="F2410" s="76">
        <v>1.9799999999999999E-4</v>
      </c>
      <c r="G2410" s="76">
        <v>3.1399999999999999E-4</v>
      </c>
      <c r="H2410" s="76">
        <v>6.2799999999999998E-4</v>
      </c>
      <c r="I2410" s="76">
        <v>9.859999999999999E-4</v>
      </c>
      <c r="J2410" s="76">
        <v>9.68E-4</v>
      </c>
      <c r="K2410" s="76">
        <v>1.16E-3</v>
      </c>
      <c r="L2410" s="76">
        <v>1.25E-3</v>
      </c>
      <c r="M2410" s="76">
        <v>1.5399999999999999E-3</v>
      </c>
    </row>
    <row r="2411" spans="3:13" x14ac:dyDescent="0.15">
      <c r="C2411" s="76">
        <v>394</v>
      </c>
      <c r="D2411" s="76">
        <v>1.73E-4</v>
      </c>
      <c r="E2411" s="76">
        <v>1.7100000000000001E-4</v>
      </c>
      <c r="F2411" s="76">
        <v>3.0800000000000001E-4</v>
      </c>
      <c r="G2411" s="76">
        <v>3.8000000000000002E-4</v>
      </c>
      <c r="H2411" s="76">
        <v>6.0700000000000001E-4</v>
      </c>
      <c r="I2411" s="76">
        <v>7.5900000000000002E-4</v>
      </c>
      <c r="J2411" s="76">
        <v>9.0799999999999995E-4</v>
      </c>
      <c r="K2411" s="76">
        <v>1.2199999999999999E-3</v>
      </c>
      <c r="L2411" s="76">
        <v>1.1000000000000001E-3</v>
      </c>
      <c r="M2411" s="76">
        <v>1.72E-3</v>
      </c>
    </row>
    <row r="2412" spans="3:13" x14ac:dyDescent="0.15">
      <c r="C2412" s="76">
        <v>396</v>
      </c>
      <c r="D2412" s="76">
        <v>1.3899999999999999E-4</v>
      </c>
      <c r="E2412" s="76">
        <v>1.4799999999999999E-4</v>
      </c>
      <c r="F2412" s="76">
        <v>3.0899999999999998E-4</v>
      </c>
      <c r="G2412" s="76">
        <v>4.0900000000000002E-4</v>
      </c>
      <c r="H2412" s="76">
        <v>6.8300000000000001E-4</v>
      </c>
      <c r="I2412" s="76">
        <v>8.25E-4</v>
      </c>
      <c r="J2412" s="76">
        <v>7.6400000000000003E-4</v>
      </c>
      <c r="K2412" s="76">
        <v>1.34E-3</v>
      </c>
      <c r="L2412" s="76">
        <v>1.23E-3</v>
      </c>
      <c r="M2412" s="76">
        <v>1.47E-3</v>
      </c>
    </row>
    <row r="2413" spans="3:13" x14ac:dyDescent="0.15">
      <c r="C2413" s="76">
        <v>398</v>
      </c>
      <c r="D2413" s="76">
        <v>1.6699999999999999E-4</v>
      </c>
      <c r="E2413" s="76">
        <v>1.74E-4</v>
      </c>
      <c r="F2413" s="76">
        <v>3.3100000000000002E-4</v>
      </c>
      <c r="G2413" s="76">
        <v>4.4299999999999998E-4</v>
      </c>
      <c r="H2413" s="76">
        <v>5.8699999999999996E-4</v>
      </c>
      <c r="I2413" s="76">
        <v>9.1299999999999997E-4</v>
      </c>
      <c r="J2413" s="76">
        <v>1.0499999999999999E-3</v>
      </c>
      <c r="K2413" s="76">
        <v>1.23E-3</v>
      </c>
      <c r="L2413" s="76">
        <v>1.2600000000000001E-3</v>
      </c>
      <c r="M2413" s="76">
        <v>1.4599999999999999E-3</v>
      </c>
    </row>
    <row r="2414" spans="3:13" x14ac:dyDescent="0.15">
      <c r="C2414" s="76">
        <v>400</v>
      </c>
      <c r="D2414" s="76">
        <v>1.5300000000000001E-4</v>
      </c>
      <c r="E2414" s="76">
        <v>2.2900000000000001E-4</v>
      </c>
      <c r="F2414" s="76">
        <v>3.3100000000000002E-4</v>
      </c>
      <c r="G2414" s="76">
        <v>4.5600000000000003E-4</v>
      </c>
      <c r="H2414" s="76">
        <v>5.71E-4</v>
      </c>
      <c r="I2414" s="76">
        <v>9.19E-4</v>
      </c>
      <c r="J2414" s="76">
        <v>8.2299999999999995E-4</v>
      </c>
      <c r="K2414" s="76">
        <v>1.48E-3</v>
      </c>
      <c r="L2414" s="76">
        <v>1.23E-3</v>
      </c>
      <c r="M2414" s="76">
        <v>1.5200000000000001E-3</v>
      </c>
    </row>
    <row r="2415" spans="3:13" x14ac:dyDescent="0.15">
      <c r="C2415" s="76">
        <v>402</v>
      </c>
      <c r="D2415" s="76">
        <v>1.36E-4</v>
      </c>
      <c r="E2415" s="76">
        <v>2.4399999999999999E-4</v>
      </c>
      <c r="F2415" s="76">
        <v>3.0499999999999999E-4</v>
      </c>
      <c r="G2415" s="76">
        <v>4.2200000000000001E-4</v>
      </c>
      <c r="H2415" s="76">
        <v>5.7499999999999999E-4</v>
      </c>
      <c r="I2415" s="76">
        <v>9.3899999999999995E-4</v>
      </c>
      <c r="J2415" s="76">
        <v>8.4199999999999998E-4</v>
      </c>
      <c r="K2415" s="76">
        <v>1.48E-3</v>
      </c>
      <c r="L2415" s="76">
        <v>1.3699999999999999E-3</v>
      </c>
      <c r="M2415" s="76">
        <v>1.48E-3</v>
      </c>
    </row>
    <row r="2416" spans="3:13" x14ac:dyDescent="0.15">
      <c r="C2416" s="76">
        <v>404</v>
      </c>
      <c r="D2416" s="76">
        <v>1.46E-4</v>
      </c>
      <c r="E2416" s="76">
        <v>2.4600000000000002E-4</v>
      </c>
      <c r="F2416" s="76">
        <v>3.7100000000000002E-4</v>
      </c>
      <c r="G2416" s="76">
        <v>4.37E-4</v>
      </c>
      <c r="H2416" s="76">
        <v>6.1700000000000004E-4</v>
      </c>
      <c r="I2416" s="76">
        <v>9.4200000000000002E-4</v>
      </c>
      <c r="J2416" s="76">
        <v>7.8299999999999995E-4</v>
      </c>
      <c r="K2416" s="76">
        <v>1.4400000000000001E-3</v>
      </c>
      <c r="L2416" s="76">
        <v>1.1100000000000001E-3</v>
      </c>
      <c r="M2416" s="76">
        <v>1.47E-3</v>
      </c>
    </row>
    <row r="2417" spans="3:13" x14ac:dyDescent="0.15">
      <c r="C2417" s="76">
        <v>406</v>
      </c>
      <c r="D2417" s="76">
        <v>1.4999999999999999E-4</v>
      </c>
      <c r="E2417" s="76">
        <v>2.8699999999999998E-4</v>
      </c>
      <c r="F2417" s="76">
        <v>4.4999999999999999E-4</v>
      </c>
      <c r="G2417" s="76">
        <v>4.8299999999999998E-4</v>
      </c>
      <c r="H2417" s="76">
        <v>6.9200000000000002E-4</v>
      </c>
      <c r="I2417" s="76">
        <v>8.8199999999999997E-4</v>
      </c>
      <c r="J2417" s="76">
        <v>1.14E-3</v>
      </c>
      <c r="K2417" s="76">
        <v>1.5200000000000001E-3</v>
      </c>
      <c r="L2417" s="76">
        <v>1.3799999999999999E-3</v>
      </c>
      <c r="M2417" s="76">
        <v>1.6199999999999999E-3</v>
      </c>
    </row>
    <row r="2418" spans="3:13" x14ac:dyDescent="0.15">
      <c r="C2418" s="76">
        <v>408</v>
      </c>
      <c r="D2418" s="76">
        <v>1.56E-4</v>
      </c>
      <c r="E2418" s="76">
        <v>3.3E-4</v>
      </c>
      <c r="F2418" s="76">
        <v>4.57E-4</v>
      </c>
      <c r="G2418" s="76">
        <v>5.1000000000000004E-4</v>
      </c>
      <c r="H2418" s="76">
        <v>6.5700000000000003E-4</v>
      </c>
      <c r="I2418" s="76">
        <v>1E-3</v>
      </c>
      <c r="J2418" s="76">
        <v>1.06E-3</v>
      </c>
      <c r="K2418" s="76">
        <v>1.65E-3</v>
      </c>
      <c r="L2418" s="76">
        <v>1.39E-3</v>
      </c>
      <c r="M2418" s="76">
        <v>2.0999999999999999E-3</v>
      </c>
    </row>
    <row r="2419" spans="3:13" x14ac:dyDescent="0.15">
      <c r="C2419" s="76">
        <v>410</v>
      </c>
      <c r="D2419" s="76">
        <v>1.74E-4</v>
      </c>
      <c r="E2419" s="76">
        <v>3.1500000000000001E-4</v>
      </c>
      <c r="F2419" s="76">
        <v>5.3700000000000004E-4</v>
      </c>
      <c r="G2419" s="76">
        <v>6.11E-4</v>
      </c>
      <c r="H2419" s="76">
        <v>9.1500000000000001E-4</v>
      </c>
      <c r="I2419" s="76">
        <v>1.2199999999999999E-3</v>
      </c>
      <c r="J2419" s="76">
        <v>1.24E-3</v>
      </c>
      <c r="K2419" s="76">
        <v>1.6900000000000001E-3</v>
      </c>
      <c r="L2419" s="76">
        <v>1.6800000000000001E-3</v>
      </c>
      <c r="M2419" s="76">
        <v>1.5900000000000001E-3</v>
      </c>
    </row>
    <row r="2420" spans="3:13" x14ac:dyDescent="0.15">
      <c r="C2420" s="76">
        <v>412</v>
      </c>
      <c r="D2420" s="76">
        <v>1.9799999999999999E-4</v>
      </c>
      <c r="E2420" s="76">
        <v>3.9899999999999999E-4</v>
      </c>
      <c r="F2420" s="76">
        <v>6.2799999999999998E-4</v>
      </c>
      <c r="G2420" s="76">
        <v>7.7099999999999998E-4</v>
      </c>
      <c r="H2420" s="76">
        <v>9.9200000000000004E-4</v>
      </c>
      <c r="I2420" s="76">
        <v>1.31E-3</v>
      </c>
      <c r="J2420" s="76">
        <v>1.4E-3</v>
      </c>
      <c r="K2420" s="76">
        <v>1.92E-3</v>
      </c>
      <c r="L2420" s="76">
        <v>1.81E-3</v>
      </c>
      <c r="M2420" s="76">
        <v>2.0300000000000001E-3</v>
      </c>
    </row>
    <row r="2421" spans="3:13" x14ac:dyDescent="0.15">
      <c r="C2421" s="76">
        <v>414</v>
      </c>
      <c r="D2421" s="76">
        <v>2.4000000000000001E-4</v>
      </c>
      <c r="E2421" s="76">
        <v>4.6799999999999999E-4</v>
      </c>
      <c r="F2421" s="76">
        <v>6.8000000000000005E-4</v>
      </c>
      <c r="G2421" s="76">
        <v>8.25E-4</v>
      </c>
      <c r="H2421" s="76">
        <v>1.16E-3</v>
      </c>
      <c r="I2421" s="76">
        <v>1.5299999999999999E-3</v>
      </c>
      <c r="J2421" s="76">
        <v>1.6000000000000001E-3</v>
      </c>
      <c r="K2421" s="76">
        <v>2E-3</v>
      </c>
      <c r="L2421" s="76">
        <v>2.1199999999999999E-3</v>
      </c>
      <c r="M2421" s="76">
        <v>2.4199999999999998E-3</v>
      </c>
    </row>
    <row r="2422" spans="3:13" x14ac:dyDescent="0.15">
      <c r="C2422" s="76">
        <v>416</v>
      </c>
      <c r="D2422" s="76">
        <v>2.7799999999999998E-4</v>
      </c>
      <c r="E2422" s="76">
        <v>5.5400000000000002E-4</v>
      </c>
      <c r="F2422" s="76">
        <v>8.1400000000000005E-4</v>
      </c>
      <c r="G2422" s="76">
        <v>1.0200000000000001E-3</v>
      </c>
      <c r="H2422" s="76">
        <v>1.3600000000000001E-3</v>
      </c>
      <c r="I2422" s="76">
        <v>1.7099999999999999E-3</v>
      </c>
      <c r="J2422" s="76">
        <v>1.8500000000000001E-3</v>
      </c>
      <c r="K2422" s="76">
        <v>2.33E-3</v>
      </c>
      <c r="L2422" s="76">
        <v>2.5699999999999998E-3</v>
      </c>
      <c r="M2422" s="76">
        <v>2.9099999999999998E-3</v>
      </c>
    </row>
    <row r="2423" spans="3:13" x14ac:dyDescent="0.15">
      <c r="C2423" s="76">
        <v>418</v>
      </c>
      <c r="D2423" s="76">
        <v>3.0400000000000002E-4</v>
      </c>
      <c r="E2423" s="76">
        <v>6.6299999999999996E-4</v>
      </c>
      <c r="F2423" s="76">
        <v>9.7499999999999996E-4</v>
      </c>
      <c r="G2423" s="76">
        <v>1.25E-3</v>
      </c>
      <c r="H2423" s="76">
        <v>1.6199999999999999E-3</v>
      </c>
      <c r="I2423" s="76">
        <v>1.97E-3</v>
      </c>
      <c r="J2423" s="76">
        <v>2.3E-3</v>
      </c>
      <c r="K2423" s="76">
        <v>2.6900000000000001E-3</v>
      </c>
      <c r="L2423" s="76">
        <v>2.8700000000000002E-3</v>
      </c>
      <c r="M2423" s="76">
        <v>3.2599999999999999E-3</v>
      </c>
    </row>
    <row r="2424" spans="3:13" x14ac:dyDescent="0.15">
      <c r="C2424" s="76">
        <v>420</v>
      </c>
      <c r="D2424" s="76">
        <v>3.5300000000000002E-4</v>
      </c>
      <c r="E2424" s="76">
        <v>7.9100000000000004E-4</v>
      </c>
      <c r="F2424" s="76">
        <v>1.17E-3</v>
      </c>
      <c r="G2424" s="76">
        <v>1.49E-3</v>
      </c>
      <c r="H2424" s="76">
        <v>1.98E-3</v>
      </c>
      <c r="I2424" s="76">
        <v>2.33E-3</v>
      </c>
      <c r="J2424" s="76">
        <v>2.7399999999999998E-3</v>
      </c>
      <c r="K2424" s="76">
        <v>3.2200000000000002E-3</v>
      </c>
      <c r="L2424" s="76">
        <v>3.47E-3</v>
      </c>
      <c r="M2424" s="76">
        <v>3.8800000000000002E-3</v>
      </c>
    </row>
    <row r="2425" spans="3:13" x14ac:dyDescent="0.15">
      <c r="C2425" s="76">
        <v>422</v>
      </c>
      <c r="D2425" s="76">
        <v>4.46E-4</v>
      </c>
      <c r="E2425" s="76">
        <v>9.6000000000000002E-4</v>
      </c>
      <c r="F2425" s="76">
        <v>1.42E-3</v>
      </c>
      <c r="G2425" s="76">
        <v>1.8699999999999999E-3</v>
      </c>
      <c r="H2425" s="76">
        <v>2.4499999999999999E-3</v>
      </c>
      <c r="I2425" s="76">
        <v>2.8800000000000002E-3</v>
      </c>
      <c r="J2425" s="76">
        <v>3.2299999999999998E-3</v>
      </c>
      <c r="K2425" s="76">
        <v>3.81E-3</v>
      </c>
      <c r="L2425" s="76">
        <v>4.1900000000000001E-3</v>
      </c>
      <c r="M2425" s="76">
        <v>4.6299999999999996E-3</v>
      </c>
    </row>
    <row r="2426" spans="3:13" x14ac:dyDescent="0.15">
      <c r="C2426" s="76">
        <v>424</v>
      </c>
      <c r="D2426" s="76">
        <v>5.62E-4</v>
      </c>
      <c r="E2426" s="76">
        <v>1.1900000000000001E-3</v>
      </c>
      <c r="F2426" s="76">
        <v>1.7700000000000001E-3</v>
      </c>
      <c r="G2426" s="76">
        <v>2.32E-3</v>
      </c>
      <c r="H2426" s="76">
        <v>3.0100000000000001E-3</v>
      </c>
      <c r="I2426" s="76">
        <v>3.5500000000000002E-3</v>
      </c>
      <c r="J2426" s="76">
        <v>4.1099999999999999E-3</v>
      </c>
      <c r="K2426" s="76">
        <v>4.7099999999999998E-3</v>
      </c>
      <c r="L2426" s="76">
        <v>5.3099999999999996E-3</v>
      </c>
      <c r="M2426" s="76">
        <v>5.8700000000000002E-3</v>
      </c>
    </row>
    <row r="2427" spans="3:13" x14ac:dyDescent="0.15">
      <c r="C2427" s="76">
        <v>426</v>
      </c>
      <c r="D2427" s="76">
        <v>7.0899999999999999E-4</v>
      </c>
      <c r="E2427" s="76">
        <v>1.49E-3</v>
      </c>
      <c r="F2427" s="76">
        <v>2.2499999999999998E-3</v>
      </c>
      <c r="G2427" s="76">
        <v>2.9499999999999999E-3</v>
      </c>
      <c r="H2427" s="76">
        <v>3.6900000000000001E-3</v>
      </c>
      <c r="I2427" s="76">
        <v>4.5100000000000001E-3</v>
      </c>
      <c r="J2427" s="76">
        <v>5.1999999999999998E-3</v>
      </c>
      <c r="K2427" s="76">
        <v>5.9699999999999996E-3</v>
      </c>
      <c r="L2427" s="76">
        <v>6.7999999999999996E-3</v>
      </c>
      <c r="M2427" s="76">
        <v>7.4700000000000001E-3</v>
      </c>
    </row>
    <row r="2428" spans="3:13" x14ac:dyDescent="0.15">
      <c r="C2428" s="76">
        <v>428</v>
      </c>
      <c r="D2428" s="76">
        <v>9.1399999999999999E-4</v>
      </c>
      <c r="E2428" s="76">
        <v>1.9300000000000001E-3</v>
      </c>
      <c r="F2428" s="76">
        <v>2.8700000000000002E-3</v>
      </c>
      <c r="G2428" s="76">
        <v>3.8600000000000001E-3</v>
      </c>
      <c r="H2428" s="76">
        <v>4.9100000000000003E-3</v>
      </c>
      <c r="I2428" s="76">
        <v>5.8799999999999998E-3</v>
      </c>
      <c r="J2428" s="76">
        <v>6.7799999999999996E-3</v>
      </c>
      <c r="K2428" s="76">
        <v>7.8100000000000001E-3</v>
      </c>
      <c r="L2428" s="76">
        <v>8.8900000000000003E-3</v>
      </c>
      <c r="M2428" s="76">
        <v>9.6900000000000007E-3</v>
      </c>
    </row>
    <row r="2429" spans="3:13" x14ac:dyDescent="0.15">
      <c r="C2429" s="76">
        <v>430</v>
      </c>
      <c r="D2429" s="76">
        <v>1.23E-3</v>
      </c>
      <c r="E2429" s="76">
        <v>2.5799999999999998E-3</v>
      </c>
      <c r="F2429" s="76">
        <v>3.8899999999999998E-3</v>
      </c>
      <c r="G2429" s="76">
        <v>5.1700000000000001E-3</v>
      </c>
      <c r="H2429" s="76">
        <v>6.5599999999999999E-3</v>
      </c>
      <c r="I2429" s="76">
        <v>7.79E-3</v>
      </c>
      <c r="J2429" s="76">
        <v>9.11E-3</v>
      </c>
      <c r="K2429" s="76">
        <v>1.04E-2</v>
      </c>
      <c r="L2429" s="76">
        <v>1.18E-2</v>
      </c>
      <c r="M2429" s="76">
        <v>1.2999999999999999E-2</v>
      </c>
    </row>
    <row r="2430" spans="3:13" x14ac:dyDescent="0.15">
      <c r="C2430" s="76">
        <v>432</v>
      </c>
      <c r="D2430" s="76">
        <v>1.6900000000000001E-3</v>
      </c>
      <c r="E2430" s="76">
        <v>3.5400000000000002E-3</v>
      </c>
      <c r="F2430" s="76">
        <v>5.3E-3</v>
      </c>
      <c r="G2430" s="76">
        <v>7.0899999999999999E-3</v>
      </c>
      <c r="H2430" s="76">
        <v>8.9499999999999996E-3</v>
      </c>
      <c r="I2430" s="76">
        <v>1.0699999999999999E-2</v>
      </c>
      <c r="J2430" s="76">
        <v>1.2500000000000001E-2</v>
      </c>
      <c r="K2430" s="76">
        <v>1.43E-2</v>
      </c>
      <c r="L2430" s="76">
        <v>1.61E-2</v>
      </c>
      <c r="M2430" s="76">
        <v>1.7899999999999999E-2</v>
      </c>
    </row>
    <row r="2431" spans="3:13" x14ac:dyDescent="0.15">
      <c r="C2431" s="76">
        <v>434</v>
      </c>
      <c r="D2431" s="76">
        <v>2.3500000000000001E-3</v>
      </c>
      <c r="E2431" s="76">
        <v>4.8799999999999998E-3</v>
      </c>
      <c r="F2431" s="76">
        <v>7.3600000000000002E-3</v>
      </c>
      <c r="G2431" s="76">
        <v>9.8600000000000007E-3</v>
      </c>
      <c r="H2431" s="76">
        <v>1.24E-2</v>
      </c>
      <c r="I2431" s="76">
        <v>1.4800000000000001E-2</v>
      </c>
      <c r="J2431" s="76">
        <v>1.7299999999999999E-2</v>
      </c>
      <c r="K2431" s="76">
        <v>1.9800000000000002E-2</v>
      </c>
      <c r="L2431" s="76">
        <v>2.23E-2</v>
      </c>
      <c r="M2431" s="76">
        <v>2.4799999999999999E-2</v>
      </c>
    </row>
    <row r="2432" spans="3:13" x14ac:dyDescent="0.15">
      <c r="C2432" s="76">
        <v>436</v>
      </c>
      <c r="D2432" s="76">
        <v>3.3700000000000002E-3</v>
      </c>
      <c r="E2432" s="76">
        <v>6.9899999999999997E-3</v>
      </c>
      <c r="F2432" s="76">
        <v>1.0500000000000001E-2</v>
      </c>
      <c r="G2432" s="76">
        <v>1.41E-2</v>
      </c>
      <c r="H2432" s="76">
        <v>1.77E-2</v>
      </c>
      <c r="I2432" s="76">
        <v>2.12E-2</v>
      </c>
      <c r="J2432" s="76">
        <v>2.47E-2</v>
      </c>
      <c r="K2432" s="76">
        <v>2.8199999999999999E-2</v>
      </c>
      <c r="L2432" s="76">
        <v>3.1899999999999998E-2</v>
      </c>
      <c r="M2432" s="76">
        <v>3.5299999999999998E-2</v>
      </c>
    </row>
    <row r="2433" spans="3:13" x14ac:dyDescent="0.15">
      <c r="C2433" s="76">
        <v>438</v>
      </c>
      <c r="D2433" s="76">
        <v>4.8399999999999997E-3</v>
      </c>
      <c r="E2433" s="76">
        <v>9.9600000000000001E-3</v>
      </c>
      <c r="F2433" s="76">
        <v>1.4999999999999999E-2</v>
      </c>
      <c r="G2433" s="76">
        <v>2.01E-2</v>
      </c>
      <c r="H2433" s="76">
        <v>2.52E-2</v>
      </c>
      <c r="I2433" s="76">
        <v>3.0099999999999998E-2</v>
      </c>
      <c r="J2433" s="76">
        <v>3.5099999999999999E-2</v>
      </c>
      <c r="K2433" s="76">
        <v>4.0099999999999997E-2</v>
      </c>
      <c r="L2433" s="76">
        <v>4.53E-2</v>
      </c>
      <c r="M2433" s="76">
        <v>5.0200000000000002E-2</v>
      </c>
    </row>
    <row r="2434" spans="3:13" x14ac:dyDescent="0.15">
      <c r="C2434" s="76">
        <v>440</v>
      </c>
      <c r="D2434" s="76">
        <v>6.6600000000000001E-3</v>
      </c>
      <c r="E2434" s="76">
        <v>1.37E-2</v>
      </c>
      <c r="F2434" s="76">
        <v>2.07E-2</v>
      </c>
      <c r="G2434" s="76">
        <v>2.76E-2</v>
      </c>
      <c r="H2434" s="76">
        <v>3.4599999999999999E-2</v>
      </c>
      <c r="I2434" s="76">
        <v>4.1399999999999999E-2</v>
      </c>
      <c r="J2434" s="76">
        <v>4.8300000000000003E-2</v>
      </c>
      <c r="K2434" s="76">
        <v>5.5100000000000003E-2</v>
      </c>
      <c r="L2434" s="76">
        <v>6.2199999999999998E-2</v>
      </c>
      <c r="M2434" s="76">
        <v>6.8900000000000003E-2</v>
      </c>
    </row>
    <row r="2435" spans="3:13" x14ac:dyDescent="0.15">
      <c r="C2435" s="76">
        <v>442</v>
      </c>
      <c r="D2435" s="76">
        <v>8.9300000000000004E-3</v>
      </c>
      <c r="E2435" s="76">
        <v>1.83E-2</v>
      </c>
      <c r="F2435" s="76">
        <v>2.76E-2</v>
      </c>
      <c r="G2435" s="76">
        <v>3.6900000000000002E-2</v>
      </c>
      <c r="H2435" s="76">
        <v>4.6199999999999998E-2</v>
      </c>
      <c r="I2435" s="76">
        <v>5.5399999999999998E-2</v>
      </c>
      <c r="J2435" s="76">
        <v>6.4600000000000005E-2</v>
      </c>
      <c r="K2435" s="76">
        <v>7.3700000000000002E-2</v>
      </c>
      <c r="L2435" s="76">
        <v>8.2900000000000001E-2</v>
      </c>
      <c r="M2435" s="76">
        <v>9.1899999999999996E-2</v>
      </c>
    </row>
    <row r="2436" spans="3:13" x14ac:dyDescent="0.15">
      <c r="C2436" s="76">
        <v>444</v>
      </c>
      <c r="D2436" s="76">
        <v>1.1599999999999999E-2</v>
      </c>
      <c r="E2436" s="76">
        <v>2.3800000000000002E-2</v>
      </c>
      <c r="F2436" s="76">
        <v>3.5900000000000001E-2</v>
      </c>
      <c r="G2436" s="76">
        <v>4.8000000000000001E-2</v>
      </c>
      <c r="H2436" s="76">
        <v>0.06</v>
      </c>
      <c r="I2436" s="76">
        <v>7.1800000000000003E-2</v>
      </c>
      <c r="J2436" s="76">
        <v>8.3799999999999999E-2</v>
      </c>
      <c r="K2436" s="76">
        <v>9.5600000000000004E-2</v>
      </c>
      <c r="L2436" s="76">
        <v>0.108</v>
      </c>
      <c r="M2436" s="76">
        <v>0.11899999999999999</v>
      </c>
    </row>
    <row r="2437" spans="3:13" x14ac:dyDescent="0.15">
      <c r="C2437" s="76">
        <v>446</v>
      </c>
      <c r="D2437" s="76">
        <v>1.47E-2</v>
      </c>
      <c r="E2437" s="76">
        <v>0.03</v>
      </c>
      <c r="F2437" s="76">
        <v>4.5199999999999997E-2</v>
      </c>
      <c r="G2437" s="76">
        <v>6.0400000000000002E-2</v>
      </c>
      <c r="H2437" s="76">
        <v>7.5499999999999998E-2</v>
      </c>
      <c r="I2437" s="76">
        <v>9.0399999999999994E-2</v>
      </c>
      <c r="J2437" s="76">
        <v>0.105</v>
      </c>
      <c r="K2437" s="76">
        <v>0.12</v>
      </c>
      <c r="L2437" s="76">
        <v>0.13500000000000001</v>
      </c>
      <c r="M2437" s="76">
        <v>0.15</v>
      </c>
    </row>
    <row r="2438" spans="3:13" x14ac:dyDescent="0.15">
      <c r="C2438" s="76">
        <v>448</v>
      </c>
      <c r="D2438" s="76">
        <v>1.7899999999999999E-2</v>
      </c>
      <c r="E2438" s="76">
        <v>3.6600000000000001E-2</v>
      </c>
      <c r="F2438" s="76">
        <v>5.5100000000000003E-2</v>
      </c>
      <c r="G2438" s="76">
        <v>7.3599999999999999E-2</v>
      </c>
      <c r="H2438" s="76">
        <v>9.1899999999999996E-2</v>
      </c>
      <c r="I2438" s="76">
        <v>0.11</v>
      </c>
      <c r="J2438" s="76">
        <v>0.128</v>
      </c>
      <c r="K2438" s="76">
        <v>0.14599999999999999</v>
      </c>
      <c r="L2438" s="76">
        <v>0.16400000000000001</v>
      </c>
      <c r="M2438" s="76">
        <v>0.182</v>
      </c>
    </row>
    <row r="2439" spans="3:13" x14ac:dyDescent="0.15">
      <c r="C2439" s="76">
        <v>450</v>
      </c>
      <c r="D2439" s="76">
        <v>2.1299999999999999E-2</v>
      </c>
      <c r="E2439" s="76">
        <v>4.3499999999999997E-2</v>
      </c>
      <c r="F2439" s="76">
        <v>6.5600000000000006E-2</v>
      </c>
      <c r="G2439" s="76">
        <v>8.7499999999999994E-2</v>
      </c>
      <c r="H2439" s="76">
        <v>0.109</v>
      </c>
      <c r="I2439" s="76">
        <v>0.13100000000000001</v>
      </c>
      <c r="J2439" s="76">
        <v>0.152</v>
      </c>
      <c r="K2439" s="76">
        <v>0.17399999999999999</v>
      </c>
      <c r="L2439" s="76">
        <v>0.19500000000000001</v>
      </c>
      <c r="M2439" s="76">
        <v>0.216</v>
      </c>
    </row>
    <row r="2440" spans="3:13" x14ac:dyDescent="0.15">
      <c r="C2440" s="76">
        <v>452</v>
      </c>
      <c r="D2440" s="76">
        <v>2.4199999999999999E-2</v>
      </c>
      <c r="E2440" s="76">
        <v>4.9500000000000002E-2</v>
      </c>
      <c r="F2440" s="76">
        <v>7.4499999999999997E-2</v>
      </c>
      <c r="G2440" s="76">
        <v>9.9400000000000002E-2</v>
      </c>
      <c r="H2440" s="76">
        <v>0.124</v>
      </c>
      <c r="I2440" s="76">
        <v>0.14799999999999999</v>
      </c>
      <c r="J2440" s="76">
        <v>0.17299999999999999</v>
      </c>
      <c r="K2440" s="76">
        <v>0.19700000000000001</v>
      </c>
      <c r="L2440" s="76">
        <v>0.222</v>
      </c>
      <c r="M2440" s="76">
        <v>0.246</v>
      </c>
    </row>
    <row r="2441" spans="3:13" x14ac:dyDescent="0.15">
      <c r="C2441" s="76">
        <v>454</v>
      </c>
      <c r="D2441" s="76">
        <v>2.6499999999999999E-2</v>
      </c>
      <c r="E2441" s="76">
        <v>5.4100000000000002E-2</v>
      </c>
      <c r="F2441" s="76">
        <v>8.14E-2</v>
      </c>
      <c r="G2441" s="76">
        <v>0.109</v>
      </c>
      <c r="H2441" s="76">
        <v>0.13600000000000001</v>
      </c>
      <c r="I2441" s="76">
        <v>0.16200000000000001</v>
      </c>
      <c r="J2441" s="76">
        <v>0.189</v>
      </c>
      <c r="K2441" s="76">
        <v>0.216</v>
      </c>
      <c r="L2441" s="76">
        <v>0.24199999999999999</v>
      </c>
      <c r="M2441" s="76">
        <v>0.26800000000000002</v>
      </c>
    </row>
    <row r="2442" spans="3:13" x14ac:dyDescent="0.15">
      <c r="C2442" s="76">
        <v>456</v>
      </c>
      <c r="D2442" s="76">
        <v>2.81E-2</v>
      </c>
      <c r="E2442" s="76">
        <v>5.74E-2</v>
      </c>
      <c r="F2442" s="76">
        <v>8.6300000000000002E-2</v>
      </c>
      <c r="G2442" s="76">
        <v>0.115</v>
      </c>
      <c r="H2442" s="76">
        <v>0.14399999999999999</v>
      </c>
      <c r="I2442" s="76">
        <v>0.17199999999999999</v>
      </c>
      <c r="J2442" s="76">
        <v>0.2</v>
      </c>
      <c r="K2442" s="76">
        <v>0.22800000000000001</v>
      </c>
      <c r="L2442" s="76">
        <v>0.25600000000000001</v>
      </c>
      <c r="M2442" s="76">
        <v>0.28399999999999997</v>
      </c>
    </row>
    <row r="2443" spans="3:13" x14ac:dyDescent="0.15">
      <c r="C2443" s="76">
        <v>458</v>
      </c>
      <c r="D2443" s="76">
        <v>2.8799999999999999E-2</v>
      </c>
      <c r="E2443" s="76">
        <v>5.8999999999999997E-2</v>
      </c>
      <c r="F2443" s="76">
        <v>8.8700000000000001E-2</v>
      </c>
      <c r="G2443" s="76">
        <v>0.11799999999999999</v>
      </c>
      <c r="H2443" s="76">
        <v>0.14799999999999999</v>
      </c>
      <c r="I2443" s="76">
        <v>0.17699999999999999</v>
      </c>
      <c r="J2443" s="76">
        <v>0.20599999999999999</v>
      </c>
      <c r="K2443" s="76">
        <v>0.23499999999999999</v>
      </c>
      <c r="L2443" s="76">
        <v>0.26300000000000001</v>
      </c>
      <c r="M2443" s="76">
        <v>0.29199999999999998</v>
      </c>
    </row>
    <row r="2444" spans="3:13" x14ac:dyDescent="0.15">
      <c r="C2444" s="76">
        <v>460</v>
      </c>
      <c r="D2444" s="76">
        <v>2.8899999999999999E-2</v>
      </c>
      <c r="E2444" s="76">
        <v>5.9200000000000003E-2</v>
      </c>
      <c r="F2444" s="76">
        <v>8.8999999999999996E-2</v>
      </c>
      <c r="G2444" s="76">
        <v>0.11899999999999999</v>
      </c>
      <c r="H2444" s="76">
        <v>0.14799999999999999</v>
      </c>
      <c r="I2444" s="76">
        <v>0.17699999999999999</v>
      </c>
      <c r="J2444" s="76">
        <v>0.20599999999999999</v>
      </c>
      <c r="K2444" s="76">
        <v>0.23499999999999999</v>
      </c>
      <c r="L2444" s="76">
        <v>0.26400000000000001</v>
      </c>
      <c r="M2444" s="76">
        <v>0.29199999999999998</v>
      </c>
    </row>
    <row r="2445" spans="3:13" x14ac:dyDescent="0.15">
      <c r="C2445" s="76">
        <v>462</v>
      </c>
      <c r="D2445" s="76">
        <v>2.8299999999999999E-2</v>
      </c>
      <c r="E2445" s="76">
        <v>5.79E-2</v>
      </c>
      <c r="F2445" s="76">
        <v>8.6999999999999994E-2</v>
      </c>
      <c r="G2445" s="76">
        <v>0.11600000000000001</v>
      </c>
      <c r="H2445" s="76">
        <v>0.14499999999999999</v>
      </c>
      <c r="I2445" s="76">
        <v>0.17299999999999999</v>
      </c>
      <c r="J2445" s="76">
        <v>0.20200000000000001</v>
      </c>
      <c r="K2445" s="76">
        <v>0.23</v>
      </c>
      <c r="L2445" s="76">
        <v>0.25800000000000001</v>
      </c>
      <c r="M2445" s="76">
        <v>0.28599999999999998</v>
      </c>
    </row>
    <row r="2446" spans="3:13" x14ac:dyDescent="0.15">
      <c r="C2446" s="76">
        <v>464</v>
      </c>
      <c r="D2446" s="76">
        <v>2.7E-2</v>
      </c>
      <c r="E2446" s="76">
        <v>5.5100000000000003E-2</v>
      </c>
      <c r="F2446" s="76">
        <v>8.2900000000000001E-2</v>
      </c>
      <c r="G2446" s="76">
        <v>0.111</v>
      </c>
      <c r="H2446" s="76">
        <v>0.13800000000000001</v>
      </c>
      <c r="I2446" s="76">
        <v>0.16500000000000001</v>
      </c>
      <c r="J2446" s="76">
        <v>0.192</v>
      </c>
      <c r="K2446" s="76">
        <v>0.219</v>
      </c>
      <c r="L2446" s="76">
        <v>0.246</v>
      </c>
      <c r="M2446" s="76">
        <v>0.27300000000000002</v>
      </c>
    </row>
    <row r="2447" spans="3:13" x14ac:dyDescent="0.15">
      <c r="C2447" s="76">
        <v>466</v>
      </c>
      <c r="D2447" s="76">
        <v>2.5499999999999998E-2</v>
      </c>
      <c r="E2447" s="76">
        <v>5.21E-2</v>
      </c>
      <c r="F2447" s="76">
        <v>7.8399999999999997E-2</v>
      </c>
      <c r="G2447" s="76">
        <v>0.105</v>
      </c>
      <c r="H2447" s="76">
        <v>0.13100000000000001</v>
      </c>
      <c r="I2447" s="76">
        <v>0.156</v>
      </c>
      <c r="J2447" s="76">
        <v>0.182</v>
      </c>
      <c r="K2447" s="76">
        <v>0.20699999999999999</v>
      </c>
      <c r="L2447" s="76">
        <v>0.23300000000000001</v>
      </c>
      <c r="M2447" s="76">
        <v>0.25800000000000001</v>
      </c>
    </row>
    <row r="2448" spans="3:13" x14ac:dyDescent="0.15">
      <c r="C2448" s="76">
        <v>468</v>
      </c>
      <c r="D2448" s="76">
        <v>2.4E-2</v>
      </c>
      <c r="E2448" s="76">
        <v>4.9000000000000002E-2</v>
      </c>
      <c r="F2448" s="76">
        <v>7.3700000000000002E-2</v>
      </c>
      <c r="G2448" s="76">
        <v>9.8299999999999998E-2</v>
      </c>
      <c r="H2448" s="76">
        <v>0.123</v>
      </c>
      <c r="I2448" s="76">
        <v>0.14699999999999999</v>
      </c>
      <c r="J2448" s="76">
        <v>0.17100000000000001</v>
      </c>
      <c r="K2448" s="76">
        <v>0.19500000000000001</v>
      </c>
      <c r="L2448" s="76">
        <v>0.219</v>
      </c>
      <c r="M2448" s="76">
        <v>0.24199999999999999</v>
      </c>
    </row>
    <row r="2449" spans="3:46" x14ac:dyDescent="0.15">
      <c r="C2449" s="76">
        <v>470</v>
      </c>
      <c r="D2449" s="76">
        <v>2.24E-2</v>
      </c>
      <c r="E2449" s="76">
        <v>4.58E-2</v>
      </c>
      <c r="F2449" s="76">
        <v>6.9000000000000006E-2</v>
      </c>
      <c r="G2449" s="76">
        <v>9.1899999999999996E-2</v>
      </c>
      <c r="H2449" s="76">
        <v>0.115</v>
      </c>
      <c r="I2449" s="76">
        <v>0.13800000000000001</v>
      </c>
      <c r="J2449" s="76">
        <v>0.16</v>
      </c>
      <c r="K2449" s="76">
        <v>0.183</v>
      </c>
      <c r="L2449" s="76">
        <v>0.20499999999999999</v>
      </c>
      <c r="M2449" s="76">
        <v>0.22700000000000001</v>
      </c>
    </row>
    <row r="2450" spans="3:46" x14ac:dyDescent="0.15">
      <c r="C2450" s="76">
        <v>472</v>
      </c>
      <c r="D2450" s="76">
        <v>2.1000000000000001E-2</v>
      </c>
      <c r="E2450" s="76">
        <v>4.2999999999999997E-2</v>
      </c>
      <c r="F2450" s="76">
        <v>6.4600000000000005E-2</v>
      </c>
      <c r="G2450" s="76">
        <v>8.6199999999999999E-2</v>
      </c>
      <c r="H2450" s="76">
        <v>0.108</v>
      </c>
      <c r="I2450" s="76">
        <v>0.129</v>
      </c>
      <c r="J2450" s="76">
        <v>0.15</v>
      </c>
      <c r="K2450" s="76">
        <v>0.17100000000000001</v>
      </c>
      <c r="L2450" s="76">
        <v>0.192</v>
      </c>
      <c r="M2450" s="76">
        <v>0.21299999999999999</v>
      </c>
    </row>
    <row r="2451" spans="3:46" x14ac:dyDescent="0.15">
      <c r="C2451" s="76">
        <v>474</v>
      </c>
      <c r="D2451" s="76">
        <v>1.9800000000000002E-2</v>
      </c>
      <c r="E2451" s="76">
        <v>4.0500000000000001E-2</v>
      </c>
      <c r="F2451" s="76">
        <v>6.0900000000000003E-2</v>
      </c>
      <c r="G2451" s="76">
        <v>8.1199999999999994E-2</v>
      </c>
      <c r="H2451" s="76">
        <v>0.10199999999999999</v>
      </c>
      <c r="I2451" s="76">
        <v>0.122</v>
      </c>
      <c r="J2451" s="76">
        <v>0.14099999999999999</v>
      </c>
      <c r="K2451" s="76">
        <v>0.16200000000000001</v>
      </c>
      <c r="L2451" s="76">
        <v>0.18099999999999999</v>
      </c>
      <c r="M2451" s="76">
        <v>0.20100000000000001</v>
      </c>
    </row>
    <row r="2452" spans="3:46" x14ac:dyDescent="0.15">
      <c r="C2452" s="76">
        <v>476</v>
      </c>
      <c r="D2452" s="76">
        <v>1.8700000000000001E-2</v>
      </c>
      <c r="E2452" s="76">
        <v>3.8100000000000002E-2</v>
      </c>
      <c r="F2452" s="76">
        <v>5.74E-2</v>
      </c>
      <c r="G2452" s="76">
        <v>7.6600000000000001E-2</v>
      </c>
      <c r="H2452" s="76">
        <v>9.5500000000000002E-2</v>
      </c>
      <c r="I2452" s="76">
        <v>0.115</v>
      </c>
      <c r="J2452" s="76">
        <v>0.13300000000000001</v>
      </c>
      <c r="K2452" s="76">
        <v>0.152</v>
      </c>
      <c r="L2452" s="76">
        <v>0.17100000000000001</v>
      </c>
      <c r="M2452" s="76">
        <v>0.189</v>
      </c>
    </row>
    <row r="2453" spans="3:46" x14ac:dyDescent="0.15">
      <c r="C2453" s="76">
        <v>478</v>
      </c>
      <c r="D2453" s="76">
        <v>1.7899999999999999E-2</v>
      </c>
      <c r="E2453" s="76">
        <v>3.6499999999999998E-2</v>
      </c>
      <c r="F2453" s="76">
        <v>5.4899999999999997E-2</v>
      </c>
      <c r="G2453" s="76">
        <v>7.3200000000000001E-2</v>
      </c>
      <c r="H2453" s="76">
        <v>9.1399999999999995E-2</v>
      </c>
      <c r="I2453" s="76">
        <v>0.11</v>
      </c>
      <c r="J2453" s="76">
        <v>0.128</v>
      </c>
      <c r="K2453" s="76">
        <v>0.14499999999999999</v>
      </c>
      <c r="L2453" s="76">
        <v>0.16300000000000001</v>
      </c>
      <c r="M2453" s="76">
        <v>0.18099999999999999</v>
      </c>
    </row>
    <row r="2454" spans="3:46" x14ac:dyDescent="0.15">
      <c r="C2454" s="76">
        <v>480</v>
      </c>
      <c r="D2454" s="76">
        <v>1.72E-2</v>
      </c>
      <c r="E2454" s="76">
        <v>3.5099999999999999E-2</v>
      </c>
      <c r="F2454" s="76">
        <v>5.28E-2</v>
      </c>
      <c r="G2454" s="76">
        <v>7.0300000000000001E-2</v>
      </c>
      <c r="H2454" s="76">
        <v>8.7900000000000006E-2</v>
      </c>
      <c r="I2454" s="76">
        <v>0.105</v>
      </c>
      <c r="J2454" s="76">
        <v>0.123</v>
      </c>
      <c r="K2454" s="76">
        <v>0.14000000000000001</v>
      </c>
      <c r="L2454" s="76">
        <v>0.157</v>
      </c>
      <c r="M2454" s="76">
        <v>0.17399999999999999</v>
      </c>
    </row>
    <row r="2455" spans="3:46" x14ac:dyDescent="0.15">
      <c r="C2455" s="76">
        <v>482</v>
      </c>
      <c r="D2455" s="76">
        <v>1.66E-2</v>
      </c>
      <c r="E2455" s="76">
        <v>3.39E-2</v>
      </c>
      <c r="F2455" s="76">
        <v>5.0900000000000001E-2</v>
      </c>
      <c r="G2455" s="76">
        <v>6.7799999999999999E-2</v>
      </c>
      <c r="H2455" s="76">
        <v>8.4699999999999998E-2</v>
      </c>
      <c r="I2455" s="76">
        <v>0.10199999999999999</v>
      </c>
      <c r="J2455" s="76">
        <v>0.11799999999999999</v>
      </c>
      <c r="K2455" s="76">
        <v>0.13500000000000001</v>
      </c>
      <c r="L2455" s="76">
        <v>0.151</v>
      </c>
      <c r="M2455" s="76">
        <v>0.16800000000000001</v>
      </c>
    </row>
    <row r="2456" spans="3:46" x14ac:dyDescent="0.15">
      <c r="C2456" s="76">
        <v>484</v>
      </c>
      <c r="D2456" s="76">
        <v>1.5900000000000001E-2</v>
      </c>
      <c r="E2456" s="76">
        <v>3.2599999999999997E-2</v>
      </c>
      <c r="F2456" s="76">
        <v>4.9000000000000002E-2</v>
      </c>
      <c r="G2456" s="76">
        <v>6.5299999999999997E-2</v>
      </c>
      <c r="H2456" s="76">
        <v>8.1500000000000003E-2</v>
      </c>
      <c r="I2456" s="76">
        <v>9.7799999999999998E-2</v>
      </c>
      <c r="J2456" s="76">
        <v>0.114</v>
      </c>
      <c r="K2456" s="76">
        <v>0.13</v>
      </c>
      <c r="L2456" s="76">
        <v>0.14599999999999999</v>
      </c>
      <c r="M2456" s="76">
        <v>0.16200000000000001</v>
      </c>
    </row>
    <row r="2457" spans="3:46" x14ac:dyDescent="0.15">
      <c r="C2457" s="76">
        <v>486</v>
      </c>
      <c r="D2457" s="76">
        <v>1.5299999999999999E-2</v>
      </c>
      <c r="E2457" s="76">
        <v>3.1300000000000001E-2</v>
      </c>
      <c r="F2457" s="76">
        <v>4.7100000000000003E-2</v>
      </c>
      <c r="G2457" s="76">
        <v>6.2700000000000006E-2</v>
      </c>
      <c r="H2457" s="76">
        <v>7.8299999999999995E-2</v>
      </c>
      <c r="I2457" s="76">
        <v>9.3899999999999997E-2</v>
      </c>
      <c r="J2457" s="76">
        <v>0.109</v>
      </c>
      <c r="K2457" s="76">
        <v>0.125</v>
      </c>
      <c r="L2457" s="76">
        <v>0.14000000000000001</v>
      </c>
      <c r="M2457" s="76">
        <v>0.155</v>
      </c>
    </row>
    <row r="2458" spans="3:46" x14ac:dyDescent="0.15">
      <c r="C2458" s="81">
        <v>488</v>
      </c>
      <c r="D2458" s="76">
        <v>1.4500000000000001E-2</v>
      </c>
      <c r="E2458" s="76">
        <v>2.9600000000000001E-2</v>
      </c>
      <c r="F2458" s="76">
        <v>4.4499999999999998E-2</v>
      </c>
      <c r="G2458" s="76">
        <v>5.9299999999999999E-2</v>
      </c>
      <c r="H2458" s="81">
        <v>7.3999999999999996E-2</v>
      </c>
      <c r="I2458" s="76">
        <v>8.8700000000000001E-2</v>
      </c>
      <c r="J2458" s="76">
        <v>0.10299999999999999</v>
      </c>
      <c r="K2458" s="76">
        <v>0.11799999999999999</v>
      </c>
      <c r="L2458" s="81">
        <v>0.13200000000000001</v>
      </c>
      <c r="M2458" s="76">
        <v>0.14699999999999999</v>
      </c>
      <c r="N2458" s="81"/>
      <c r="T2458" s="81"/>
      <c r="W2458" s="81"/>
      <c r="AG2458" s="81"/>
      <c r="AT2458" s="81"/>
    </row>
    <row r="2459" spans="3:46" x14ac:dyDescent="0.15">
      <c r="C2459" s="81">
        <v>490</v>
      </c>
      <c r="D2459" s="76">
        <v>1.37E-2</v>
      </c>
      <c r="E2459" s="76">
        <v>2.8000000000000001E-2</v>
      </c>
      <c r="F2459" s="76">
        <v>4.2099999999999999E-2</v>
      </c>
      <c r="G2459" s="76">
        <v>5.6000000000000001E-2</v>
      </c>
      <c r="H2459" s="81">
        <v>6.9900000000000004E-2</v>
      </c>
      <c r="I2459" s="76">
        <v>8.3799999999999999E-2</v>
      </c>
      <c r="J2459" s="76">
        <v>9.7500000000000003E-2</v>
      </c>
      <c r="K2459" s="76">
        <v>0.111</v>
      </c>
      <c r="L2459" s="81">
        <v>0.125</v>
      </c>
      <c r="M2459" s="76">
        <v>0.13800000000000001</v>
      </c>
      <c r="N2459" s="81"/>
      <c r="T2459" s="81"/>
      <c r="W2459" s="81"/>
      <c r="AG2459" s="81"/>
      <c r="AT2459" s="81"/>
    </row>
    <row r="2460" spans="3:46" x14ac:dyDescent="0.15">
      <c r="C2460" s="81">
        <v>492</v>
      </c>
      <c r="D2460" s="76">
        <v>1.2800000000000001E-2</v>
      </c>
      <c r="E2460" s="76">
        <v>2.6200000000000001E-2</v>
      </c>
      <c r="F2460" s="76">
        <v>3.95E-2</v>
      </c>
      <c r="G2460" s="76">
        <v>5.2499999999999998E-2</v>
      </c>
      <c r="H2460" s="81">
        <v>6.5600000000000006E-2</v>
      </c>
      <c r="I2460" s="76">
        <v>7.8600000000000003E-2</v>
      </c>
      <c r="J2460" s="76">
        <v>9.1499999999999998E-2</v>
      </c>
      <c r="K2460" s="76">
        <v>0.104</v>
      </c>
      <c r="L2460" s="81">
        <v>0.11700000000000001</v>
      </c>
      <c r="M2460" s="76">
        <v>0.13</v>
      </c>
      <c r="N2460" s="81"/>
      <c r="T2460" s="81"/>
      <c r="W2460" s="81"/>
      <c r="AG2460" s="81"/>
      <c r="AT2460" s="81"/>
    </row>
    <row r="2461" spans="3:46" x14ac:dyDescent="0.15">
      <c r="C2461" s="81">
        <v>494</v>
      </c>
      <c r="D2461" s="76">
        <v>1.1900000000000001E-2</v>
      </c>
      <c r="E2461" s="76">
        <v>2.4400000000000002E-2</v>
      </c>
      <c r="F2461" s="76">
        <v>3.6700000000000003E-2</v>
      </c>
      <c r="G2461" s="76">
        <v>4.8800000000000003E-2</v>
      </c>
      <c r="H2461" s="81">
        <v>6.0999999999999999E-2</v>
      </c>
      <c r="I2461" s="76">
        <v>7.3099999999999998E-2</v>
      </c>
      <c r="J2461" s="76">
        <v>8.5099999999999995E-2</v>
      </c>
      <c r="K2461" s="76">
        <v>9.69E-2</v>
      </c>
      <c r="L2461" s="81">
        <v>0.109</v>
      </c>
      <c r="M2461" s="76">
        <v>0.121</v>
      </c>
      <c r="N2461" s="81"/>
      <c r="T2461" s="81"/>
      <c r="W2461" s="81"/>
      <c r="AG2461" s="81"/>
      <c r="AT2461" s="81"/>
    </row>
    <row r="2462" spans="3:46" x14ac:dyDescent="0.15">
      <c r="C2462" s="81">
        <v>496</v>
      </c>
      <c r="D2462" s="76">
        <v>1.11E-2</v>
      </c>
      <c r="E2462" s="76">
        <v>2.2599999999999999E-2</v>
      </c>
      <c r="F2462" s="76">
        <v>3.4000000000000002E-2</v>
      </c>
      <c r="G2462" s="76">
        <v>4.53E-2</v>
      </c>
      <c r="H2462" s="81">
        <v>5.6599999999999998E-2</v>
      </c>
      <c r="I2462" s="76">
        <v>6.7699999999999996E-2</v>
      </c>
      <c r="J2462" s="76">
        <v>7.8899999999999998E-2</v>
      </c>
      <c r="K2462" s="76">
        <v>8.9800000000000005E-2</v>
      </c>
      <c r="L2462" s="81">
        <v>0.10100000000000001</v>
      </c>
      <c r="M2462" s="76">
        <v>0.112</v>
      </c>
      <c r="N2462" s="81"/>
      <c r="T2462" s="81"/>
      <c r="W2462" s="81"/>
      <c r="AG2462" s="81"/>
      <c r="AT2462" s="81"/>
    </row>
    <row r="2463" spans="3:46" x14ac:dyDescent="0.15">
      <c r="C2463" s="81">
        <v>498</v>
      </c>
      <c r="D2463" s="76">
        <v>1.01E-2</v>
      </c>
      <c r="E2463" s="76">
        <v>2.0799999999999999E-2</v>
      </c>
      <c r="F2463" s="76">
        <v>3.1199999999999999E-2</v>
      </c>
      <c r="G2463" s="76">
        <v>4.1599999999999998E-2</v>
      </c>
      <c r="H2463" s="81">
        <v>5.1900000000000002E-2</v>
      </c>
      <c r="I2463" s="76">
        <v>6.2199999999999998E-2</v>
      </c>
      <c r="J2463" s="76">
        <v>7.2400000000000006E-2</v>
      </c>
      <c r="K2463" s="76">
        <v>8.2400000000000001E-2</v>
      </c>
      <c r="L2463" s="81">
        <v>9.2499999999999999E-2</v>
      </c>
      <c r="M2463" s="76">
        <v>0.10299999999999999</v>
      </c>
      <c r="N2463" s="81"/>
      <c r="T2463" s="81"/>
      <c r="W2463" s="81"/>
      <c r="AG2463" s="81"/>
      <c r="AT2463" s="81"/>
    </row>
    <row r="2464" spans="3:46" x14ac:dyDescent="0.15">
      <c r="C2464" s="81">
        <v>500</v>
      </c>
      <c r="D2464" s="76">
        <v>9.1900000000000003E-3</v>
      </c>
      <c r="E2464" s="76">
        <v>1.8800000000000001E-2</v>
      </c>
      <c r="F2464" s="76">
        <v>2.8299999999999999E-2</v>
      </c>
      <c r="G2464" s="76">
        <v>3.7699999999999997E-2</v>
      </c>
      <c r="H2464" s="81">
        <v>4.7E-2</v>
      </c>
      <c r="I2464" s="76">
        <v>5.6399999999999999E-2</v>
      </c>
      <c r="J2464" s="76">
        <v>6.5699999999999995E-2</v>
      </c>
      <c r="K2464" s="76">
        <v>7.4700000000000003E-2</v>
      </c>
      <c r="L2464" s="81">
        <v>8.3799999999999999E-2</v>
      </c>
      <c r="M2464" s="76">
        <v>9.2899999999999996E-2</v>
      </c>
      <c r="N2464" s="81"/>
      <c r="T2464" s="81"/>
      <c r="W2464" s="81"/>
      <c r="AG2464" s="81"/>
      <c r="AT2464" s="81"/>
    </row>
    <row r="2465" spans="3:56" x14ac:dyDescent="0.15">
      <c r="C2465" s="81">
        <v>502</v>
      </c>
      <c r="D2465" s="76">
        <v>8.2900000000000005E-3</v>
      </c>
      <c r="E2465" s="76">
        <v>1.7000000000000001E-2</v>
      </c>
      <c r="F2465" s="76">
        <v>2.5499999999999998E-2</v>
      </c>
      <c r="G2465" s="76">
        <v>3.4000000000000002E-2</v>
      </c>
      <c r="H2465" s="81">
        <v>4.2500000000000003E-2</v>
      </c>
      <c r="I2465" s="76">
        <v>5.0900000000000001E-2</v>
      </c>
      <c r="J2465" s="76">
        <v>5.9200000000000003E-2</v>
      </c>
      <c r="K2465" s="76">
        <v>6.7400000000000002E-2</v>
      </c>
      <c r="L2465" s="81">
        <v>7.5800000000000006E-2</v>
      </c>
      <c r="M2465" s="76">
        <v>8.4000000000000005E-2</v>
      </c>
      <c r="N2465" s="81"/>
      <c r="T2465" s="81"/>
      <c r="W2465" s="81"/>
      <c r="AG2465" s="81"/>
      <c r="AT2465" s="81"/>
    </row>
    <row r="2466" spans="3:56" x14ac:dyDescent="0.15">
      <c r="C2466" s="81">
        <v>504</v>
      </c>
      <c r="D2466" s="76">
        <v>7.5100000000000002E-3</v>
      </c>
      <c r="E2466" s="76">
        <v>1.54E-2</v>
      </c>
      <c r="F2466" s="76">
        <v>2.3099999999999999E-2</v>
      </c>
      <c r="G2466" s="76">
        <v>3.0800000000000001E-2</v>
      </c>
      <c r="H2466" s="81">
        <v>3.85E-2</v>
      </c>
      <c r="I2466" s="76">
        <v>4.6100000000000002E-2</v>
      </c>
      <c r="J2466" s="76">
        <v>5.3699999999999998E-2</v>
      </c>
      <c r="K2466" s="76">
        <v>6.0999999999999999E-2</v>
      </c>
      <c r="L2466" s="81">
        <v>6.8599999999999994E-2</v>
      </c>
      <c r="M2466" s="76">
        <v>7.5999999999999998E-2</v>
      </c>
      <c r="N2466" s="81"/>
      <c r="T2466" s="81"/>
      <c r="W2466" s="81"/>
      <c r="AG2466" s="81"/>
      <c r="AT2466" s="81"/>
    </row>
    <row r="2467" spans="3:56" x14ac:dyDescent="0.15">
      <c r="C2467" s="81">
        <v>506</v>
      </c>
      <c r="D2467" s="76">
        <v>6.79E-3</v>
      </c>
      <c r="E2467" s="76">
        <v>1.4E-2</v>
      </c>
      <c r="F2467" s="76">
        <v>2.1000000000000001E-2</v>
      </c>
      <c r="G2467" s="76">
        <v>2.7900000000000001E-2</v>
      </c>
      <c r="H2467" s="81">
        <v>3.4799999999999998E-2</v>
      </c>
      <c r="I2467" s="76">
        <v>4.1799999999999997E-2</v>
      </c>
      <c r="J2467" s="76">
        <v>4.8599999999999997E-2</v>
      </c>
      <c r="K2467" s="76">
        <v>5.5199999999999999E-2</v>
      </c>
      <c r="L2467" s="81">
        <v>6.2100000000000002E-2</v>
      </c>
      <c r="M2467" s="76">
        <v>6.88E-2</v>
      </c>
      <c r="N2467" s="81"/>
      <c r="T2467" s="81"/>
      <c r="W2467" s="81"/>
      <c r="AG2467" s="81"/>
      <c r="AT2467" s="81"/>
    </row>
    <row r="2468" spans="3:56" x14ac:dyDescent="0.15">
      <c r="C2468" s="81">
        <v>508</v>
      </c>
      <c r="D2468" s="76">
        <v>6.1399999999999996E-3</v>
      </c>
      <c r="E2468" s="76">
        <v>1.26E-2</v>
      </c>
      <c r="F2468" s="76">
        <v>1.9E-2</v>
      </c>
      <c r="G2468" s="76">
        <v>2.52E-2</v>
      </c>
      <c r="H2468" s="81">
        <v>3.15E-2</v>
      </c>
      <c r="I2468" s="76">
        <v>3.78E-2</v>
      </c>
      <c r="J2468" s="76">
        <v>4.3999999999999997E-2</v>
      </c>
      <c r="K2468" s="76">
        <v>5.0099999999999999E-2</v>
      </c>
      <c r="L2468" s="81">
        <v>5.62E-2</v>
      </c>
      <c r="M2468" s="76">
        <v>6.2300000000000001E-2</v>
      </c>
      <c r="N2468" s="81"/>
      <c r="T2468" s="81"/>
      <c r="W2468" s="81"/>
      <c r="AG2468" s="81"/>
      <c r="AT2468" s="81"/>
    </row>
    <row r="2469" spans="3:56" x14ac:dyDescent="0.15">
      <c r="C2469" s="81">
        <v>510</v>
      </c>
      <c r="D2469" s="76">
        <v>5.5799999999999999E-3</v>
      </c>
      <c r="E2469" s="76">
        <v>1.15E-2</v>
      </c>
      <c r="F2469" s="76">
        <v>1.72E-2</v>
      </c>
      <c r="G2469" s="76">
        <v>2.29E-2</v>
      </c>
      <c r="H2469" s="81">
        <v>2.87E-2</v>
      </c>
      <c r="I2469" s="76">
        <v>3.4299999999999997E-2</v>
      </c>
      <c r="J2469" s="76">
        <v>3.9899999999999998E-2</v>
      </c>
      <c r="K2469" s="76">
        <v>4.5499999999999999E-2</v>
      </c>
      <c r="L2469" s="81">
        <v>5.0999999999999997E-2</v>
      </c>
      <c r="M2469" s="76">
        <v>5.6500000000000002E-2</v>
      </c>
      <c r="N2469" s="81"/>
      <c r="T2469" s="81"/>
      <c r="W2469" s="81"/>
      <c r="AG2469" s="81"/>
      <c r="AT2469" s="81"/>
    </row>
    <row r="2470" spans="3:56" x14ac:dyDescent="0.15">
      <c r="C2470" s="81">
        <v>512</v>
      </c>
      <c r="D2470" s="76">
        <v>5.0400000000000002E-3</v>
      </c>
      <c r="E2470" s="76">
        <v>1.03E-2</v>
      </c>
      <c r="F2470" s="76">
        <v>1.55E-2</v>
      </c>
      <c r="G2470" s="76">
        <v>2.06E-2</v>
      </c>
      <c r="H2470" s="81">
        <v>2.58E-2</v>
      </c>
      <c r="I2470" s="76">
        <v>3.09E-2</v>
      </c>
      <c r="J2470" s="76">
        <v>3.61E-2</v>
      </c>
      <c r="K2470" s="76">
        <v>4.1000000000000002E-2</v>
      </c>
      <c r="L2470" s="81">
        <v>4.6100000000000002E-2</v>
      </c>
      <c r="M2470" s="76">
        <v>5.0900000000000001E-2</v>
      </c>
      <c r="N2470" s="81"/>
      <c r="T2470" s="81"/>
      <c r="W2470" s="81"/>
      <c r="AG2470" s="81"/>
      <c r="AT2470" s="81"/>
    </row>
    <row r="2471" spans="3:56" x14ac:dyDescent="0.15">
      <c r="C2471" s="81">
        <v>514</v>
      </c>
      <c r="D2471" s="76">
        <v>4.5999999999999999E-3</v>
      </c>
      <c r="E2471" s="76">
        <v>9.4500000000000001E-3</v>
      </c>
      <c r="F2471" s="76">
        <v>1.4200000000000001E-2</v>
      </c>
      <c r="G2471" s="76">
        <v>1.8800000000000001E-2</v>
      </c>
      <c r="H2471" s="81">
        <v>2.35E-2</v>
      </c>
      <c r="I2471" s="76">
        <v>2.8299999999999999E-2</v>
      </c>
      <c r="J2471" s="76">
        <v>3.2899999999999999E-2</v>
      </c>
      <c r="K2471" s="76">
        <v>3.7400000000000003E-2</v>
      </c>
      <c r="L2471" s="81">
        <v>4.2099999999999999E-2</v>
      </c>
      <c r="M2471" s="76">
        <v>4.6399999999999997E-2</v>
      </c>
      <c r="N2471" s="81"/>
      <c r="T2471" s="81"/>
      <c r="W2471" s="81"/>
      <c r="AG2471" s="81"/>
      <c r="AT2471" s="81"/>
    </row>
    <row r="2472" spans="3:56" x14ac:dyDescent="0.15">
      <c r="C2472" s="81">
        <v>516</v>
      </c>
      <c r="D2472" s="81">
        <v>4.2199999999999998E-3</v>
      </c>
      <c r="E2472" s="81">
        <v>8.6800000000000002E-3</v>
      </c>
      <c r="F2472" s="81">
        <v>1.2999999999999999E-2</v>
      </c>
      <c r="G2472" s="81">
        <v>1.7299999999999999E-2</v>
      </c>
      <c r="H2472" s="81">
        <v>2.1600000000000001E-2</v>
      </c>
      <c r="I2472" s="81">
        <v>2.5999999999999999E-2</v>
      </c>
      <c r="J2472" s="81">
        <v>3.0200000000000001E-2</v>
      </c>
      <c r="K2472" s="81">
        <v>3.4299999999999997E-2</v>
      </c>
      <c r="L2472" s="81">
        <v>3.8699999999999998E-2</v>
      </c>
      <c r="M2472" s="81">
        <v>4.2700000000000002E-2</v>
      </c>
      <c r="N2472" s="81"/>
      <c r="O2472" s="81"/>
      <c r="P2472" s="81"/>
      <c r="Q2472" s="81"/>
      <c r="R2472" s="81"/>
      <c r="S2472" s="81"/>
      <c r="T2472" s="81"/>
      <c r="U2472" s="81"/>
      <c r="V2472" s="81"/>
      <c r="W2472" s="81"/>
      <c r="X2472" s="81"/>
      <c r="Y2472" s="81"/>
      <c r="Z2472" s="81"/>
      <c r="AA2472" s="81"/>
      <c r="AB2472" s="81"/>
      <c r="AC2472" s="81"/>
      <c r="AD2472" s="81"/>
      <c r="AG2472" s="81"/>
      <c r="AH2472" s="81"/>
      <c r="AI2472" s="81"/>
      <c r="AJ2472" s="81"/>
      <c r="AK2472" s="81"/>
      <c r="AL2472" s="81"/>
      <c r="AM2472" s="81"/>
      <c r="AN2472" s="81"/>
      <c r="AO2472" s="81"/>
      <c r="AP2472" s="81"/>
      <c r="AQ2472" s="81"/>
      <c r="AT2472" s="81"/>
      <c r="AU2472" s="81"/>
      <c r="AV2472" s="81"/>
      <c r="AW2472" s="81"/>
      <c r="AX2472" s="81"/>
      <c r="AY2472" s="81"/>
      <c r="AZ2472" s="81"/>
      <c r="BA2472" s="81"/>
      <c r="BB2472" s="81"/>
      <c r="BC2472" s="81"/>
      <c r="BD2472" s="81"/>
    </row>
    <row r="2473" spans="3:56" x14ac:dyDescent="0.15">
      <c r="C2473" s="81">
        <v>518</v>
      </c>
      <c r="D2473" s="76">
        <v>3.8899999999999998E-3</v>
      </c>
      <c r="E2473" s="76">
        <v>8.0099999999999998E-3</v>
      </c>
      <c r="F2473" s="76">
        <v>1.2E-2</v>
      </c>
      <c r="G2473" s="76">
        <v>1.6E-2</v>
      </c>
      <c r="H2473" s="81">
        <v>1.9900000000000001E-2</v>
      </c>
      <c r="I2473" s="76">
        <v>2.3900000000000001E-2</v>
      </c>
      <c r="J2473" s="76">
        <v>2.7900000000000001E-2</v>
      </c>
      <c r="K2473" s="76">
        <v>3.1699999999999999E-2</v>
      </c>
      <c r="L2473" s="81">
        <v>3.5700000000000003E-2</v>
      </c>
      <c r="M2473" s="76">
        <v>3.9399999999999998E-2</v>
      </c>
      <c r="N2473" s="81"/>
      <c r="T2473" s="81"/>
      <c r="W2473" s="81"/>
      <c r="AG2473" s="81"/>
      <c r="AT2473" s="81"/>
    </row>
    <row r="2474" spans="3:56" x14ac:dyDescent="0.15">
      <c r="C2474" s="76">
        <v>520</v>
      </c>
      <c r="D2474" s="76">
        <v>3.5999999999999999E-3</v>
      </c>
      <c r="E2474" s="76">
        <v>7.4000000000000003E-3</v>
      </c>
      <c r="F2474" s="76">
        <v>1.11E-2</v>
      </c>
      <c r="G2474" s="76">
        <v>1.4800000000000001E-2</v>
      </c>
      <c r="H2474" s="76">
        <v>1.8499999999999999E-2</v>
      </c>
      <c r="I2474" s="76">
        <v>2.2200000000000001E-2</v>
      </c>
      <c r="J2474" s="76">
        <v>2.58E-2</v>
      </c>
      <c r="K2474" s="76">
        <v>2.93E-2</v>
      </c>
      <c r="L2474" s="76">
        <v>3.3000000000000002E-2</v>
      </c>
      <c r="M2474" s="76">
        <v>3.6499999999999998E-2</v>
      </c>
    </row>
    <row r="2475" spans="3:56" x14ac:dyDescent="0.15">
      <c r="C2475" s="76">
        <v>522</v>
      </c>
      <c r="D2475" s="76">
        <v>3.3300000000000001E-3</v>
      </c>
      <c r="E2475" s="76">
        <v>6.8599999999999998E-3</v>
      </c>
      <c r="F2475" s="76">
        <v>1.03E-2</v>
      </c>
      <c r="G2475" s="76">
        <v>1.37E-2</v>
      </c>
      <c r="H2475" s="76">
        <v>1.72E-2</v>
      </c>
      <c r="I2475" s="76">
        <v>2.0500000000000001E-2</v>
      </c>
      <c r="J2475" s="76">
        <v>2.3800000000000002E-2</v>
      </c>
      <c r="K2475" s="76">
        <v>2.7300000000000001E-2</v>
      </c>
      <c r="L2475" s="76">
        <v>3.0499999999999999E-2</v>
      </c>
      <c r="M2475" s="76">
        <v>3.3700000000000001E-2</v>
      </c>
    </row>
    <row r="2476" spans="3:56" x14ac:dyDescent="0.15">
      <c r="C2476" s="76">
        <v>524</v>
      </c>
      <c r="D2476" s="76">
        <v>3.0500000000000002E-3</v>
      </c>
      <c r="E2476" s="76">
        <v>6.28E-3</v>
      </c>
      <c r="F2476" s="76">
        <v>9.41E-3</v>
      </c>
      <c r="G2476" s="76">
        <v>1.26E-2</v>
      </c>
      <c r="H2476" s="76">
        <v>1.5699999999999999E-2</v>
      </c>
      <c r="I2476" s="76">
        <v>1.8700000000000001E-2</v>
      </c>
      <c r="J2476" s="76">
        <v>2.18E-2</v>
      </c>
      <c r="K2476" s="76">
        <v>2.5000000000000001E-2</v>
      </c>
      <c r="L2476" s="76">
        <v>2.7900000000000001E-2</v>
      </c>
      <c r="M2476" s="76">
        <v>3.09E-2</v>
      </c>
    </row>
    <row r="2477" spans="3:56" x14ac:dyDescent="0.15">
      <c r="C2477" s="76">
        <v>526</v>
      </c>
      <c r="D2477" s="76">
        <v>2.8300000000000001E-3</v>
      </c>
      <c r="E2477" s="76">
        <v>5.79E-3</v>
      </c>
      <c r="F2477" s="76">
        <v>8.6499999999999997E-3</v>
      </c>
      <c r="G2477" s="76">
        <v>1.1599999999999999E-2</v>
      </c>
      <c r="H2477" s="76">
        <v>1.4500000000000001E-2</v>
      </c>
      <c r="I2477" s="76">
        <v>1.7299999999999999E-2</v>
      </c>
      <c r="J2477" s="76">
        <v>2.0199999999999999E-2</v>
      </c>
      <c r="K2477" s="76">
        <v>2.3099999999999999E-2</v>
      </c>
      <c r="L2477" s="76">
        <v>2.58E-2</v>
      </c>
      <c r="M2477" s="76">
        <v>2.86E-2</v>
      </c>
    </row>
    <row r="2478" spans="3:56" x14ac:dyDescent="0.15">
      <c r="C2478" s="76">
        <v>528</v>
      </c>
      <c r="D2478" s="76">
        <v>2.6099999999999999E-3</v>
      </c>
      <c r="E2478" s="76">
        <v>5.3499999999999997E-3</v>
      </c>
      <c r="F2478" s="76">
        <v>8.0099999999999998E-3</v>
      </c>
      <c r="G2478" s="76">
        <v>1.0699999999999999E-2</v>
      </c>
      <c r="H2478" s="76">
        <v>1.34E-2</v>
      </c>
      <c r="I2478" s="76">
        <v>1.6E-2</v>
      </c>
      <c r="J2478" s="76">
        <v>1.8499999999999999E-2</v>
      </c>
      <c r="K2478" s="76">
        <v>2.1299999999999999E-2</v>
      </c>
      <c r="L2478" s="76">
        <v>2.3800000000000002E-2</v>
      </c>
      <c r="M2478" s="76">
        <v>2.63E-2</v>
      </c>
    </row>
    <row r="2479" spans="3:56" x14ac:dyDescent="0.15">
      <c r="C2479" s="76">
        <v>530</v>
      </c>
      <c r="D2479" s="76">
        <v>2.4099999999999998E-3</v>
      </c>
      <c r="E2479" s="76">
        <v>4.9199999999999999E-3</v>
      </c>
      <c r="F2479" s="76">
        <v>7.3699999999999998E-3</v>
      </c>
      <c r="G2479" s="76">
        <v>9.8499999999999994E-3</v>
      </c>
      <c r="H2479" s="76">
        <v>1.23E-2</v>
      </c>
      <c r="I2479" s="76">
        <v>1.47E-2</v>
      </c>
      <c r="J2479" s="76">
        <v>1.7000000000000001E-2</v>
      </c>
      <c r="K2479" s="76">
        <v>1.9599999999999999E-2</v>
      </c>
      <c r="L2479" s="76">
        <v>2.1899999999999999E-2</v>
      </c>
      <c r="M2479" s="76">
        <v>2.4199999999999999E-2</v>
      </c>
    </row>
    <row r="2480" spans="3:56" x14ac:dyDescent="0.15">
      <c r="C2480" s="76">
        <v>532</v>
      </c>
      <c r="D2480" s="76">
        <v>2.2000000000000001E-3</v>
      </c>
      <c r="E2480" s="76">
        <v>4.4999999999999997E-3</v>
      </c>
      <c r="F2480" s="76">
        <v>6.7499999999999999E-3</v>
      </c>
      <c r="G2480" s="76">
        <v>9.0100000000000006E-3</v>
      </c>
      <c r="H2480" s="76">
        <v>1.1299999999999999E-2</v>
      </c>
      <c r="I2480" s="76">
        <v>1.35E-2</v>
      </c>
      <c r="J2480" s="76">
        <v>1.5599999999999999E-2</v>
      </c>
      <c r="K2480" s="76">
        <v>1.7899999999999999E-2</v>
      </c>
      <c r="L2480" s="76">
        <v>0.02</v>
      </c>
      <c r="M2480" s="76">
        <v>2.23E-2</v>
      </c>
    </row>
    <row r="2481" spans="3:13" x14ac:dyDescent="0.15">
      <c r="C2481" s="76">
        <v>534</v>
      </c>
      <c r="D2481" s="76">
        <v>2.0200000000000001E-3</v>
      </c>
      <c r="E2481" s="76">
        <v>4.0899999999999999E-3</v>
      </c>
      <c r="F2481" s="76">
        <v>6.1399999999999996E-3</v>
      </c>
      <c r="G2481" s="76">
        <v>8.2299999999999995E-3</v>
      </c>
      <c r="H2481" s="76">
        <v>1.03E-2</v>
      </c>
      <c r="I2481" s="76">
        <v>1.23E-2</v>
      </c>
      <c r="J2481" s="76">
        <v>1.43E-2</v>
      </c>
      <c r="K2481" s="76">
        <v>1.6400000000000001E-2</v>
      </c>
      <c r="L2481" s="76">
        <v>1.8200000000000001E-2</v>
      </c>
      <c r="M2481" s="76">
        <v>2.0299999999999999E-2</v>
      </c>
    </row>
    <row r="2482" spans="3:13" x14ac:dyDescent="0.15">
      <c r="C2482" s="76">
        <v>536</v>
      </c>
      <c r="D2482" s="76">
        <v>1.82E-3</v>
      </c>
      <c r="E2482" s="76">
        <v>3.6900000000000001E-3</v>
      </c>
      <c r="F2482" s="76">
        <v>5.5199999999999997E-3</v>
      </c>
      <c r="G2482" s="76">
        <v>7.3499999999999998E-3</v>
      </c>
      <c r="H2482" s="76">
        <v>9.2300000000000004E-3</v>
      </c>
      <c r="I2482" s="76">
        <v>1.0999999999999999E-2</v>
      </c>
      <c r="J2482" s="76">
        <v>1.2800000000000001E-2</v>
      </c>
      <c r="K2482" s="76">
        <v>1.47E-2</v>
      </c>
      <c r="L2482" s="76">
        <v>1.6500000000000001E-2</v>
      </c>
      <c r="M2482" s="76">
        <v>1.83E-2</v>
      </c>
    </row>
    <row r="2483" spans="3:13" x14ac:dyDescent="0.15">
      <c r="C2483" s="76">
        <v>538</v>
      </c>
      <c r="D2483" s="76">
        <v>1.66E-3</v>
      </c>
      <c r="E2483" s="76">
        <v>3.3600000000000001E-3</v>
      </c>
      <c r="F2483" s="76">
        <v>5.0400000000000002E-3</v>
      </c>
      <c r="G2483" s="76">
        <v>6.7099999999999998E-3</v>
      </c>
      <c r="H2483" s="76">
        <v>8.3999999999999995E-3</v>
      </c>
      <c r="I2483" s="76">
        <v>0.01</v>
      </c>
      <c r="J2483" s="76">
        <v>1.17E-2</v>
      </c>
      <c r="K2483" s="76">
        <v>1.34E-2</v>
      </c>
      <c r="L2483" s="76">
        <v>1.4999999999999999E-2</v>
      </c>
      <c r="M2483" s="76">
        <v>1.67E-2</v>
      </c>
    </row>
    <row r="2484" spans="3:13" x14ac:dyDescent="0.15">
      <c r="C2484" s="76">
        <v>540</v>
      </c>
      <c r="D2484" s="76">
        <v>1.5100000000000001E-3</v>
      </c>
      <c r="E2484" s="76">
        <v>3.0599999999999998E-3</v>
      </c>
      <c r="F2484" s="76">
        <v>4.5599999999999998E-3</v>
      </c>
      <c r="G2484" s="76">
        <v>6.11E-3</v>
      </c>
      <c r="H2484" s="76">
        <v>7.6499999999999997E-3</v>
      </c>
      <c r="I2484" s="76">
        <v>9.1299999999999992E-3</v>
      </c>
      <c r="J2484" s="76">
        <v>1.06E-2</v>
      </c>
      <c r="K2484" s="76">
        <v>1.2200000000000001E-2</v>
      </c>
      <c r="L2484" s="76">
        <v>1.3599999999999999E-2</v>
      </c>
      <c r="M2484" s="76">
        <v>1.5100000000000001E-2</v>
      </c>
    </row>
    <row r="2485" spans="3:13" x14ac:dyDescent="0.15">
      <c r="C2485" s="76">
        <v>542</v>
      </c>
      <c r="D2485" s="76">
        <v>1.3799999999999999E-3</v>
      </c>
      <c r="E2485" s="76">
        <v>2.7899999999999999E-3</v>
      </c>
      <c r="F2485" s="76">
        <v>4.15E-3</v>
      </c>
      <c r="G2485" s="76">
        <v>5.5700000000000003E-3</v>
      </c>
      <c r="H2485" s="76">
        <v>6.9499999999999996E-3</v>
      </c>
      <c r="I2485" s="76">
        <v>8.3000000000000001E-3</v>
      </c>
      <c r="J2485" s="76">
        <v>9.6500000000000006E-3</v>
      </c>
      <c r="K2485" s="76">
        <v>1.11E-2</v>
      </c>
      <c r="L2485" s="76">
        <v>1.24E-2</v>
      </c>
      <c r="M2485" s="76">
        <v>1.38E-2</v>
      </c>
    </row>
    <row r="2486" spans="3:13" x14ac:dyDescent="0.15">
      <c r="C2486" s="76">
        <v>544</v>
      </c>
      <c r="D2486" s="76">
        <v>1.25E-3</v>
      </c>
      <c r="E2486" s="76">
        <v>2.5300000000000001E-3</v>
      </c>
      <c r="F2486" s="76">
        <v>3.79E-3</v>
      </c>
      <c r="G2486" s="76">
        <v>5.0400000000000002E-3</v>
      </c>
      <c r="H2486" s="76">
        <v>6.3200000000000001E-3</v>
      </c>
      <c r="I2486" s="76">
        <v>7.5399999999999998E-3</v>
      </c>
      <c r="J2486" s="76">
        <v>8.7399999999999995E-3</v>
      </c>
      <c r="K2486" s="76">
        <v>1.0200000000000001E-2</v>
      </c>
      <c r="L2486" s="76">
        <v>1.12E-2</v>
      </c>
      <c r="M2486" s="76">
        <v>1.26E-2</v>
      </c>
    </row>
    <row r="2487" spans="3:13" x14ac:dyDescent="0.15">
      <c r="C2487" s="76">
        <v>546</v>
      </c>
      <c r="D2487" s="76">
        <v>1.14E-3</v>
      </c>
      <c r="E2487" s="76">
        <v>2.3E-3</v>
      </c>
      <c r="F2487" s="76">
        <v>3.4199999999999999E-3</v>
      </c>
      <c r="G2487" s="76">
        <v>4.5599999999999998E-3</v>
      </c>
      <c r="H2487" s="76">
        <v>5.6699999999999997E-3</v>
      </c>
      <c r="I2487" s="76">
        <v>6.8300000000000001E-3</v>
      </c>
      <c r="J2487" s="76">
        <v>7.8899999999999994E-3</v>
      </c>
      <c r="K2487" s="76">
        <v>9.1699999999999993E-3</v>
      </c>
      <c r="L2487" s="76">
        <v>1.0200000000000001E-2</v>
      </c>
      <c r="M2487" s="76">
        <v>1.14E-2</v>
      </c>
    </row>
    <row r="2488" spans="3:13" x14ac:dyDescent="0.15">
      <c r="C2488" s="76">
        <v>548</v>
      </c>
      <c r="D2488" s="76">
        <v>1.0300000000000001E-3</v>
      </c>
      <c r="E2488" s="76">
        <v>2.0799999999999998E-3</v>
      </c>
      <c r="F2488" s="76">
        <v>3.1099999999999999E-3</v>
      </c>
      <c r="G2488" s="76">
        <v>4.13E-3</v>
      </c>
      <c r="H2488" s="76">
        <v>5.1500000000000001E-3</v>
      </c>
      <c r="I2488" s="76">
        <v>6.1900000000000002E-3</v>
      </c>
      <c r="J2488" s="76">
        <v>7.1500000000000001E-3</v>
      </c>
      <c r="K2488" s="76">
        <v>8.2400000000000008E-3</v>
      </c>
      <c r="L2488" s="76">
        <v>9.2099999999999994E-3</v>
      </c>
      <c r="M2488" s="76">
        <v>1.03E-2</v>
      </c>
    </row>
    <row r="2489" spans="3:13" x14ac:dyDescent="0.15">
      <c r="C2489" s="76">
        <v>550</v>
      </c>
      <c r="D2489" s="76">
        <v>9.4200000000000002E-4</v>
      </c>
      <c r="E2489" s="76">
        <v>1.8799999999999999E-3</v>
      </c>
      <c r="F2489" s="76">
        <v>2.82E-3</v>
      </c>
      <c r="G2489" s="76">
        <v>3.7599999999999999E-3</v>
      </c>
      <c r="H2489" s="76">
        <v>4.7000000000000002E-3</v>
      </c>
      <c r="I2489" s="76">
        <v>5.6100000000000004E-3</v>
      </c>
      <c r="J2489" s="76">
        <v>6.5199999999999998E-3</v>
      </c>
      <c r="K2489" s="76">
        <v>7.5300000000000002E-3</v>
      </c>
      <c r="L2489" s="76">
        <v>8.4200000000000004E-3</v>
      </c>
      <c r="M2489" s="76">
        <v>9.3900000000000008E-3</v>
      </c>
    </row>
    <row r="2490" spans="3:13" x14ac:dyDescent="0.15">
      <c r="C2490" s="76">
        <v>552</v>
      </c>
      <c r="D2490" s="76">
        <v>8.6300000000000005E-4</v>
      </c>
      <c r="E2490" s="76">
        <v>1.72E-3</v>
      </c>
      <c r="F2490" s="76">
        <v>2.5899999999999999E-3</v>
      </c>
      <c r="G2490" s="76">
        <v>3.4199999999999999E-3</v>
      </c>
      <c r="H2490" s="76">
        <v>4.2399999999999998E-3</v>
      </c>
      <c r="I2490" s="76">
        <v>5.1200000000000004E-3</v>
      </c>
      <c r="J2490" s="76">
        <v>5.94E-3</v>
      </c>
      <c r="K2490" s="76">
        <v>6.8599999999999998E-3</v>
      </c>
      <c r="L2490" s="76">
        <v>7.6600000000000001E-3</v>
      </c>
      <c r="M2490" s="76">
        <v>8.5900000000000004E-3</v>
      </c>
    </row>
    <row r="2491" spans="3:13" x14ac:dyDescent="0.15">
      <c r="C2491" s="76">
        <v>554</v>
      </c>
      <c r="D2491" s="76">
        <v>7.8299999999999995E-4</v>
      </c>
      <c r="E2491" s="76">
        <v>1.58E-3</v>
      </c>
      <c r="F2491" s="76">
        <v>2.3600000000000001E-3</v>
      </c>
      <c r="G2491" s="76">
        <v>3.13E-3</v>
      </c>
      <c r="H2491" s="76">
        <v>3.9199999999999999E-3</v>
      </c>
      <c r="I2491" s="76">
        <v>4.7000000000000002E-3</v>
      </c>
      <c r="J2491" s="76">
        <v>5.4900000000000001E-3</v>
      </c>
      <c r="K2491" s="76">
        <v>6.28E-3</v>
      </c>
      <c r="L2491" s="76">
        <v>7.0000000000000001E-3</v>
      </c>
      <c r="M2491" s="76">
        <v>7.8300000000000002E-3</v>
      </c>
    </row>
    <row r="2492" spans="3:13" x14ac:dyDescent="0.15">
      <c r="C2492" s="76">
        <v>556</v>
      </c>
      <c r="D2492" s="76">
        <v>7.2199999999999999E-4</v>
      </c>
      <c r="E2492" s="76">
        <v>1.4400000000000001E-3</v>
      </c>
      <c r="F2492" s="76">
        <v>2.1700000000000001E-3</v>
      </c>
      <c r="G2492" s="76">
        <v>2.8500000000000001E-3</v>
      </c>
      <c r="H2492" s="76">
        <v>3.5599999999999998E-3</v>
      </c>
      <c r="I2492" s="76">
        <v>4.28E-3</v>
      </c>
      <c r="J2492" s="76">
        <v>4.9899999999999996E-3</v>
      </c>
      <c r="K2492" s="76">
        <v>5.7299999999999999E-3</v>
      </c>
      <c r="L2492" s="76">
        <v>6.4400000000000004E-3</v>
      </c>
      <c r="M2492" s="76">
        <v>7.0899999999999999E-3</v>
      </c>
    </row>
    <row r="2493" spans="3:13" x14ac:dyDescent="0.15">
      <c r="C2493" s="76">
        <v>558</v>
      </c>
      <c r="D2493" s="76">
        <v>6.5600000000000001E-4</v>
      </c>
      <c r="E2493" s="76">
        <v>1.2999999999999999E-3</v>
      </c>
      <c r="F2493" s="76">
        <v>1.97E-3</v>
      </c>
      <c r="G2493" s="76">
        <v>2.6099999999999999E-3</v>
      </c>
      <c r="H2493" s="76">
        <v>3.2399999999999998E-3</v>
      </c>
      <c r="I2493" s="76">
        <v>3.8500000000000001E-3</v>
      </c>
      <c r="J2493" s="76">
        <v>4.5100000000000001E-3</v>
      </c>
      <c r="K2493" s="76">
        <v>5.13E-3</v>
      </c>
      <c r="L2493" s="76">
        <v>5.8399999999999997E-3</v>
      </c>
      <c r="M2493" s="76">
        <v>6.45E-3</v>
      </c>
    </row>
    <row r="2494" spans="3:13" x14ac:dyDescent="0.15">
      <c r="C2494" s="76">
        <v>560</v>
      </c>
      <c r="D2494" s="76">
        <v>5.9699999999999998E-4</v>
      </c>
      <c r="E2494" s="76">
        <v>1.1800000000000001E-3</v>
      </c>
      <c r="F2494" s="76">
        <v>1.81E-3</v>
      </c>
      <c r="G2494" s="76">
        <v>2.33E-3</v>
      </c>
      <c r="H2494" s="76">
        <v>2.96E-3</v>
      </c>
      <c r="I2494" s="76">
        <v>3.5599999999999998E-3</v>
      </c>
      <c r="J2494" s="76">
        <v>4.1900000000000001E-3</v>
      </c>
      <c r="K2494" s="76">
        <v>4.7000000000000002E-3</v>
      </c>
      <c r="L2494" s="76">
        <v>5.3499999999999997E-3</v>
      </c>
      <c r="M2494" s="76">
        <v>5.9300000000000004E-3</v>
      </c>
    </row>
    <row r="2495" spans="3:13" x14ac:dyDescent="0.15">
      <c r="C2495" s="76">
        <v>562</v>
      </c>
      <c r="D2495" s="76">
        <v>5.4799999999999998E-4</v>
      </c>
      <c r="E2495" s="76">
        <v>1.1000000000000001E-3</v>
      </c>
      <c r="F2495" s="76">
        <v>1.67E-3</v>
      </c>
      <c r="G2495" s="76">
        <v>2.1900000000000001E-3</v>
      </c>
      <c r="H2495" s="76">
        <v>2.7100000000000002E-3</v>
      </c>
      <c r="I2495" s="76">
        <v>3.29E-3</v>
      </c>
      <c r="J2495" s="76">
        <v>3.79E-3</v>
      </c>
      <c r="K2495" s="76">
        <v>4.3E-3</v>
      </c>
      <c r="L2495" s="76">
        <v>4.8999999999999998E-3</v>
      </c>
      <c r="M2495" s="76">
        <v>5.4400000000000004E-3</v>
      </c>
    </row>
    <row r="2496" spans="3:13" x14ac:dyDescent="0.15">
      <c r="C2496" s="76">
        <v>564</v>
      </c>
      <c r="D2496" s="76">
        <v>5.0600000000000005E-4</v>
      </c>
      <c r="E2496" s="76">
        <v>1E-3</v>
      </c>
      <c r="F2496" s="76">
        <v>1.5100000000000001E-3</v>
      </c>
      <c r="G2496" s="76">
        <v>1.99E-3</v>
      </c>
      <c r="H2496" s="76">
        <v>2.48E-3</v>
      </c>
      <c r="I2496" s="76">
        <v>3.0400000000000002E-3</v>
      </c>
      <c r="J2496" s="76">
        <v>3.5000000000000001E-3</v>
      </c>
      <c r="K2496" s="76">
        <v>3.9899999999999996E-3</v>
      </c>
      <c r="L2496" s="76">
        <v>4.5399999999999998E-3</v>
      </c>
      <c r="M2496" s="76">
        <v>4.9899999999999996E-3</v>
      </c>
    </row>
    <row r="2497" spans="3:13" x14ac:dyDescent="0.15">
      <c r="C2497" s="76">
        <v>566</v>
      </c>
      <c r="D2497" s="76">
        <v>4.6299999999999998E-4</v>
      </c>
      <c r="E2497" s="76">
        <v>9.0799999999999995E-4</v>
      </c>
      <c r="F2497" s="76">
        <v>1.42E-3</v>
      </c>
      <c r="G2497" s="76">
        <v>1.8600000000000001E-3</v>
      </c>
      <c r="H2497" s="76">
        <v>2.2799999999999999E-3</v>
      </c>
      <c r="I2497" s="76">
        <v>2.81E-3</v>
      </c>
      <c r="J2497" s="76">
        <v>3.2499999999999999E-3</v>
      </c>
      <c r="K2497" s="76">
        <v>3.7000000000000002E-3</v>
      </c>
      <c r="L2497" s="76">
        <v>4.1900000000000001E-3</v>
      </c>
      <c r="M2497" s="76">
        <v>4.6100000000000004E-3</v>
      </c>
    </row>
    <row r="2498" spans="3:13" x14ac:dyDescent="0.15">
      <c r="C2498" s="76">
        <v>568</v>
      </c>
      <c r="D2498" s="76">
        <v>4.2700000000000002E-4</v>
      </c>
      <c r="E2498" s="76">
        <v>8.5499999999999997E-4</v>
      </c>
      <c r="F2498" s="76">
        <v>1.32E-3</v>
      </c>
      <c r="G2498" s="76">
        <v>1.7099999999999999E-3</v>
      </c>
      <c r="H2498" s="76">
        <v>2.0300000000000001E-3</v>
      </c>
      <c r="I2498" s="76">
        <v>2.5799999999999998E-3</v>
      </c>
      <c r="J2498" s="76">
        <v>2.9099999999999998E-3</v>
      </c>
      <c r="K2498" s="76">
        <v>3.3500000000000001E-3</v>
      </c>
      <c r="L2498" s="76">
        <v>3.8400000000000001E-3</v>
      </c>
      <c r="M2498" s="76">
        <v>4.2399999999999998E-3</v>
      </c>
    </row>
    <row r="2499" spans="3:13" x14ac:dyDescent="0.15">
      <c r="C2499" s="76">
        <v>570</v>
      </c>
      <c r="D2499" s="76">
        <v>3.8499999999999998E-4</v>
      </c>
      <c r="E2499" s="76">
        <v>7.8600000000000002E-4</v>
      </c>
      <c r="F2499" s="76">
        <v>1.2099999999999999E-3</v>
      </c>
      <c r="G2499" s="76">
        <v>1.5900000000000001E-3</v>
      </c>
      <c r="H2499" s="76">
        <v>1.97E-3</v>
      </c>
      <c r="I2499" s="76">
        <v>2.3800000000000002E-3</v>
      </c>
      <c r="J2499" s="76">
        <v>2.8700000000000002E-3</v>
      </c>
      <c r="K2499" s="76">
        <v>3.0500000000000002E-3</v>
      </c>
      <c r="L2499" s="76">
        <v>3.5500000000000002E-3</v>
      </c>
      <c r="M2499" s="76">
        <v>3.8999999999999998E-3</v>
      </c>
    </row>
    <row r="2500" spans="3:13" x14ac:dyDescent="0.15">
      <c r="C2500" s="76">
        <v>572</v>
      </c>
      <c r="D2500" s="76">
        <v>3.5599999999999998E-4</v>
      </c>
      <c r="E2500" s="76">
        <v>7.3399999999999995E-4</v>
      </c>
      <c r="F2500" s="76">
        <v>1.1299999999999999E-3</v>
      </c>
      <c r="G2500" s="76">
        <v>1.4599999999999999E-3</v>
      </c>
      <c r="H2500" s="76">
        <v>1.83E-3</v>
      </c>
      <c r="I2500" s="76">
        <v>2.2300000000000002E-3</v>
      </c>
      <c r="J2500" s="76">
        <v>2.5899999999999999E-3</v>
      </c>
      <c r="K2500" s="76">
        <v>2.8300000000000001E-3</v>
      </c>
      <c r="L2500" s="76">
        <v>3.32E-3</v>
      </c>
      <c r="M2500" s="76">
        <v>3.6700000000000001E-3</v>
      </c>
    </row>
    <row r="2501" spans="3:13" x14ac:dyDescent="0.15">
      <c r="C2501" s="76">
        <v>574</v>
      </c>
      <c r="D2501" s="76">
        <v>3.3399999999999999E-4</v>
      </c>
      <c r="E2501" s="76">
        <v>6.8400000000000004E-4</v>
      </c>
      <c r="F2501" s="76">
        <v>1.06E-3</v>
      </c>
      <c r="G2501" s="76">
        <v>1.3600000000000001E-3</v>
      </c>
      <c r="H2501" s="76">
        <v>1.6900000000000001E-3</v>
      </c>
      <c r="I2501" s="76">
        <v>2.14E-3</v>
      </c>
      <c r="J2501" s="76">
        <v>2.3999999999999998E-3</v>
      </c>
      <c r="K2501" s="76">
        <v>2.6099999999999999E-3</v>
      </c>
      <c r="L2501" s="76">
        <v>3.0699999999999998E-3</v>
      </c>
      <c r="M2501" s="76">
        <v>3.3899999999999998E-3</v>
      </c>
    </row>
    <row r="2502" spans="3:13" x14ac:dyDescent="0.15">
      <c r="C2502" s="76">
        <v>576</v>
      </c>
      <c r="D2502" s="76">
        <v>2.9700000000000001E-4</v>
      </c>
      <c r="E2502" s="76">
        <v>6.3299999999999999E-4</v>
      </c>
      <c r="F2502" s="76">
        <v>9.8700000000000003E-4</v>
      </c>
      <c r="G2502" s="76">
        <v>1.2700000000000001E-3</v>
      </c>
      <c r="H2502" s="76">
        <v>1.56E-3</v>
      </c>
      <c r="I2502" s="76">
        <v>1.9400000000000001E-3</v>
      </c>
      <c r="J2502" s="76">
        <v>2.2599999999999999E-3</v>
      </c>
      <c r="K2502" s="76">
        <v>2.4399999999999999E-3</v>
      </c>
      <c r="L2502" s="76">
        <v>2.81E-3</v>
      </c>
      <c r="M2502" s="76">
        <v>3.13E-3</v>
      </c>
    </row>
    <row r="2503" spans="3:13" x14ac:dyDescent="0.15">
      <c r="C2503" s="76">
        <v>578</v>
      </c>
      <c r="D2503" s="76">
        <v>2.8600000000000001E-4</v>
      </c>
      <c r="E2503" s="76">
        <v>5.7300000000000005E-4</v>
      </c>
      <c r="F2503" s="76">
        <v>8.9499999999999996E-4</v>
      </c>
      <c r="G2503" s="76">
        <v>1.16E-3</v>
      </c>
      <c r="H2503" s="76">
        <v>1.4499999999999999E-3</v>
      </c>
      <c r="I2503" s="76">
        <v>1.7899999999999999E-3</v>
      </c>
      <c r="J2503" s="76">
        <v>2.0699999999999998E-3</v>
      </c>
      <c r="K2503" s="76">
        <v>2.2300000000000002E-3</v>
      </c>
      <c r="L2503" s="76">
        <v>2.65E-3</v>
      </c>
      <c r="M2503" s="76">
        <v>2.8800000000000002E-3</v>
      </c>
    </row>
    <row r="2504" spans="3:13" x14ac:dyDescent="0.15">
      <c r="C2504" s="76">
        <v>580</v>
      </c>
      <c r="D2504" s="76">
        <v>2.6200000000000003E-4</v>
      </c>
      <c r="E2504" s="76">
        <v>5.2999999999999998E-4</v>
      </c>
      <c r="F2504" s="76">
        <v>8.3000000000000001E-4</v>
      </c>
      <c r="G2504" s="76">
        <v>1.09E-3</v>
      </c>
      <c r="H2504" s="76">
        <v>1.32E-3</v>
      </c>
      <c r="I2504" s="76">
        <v>1.6299999999999999E-3</v>
      </c>
      <c r="J2504" s="76">
        <v>1.92E-3</v>
      </c>
      <c r="K2504" s="76">
        <v>2.0799999999999998E-3</v>
      </c>
      <c r="L2504" s="76">
        <v>2.3700000000000001E-3</v>
      </c>
      <c r="M2504" s="76">
        <v>2.65E-3</v>
      </c>
    </row>
    <row r="2505" spans="3:13" x14ac:dyDescent="0.15">
      <c r="C2505" s="76">
        <v>582</v>
      </c>
      <c r="D2505" s="76">
        <v>2.4399999999999999E-4</v>
      </c>
      <c r="E2505" s="76">
        <v>4.7800000000000002E-4</v>
      </c>
      <c r="F2505" s="76">
        <v>7.5299999999999998E-4</v>
      </c>
      <c r="G2505" s="76">
        <v>1.01E-3</v>
      </c>
      <c r="H2505" s="76">
        <v>1.23E-3</v>
      </c>
      <c r="I2505" s="76">
        <v>1.5100000000000001E-3</v>
      </c>
      <c r="J2505" s="76">
        <v>1.7899999999999999E-3</v>
      </c>
      <c r="K2505" s="76">
        <v>1.8799999999999999E-3</v>
      </c>
      <c r="L2505" s="76">
        <v>2.2300000000000002E-3</v>
      </c>
      <c r="M2505" s="76">
        <v>2.4299999999999999E-3</v>
      </c>
    </row>
    <row r="2506" spans="3:13" x14ac:dyDescent="0.15">
      <c r="C2506" s="76">
        <v>584</v>
      </c>
      <c r="D2506" s="76">
        <v>2.2499999999999999E-4</v>
      </c>
      <c r="E2506" s="76">
        <v>4.4999999999999999E-4</v>
      </c>
      <c r="F2506" s="76">
        <v>7.1699999999999997E-4</v>
      </c>
      <c r="G2506" s="76">
        <v>9.2900000000000003E-4</v>
      </c>
      <c r="H2506" s="76">
        <v>1.15E-3</v>
      </c>
      <c r="I2506" s="76">
        <v>1.4499999999999999E-3</v>
      </c>
      <c r="J2506" s="76">
        <v>1.65E-3</v>
      </c>
      <c r="K2506" s="76">
        <v>1.75E-3</v>
      </c>
      <c r="L2506" s="76">
        <v>2.0999999999999999E-3</v>
      </c>
      <c r="M2506" s="76">
        <v>2.2499999999999998E-3</v>
      </c>
    </row>
    <row r="2507" spans="3:13" x14ac:dyDescent="0.15">
      <c r="C2507" s="76">
        <v>586</v>
      </c>
      <c r="D2507" s="76">
        <v>2.02E-4</v>
      </c>
      <c r="E2507" s="76">
        <v>4.3399999999999998E-4</v>
      </c>
      <c r="F2507" s="76">
        <v>6.38E-4</v>
      </c>
      <c r="G2507" s="76">
        <v>8.5800000000000004E-4</v>
      </c>
      <c r="H2507" s="76">
        <v>1.0399999999999999E-3</v>
      </c>
      <c r="I2507" s="76">
        <v>1.31E-3</v>
      </c>
      <c r="J2507" s="76">
        <v>1.5E-3</v>
      </c>
      <c r="K2507" s="76">
        <v>1.6000000000000001E-3</v>
      </c>
      <c r="L2507" s="76">
        <v>1.92E-3</v>
      </c>
      <c r="M2507" s="76">
        <v>2.0799999999999998E-3</v>
      </c>
    </row>
    <row r="2508" spans="3:13" x14ac:dyDescent="0.15">
      <c r="C2508" s="76">
        <v>588</v>
      </c>
      <c r="D2508" s="76">
        <v>1.8900000000000001E-4</v>
      </c>
      <c r="E2508" s="76">
        <v>3.9899999999999999E-4</v>
      </c>
      <c r="F2508" s="76">
        <v>5.6300000000000002E-4</v>
      </c>
      <c r="G2508" s="76">
        <v>7.6800000000000002E-4</v>
      </c>
      <c r="H2508" s="76">
        <v>9.4200000000000002E-4</v>
      </c>
      <c r="I2508" s="76">
        <v>1.17E-3</v>
      </c>
      <c r="J2508" s="76">
        <v>1.32E-3</v>
      </c>
      <c r="K2508" s="76">
        <v>1.4300000000000001E-3</v>
      </c>
      <c r="L2508" s="76">
        <v>1.67E-3</v>
      </c>
      <c r="M2508" s="76">
        <v>1.9400000000000001E-3</v>
      </c>
    </row>
    <row r="2509" spans="3:13" x14ac:dyDescent="0.15">
      <c r="C2509" s="76">
        <v>590</v>
      </c>
      <c r="D2509" s="76">
        <v>1.6799999999999999E-4</v>
      </c>
      <c r="E2509" s="76">
        <v>3.4699999999999998E-4</v>
      </c>
      <c r="F2509" s="76">
        <v>5.0199999999999995E-4</v>
      </c>
      <c r="G2509" s="76">
        <v>7.45E-4</v>
      </c>
      <c r="H2509" s="76">
        <v>8.6899999999999998E-4</v>
      </c>
      <c r="I2509" s="76">
        <v>1.09E-3</v>
      </c>
      <c r="J2509" s="76">
        <v>1.23E-3</v>
      </c>
      <c r="K2509" s="76">
        <v>1.34E-3</v>
      </c>
      <c r="L2509" s="76">
        <v>1.5100000000000001E-3</v>
      </c>
      <c r="M2509" s="76">
        <v>1.6900000000000001E-3</v>
      </c>
    </row>
    <row r="2510" spans="3:13" x14ac:dyDescent="0.15">
      <c r="C2510" s="76">
        <v>592</v>
      </c>
      <c r="D2510" s="76">
        <v>1.5699999999999999E-4</v>
      </c>
      <c r="E2510" s="76">
        <v>3.2699999999999998E-4</v>
      </c>
      <c r="F2510" s="76">
        <v>4.6299999999999998E-4</v>
      </c>
      <c r="G2510" s="76">
        <v>6.7000000000000002E-4</v>
      </c>
      <c r="H2510" s="76">
        <v>7.9900000000000001E-4</v>
      </c>
      <c r="I2510" s="76">
        <v>1.01E-3</v>
      </c>
      <c r="J2510" s="76">
        <v>1.09E-3</v>
      </c>
      <c r="K2510" s="76">
        <v>1.2099999999999999E-3</v>
      </c>
      <c r="L2510" s="76">
        <v>1.42E-3</v>
      </c>
      <c r="M2510" s="76">
        <v>1.57E-3</v>
      </c>
    </row>
    <row r="2511" spans="3:13" x14ac:dyDescent="0.15">
      <c r="C2511" s="76">
        <v>594</v>
      </c>
      <c r="D2511" s="76">
        <v>1.3899999999999999E-4</v>
      </c>
      <c r="E2511" s="76">
        <v>3.0699999999999998E-4</v>
      </c>
      <c r="F2511" s="76">
        <v>4.37E-4</v>
      </c>
      <c r="G2511" s="76">
        <v>6.0300000000000002E-4</v>
      </c>
      <c r="H2511" s="76">
        <v>7.6300000000000001E-4</v>
      </c>
      <c r="I2511" s="76">
        <v>8.7500000000000002E-4</v>
      </c>
      <c r="J2511" s="76">
        <v>9.0700000000000004E-4</v>
      </c>
      <c r="K2511" s="76">
        <v>1.1000000000000001E-3</v>
      </c>
      <c r="L2511" s="76">
        <v>1.2899999999999999E-3</v>
      </c>
      <c r="M2511" s="76">
        <v>1.4400000000000001E-3</v>
      </c>
    </row>
    <row r="2512" spans="3:13" x14ac:dyDescent="0.15">
      <c r="C2512" s="76">
        <v>596</v>
      </c>
      <c r="D2512" s="76">
        <v>1.2999999999999999E-4</v>
      </c>
      <c r="E2512" s="76">
        <v>2.7500000000000002E-4</v>
      </c>
      <c r="F2512" s="76">
        <v>3.8999999999999999E-4</v>
      </c>
      <c r="G2512" s="76">
        <v>5.6999999999999998E-4</v>
      </c>
      <c r="H2512" s="76">
        <v>6.8099999999999996E-4</v>
      </c>
      <c r="I2512" s="76">
        <v>7.7800000000000005E-4</v>
      </c>
      <c r="J2512" s="76">
        <v>9.2400000000000002E-4</v>
      </c>
      <c r="K2512" s="76">
        <v>9.7900000000000005E-4</v>
      </c>
      <c r="L2512" s="76">
        <v>1.14E-3</v>
      </c>
      <c r="M2512" s="76">
        <v>1.3500000000000001E-3</v>
      </c>
    </row>
    <row r="2513" spans="3:13" x14ac:dyDescent="0.15">
      <c r="C2513" s="76">
        <v>598</v>
      </c>
      <c r="D2513" s="76">
        <v>1.21E-4</v>
      </c>
      <c r="E2513" s="76">
        <v>2.6400000000000002E-4</v>
      </c>
      <c r="F2513" s="76">
        <v>3.6499999999999998E-4</v>
      </c>
      <c r="G2513" s="76">
        <v>5.4500000000000002E-4</v>
      </c>
      <c r="H2513" s="76">
        <v>6.0099999999999997E-4</v>
      </c>
      <c r="I2513" s="76">
        <v>7.5199999999999996E-4</v>
      </c>
      <c r="J2513" s="76">
        <v>7.8399999999999997E-4</v>
      </c>
      <c r="K2513" s="76">
        <v>9.0899999999999998E-4</v>
      </c>
      <c r="L2513" s="76">
        <v>1E-3</v>
      </c>
      <c r="M2513" s="76">
        <v>1.23E-3</v>
      </c>
    </row>
    <row r="2514" spans="3:13" x14ac:dyDescent="0.15">
      <c r="C2514" s="76">
        <v>600</v>
      </c>
      <c r="D2514" s="76">
        <v>1.1400000000000001E-4</v>
      </c>
      <c r="E2514" s="76">
        <v>2.3800000000000001E-4</v>
      </c>
      <c r="F2514" s="76">
        <v>3.2899999999999997E-4</v>
      </c>
      <c r="G2514" s="76">
        <v>4.6999999999999999E-4</v>
      </c>
      <c r="H2514" s="76">
        <v>5.6099999999999998E-4</v>
      </c>
      <c r="I2514" s="76">
        <v>6.38E-4</v>
      </c>
      <c r="J2514" s="76">
        <v>6.6200000000000005E-4</v>
      </c>
      <c r="K2514" s="76">
        <v>8.4199999999999998E-4</v>
      </c>
      <c r="L2514" s="76">
        <v>9.19E-4</v>
      </c>
      <c r="M2514" s="76">
        <v>1.0499999999999999E-3</v>
      </c>
    </row>
    <row r="2515" spans="3:13" x14ac:dyDescent="0.15">
      <c r="C2515" s="76">
        <v>602</v>
      </c>
      <c r="D2515" s="76">
        <v>1.1E-4</v>
      </c>
      <c r="E2515" s="76">
        <v>2.22E-4</v>
      </c>
      <c r="F2515" s="76">
        <v>2.9300000000000002E-4</v>
      </c>
      <c r="G2515" s="76">
        <v>4.4999999999999999E-4</v>
      </c>
      <c r="H2515" s="76">
        <v>5.04E-4</v>
      </c>
      <c r="I2515" s="76">
        <v>6.2699999999999995E-4</v>
      </c>
      <c r="J2515" s="76">
        <v>5.9800000000000001E-4</v>
      </c>
      <c r="K2515" s="76">
        <v>8.0199999999999998E-4</v>
      </c>
      <c r="L2515" s="76">
        <v>9.0799999999999995E-4</v>
      </c>
      <c r="M2515" s="76">
        <v>1.0200000000000001E-3</v>
      </c>
    </row>
    <row r="2516" spans="3:13" x14ac:dyDescent="0.15">
      <c r="C2516" s="76">
        <v>604</v>
      </c>
      <c r="D2516" s="76">
        <v>1.02E-4</v>
      </c>
      <c r="E2516" s="76">
        <v>2.0000000000000001E-4</v>
      </c>
      <c r="F2516" s="76">
        <v>2.72E-4</v>
      </c>
      <c r="G2516" s="76">
        <v>3.86E-4</v>
      </c>
      <c r="H2516" s="76">
        <v>4.7399999999999997E-4</v>
      </c>
      <c r="I2516" s="76">
        <v>5.7499999999999999E-4</v>
      </c>
      <c r="J2516" s="76">
        <v>5.4000000000000001E-4</v>
      </c>
      <c r="K2516" s="76">
        <v>7.7200000000000001E-4</v>
      </c>
      <c r="L2516" s="76">
        <v>8.1499999999999997E-4</v>
      </c>
      <c r="M2516" s="76">
        <v>9.5299999999999996E-4</v>
      </c>
    </row>
    <row r="2517" spans="3:13" x14ac:dyDescent="0.15">
      <c r="C2517" s="76">
        <v>606</v>
      </c>
      <c r="D2517" s="76">
        <v>8.9900000000000003E-5</v>
      </c>
      <c r="E2517" s="76">
        <v>1.8100000000000001E-4</v>
      </c>
      <c r="F2517" s="76">
        <v>2.4800000000000001E-4</v>
      </c>
      <c r="G2517" s="76">
        <v>3.7599999999999998E-4</v>
      </c>
      <c r="H2517" s="76">
        <v>4.3199999999999998E-4</v>
      </c>
      <c r="I2517" s="76">
        <v>5.0199999999999995E-4</v>
      </c>
      <c r="J2517" s="76">
        <v>4.8999999999999998E-4</v>
      </c>
      <c r="K2517" s="76">
        <v>6.8400000000000004E-4</v>
      </c>
      <c r="L2517" s="76">
        <v>7.5199999999999996E-4</v>
      </c>
      <c r="M2517" s="76">
        <v>8.7799999999999998E-4</v>
      </c>
    </row>
    <row r="2518" spans="3:13" x14ac:dyDescent="0.15">
      <c r="C2518" s="76">
        <v>608</v>
      </c>
      <c r="D2518" s="76">
        <v>9.2899999999999995E-5</v>
      </c>
      <c r="E2518" s="76">
        <v>1.65E-4</v>
      </c>
      <c r="F2518" s="76">
        <v>2.1699999999999999E-4</v>
      </c>
      <c r="G2518" s="76">
        <v>3.4699999999999998E-4</v>
      </c>
      <c r="H2518" s="76">
        <v>3.68E-4</v>
      </c>
      <c r="I2518" s="76">
        <v>4.3399999999999998E-4</v>
      </c>
      <c r="J2518" s="76">
        <v>4.3100000000000001E-4</v>
      </c>
      <c r="K2518" s="76">
        <v>6.3599999999999996E-4</v>
      </c>
      <c r="L2518" s="76">
        <v>7.5199999999999996E-4</v>
      </c>
      <c r="M2518" s="76">
        <v>8.4099999999999995E-4</v>
      </c>
    </row>
    <row r="2519" spans="3:13" x14ac:dyDescent="0.15">
      <c r="C2519" s="76">
        <v>610</v>
      </c>
      <c r="D2519" s="76">
        <v>6.6600000000000006E-5</v>
      </c>
      <c r="E2519" s="76">
        <v>1.65E-4</v>
      </c>
      <c r="F2519" s="76">
        <v>2.0900000000000001E-4</v>
      </c>
      <c r="G2519" s="76">
        <v>3.2899999999999997E-4</v>
      </c>
      <c r="H2519" s="76">
        <v>3.2899999999999997E-4</v>
      </c>
      <c r="I2519" s="76">
        <v>4.0000000000000002E-4</v>
      </c>
      <c r="J2519" s="76">
        <v>3.4600000000000001E-4</v>
      </c>
      <c r="K2519" s="76">
        <v>5.4699999999999996E-4</v>
      </c>
      <c r="L2519" s="76">
        <v>5.8799999999999998E-4</v>
      </c>
      <c r="M2519" s="76">
        <v>7.2199999999999999E-4</v>
      </c>
    </row>
    <row r="2520" spans="3:13" x14ac:dyDescent="0.15">
      <c r="C2520" s="76">
        <v>612</v>
      </c>
      <c r="D2520" s="76">
        <v>7.1000000000000005E-5</v>
      </c>
      <c r="E2520" s="76">
        <v>1.5100000000000001E-4</v>
      </c>
      <c r="F2520" s="76">
        <v>1.8599999999999999E-4</v>
      </c>
      <c r="G2520" s="76">
        <v>2.92E-4</v>
      </c>
      <c r="H2520" s="76">
        <v>3.3700000000000001E-4</v>
      </c>
      <c r="I2520" s="76">
        <v>3.8200000000000002E-4</v>
      </c>
      <c r="J2520" s="76">
        <v>3.8999999999999999E-4</v>
      </c>
      <c r="K2520" s="76">
        <v>5.1900000000000004E-4</v>
      </c>
      <c r="L2520" s="76">
        <v>5.8399999999999999E-4</v>
      </c>
      <c r="M2520" s="76">
        <v>7.1000000000000002E-4</v>
      </c>
    </row>
    <row r="2521" spans="3:13" x14ac:dyDescent="0.15">
      <c r="C2521" s="76">
        <v>614</v>
      </c>
      <c r="D2521" s="76">
        <v>6.6799999999999997E-5</v>
      </c>
      <c r="E2521" s="76">
        <v>1.46E-4</v>
      </c>
      <c r="F2521" s="76">
        <v>1.63E-4</v>
      </c>
      <c r="G2521" s="76">
        <v>2.41E-4</v>
      </c>
      <c r="H2521" s="76">
        <v>3.1399999999999999E-4</v>
      </c>
      <c r="I2521" s="76">
        <v>3.4000000000000002E-4</v>
      </c>
      <c r="J2521" s="76">
        <v>3.28E-4</v>
      </c>
      <c r="K2521" s="76">
        <v>4.9700000000000005E-4</v>
      </c>
      <c r="L2521" s="76">
        <v>5.1400000000000003E-4</v>
      </c>
      <c r="M2521" s="76">
        <v>6.7699999999999998E-4</v>
      </c>
    </row>
    <row r="2522" spans="3:13" x14ac:dyDescent="0.15">
      <c r="C2522" s="76">
        <v>616</v>
      </c>
      <c r="D2522" s="76">
        <v>6.9499999999999995E-5</v>
      </c>
      <c r="E2522" s="76">
        <v>1.36E-4</v>
      </c>
      <c r="F2522" s="76">
        <v>1.76E-4</v>
      </c>
      <c r="G2522" s="76">
        <v>2.43E-4</v>
      </c>
      <c r="H2522" s="76">
        <v>2.4899999999999998E-4</v>
      </c>
      <c r="I2522" s="76">
        <v>3.5100000000000002E-4</v>
      </c>
      <c r="J2522" s="76">
        <v>2.5999999999999998E-4</v>
      </c>
      <c r="K2522" s="76">
        <v>4.64E-4</v>
      </c>
      <c r="L2522" s="76">
        <v>5.6400000000000005E-4</v>
      </c>
      <c r="M2522" s="76">
        <v>6.1499999999999999E-4</v>
      </c>
    </row>
    <row r="2523" spans="3:13" x14ac:dyDescent="0.15">
      <c r="C2523" s="76">
        <v>618</v>
      </c>
      <c r="D2523" s="76">
        <v>5.3199999999999999E-5</v>
      </c>
      <c r="E2523" s="76">
        <v>1.21E-4</v>
      </c>
      <c r="F2523" s="76">
        <v>1.4999999999999999E-4</v>
      </c>
      <c r="G2523" s="76">
        <v>2.32E-4</v>
      </c>
      <c r="H2523" s="76">
        <v>2.7099999999999997E-4</v>
      </c>
      <c r="I2523" s="76">
        <v>3.2600000000000001E-4</v>
      </c>
      <c r="J2523" s="76">
        <v>2.63E-4</v>
      </c>
      <c r="K2523" s="76">
        <v>4.7800000000000002E-4</v>
      </c>
      <c r="L2523" s="76">
        <v>2.3000000000000001E-4</v>
      </c>
      <c r="M2523" s="76">
        <v>5.53E-4</v>
      </c>
    </row>
    <row r="2524" spans="3:13" x14ac:dyDescent="0.15">
      <c r="C2524" s="76">
        <v>620</v>
      </c>
      <c r="D2524" s="76">
        <v>5.3999999999999998E-5</v>
      </c>
      <c r="E2524" s="76">
        <v>1.0900000000000001E-4</v>
      </c>
      <c r="F2524" s="76">
        <v>1.3899999999999999E-4</v>
      </c>
      <c r="G2524" s="76">
        <v>2.1599999999999999E-4</v>
      </c>
      <c r="H2524" s="76">
        <v>2.4000000000000001E-4</v>
      </c>
      <c r="I2524" s="76">
        <v>2.5799999999999998E-4</v>
      </c>
      <c r="J2524" s="76">
        <v>2.9500000000000001E-4</v>
      </c>
      <c r="K2524" s="76">
        <v>4.08E-4</v>
      </c>
      <c r="L2524" s="76">
        <v>4.0499999999999998E-4</v>
      </c>
      <c r="M2524" s="76">
        <v>4.9399999999999997E-4</v>
      </c>
    </row>
    <row r="2525" spans="3:13" x14ac:dyDescent="0.15">
      <c r="C2525" s="76">
        <v>622</v>
      </c>
      <c r="D2525" s="76">
        <v>5.7000000000000003E-5</v>
      </c>
      <c r="E2525" s="76">
        <v>1.01E-4</v>
      </c>
      <c r="F2525" s="76">
        <v>1.4899999999999999E-4</v>
      </c>
      <c r="G2525" s="76">
        <v>1.8900000000000001E-4</v>
      </c>
      <c r="H2525" s="76">
        <v>2.1800000000000001E-4</v>
      </c>
      <c r="I2525" s="76">
        <v>2.0799999999999999E-4</v>
      </c>
      <c r="J2525" s="76">
        <v>2.7300000000000002E-4</v>
      </c>
      <c r="K2525" s="76">
        <v>4.0299999999999998E-4</v>
      </c>
      <c r="L2525" s="76">
        <v>4.5399999999999998E-4</v>
      </c>
      <c r="M2525" s="76">
        <v>4.57E-4</v>
      </c>
    </row>
    <row r="2526" spans="3:13" x14ac:dyDescent="0.15">
      <c r="C2526" s="76">
        <v>624</v>
      </c>
      <c r="D2526" s="76">
        <v>5.2899999999999998E-5</v>
      </c>
      <c r="E2526" s="76">
        <v>9.0299999999999999E-5</v>
      </c>
      <c r="F2526" s="76">
        <v>1.35E-4</v>
      </c>
      <c r="G2526" s="76">
        <v>1.5799999999999999E-4</v>
      </c>
      <c r="H2526" s="76">
        <v>2.02E-4</v>
      </c>
      <c r="I2526" s="76">
        <v>2.1000000000000001E-4</v>
      </c>
      <c r="J2526" s="76">
        <v>2.63E-4</v>
      </c>
      <c r="K2526" s="76">
        <v>3.8400000000000001E-4</v>
      </c>
      <c r="L2526" s="76">
        <v>4.4700000000000002E-4</v>
      </c>
      <c r="M2526" s="76">
        <v>4.4000000000000002E-4</v>
      </c>
    </row>
    <row r="2527" spans="3:13" x14ac:dyDescent="0.15">
      <c r="C2527" s="76">
        <v>626</v>
      </c>
      <c r="D2527" s="76">
        <v>4.4100000000000001E-5</v>
      </c>
      <c r="E2527" s="76">
        <v>9.1700000000000006E-5</v>
      </c>
      <c r="F2527" s="76">
        <v>1.17E-4</v>
      </c>
      <c r="G2527" s="76">
        <v>1.63E-4</v>
      </c>
      <c r="H2527" s="76">
        <v>1.84E-4</v>
      </c>
      <c r="I2527" s="76">
        <v>1.9799999999999999E-4</v>
      </c>
      <c r="J2527" s="76">
        <v>2.8200000000000002E-4</v>
      </c>
      <c r="K2527" s="76">
        <v>3.9800000000000002E-4</v>
      </c>
      <c r="L2527" s="76">
        <v>3.9500000000000001E-4</v>
      </c>
      <c r="M2527" s="76">
        <v>4.8500000000000003E-4</v>
      </c>
    </row>
    <row r="2528" spans="3:13" x14ac:dyDescent="0.15">
      <c r="C2528" s="76">
        <v>628</v>
      </c>
      <c r="D2528" s="76">
        <v>5.0099999999999998E-5</v>
      </c>
      <c r="E2528" s="76">
        <v>7.47E-5</v>
      </c>
      <c r="F2528" s="76">
        <v>1.21E-4</v>
      </c>
      <c r="G2528" s="76">
        <v>1.27E-4</v>
      </c>
      <c r="H2528" s="76">
        <v>1.8900000000000001E-4</v>
      </c>
      <c r="I2528" s="76">
        <v>1.75E-4</v>
      </c>
      <c r="J2528" s="76">
        <v>2.33E-4</v>
      </c>
      <c r="K2528" s="76">
        <v>3.4900000000000003E-4</v>
      </c>
      <c r="L2528" s="76">
        <v>3.9100000000000002E-4</v>
      </c>
      <c r="M2528" s="76">
        <v>3.6200000000000002E-4</v>
      </c>
    </row>
    <row r="2529" spans="3:13" x14ac:dyDescent="0.15">
      <c r="C2529" s="76">
        <v>630</v>
      </c>
      <c r="D2529" s="76">
        <v>4.8900000000000003E-5</v>
      </c>
      <c r="E2529" s="76">
        <v>7.4400000000000006E-5</v>
      </c>
      <c r="F2529" s="76">
        <v>1.13E-4</v>
      </c>
      <c r="G2529" s="76">
        <v>1.2999999999999999E-4</v>
      </c>
      <c r="H2529" s="76">
        <v>1.76E-4</v>
      </c>
      <c r="I2529" s="76">
        <v>1.8799999999999999E-4</v>
      </c>
      <c r="J2529" s="76">
        <v>2.7399999999999999E-4</v>
      </c>
      <c r="K2529" s="76">
        <v>3.5E-4</v>
      </c>
      <c r="L2529" s="76">
        <v>3.5599999999999998E-4</v>
      </c>
      <c r="M2529" s="76">
        <v>4.0400000000000001E-4</v>
      </c>
    </row>
    <row r="2530" spans="3:13" x14ac:dyDescent="0.15">
      <c r="C2530" s="76">
        <v>632</v>
      </c>
      <c r="D2530" s="76">
        <v>4.7700000000000001E-5</v>
      </c>
      <c r="E2530" s="76">
        <v>7.4499999999999995E-5</v>
      </c>
      <c r="F2530" s="76">
        <v>1.12E-4</v>
      </c>
      <c r="G2530" s="76">
        <v>1.27E-4</v>
      </c>
      <c r="H2530" s="76">
        <v>1.36E-4</v>
      </c>
      <c r="I2530" s="76">
        <v>1.64E-4</v>
      </c>
      <c r="J2530" s="76">
        <v>2.9999999999999997E-4</v>
      </c>
      <c r="K2530" s="76">
        <v>2.72E-4</v>
      </c>
      <c r="L2530" s="76">
        <v>3.97E-4</v>
      </c>
      <c r="M2530" s="76">
        <v>3.8200000000000002E-4</v>
      </c>
    </row>
    <row r="2531" spans="3:13" x14ac:dyDescent="0.15">
      <c r="C2531" s="76">
        <v>634</v>
      </c>
      <c r="D2531" s="76">
        <v>3.9499999999999998E-5</v>
      </c>
      <c r="E2531" s="76">
        <v>7.5199999999999998E-5</v>
      </c>
      <c r="F2531" s="76">
        <v>9.7499999999999998E-5</v>
      </c>
      <c r="G2531" s="76">
        <v>8.1899999999999999E-5</v>
      </c>
      <c r="H2531" s="76">
        <v>1.34E-4</v>
      </c>
      <c r="I2531" s="76">
        <v>1.8699999999999999E-4</v>
      </c>
      <c r="J2531" s="76">
        <v>2.9700000000000001E-4</v>
      </c>
      <c r="K2531" s="76">
        <v>2.99E-4</v>
      </c>
      <c r="L2531" s="76">
        <v>3.4000000000000002E-4</v>
      </c>
      <c r="M2531" s="76">
        <v>3.39E-4</v>
      </c>
    </row>
    <row r="2532" spans="3:13" x14ac:dyDescent="0.15">
      <c r="C2532" s="76">
        <v>636</v>
      </c>
      <c r="D2532" s="76">
        <v>3.7599999999999999E-5</v>
      </c>
      <c r="E2532" s="76">
        <v>7.3700000000000002E-5</v>
      </c>
      <c r="F2532" s="76">
        <v>1.25E-4</v>
      </c>
      <c r="G2532" s="76">
        <v>7.7200000000000006E-5</v>
      </c>
      <c r="H2532" s="76">
        <v>1.37E-4</v>
      </c>
      <c r="I2532" s="76">
        <v>1.0399999999999999E-4</v>
      </c>
      <c r="J2532" s="76">
        <v>2.2499999999999999E-4</v>
      </c>
      <c r="K2532" s="76">
        <v>3.1599999999999998E-4</v>
      </c>
      <c r="L2532" s="76">
        <v>3.4699999999999998E-4</v>
      </c>
      <c r="M2532" s="76">
        <v>3.2499999999999999E-4</v>
      </c>
    </row>
    <row r="2533" spans="3:13" x14ac:dyDescent="0.15">
      <c r="C2533" s="76">
        <v>638</v>
      </c>
      <c r="D2533" s="76">
        <v>3.4499999999999998E-5</v>
      </c>
      <c r="E2533" s="76">
        <v>7.1500000000000003E-5</v>
      </c>
      <c r="F2533" s="76">
        <v>1.13E-4</v>
      </c>
      <c r="G2533" s="76">
        <v>1.07E-4</v>
      </c>
      <c r="H2533" s="76">
        <v>1.34E-4</v>
      </c>
      <c r="I2533" s="76">
        <v>1.56E-4</v>
      </c>
      <c r="J2533" s="76">
        <v>3.4400000000000001E-4</v>
      </c>
      <c r="K2533" s="76">
        <v>2.12E-4</v>
      </c>
      <c r="L2533" s="76">
        <v>2.8899999999999998E-4</v>
      </c>
      <c r="M2533" s="76">
        <v>3.6000000000000002E-4</v>
      </c>
    </row>
    <row r="2534" spans="3:13" x14ac:dyDescent="0.15">
      <c r="C2534" s="76">
        <v>640</v>
      </c>
      <c r="D2534" s="76">
        <v>2.65E-5</v>
      </c>
      <c r="E2534" s="76">
        <v>6.1600000000000007E-5</v>
      </c>
      <c r="F2534" s="76">
        <v>1.06E-4</v>
      </c>
      <c r="G2534" s="76">
        <v>8.7899999999999995E-5</v>
      </c>
      <c r="H2534" s="76">
        <v>1.1900000000000001E-4</v>
      </c>
      <c r="I2534" s="76">
        <v>1.16E-4</v>
      </c>
      <c r="J2534" s="76">
        <v>3.2699999999999998E-4</v>
      </c>
      <c r="K2534" s="76">
        <v>2.6499999999999999E-4</v>
      </c>
      <c r="L2534" s="76">
        <v>2.5300000000000002E-4</v>
      </c>
      <c r="M2534" s="76">
        <v>3.6200000000000002E-4</v>
      </c>
    </row>
    <row r="2535" spans="3:13" x14ac:dyDescent="0.15">
      <c r="C2535" s="76">
        <v>642</v>
      </c>
      <c r="D2535" s="76">
        <v>3.0800000000000003E-5</v>
      </c>
      <c r="E2535" s="76">
        <v>5.94E-5</v>
      </c>
      <c r="F2535" s="76">
        <v>9.4599999999999996E-5</v>
      </c>
      <c r="G2535" s="76">
        <v>9.5199999999999997E-5</v>
      </c>
      <c r="H2535" s="76">
        <v>1.17E-4</v>
      </c>
      <c r="I2535" s="76">
        <v>1.3300000000000001E-4</v>
      </c>
      <c r="J2535" s="76">
        <v>3.5E-4</v>
      </c>
      <c r="K2535" s="76">
        <v>2.7799999999999998E-4</v>
      </c>
      <c r="L2535" s="76">
        <v>1.9699999999999999E-4</v>
      </c>
      <c r="M2535" s="76">
        <v>3.0200000000000002E-4</v>
      </c>
    </row>
    <row r="2536" spans="3:13" x14ac:dyDescent="0.15">
      <c r="C2536" s="76">
        <v>644</v>
      </c>
      <c r="D2536" s="76">
        <v>2.51E-5</v>
      </c>
      <c r="E2536" s="76">
        <v>5.5300000000000002E-5</v>
      </c>
      <c r="F2536" s="76">
        <v>9.6600000000000003E-5</v>
      </c>
      <c r="G2536" s="76">
        <v>8.8599999999999999E-5</v>
      </c>
      <c r="H2536" s="76">
        <v>1.25E-4</v>
      </c>
      <c r="I2536" s="76">
        <v>1.17E-4</v>
      </c>
      <c r="J2536" s="76">
        <v>3.5799999999999997E-4</v>
      </c>
      <c r="K2536" s="76">
        <v>2.8499999999999999E-4</v>
      </c>
      <c r="L2536" s="76">
        <v>2.5399999999999999E-4</v>
      </c>
      <c r="M2536" s="76">
        <v>2.9599999999999998E-4</v>
      </c>
    </row>
    <row r="2537" spans="3:13" x14ac:dyDescent="0.15">
      <c r="C2537" s="76">
        <v>646</v>
      </c>
      <c r="D2537" s="76">
        <v>2.9899999999999998E-5</v>
      </c>
      <c r="E2537" s="76">
        <v>5.8999999999999998E-5</v>
      </c>
      <c r="F2537" s="76">
        <v>7.75E-5</v>
      </c>
      <c r="G2537" s="76">
        <v>6.58E-5</v>
      </c>
      <c r="H2537" s="76">
        <v>1.46E-4</v>
      </c>
      <c r="I2537" s="76">
        <v>1.63E-4</v>
      </c>
      <c r="J2537" s="76">
        <v>3.0499999999999999E-4</v>
      </c>
      <c r="K2537" s="76">
        <v>3.28E-4</v>
      </c>
      <c r="L2537" s="76">
        <v>2.42E-4</v>
      </c>
      <c r="M2537" s="76">
        <v>3.9800000000000002E-4</v>
      </c>
    </row>
    <row r="2538" spans="3:13" x14ac:dyDescent="0.15">
      <c r="C2538" s="76">
        <v>648</v>
      </c>
      <c r="D2538" s="76">
        <v>1.8E-5</v>
      </c>
      <c r="E2538" s="76">
        <v>5.5399999999999998E-5</v>
      </c>
      <c r="F2538" s="76">
        <v>9.1100000000000005E-5</v>
      </c>
      <c r="G2538" s="76">
        <v>9.8900000000000005E-5</v>
      </c>
      <c r="H2538" s="76">
        <v>1.18E-4</v>
      </c>
      <c r="I2538" s="76">
        <v>1.76E-4</v>
      </c>
      <c r="J2538" s="76">
        <v>3.3700000000000001E-4</v>
      </c>
      <c r="K2538" s="76">
        <v>1.9000000000000001E-4</v>
      </c>
      <c r="L2538" s="76">
        <v>2.5500000000000002E-4</v>
      </c>
      <c r="M2538" s="76">
        <v>3.3399999999999999E-4</v>
      </c>
    </row>
    <row r="2539" spans="3:13" x14ac:dyDescent="0.15">
      <c r="C2539" s="76">
        <v>650</v>
      </c>
      <c r="D2539" s="76">
        <v>1.36E-5</v>
      </c>
      <c r="E2539" s="76">
        <v>4.2899999999999999E-5</v>
      </c>
      <c r="F2539" s="76">
        <v>7.3899999999999994E-5</v>
      </c>
      <c r="G2539" s="76">
        <v>1.05E-4</v>
      </c>
      <c r="H2539" s="76">
        <v>1.4799999999999999E-4</v>
      </c>
      <c r="I2539" s="76">
        <v>1.83E-4</v>
      </c>
      <c r="J2539" s="76">
        <v>3.48E-4</v>
      </c>
      <c r="K2539" s="76">
        <v>2.42E-4</v>
      </c>
      <c r="L2539" s="76">
        <v>2.2900000000000001E-4</v>
      </c>
      <c r="M2539" s="76">
        <v>3.2299999999999999E-4</v>
      </c>
    </row>
    <row r="2540" spans="3:13" x14ac:dyDescent="0.15">
      <c r="C2540" s="76">
        <v>652</v>
      </c>
      <c r="D2540" s="76">
        <v>1.49E-5</v>
      </c>
      <c r="E2540" s="76">
        <v>2.8200000000000001E-5</v>
      </c>
      <c r="F2540" s="76">
        <v>8.0699999999999996E-5</v>
      </c>
      <c r="G2540" s="76">
        <v>1.11E-4</v>
      </c>
      <c r="H2540" s="76">
        <v>1.45E-4</v>
      </c>
      <c r="I2540" s="76">
        <v>1.4100000000000001E-4</v>
      </c>
      <c r="J2540" s="76">
        <v>3.4499999999999998E-4</v>
      </c>
      <c r="K2540" s="76">
        <v>1.8900000000000001E-4</v>
      </c>
      <c r="L2540" s="76">
        <v>2.5900000000000001E-4</v>
      </c>
      <c r="M2540" s="76">
        <v>3.1100000000000002E-4</v>
      </c>
    </row>
    <row r="2541" spans="3:13" x14ac:dyDescent="0.15">
      <c r="C2541" s="76">
        <v>654</v>
      </c>
      <c r="D2541" s="76">
        <v>1.2500000000000001E-5</v>
      </c>
      <c r="E2541" s="76">
        <v>5.1499999999999998E-5</v>
      </c>
      <c r="F2541" s="76">
        <v>7.47E-5</v>
      </c>
      <c r="G2541" s="76">
        <v>1.18E-4</v>
      </c>
      <c r="H2541" s="76">
        <v>1.21E-4</v>
      </c>
      <c r="I2541" s="76">
        <v>1.56E-4</v>
      </c>
      <c r="J2541" s="76">
        <v>2.5999999999999998E-4</v>
      </c>
      <c r="K2541" s="76">
        <v>2.0799999999999999E-4</v>
      </c>
      <c r="L2541" s="76">
        <v>2.3800000000000001E-4</v>
      </c>
      <c r="M2541" s="76">
        <v>3.2299999999999999E-4</v>
      </c>
    </row>
    <row r="2542" spans="3:13" x14ac:dyDescent="0.15">
      <c r="C2542" s="76">
        <v>656</v>
      </c>
      <c r="D2542" s="76">
        <v>1.1800000000000001E-5</v>
      </c>
      <c r="E2542" s="76">
        <v>5.4400000000000001E-5</v>
      </c>
      <c r="F2542" s="76">
        <v>6.0699999999999998E-5</v>
      </c>
      <c r="G2542" s="76">
        <v>1.27E-4</v>
      </c>
      <c r="H2542" s="76">
        <v>1.08E-4</v>
      </c>
      <c r="I2542" s="76">
        <v>1.8900000000000001E-4</v>
      </c>
      <c r="J2542" s="76">
        <v>3.01E-4</v>
      </c>
      <c r="K2542" s="76">
        <v>2.0799999999999999E-4</v>
      </c>
      <c r="L2542" s="76">
        <v>2.14E-4</v>
      </c>
      <c r="M2542" s="76">
        <v>2.2100000000000001E-4</v>
      </c>
    </row>
    <row r="2543" spans="3:13" x14ac:dyDescent="0.15">
      <c r="C2543" s="76">
        <v>658</v>
      </c>
      <c r="D2543" s="76">
        <v>1.29E-5</v>
      </c>
      <c r="E2543" s="76">
        <v>4.0500000000000002E-5</v>
      </c>
      <c r="F2543" s="76">
        <v>7.9400000000000006E-5</v>
      </c>
      <c r="G2543" s="76">
        <v>1.21E-4</v>
      </c>
      <c r="H2543" s="76">
        <v>1.0900000000000001E-4</v>
      </c>
      <c r="I2543" s="76">
        <v>2.0100000000000001E-4</v>
      </c>
      <c r="J2543" s="76">
        <v>2.6699999999999998E-4</v>
      </c>
      <c r="K2543" s="76">
        <v>1.5100000000000001E-4</v>
      </c>
      <c r="L2543" s="76">
        <v>1.6899999999999999E-4</v>
      </c>
      <c r="M2543" s="76">
        <v>2.0100000000000001E-4</v>
      </c>
    </row>
    <row r="2544" spans="3:13" x14ac:dyDescent="0.15">
      <c r="C2544" s="76">
        <v>660</v>
      </c>
      <c r="D2544" s="76">
        <v>6.5699999999999998E-6</v>
      </c>
      <c r="E2544" s="76">
        <v>3.3500000000000001E-5</v>
      </c>
      <c r="F2544" s="76">
        <v>7.3300000000000006E-5</v>
      </c>
      <c r="G2544" s="76">
        <v>1.15E-4</v>
      </c>
      <c r="H2544" s="76">
        <v>1.3200000000000001E-4</v>
      </c>
      <c r="I2544" s="76">
        <v>1.73E-4</v>
      </c>
      <c r="J2544" s="76">
        <v>2.42E-4</v>
      </c>
      <c r="K2544" s="76">
        <v>1.8599999999999999E-4</v>
      </c>
      <c r="L2544" s="76">
        <v>2.5900000000000001E-4</v>
      </c>
      <c r="M2544" s="76">
        <v>2.3000000000000001E-4</v>
      </c>
    </row>
    <row r="2545" spans="3:13" x14ac:dyDescent="0.15">
      <c r="C2545" s="76">
        <v>662</v>
      </c>
      <c r="D2545" s="76">
        <v>6.7299999999999999E-6</v>
      </c>
      <c r="E2545" s="76">
        <v>4.7599999999999998E-5</v>
      </c>
      <c r="F2545" s="76">
        <v>6.05E-5</v>
      </c>
      <c r="G2545" s="76">
        <v>1.7100000000000001E-4</v>
      </c>
      <c r="H2545" s="76">
        <v>6.19E-5</v>
      </c>
      <c r="I2545" s="76">
        <v>1.6200000000000001E-4</v>
      </c>
      <c r="J2545" s="76">
        <v>2.5500000000000002E-4</v>
      </c>
      <c r="K2545" s="76">
        <v>1.45E-4</v>
      </c>
      <c r="L2545" s="76">
        <v>2.2100000000000001E-4</v>
      </c>
      <c r="M2545" s="76">
        <v>3.2899999999999997E-4</v>
      </c>
    </row>
    <row r="2546" spans="3:13" x14ac:dyDescent="0.15">
      <c r="C2546" s="76">
        <v>664</v>
      </c>
      <c r="D2546" s="76">
        <v>1.2E-5</v>
      </c>
      <c r="E2546" s="76">
        <v>5.6900000000000001E-5</v>
      </c>
      <c r="F2546" s="76">
        <v>5.8300000000000001E-5</v>
      </c>
      <c r="G2546" s="76">
        <v>1.25E-4</v>
      </c>
      <c r="H2546" s="76">
        <v>1.44E-4</v>
      </c>
      <c r="I2546" s="76">
        <v>1.5100000000000001E-4</v>
      </c>
      <c r="J2546" s="76">
        <v>2.3499999999999999E-4</v>
      </c>
      <c r="K2546" s="76">
        <v>1.35E-4</v>
      </c>
      <c r="L2546" s="76">
        <v>2.4000000000000001E-4</v>
      </c>
      <c r="M2546" s="76">
        <v>1.84E-4</v>
      </c>
    </row>
    <row r="2547" spans="3:13" x14ac:dyDescent="0.15">
      <c r="C2547" s="76">
        <v>666</v>
      </c>
      <c r="D2547" s="76">
        <v>8.3999999999999992E-6</v>
      </c>
      <c r="E2547" s="76">
        <v>4.5399999999999999E-5</v>
      </c>
      <c r="F2547" s="76">
        <v>7.75E-5</v>
      </c>
      <c r="G2547" s="76">
        <v>1.27E-4</v>
      </c>
      <c r="H2547" s="76">
        <v>1.34E-4</v>
      </c>
      <c r="I2547" s="76">
        <v>1.7699999999999999E-4</v>
      </c>
      <c r="J2547" s="76">
        <v>2.34E-4</v>
      </c>
      <c r="K2547" s="76">
        <v>1.5799999999999999E-4</v>
      </c>
      <c r="L2547" s="76">
        <v>1.63E-4</v>
      </c>
      <c r="M2547" s="76">
        <v>2.1800000000000001E-4</v>
      </c>
    </row>
    <row r="2548" spans="3:13" x14ac:dyDescent="0.15">
      <c r="C2548" s="76">
        <v>668</v>
      </c>
      <c r="D2548" s="76">
        <v>9.2299999999999997E-6</v>
      </c>
      <c r="E2548" s="76">
        <v>4.3600000000000003E-5</v>
      </c>
      <c r="F2548" s="76">
        <v>7.1699999999999995E-5</v>
      </c>
      <c r="G2548" s="76">
        <v>1.5300000000000001E-4</v>
      </c>
      <c r="H2548" s="76">
        <v>1.1E-4</v>
      </c>
      <c r="I2548" s="76">
        <v>1.8699999999999999E-4</v>
      </c>
      <c r="J2548" s="76">
        <v>1.47E-4</v>
      </c>
      <c r="K2548" s="76">
        <v>1.5899999999999999E-4</v>
      </c>
      <c r="L2548" s="76">
        <v>1.6899999999999999E-4</v>
      </c>
      <c r="M2548" s="76">
        <v>1.7799999999999999E-4</v>
      </c>
    </row>
    <row r="2549" spans="3:13" x14ac:dyDescent="0.15">
      <c r="C2549" s="76">
        <v>670</v>
      </c>
      <c r="D2549" s="76">
        <v>7.17E-6</v>
      </c>
      <c r="E2549" s="76">
        <v>5.24E-5</v>
      </c>
      <c r="F2549" s="76">
        <v>5.4500000000000003E-5</v>
      </c>
      <c r="G2549" s="76">
        <v>1.6699999999999999E-4</v>
      </c>
      <c r="H2549" s="76">
        <v>1.0399999999999999E-4</v>
      </c>
      <c r="I2549" s="76">
        <v>1.7799999999999999E-4</v>
      </c>
      <c r="J2549" s="76">
        <v>1.01E-4</v>
      </c>
      <c r="K2549" s="76">
        <v>1.2999999999999999E-4</v>
      </c>
      <c r="L2549" s="76">
        <v>1.34E-4</v>
      </c>
      <c r="M2549" s="76">
        <v>1.9699999999999999E-4</v>
      </c>
    </row>
    <row r="2550" spans="3:13" x14ac:dyDescent="0.15">
      <c r="C2550" s="76">
        <v>672</v>
      </c>
      <c r="D2550" s="76">
        <v>6.4999999999999996E-6</v>
      </c>
      <c r="E2550" s="76">
        <v>5.6199999999999997E-5</v>
      </c>
      <c r="F2550" s="76">
        <v>8.4800000000000001E-5</v>
      </c>
      <c r="G2550" s="76">
        <v>1.55E-4</v>
      </c>
      <c r="H2550" s="76">
        <v>1.3100000000000001E-4</v>
      </c>
      <c r="I2550" s="76">
        <v>1.8100000000000001E-4</v>
      </c>
      <c r="J2550" s="76">
        <v>1.44E-4</v>
      </c>
      <c r="K2550" s="76">
        <v>1.1900000000000001E-4</v>
      </c>
      <c r="L2550" s="76">
        <v>1.11E-4</v>
      </c>
      <c r="M2550" s="76">
        <v>2.7300000000000002E-4</v>
      </c>
    </row>
    <row r="2551" spans="3:13" x14ac:dyDescent="0.15">
      <c r="C2551" s="76">
        <v>674</v>
      </c>
      <c r="D2551" s="76">
        <v>1.8499999999999999E-5</v>
      </c>
      <c r="E2551" s="76">
        <v>4.6799999999999999E-5</v>
      </c>
      <c r="F2551" s="76">
        <v>6.0600000000000003E-5</v>
      </c>
      <c r="G2551" s="76">
        <v>1.46E-4</v>
      </c>
      <c r="H2551" s="76">
        <v>9.5500000000000004E-5</v>
      </c>
      <c r="I2551" s="76">
        <v>1.5200000000000001E-4</v>
      </c>
      <c r="J2551" s="76">
        <v>9.3700000000000001E-5</v>
      </c>
      <c r="K2551" s="76">
        <v>1.3200000000000001E-4</v>
      </c>
      <c r="L2551" s="76">
        <v>1.6100000000000001E-4</v>
      </c>
      <c r="M2551" s="76">
        <v>2.2599999999999999E-4</v>
      </c>
    </row>
    <row r="2552" spans="3:13" x14ac:dyDescent="0.15">
      <c r="C2552" s="76">
        <v>676</v>
      </c>
      <c r="D2552" s="76">
        <v>1.47E-5</v>
      </c>
      <c r="E2552" s="76">
        <v>4.74E-5</v>
      </c>
      <c r="F2552" s="76">
        <v>6.7600000000000003E-5</v>
      </c>
      <c r="G2552" s="76">
        <v>1.37E-4</v>
      </c>
      <c r="H2552" s="76">
        <v>7.6699999999999994E-5</v>
      </c>
      <c r="I2552" s="76">
        <v>1.27E-4</v>
      </c>
      <c r="J2552" s="76">
        <v>7.6699999999999994E-5</v>
      </c>
      <c r="K2552" s="76">
        <v>1.2899999999999999E-4</v>
      </c>
      <c r="L2552" s="76">
        <v>1.47E-4</v>
      </c>
      <c r="M2552" s="76">
        <v>1.75E-4</v>
      </c>
    </row>
    <row r="2553" spans="3:13" x14ac:dyDescent="0.15">
      <c r="C2553" s="76">
        <v>678</v>
      </c>
      <c r="D2553" s="76">
        <v>1.6200000000000001E-5</v>
      </c>
      <c r="E2553" s="76">
        <v>5.7800000000000002E-5</v>
      </c>
      <c r="F2553" s="76">
        <v>6.8300000000000007E-5</v>
      </c>
      <c r="G2553" s="76">
        <v>1.2999999999999999E-4</v>
      </c>
      <c r="H2553" s="76">
        <v>1.44E-4</v>
      </c>
      <c r="I2553" s="76">
        <v>1.03E-4</v>
      </c>
      <c r="J2553" s="76">
        <v>1.66E-4</v>
      </c>
      <c r="K2553" s="76">
        <v>1.8699999999999999E-4</v>
      </c>
      <c r="L2553" s="76">
        <v>1.3100000000000001E-4</v>
      </c>
      <c r="M2553" s="76">
        <v>1.47E-4</v>
      </c>
    </row>
    <row r="2554" spans="3:13" x14ac:dyDescent="0.15">
      <c r="C2554" s="76">
        <v>680</v>
      </c>
      <c r="D2554" s="76">
        <v>1.1800000000000001E-5</v>
      </c>
      <c r="E2554" s="76">
        <v>5.2299999999999997E-5</v>
      </c>
      <c r="F2554" s="76">
        <v>8.1100000000000006E-5</v>
      </c>
      <c r="G2554" s="76">
        <v>1.4300000000000001E-4</v>
      </c>
      <c r="H2554" s="76">
        <v>1.56E-4</v>
      </c>
      <c r="I2554" s="76">
        <v>1.6699999999999999E-4</v>
      </c>
      <c r="J2554" s="76">
        <v>1.47E-4</v>
      </c>
      <c r="K2554" s="76">
        <v>1.01E-4</v>
      </c>
      <c r="L2554" s="76">
        <v>1.6000000000000001E-4</v>
      </c>
      <c r="M2554" s="76">
        <v>1.8699999999999999E-4</v>
      </c>
    </row>
    <row r="2555" spans="3:13" x14ac:dyDescent="0.15">
      <c r="C2555" s="76">
        <v>682</v>
      </c>
      <c r="D2555" s="76">
        <v>2.05E-5</v>
      </c>
      <c r="E2555" s="76">
        <v>4.9499999999999997E-5</v>
      </c>
      <c r="F2555" s="76">
        <v>8.14E-5</v>
      </c>
      <c r="G2555" s="76">
        <v>1.25E-4</v>
      </c>
      <c r="H2555" s="76">
        <v>1.15E-4</v>
      </c>
      <c r="I2555" s="76">
        <v>1.05E-4</v>
      </c>
      <c r="J2555" s="76">
        <v>7.9599999999999997E-5</v>
      </c>
      <c r="K2555" s="76">
        <v>8.3200000000000003E-5</v>
      </c>
      <c r="L2555" s="76">
        <v>6.8200000000000004E-5</v>
      </c>
      <c r="M2555" s="76">
        <v>2.2100000000000001E-4</v>
      </c>
    </row>
    <row r="2556" spans="3:13" x14ac:dyDescent="0.15">
      <c r="C2556" s="76">
        <v>684</v>
      </c>
      <c r="D2556" s="76">
        <v>2.0800000000000001E-5</v>
      </c>
      <c r="E2556" s="76">
        <v>4.1300000000000001E-5</v>
      </c>
      <c r="F2556" s="76">
        <v>7.3700000000000002E-5</v>
      </c>
      <c r="G2556" s="76">
        <v>6.6600000000000006E-5</v>
      </c>
      <c r="H2556" s="76">
        <v>7.8300000000000006E-5</v>
      </c>
      <c r="I2556" s="76">
        <v>1.2300000000000001E-4</v>
      </c>
      <c r="J2556" s="76">
        <v>5.3300000000000001E-5</v>
      </c>
      <c r="K2556" s="76">
        <v>9.3200000000000002E-5</v>
      </c>
      <c r="L2556" s="76">
        <v>1.12E-4</v>
      </c>
      <c r="M2556" s="76">
        <v>1.6200000000000001E-4</v>
      </c>
    </row>
    <row r="2557" spans="3:13" x14ac:dyDescent="0.15">
      <c r="C2557" s="76">
        <v>686</v>
      </c>
      <c r="D2557" s="76">
        <v>2.4499999999999999E-5</v>
      </c>
      <c r="E2557" s="76">
        <v>5.1999999999999997E-5</v>
      </c>
      <c r="F2557" s="76">
        <v>4.3600000000000003E-5</v>
      </c>
      <c r="G2557" s="76">
        <v>6.4800000000000003E-5</v>
      </c>
      <c r="H2557" s="76">
        <v>7.3800000000000005E-5</v>
      </c>
      <c r="I2557" s="76">
        <v>1.02E-4</v>
      </c>
      <c r="J2557" s="76">
        <v>3.8300000000000003E-5</v>
      </c>
      <c r="K2557" s="76">
        <v>1.35E-4</v>
      </c>
      <c r="L2557" s="76">
        <v>1.6200000000000001E-4</v>
      </c>
      <c r="M2557" s="76">
        <v>6.3100000000000002E-5</v>
      </c>
    </row>
    <row r="2558" spans="3:13" x14ac:dyDescent="0.15">
      <c r="C2558" s="76">
        <v>688</v>
      </c>
      <c r="D2558" s="76">
        <v>2.7699999999999999E-5</v>
      </c>
      <c r="E2558" s="76">
        <v>4.6900000000000002E-5</v>
      </c>
      <c r="F2558" s="76">
        <v>5.2800000000000003E-5</v>
      </c>
      <c r="G2558" s="76">
        <v>3.5099999999999999E-5</v>
      </c>
      <c r="H2558" s="76">
        <v>9.4699999999999998E-5</v>
      </c>
      <c r="I2558" s="76">
        <v>9.4400000000000004E-5</v>
      </c>
      <c r="J2558" s="76">
        <v>4.0099999999999999E-5</v>
      </c>
      <c r="K2558" s="76">
        <v>2.6299999999999999E-5</v>
      </c>
      <c r="L2558" s="76">
        <v>2.33E-4</v>
      </c>
      <c r="M2558" s="76">
        <v>2.0699999999999999E-4</v>
      </c>
    </row>
    <row r="2559" spans="3:13" x14ac:dyDescent="0.15">
      <c r="C2559" s="76">
        <v>690</v>
      </c>
      <c r="D2559" s="76">
        <v>3.26E-5</v>
      </c>
      <c r="E2559" s="76">
        <v>5.0300000000000003E-5</v>
      </c>
      <c r="F2559" s="76">
        <v>3.7400000000000001E-5</v>
      </c>
      <c r="G2559" s="76">
        <v>5.3699999999999997E-5</v>
      </c>
      <c r="H2559" s="76">
        <v>5.7800000000000002E-5</v>
      </c>
      <c r="I2559" s="76">
        <v>7.7200000000000006E-5</v>
      </c>
      <c r="J2559" s="76">
        <v>2.3300000000000001E-5</v>
      </c>
      <c r="K2559" s="76">
        <v>8.8999999999999995E-5</v>
      </c>
      <c r="L2559" s="76">
        <v>1.63E-4</v>
      </c>
      <c r="M2559" s="76">
        <v>1.8799999999999999E-4</v>
      </c>
    </row>
    <row r="2560" spans="3:13" x14ac:dyDescent="0.15">
      <c r="C2560" s="76">
        <v>692</v>
      </c>
      <c r="D2560" s="76">
        <v>2.27E-5</v>
      </c>
      <c r="E2560" s="76">
        <v>3.26E-5</v>
      </c>
      <c r="F2560" s="76">
        <v>4.8600000000000002E-5</v>
      </c>
      <c r="G2560" s="76">
        <v>3.1000000000000001E-5</v>
      </c>
      <c r="H2560" s="76">
        <v>3.3599999999999997E-5</v>
      </c>
      <c r="I2560" s="76">
        <v>1.0900000000000001E-4</v>
      </c>
      <c r="J2560" s="76">
        <v>9.1100000000000005E-5</v>
      </c>
      <c r="K2560" s="76">
        <v>8.7499999999999999E-5</v>
      </c>
      <c r="L2560" s="76">
        <v>1.3200000000000001E-4</v>
      </c>
      <c r="M2560" s="76">
        <v>1.17E-4</v>
      </c>
    </row>
    <row r="2561" spans="3:46" x14ac:dyDescent="0.15">
      <c r="C2561" s="76">
        <v>694</v>
      </c>
      <c r="D2561" s="76">
        <v>2.44E-5</v>
      </c>
      <c r="E2561" s="76">
        <v>3.7499999999999997E-5</v>
      </c>
      <c r="F2561" s="76">
        <v>4.6900000000000002E-5</v>
      </c>
      <c r="G2561" s="76">
        <v>2.5400000000000001E-5</v>
      </c>
      <c r="H2561" s="76">
        <v>8.1600000000000005E-5</v>
      </c>
      <c r="I2561" s="76">
        <v>9.6199999999999994E-5</v>
      </c>
      <c r="J2561" s="76">
        <v>7.6600000000000005E-5</v>
      </c>
      <c r="K2561" s="76">
        <v>1.0900000000000001E-4</v>
      </c>
      <c r="L2561" s="76">
        <v>1.85E-4</v>
      </c>
      <c r="M2561" s="76">
        <v>1.56E-4</v>
      </c>
    </row>
    <row r="2562" spans="3:46" x14ac:dyDescent="0.15">
      <c r="C2562" s="76">
        <v>696</v>
      </c>
      <c r="D2562" s="76">
        <v>3.3399999999999999E-5</v>
      </c>
      <c r="E2562" s="76">
        <v>2.9300000000000001E-5</v>
      </c>
      <c r="F2562" s="76">
        <v>4.3300000000000002E-5</v>
      </c>
      <c r="G2562" s="76">
        <v>4.6999999999999997E-5</v>
      </c>
      <c r="H2562" s="76">
        <v>6.1199999999999997E-5</v>
      </c>
      <c r="I2562" s="76">
        <v>9.2700000000000004E-5</v>
      </c>
      <c r="J2562" s="76">
        <v>6.9800000000000003E-5</v>
      </c>
      <c r="K2562" s="76">
        <v>2.7900000000000001E-5</v>
      </c>
      <c r="L2562" s="76">
        <v>1.5200000000000001E-4</v>
      </c>
      <c r="M2562" s="76">
        <v>1.2799999999999999E-4</v>
      </c>
    </row>
    <row r="2563" spans="3:46" x14ac:dyDescent="0.15">
      <c r="C2563" s="76">
        <v>698</v>
      </c>
      <c r="D2563" s="76">
        <v>3.7299999999999999E-5</v>
      </c>
      <c r="E2563" s="76">
        <v>1.24E-5</v>
      </c>
      <c r="F2563" s="76">
        <v>3.1199999999999999E-5</v>
      </c>
      <c r="G2563" s="76">
        <v>1.73E-5</v>
      </c>
      <c r="H2563" s="76">
        <v>6.1099999999999994E-5</v>
      </c>
      <c r="I2563" s="76">
        <v>9.1700000000000006E-5</v>
      </c>
      <c r="J2563" s="76">
        <v>9.59E-5</v>
      </c>
      <c r="K2563" s="76">
        <v>3.8999999999999999E-5</v>
      </c>
      <c r="L2563" s="76">
        <v>2.4000000000000001E-4</v>
      </c>
      <c r="M2563" s="76">
        <v>1.5200000000000001E-4</v>
      </c>
    </row>
    <row r="2564" spans="3:46" x14ac:dyDescent="0.15">
      <c r="C2564" s="76">
        <v>700</v>
      </c>
      <c r="D2564" s="76">
        <v>2.7900000000000001E-5</v>
      </c>
      <c r="E2564" s="76">
        <v>7.25E-6</v>
      </c>
      <c r="F2564" s="76">
        <v>1.2999999999999999E-5</v>
      </c>
      <c r="G2564" s="76">
        <v>0</v>
      </c>
      <c r="H2564" s="76">
        <v>6.5400000000000004E-5</v>
      </c>
      <c r="I2564" s="76">
        <v>5.7800000000000002E-5</v>
      </c>
      <c r="J2564" s="76">
        <v>6.3899999999999995E-5</v>
      </c>
      <c r="K2564" s="76">
        <v>1.05E-4</v>
      </c>
      <c r="L2564" s="76">
        <v>2.2900000000000001E-4</v>
      </c>
      <c r="M2564" s="76">
        <v>1.4799999999999999E-4</v>
      </c>
    </row>
    <row r="2565" spans="3:46" x14ac:dyDescent="0.15">
      <c r="C2565" s="76">
        <v>702</v>
      </c>
      <c r="D2565" s="76">
        <v>2.6400000000000001E-5</v>
      </c>
      <c r="E2565" s="76">
        <v>4.6700000000000002E-6</v>
      </c>
      <c r="F2565" s="76">
        <v>1.7600000000000001E-5</v>
      </c>
      <c r="G2565" s="76">
        <v>3.3699999999999999E-5</v>
      </c>
      <c r="H2565" s="76">
        <v>1.8899999999999999E-5</v>
      </c>
      <c r="I2565" s="76">
        <v>5.3300000000000001E-5</v>
      </c>
      <c r="J2565" s="76">
        <v>1.6799999999999998E-5</v>
      </c>
      <c r="K2565" s="76">
        <v>8.25E-5</v>
      </c>
      <c r="L2565" s="76">
        <v>1.9000000000000001E-4</v>
      </c>
      <c r="M2565" s="76">
        <v>1.1E-4</v>
      </c>
    </row>
    <row r="2566" spans="3:46" x14ac:dyDescent="0.15">
      <c r="C2566" s="76">
        <v>704</v>
      </c>
      <c r="D2566" s="76">
        <v>2.6599999999999999E-5</v>
      </c>
      <c r="E2566" s="76">
        <v>2.12E-5</v>
      </c>
      <c r="F2566" s="76">
        <v>6.6299999999999999E-5</v>
      </c>
      <c r="G2566" s="76">
        <v>5.3399999999999997E-6</v>
      </c>
      <c r="H2566" s="76">
        <v>3.2100000000000001E-5</v>
      </c>
      <c r="I2566" s="76">
        <v>1.7900000000000001E-5</v>
      </c>
      <c r="J2566" s="76">
        <v>6.8899999999999994E-5</v>
      </c>
      <c r="K2566" s="76">
        <v>1.08E-4</v>
      </c>
      <c r="L2566" s="76">
        <v>1.3999999999999999E-4</v>
      </c>
      <c r="M2566" s="76">
        <v>2.42E-4</v>
      </c>
    </row>
    <row r="2567" spans="3:46" x14ac:dyDescent="0.15">
      <c r="C2567" s="76">
        <v>706</v>
      </c>
      <c r="D2567" s="76">
        <v>2.4600000000000002E-5</v>
      </c>
      <c r="E2567" s="76">
        <v>9.6199999999999994E-6</v>
      </c>
      <c r="F2567" s="76">
        <v>2.5400000000000001E-5</v>
      </c>
      <c r="G2567" s="76">
        <v>0</v>
      </c>
      <c r="H2567" s="76">
        <v>2.1100000000000001E-5</v>
      </c>
      <c r="I2567" s="76">
        <v>2.41E-5</v>
      </c>
      <c r="J2567" s="76">
        <v>7.3100000000000001E-5</v>
      </c>
      <c r="K2567" s="76">
        <v>6.5900000000000003E-5</v>
      </c>
      <c r="L2567" s="76">
        <v>1.3200000000000001E-4</v>
      </c>
      <c r="M2567" s="76">
        <v>1.18E-4</v>
      </c>
    </row>
    <row r="2568" spans="3:46" x14ac:dyDescent="0.15">
      <c r="C2568" s="76">
        <v>708</v>
      </c>
      <c r="D2568" s="76">
        <v>2.05E-5</v>
      </c>
      <c r="E2568" s="76">
        <v>3.8199999999999998E-6</v>
      </c>
      <c r="F2568" s="76">
        <v>3.0000000000000001E-5</v>
      </c>
      <c r="G2568" s="76">
        <v>1.0000000000000001E-5</v>
      </c>
      <c r="H2568" s="76">
        <v>9.1400000000000006E-6</v>
      </c>
      <c r="I2568" s="76">
        <v>5.49E-5</v>
      </c>
      <c r="J2568" s="76">
        <v>1.37E-4</v>
      </c>
      <c r="K2568" s="76">
        <v>7.8200000000000003E-5</v>
      </c>
      <c r="L2568" s="76">
        <v>1.44E-4</v>
      </c>
      <c r="M2568" s="76">
        <v>1.0900000000000001E-4</v>
      </c>
    </row>
    <row r="2569" spans="3:46" x14ac:dyDescent="0.15">
      <c r="C2569" s="76">
        <v>710</v>
      </c>
      <c r="D2569" s="76">
        <v>2.26E-5</v>
      </c>
      <c r="E2569" s="76">
        <v>1.06E-5</v>
      </c>
      <c r="F2569" s="76">
        <v>1.6200000000000001E-5</v>
      </c>
      <c r="G2569" s="76">
        <v>3.4199999999999998E-5</v>
      </c>
      <c r="H2569" s="76">
        <v>5.3000000000000001E-6</v>
      </c>
      <c r="I2569" s="76">
        <v>8.1899999999999999E-5</v>
      </c>
      <c r="J2569" s="76">
        <v>1.46E-4</v>
      </c>
      <c r="K2569" s="76">
        <v>1.17E-4</v>
      </c>
      <c r="L2569" s="76">
        <v>1.7200000000000001E-4</v>
      </c>
      <c r="M2569" s="76">
        <v>1.6799999999999999E-4</v>
      </c>
    </row>
    <row r="2570" spans="3:46" x14ac:dyDescent="0.15">
      <c r="C2570" s="76">
        <v>712</v>
      </c>
      <c r="D2570" s="76">
        <v>2.6100000000000001E-5</v>
      </c>
      <c r="E2570" s="76">
        <v>1.08E-6</v>
      </c>
      <c r="F2570" s="76">
        <v>2.6699999999999998E-5</v>
      </c>
      <c r="G2570" s="76">
        <v>3.9499999999999998E-5</v>
      </c>
      <c r="H2570" s="76">
        <v>1.49E-5</v>
      </c>
      <c r="I2570" s="76">
        <v>5.1700000000000003E-5</v>
      </c>
      <c r="J2570" s="76">
        <v>2.2900000000000001E-4</v>
      </c>
      <c r="K2570" s="76">
        <v>1.44E-4</v>
      </c>
      <c r="L2570" s="76">
        <v>2.3499999999999999E-4</v>
      </c>
      <c r="M2570" s="76">
        <v>1.2899999999999999E-4</v>
      </c>
    </row>
    <row r="2571" spans="3:46" x14ac:dyDescent="0.15">
      <c r="C2571" s="76">
        <v>714</v>
      </c>
      <c r="D2571" s="76">
        <v>1.88E-5</v>
      </c>
      <c r="E2571" s="76">
        <v>2.5399999999999998E-6</v>
      </c>
      <c r="F2571" s="76">
        <v>1.5099999999999999E-5</v>
      </c>
      <c r="G2571" s="76">
        <v>3.0199999999999999E-5</v>
      </c>
      <c r="H2571" s="76">
        <v>3.6699999999999998E-5</v>
      </c>
      <c r="I2571" s="76">
        <v>2.9499999999999999E-5</v>
      </c>
      <c r="J2571" s="76">
        <v>1.4200000000000001E-4</v>
      </c>
      <c r="K2571" s="76">
        <v>9.8200000000000002E-5</v>
      </c>
      <c r="L2571" s="76">
        <v>1.8000000000000001E-4</v>
      </c>
      <c r="M2571" s="76">
        <v>9.3300000000000005E-5</v>
      </c>
    </row>
    <row r="2572" spans="3:46" x14ac:dyDescent="0.15">
      <c r="C2572" s="76">
        <v>716</v>
      </c>
      <c r="D2572" s="76">
        <v>2.5299999999999998E-5</v>
      </c>
      <c r="E2572" s="76">
        <v>7.7300000000000005E-6</v>
      </c>
      <c r="F2572" s="76">
        <v>2.0800000000000001E-5</v>
      </c>
      <c r="G2572" s="76">
        <v>3.3699999999999999E-5</v>
      </c>
      <c r="H2572" s="76">
        <v>5.0800000000000002E-5</v>
      </c>
      <c r="I2572" s="76">
        <v>3.96E-5</v>
      </c>
      <c r="J2572" s="76">
        <v>1.2300000000000001E-4</v>
      </c>
      <c r="K2572" s="76">
        <v>1.4300000000000001E-4</v>
      </c>
      <c r="L2572" s="76">
        <v>2.13E-4</v>
      </c>
      <c r="M2572" s="76">
        <v>1.8599999999999999E-4</v>
      </c>
    </row>
    <row r="2573" spans="3:46" x14ac:dyDescent="0.15">
      <c r="C2573" s="76">
        <v>718</v>
      </c>
      <c r="D2573" s="76">
        <v>2.65E-5</v>
      </c>
      <c r="E2573" s="76">
        <v>1.9700000000000002E-6</v>
      </c>
      <c r="F2573" s="76">
        <v>2.76E-5</v>
      </c>
      <c r="G2573" s="76">
        <v>3.4100000000000002E-5</v>
      </c>
      <c r="H2573" s="76">
        <v>1.8700000000000001E-5</v>
      </c>
      <c r="I2573" s="76">
        <v>5.0099999999999998E-5</v>
      </c>
      <c r="J2573" s="76">
        <v>2.5099999999999998E-4</v>
      </c>
      <c r="K2573" s="76">
        <v>1.3300000000000001E-4</v>
      </c>
      <c r="L2573" s="76">
        <v>1.7200000000000001E-4</v>
      </c>
      <c r="M2573" s="76">
        <v>9.87E-5</v>
      </c>
    </row>
    <row r="2574" spans="3:46" x14ac:dyDescent="0.15">
      <c r="C2574" s="76">
        <v>720</v>
      </c>
      <c r="D2574" s="76">
        <v>1.9300000000000002E-5</v>
      </c>
      <c r="E2574" s="76">
        <v>1.11E-5</v>
      </c>
      <c r="F2574" s="76">
        <v>2.5700000000000001E-5</v>
      </c>
      <c r="G2574" s="76">
        <v>4.1300000000000001E-5</v>
      </c>
      <c r="H2574" s="76">
        <v>2.6400000000000001E-5</v>
      </c>
      <c r="I2574" s="76">
        <v>2.8900000000000001E-5</v>
      </c>
      <c r="J2574" s="76">
        <v>2.05E-4</v>
      </c>
      <c r="K2574" s="76">
        <v>9.1000000000000003E-5</v>
      </c>
      <c r="L2574" s="76">
        <v>8.3100000000000001E-5</v>
      </c>
      <c r="M2574" s="76">
        <v>1.6200000000000001E-4</v>
      </c>
    </row>
    <row r="2575" spans="3:46" x14ac:dyDescent="0.15">
      <c r="C2575" s="81">
        <v>722</v>
      </c>
      <c r="D2575" s="76">
        <v>1.95E-5</v>
      </c>
      <c r="E2575" s="76">
        <v>1.6099999999999998E-5</v>
      </c>
      <c r="F2575" s="76">
        <v>2.3799999999999999E-5</v>
      </c>
      <c r="G2575" s="76">
        <v>4.9200000000000003E-5</v>
      </c>
      <c r="H2575" s="81">
        <v>4.0599999999999998E-5</v>
      </c>
      <c r="I2575" s="76">
        <v>5.2099999999999999E-5</v>
      </c>
      <c r="J2575" s="76">
        <v>1.8699999999999999E-4</v>
      </c>
      <c r="K2575" s="76">
        <v>1.6799999999999999E-4</v>
      </c>
      <c r="L2575" s="81">
        <v>7.7200000000000006E-5</v>
      </c>
      <c r="M2575" s="76">
        <v>9.4900000000000003E-5</v>
      </c>
      <c r="N2575" s="81"/>
      <c r="T2575" s="81"/>
      <c r="W2575" s="81"/>
      <c r="AG2575" s="81"/>
      <c r="AT2575" s="81"/>
    </row>
    <row r="2576" spans="3:46" x14ac:dyDescent="0.15">
      <c r="C2576" s="81">
        <v>724</v>
      </c>
      <c r="D2576" s="76">
        <v>1.5999999999999999E-5</v>
      </c>
      <c r="E2576" s="76">
        <v>1.29E-5</v>
      </c>
      <c r="F2576" s="76">
        <v>0</v>
      </c>
      <c r="G2576" s="76">
        <v>8.9599999999999996E-5</v>
      </c>
      <c r="H2576" s="81">
        <v>6.1799999999999998E-5</v>
      </c>
      <c r="I2576" s="76">
        <v>6.9499999999999995E-5</v>
      </c>
      <c r="J2576" s="76">
        <v>2.05E-4</v>
      </c>
      <c r="K2576" s="76">
        <v>2.1100000000000001E-4</v>
      </c>
      <c r="L2576" s="81">
        <v>8.8999999999999995E-5</v>
      </c>
      <c r="M2576" s="76">
        <v>1.17E-4</v>
      </c>
      <c r="N2576" s="81"/>
      <c r="T2576" s="81"/>
      <c r="W2576" s="81"/>
      <c r="AG2576" s="81"/>
      <c r="AT2576" s="81"/>
    </row>
    <row r="2577" spans="3:56" x14ac:dyDescent="0.15">
      <c r="C2577" s="81">
        <v>726</v>
      </c>
      <c r="D2577" s="76">
        <v>1.7099999999999999E-5</v>
      </c>
      <c r="E2577" s="76">
        <v>1.08E-5</v>
      </c>
      <c r="F2577" s="76">
        <v>2.4600000000000002E-5</v>
      </c>
      <c r="G2577" s="76">
        <v>5.2500000000000002E-5</v>
      </c>
      <c r="H2577" s="81">
        <v>5.52E-5</v>
      </c>
      <c r="I2577" s="76">
        <v>6.3499999999999999E-5</v>
      </c>
      <c r="J2577" s="76">
        <v>2.4399999999999999E-4</v>
      </c>
      <c r="K2577" s="76">
        <v>1.9799999999999999E-4</v>
      </c>
      <c r="L2577" s="81">
        <v>1.2E-4</v>
      </c>
      <c r="M2577" s="76">
        <v>1.5100000000000001E-4</v>
      </c>
      <c r="N2577" s="81"/>
      <c r="T2577" s="81"/>
      <c r="W2577" s="81"/>
      <c r="AG2577" s="81"/>
      <c r="AT2577" s="81"/>
    </row>
    <row r="2578" spans="3:56" x14ac:dyDescent="0.15">
      <c r="C2578" s="81">
        <v>728</v>
      </c>
      <c r="D2578" s="76">
        <v>1.3699999999999999E-5</v>
      </c>
      <c r="E2578" s="76">
        <v>1.31E-5</v>
      </c>
      <c r="F2578" s="76">
        <v>5.5899999999999997E-5</v>
      </c>
      <c r="G2578" s="76">
        <v>6.4200000000000002E-5</v>
      </c>
      <c r="H2578" s="81">
        <v>5.8900000000000002E-5</v>
      </c>
      <c r="I2578" s="76">
        <v>1.73E-5</v>
      </c>
      <c r="J2578" s="76">
        <v>1.36E-4</v>
      </c>
      <c r="K2578" s="76">
        <v>1.11E-4</v>
      </c>
      <c r="L2578" s="81">
        <v>5.9599999999999999E-5</v>
      </c>
      <c r="M2578" s="76">
        <v>7.5900000000000002E-5</v>
      </c>
      <c r="N2578" s="81"/>
      <c r="T2578" s="81"/>
      <c r="W2578" s="81"/>
      <c r="AG2578" s="81"/>
      <c r="AT2578" s="81"/>
    </row>
    <row r="2579" spans="3:56" x14ac:dyDescent="0.15">
      <c r="C2579" s="81">
        <v>730</v>
      </c>
      <c r="D2579" s="76">
        <v>1.3200000000000001E-5</v>
      </c>
      <c r="E2579" s="76">
        <v>2.4199999999999999E-5</v>
      </c>
      <c r="F2579" s="76">
        <v>3.8099999999999998E-5</v>
      </c>
      <c r="G2579" s="76">
        <v>5.5899999999999997E-5</v>
      </c>
      <c r="H2579" s="81">
        <v>1.7200000000000001E-5</v>
      </c>
      <c r="I2579" s="76">
        <v>2.27E-5</v>
      </c>
      <c r="J2579" s="76">
        <v>2.3499999999999999E-4</v>
      </c>
      <c r="K2579" s="76">
        <v>1.44E-4</v>
      </c>
      <c r="L2579" s="81">
        <v>2.3799999999999999E-5</v>
      </c>
      <c r="M2579" s="76">
        <v>9.0699999999999996E-5</v>
      </c>
      <c r="N2579" s="81"/>
      <c r="T2579" s="81"/>
      <c r="W2579" s="81"/>
      <c r="AG2579" s="81"/>
      <c r="AT2579" s="81"/>
    </row>
    <row r="2580" spans="3:56" x14ac:dyDescent="0.15">
      <c r="C2580" s="81">
        <v>732</v>
      </c>
      <c r="D2580" s="76">
        <v>1.5400000000000002E-5</v>
      </c>
      <c r="E2580" s="76">
        <v>1.4E-5</v>
      </c>
      <c r="F2580" s="76">
        <v>3.3300000000000003E-5</v>
      </c>
      <c r="G2580" s="76">
        <v>6.3299999999999994E-5</v>
      </c>
      <c r="H2580" s="81">
        <v>5.9700000000000001E-5</v>
      </c>
      <c r="I2580" s="76">
        <v>8.1000000000000004E-5</v>
      </c>
      <c r="J2580" s="76">
        <v>1.92E-4</v>
      </c>
      <c r="K2580" s="76">
        <v>1.6000000000000001E-4</v>
      </c>
      <c r="L2580" s="81">
        <v>3.3099999999999998E-5</v>
      </c>
      <c r="M2580" s="76">
        <v>1.1400000000000001E-4</v>
      </c>
      <c r="N2580" s="81"/>
      <c r="T2580" s="81"/>
      <c r="W2580" s="81"/>
      <c r="AG2580" s="81"/>
      <c r="AT2580" s="81"/>
    </row>
    <row r="2581" spans="3:56" x14ac:dyDescent="0.15">
      <c r="C2581" s="81">
        <v>734</v>
      </c>
      <c r="D2581" s="76">
        <v>1.08E-5</v>
      </c>
      <c r="E2581" s="76">
        <v>8.3900000000000006E-5</v>
      </c>
      <c r="F2581" s="76">
        <v>2.9099999999999999E-5</v>
      </c>
      <c r="G2581" s="76">
        <v>7.4999999999999993E-5</v>
      </c>
      <c r="H2581" s="81">
        <v>1.01E-4</v>
      </c>
      <c r="I2581" s="76">
        <v>3.43E-5</v>
      </c>
      <c r="J2581" s="76">
        <v>1.34E-4</v>
      </c>
      <c r="K2581" s="76">
        <v>1.54E-4</v>
      </c>
      <c r="L2581" s="81">
        <v>6.0100000000000001E-6</v>
      </c>
      <c r="M2581" s="76">
        <v>2.9E-5</v>
      </c>
      <c r="N2581" s="81"/>
      <c r="T2581" s="81"/>
      <c r="W2581" s="81"/>
      <c r="AG2581" s="81"/>
      <c r="AT2581" s="81"/>
    </row>
    <row r="2582" spans="3:56" x14ac:dyDescent="0.15">
      <c r="C2582" s="81">
        <v>736</v>
      </c>
      <c r="D2582" s="76">
        <v>1.4399999999999999E-5</v>
      </c>
      <c r="E2582" s="76">
        <v>3.1199999999999999E-5</v>
      </c>
      <c r="F2582" s="76">
        <v>2.9E-5</v>
      </c>
      <c r="G2582" s="76">
        <v>1.05E-4</v>
      </c>
      <c r="H2582" s="81">
        <v>7.5699999999999997E-5</v>
      </c>
      <c r="I2582" s="76">
        <v>1.26E-4</v>
      </c>
      <c r="J2582" s="76">
        <v>1.6200000000000001E-4</v>
      </c>
      <c r="K2582" s="76">
        <v>1.9000000000000001E-4</v>
      </c>
      <c r="L2582" s="81">
        <v>6.7100000000000001E-6</v>
      </c>
      <c r="M2582" s="76">
        <v>4.0500000000000002E-5</v>
      </c>
      <c r="N2582" s="81"/>
      <c r="T2582" s="81"/>
      <c r="W2582" s="81"/>
      <c r="AG2582" s="81"/>
      <c r="AT2582" s="81"/>
    </row>
    <row r="2583" spans="3:56" x14ac:dyDescent="0.15">
      <c r="C2583" s="81">
        <v>738</v>
      </c>
      <c r="D2583" s="76">
        <v>1.77E-5</v>
      </c>
      <c r="E2583" s="76">
        <v>4.2899999999999999E-5</v>
      </c>
      <c r="F2583" s="76">
        <v>3.65E-5</v>
      </c>
      <c r="G2583" s="76">
        <v>6.3800000000000006E-5</v>
      </c>
      <c r="H2583" s="81">
        <v>6.5699999999999998E-5</v>
      </c>
      <c r="I2583" s="76">
        <v>1.12E-4</v>
      </c>
      <c r="J2583" s="76">
        <v>1.35E-4</v>
      </c>
      <c r="K2583" s="76">
        <v>1.93E-4</v>
      </c>
      <c r="L2583" s="81">
        <v>1.0399999999999999E-4</v>
      </c>
      <c r="M2583" s="76">
        <v>2.4000000000000001E-5</v>
      </c>
      <c r="N2583" s="81"/>
      <c r="T2583" s="81"/>
      <c r="W2583" s="81"/>
      <c r="AG2583" s="81"/>
      <c r="AT2583" s="81"/>
    </row>
    <row r="2584" spans="3:56" x14ac:dyDescent="0.15">
      <c r="C2584" s="81">
        <v>740</v>
      </c>
      <c r="D2584" s="76">
        <v>1.3200000000000001E-5</v>
      </c>
      <c r="E2584" s="76">
        <v>4.7599999999999998E-5</v>
      </c>
      <c r="F2584" s="76">
        <v>4.7200000000000002E-5</v>
      </c>
      <c r="G2584" s="76">
        <v>5.6700000000000003E-5</v>
      </c>
      <c r="H2584" s="81">
        <v>1.03E-4</v>
      </c>
      <c r="I2584" s="76">
        <v>1.22E-4</v>
      </c>
      <c r="J2584" s="76">
        <v>1.66E-4</v>
      </c>
      <c r="K2584" s="76">
        <v>2.0000000000000001E-4</v>
      </c>
      <c r="L2584" s="81">
        <v>1.16E-4</v>
      </c>
      <c r="M2584" s="76">
        <v>0</v>
      </c>
      <c r="N2584" s="81"/>
      <c r="T2584" s="81"/>
      <c r="W2584" s="81"/>
      <c r="AG2584" s="81"/>
      <c r="AT2584" s="81"/>
    </row>
    <row r="2585" spans="3:56" x14ac:dyDescent="0.15">
      <c r="C2585" s="81">
        <v>742</v>
      </c>
      <c r="D2585" s="76">
        <v>1.11E-5</v>
      </c>
      <c r="E2585" s="76">
        <v>4.9799999999999998E-5</v>
      </c>
      <c r="F2585" s="76">
        <v>5.5999999999999999E-5</v>
      </c>
      <c r="G2585" s="76">
        <v>9.3200000000000002E-5</v>
      </c>
      <c r="H2585" s="81">
        <v>1.44E-4</v>
      </c>
      <c r="I2585" s="76">
        <v>9.59E-5</v>
      </c>
      <c r="J2585" s="76">
        <v>9.2899999999999995E-5</v>
      </c>
      <c r="K2585" s="76">
        <v>2.05E-4</v>
      </c>
      <c r="L2585" s="81">
        <v>1.2899999999999999E-4</v>
      </c>
      <c r="M2585" s="76">
        <v>1.2799999999999999E-5</v>
      </c>
      <c r="N2585" s="81"/>
      <c r="T2585" s="81"/>
      <c r="W2585" s="81"/>
      <c r="AG2585" s="81"/>
      <c r="AT2585" s="81"/>
    </row>
    <row r="2586" spans="3:56" x14ac:dyDescent="0.15">
      <c r="C2586" s="81">
        <v>744</v>
      </c>
      <c r="D2586" s="76">
        <v>8.8799999999999997E-6</v>
      </c>
      <c r="E2586" s="76">
        <v>5.6499999999999998E-5</v>
      </c>
      <c r="F2586" s="76">
        <v>3.6900000000000002E-5</v>
      </c>
      <c r="G2586" s="76">
        <v>6.3800000000000006E-5</v>
      </c>
      <c r="H2586" s="81">
        <v>7.36E-5</v>
      </c>
      <c r="I2586" s="76">
        <v>1.5100000000000001E-4</v>
      </c>
      <c r="J2586" s="76">
        <v>1.37E-4</v>
      </c>
      <c r="K2586" s="76">
        <v>2.0699999999999999E-4</v>
      </c>
      <c r="L2586" s="81">
        <v>1.47E-4</v>
      </c>
      <c r="M2586" s="76">
        <v>7.64E-5</v>
      </c>
      <c r="N2586" s="81"/>
      <c r="T2586" s="81"/>
      <c r="W2586" s="81"/>
      <c r="AG2586" s="81"/>
      <c r="AT2586" s="81"/>
    </row>
    <row r="2587" spans="3:56" x14ac:dyDescent="0.15">
      <c r="C2587" s="81">
        <v>746</v>
      </c>
      <c r="D2587" s="76">
        <v>9.8099999999999992E-6</v>
      </c>
      <c r="E2587" s="76">
        <v>6.5599999999999995E-5</v>
      </c>
      <c r="F2587" s="76">
        <v>6.4300000000000004E-5</v>
      </c>
      <c r="G2587" s="76">
        <v>5.8199999999999998E-5</v>
      </c>
      <c r="H2587" s="81">
        <v>8.25E-5</v>
      </c>
      <c r="I2587" s="76">
        <v>1.7200000000000001E-4</v>
      </c>
      <c r="J2587" s="76">
        <v>1.05E-4</v>
      </c>
      <c r="K2587" s="76">
        <v>2.04E-4</v>
      </c>
      <c r="L2587" s="81">
        <v>1.13E-4</v>
      </c>
      <c r="M2587" s="76">
        <v>1.17E-4</v>
      </c>
      <c r="N2587" s="81"/>
      <c r="T2587" s="81"/>
      <c r="W2587" s="81"/>
      <c r="AG2587" s="81"/>
      <c r="AT2587" s="81"/>
    </row>
    <row r="2588" spans="3:56" x14ac:dyDescent="0.15">
      <c r="C2588" s="81">
        <v>748</v>
      </c>
      <c r="D2588" s="76">
        <v>7.2599999999999999E-6</v>
      </c>
      <c r="E2588" s="76">
        <v>7.3499999999999998E-5</v>
      </c>
      <c r="F2588" s="76">
        <v>5.6100000000000002E-5</v>
      </c>
      <c r="G2588" s="76">
        <v>7.2000000000000002E-5</v>
      </c>
      <c r="H2588" s="81">
        <v>9.7600000000000001E-5</v>
      </c>
      <c r="I2588" s="76">
        <v>1.5899999999999999E-4</v>
      </c>
      <c r="J2588" s="76">
        <v>3.9900000000000001E-5</v>
      </c>
      <c r="K2588" s="76">
        <v>2.2599999999999999E-4</v>
      </c>
      <c r="L2588" s="81">
        <v>1.73E-4</v>
      </c>
      <c r="M2588" s="76">
        <v>6.5900000000000003E-5</v>
      </c>
      <c r="N2588" s="81"/>
      <c r="T2588" s="81"/>
      <c r="W2588" s="81"/>
      <c r="AG2588" s="81"/>
      <c r="AT2588" s="81"/>
    </row>
    <row r="2589" spans="3:56" x14ac:dyDescent="0.15">
      <c r="C2589" s="81">
        <v>750</v>
      </c>
      <c r="D2589" s="81">
        <v>8.2400000000000007E-6</v>
      </c>
      <c r="E2589" s="81">
        <v>5.3300000000000001E-5</v>
      </c>
      <c r="F2589" s="81">
        <v>5.3100000000000003E-5</v>
      </c>
      <c r="G2589" s="81">
        <v>1.03E-4</v>
      </c>
      <c r="H2589" s="81">
        <v>5.7000000000000003E-5</v>
      </c>
      <c r="I2589" s="81">
        <v>1.36E-4</v>
      </c>
      <c r="J2589" s="81">
        <v>1.13E-4</v>
      </c>
      <c r="K2589" s="81">
        <v>1.9599999999999999E-4</v>
      </c>
      <c r="L2589" s="81">
        <v>1.4999999999999999E-4</v>
      </c>
      <c r="M2589" s="81">
        <v>3.5299999999999997E-5</v>
      </c>
      <c r="N2589" s="81"/>
      <c r="O2589" s="81"/>
      <c r="P2589" s="81"/>
      <c r="Q2589" s="81"/>
      <c r="R2589" s="81"/>
      <c r="S2589" s="81"/>
      <c r="T2589" s="81"/>
      <c r="U2589" s="81"/>
      <c r="V2589" s="81"/>
      <c r="W2589" s="81"/>
      <c r="X2589" s="81"/>
      <c r="Y2589" s="81"/>
      <c r="Z2589" s="81"/>
      <c r="AA2589" s="81"/>
      <c r="AB2589" s="81"/>
      <c r="AC2589" s="81"/>
      <c r="AD2589" s="81"/>
      <c r="AG2589" s="81"/>
      <c r="AH2589" s="81"/>
      <c r="AI2589" s="81"/>
      <c r="AJ2589" s="81"/>
      <c r="AK2589" s="81"/>
      <c r="AL2589" s="81"/>
      <c r="AM2589" s="81"/>
      <c r="AN2589" s="81"/>
      <c r="AO2589" s="81"/>
      <c r="AP2589" s="81"/>
      <c r="AQ2589" s="81"/>
      <c r="AT2589" s="81"/>
      <c r="AU2589" s="81"/>
      <c r="AV2589" s="81"/>
      <c r="AW2589" s="81"/>
      <c r="AX2589" s="81"/>
      <c r="AY2589" s="81"/>
      <c r="AZ2589" s="81"/>
      <c r="BA2589" s="81"/>
      <c r="BB2589" s="81"/>
      <c r="BC2589" s="81"/>
      <c r="BD2589" s="81"/>
    </row>
    <row r="2590" spans="3:56" x14ac:dyDescent="0.15">
      <c r="C2590" s="81">
        <v>752</v>
      </c>
      <c r="D2590" s="76">
        <v>9.7699999999999996E-6</v>
      </c>
      <c r="E2590" s="76">
        <v>6.1299999999999999E-5</v>
      </c>
      <c r="F2590" s="76">
        <v>5.6900000000000001E-5</v>
      </c>
      <c r="G2590" s="76">
        <v>1.15E-4</v>
      </c>
      <c r="H2590" s="81">
        <v>1.05E-4</v>
      </c>
      <c r="I2590" s="76">
        <v>2.14E-4</v>
      </c>
      <c r="J2590" s="76">
        <v>8.1799999999999996E-5</v>
      </c>
      <c r="K2590" s="76">
        <v>2.0799999999999999E-4</v>
      </c>
      <c r="L2590" s="81">
        <v>1.9900000000000001E-4</v>
      </c>
      <c r="M2590" s="76">
        <v>6.1299999999999999E-5</v>
      </c>
      <c r="N2590" s="81"/>
      <c r="T2590" s="81"/>
      <c r="W2590" s="81"/>
      <c r="AG2590" s="81"/>
      <c r="AT2590" s="81"/>
    </row>
    <row r="2591" spans="3:56" x14ac:dyDescent="0.15">
      <c r="C2591" s="76">
        <v>754</v>
      </c>
      <c r="D2591" s="76">
        <v>1.1399999999999999E-5</v>
      </c>
      <c r="E2591" s="76">
        <v>6.1400000000000002E-5</v>
      </c>
      <c r="F2591" s="76">
        <v>7.3200000000000004E-5</v>
      </c>
      <c r="G2591" s="76">
        <v>9.3300000000000005E-5</v>
      </c>
      <c r="H2591" s="76">
        <v>1.15E-4</v>
      </c>
      <c r="I2591" s="76">
        <v>1.9900000000000001E-4</v>
      </c>
      <c r="J2591" s="76">
        <v>5.5899999999999997E-5</v>
      </c>
      <c r="K2591" s="76">
        <v>2.2000000000000001E-4</v>
      </c>
      <c r="L2591" s="76">
        <v>2.7799999999999998E-4</v>
      </c>
      <c r="M2591" s="76">
        <v>1.77E-5</v>
      </c>
    </row>
    <row r="2592" spans="3:56" x14ac:dyDescent="0.15">
      <c r="C2592" s="76">
        <v>756</v>
      </c>
      <c r="D2592" s="76">
        <v>1.04E-5</v>
      </c>
      <c r="E2592" s="76">
        <v>4.7700000000000001E-5</v>
      </c>
      <c r="F2592" s="76">
        <v>8.5599999999999994E-5</v>
      </c>
      <c r="G2592" s="76">
        <v>9.1100000000000005E-5</v>
      </c>
      <c r="H2592" s="76">
        <v>3.1199999999999999E-5</v>
      </c>
      <c r="I2592" s="76">
        <v>1.8100000000000001E-4</v>
      </c>
      <c r="J2592" s="76">
        <v>9.6199999999999994E-5</v>
      </c>
      <c r="K2592" s="76">
        <v>1.9599999999999999E-4</v>
      </c>
      <c r="L2592" s="76">
        <v>3.19E-4</v>
      </c>
      <c r="M2592" s="76">
        <v>6.3700000000000003E-5</v>
      </c>
    </row>
    <row r="2593" spans="2:13" x14ac:dyDescent="0.15">
      <c r="C2593" s="76">
        <v>758</v>
      </c>
      <c r="D2593" s="76">
        <v>1.19E-5</v>
      </c>
      <c r="E2593" s="76">
        <v>4.5399999999999999E-5</v>
      </c>
      <c r="F2593" s="76">
        <v>1.0399999999999999E-4</v>
      </c>
      <c r="G2593" s="76">
        <v>9.6199999999999994E-5</v>
      </c>
      <c r="H2593" s="76">
        <v>8.3599999999999999E-5</v>
      </c>
      <c r="I2593" s="76">
        <v>2.03E-4</v>
      </c>
      <c r="J2593" s="76">
        <v>1.2099999999999999E-5</v>
      </c>
      <c r="K2593" s="76">
        <v>2.7399999999999999E-4</v>
      </c>
      <c r="L2593" s="76">
        <v>2.5099999999999998E-4</v>
      </c>
      <c r="M2593" s="76">
        <v>1.27E-4</v>
      </c>
    </row>
    <row r="2594" spans="2:13" x14ac:dyDescent="0.15">
      <c r="C2594" s="76">
        <v>760</v>
      </c>
      <c r="D2594" s="76">
        <v>3.9600000000000002E-6</v>
      </c>
      <c r="E2594" s="76">
        <v>5.0099999999999998E-5</v>
      </c>
      <c r="F2594" s="76">
        <v>1.03E-4</v>
      </c>
      <c r="G2594" s="76">
        <v>2.7399999999999999E-5</v>
      </c>
      <c r="H2594" s="76">
        <v>8.0699999999999996E-5</v>
      </c>
      <c r="I2594" s="76">
        <v>1.8100000000000001E-4</v>
      </c>
      <c r="J2594" s="76">
        <v>1.8199999999999999E-5</v>
      </c>
      <c r="K2594" s="76">
        <v>2.5599999999999999E-4</v>
      </c>
      <c r="L2594" s="76">
        <v>2.9799999999999998E-4</v>
      </c>
      <c r="M2594" s="76">
        <v>1.47E-4</v>
      </c>
    </row>
    <row r="2595" spans="2:13" x14ac:dyDescent="0.15">
      <c r="C2595" s="76">
        <v>762</v>
      </c>
      <c r="D2595" s="76">
        <v>1.27E-5</v>
      </c>
      <c r="E2595" s="76">
        <v>3.9799999999999998E-5</v>
      </c>
      <c r="F2595" s="76">
        <v>9.2E-5</v>
      </c>
      <c r="G2595" s="76">
        <v>2.12E-4</v>
      </c>
      <c r="H2595" s="76">
        <v>2.7399999999999999E-5</v>
      </c>
      <c r="I2595" s="76">
        <v>1.9599999999999999E-4</v>
      </c>
      <c r="J2595" s="76">
        <v>7.8200000000000003E-5</v>
      </c>
      <c r="K2595" s="76">
        <v>2.33E-4</v>
      </c>
      <c r="L2595" s="76">
        <v>2.5700000000000001E-4</v>
      </c>
      <c r="M2595" s="76">
        <v>1.55E-4</v>
      </c>
    </row>
    <row r="2596" spans="2:13" x14ac:dyDescent="0.15">
      <c r="C2596" s="76">
        <v>764</v>
      </c>
      <c r="D2596" s="76">
        <v>1.7200000000000001E-5</v>
      </c>
      <c r="E2596" s="76">
        <v>3.5099999999999999E-5</v>
      </c>
      <c r="F2596" s="76">
        <v>8.5400000000000002E-5</v>
      </c>
      <c r="G2596" s="76">
        <v>1E-4</v>
      </c>
      <c r="H2596" s="76">
        <v>3.4E-5</v>
      </c>
      <c r="I2596" s="76">
        <v>1.7100000000000001E-4</v>
      </c>
      <c r="J2596" s="76">
        <v>5.9200000000000002E-5</v>
      </c>
      <c r="K2596" s="76">
        <v>1.93E-4</v>
      </c>
      <c r="L2596" s="76">
        <v>3.4000000000000002E-4</v>
      </c>
      <c r="M2596" s="76">
        <v>1.08E-4</v>
      </c>
    </row>
    <row r="2597" spans="2:13" x14ac:dyDescent="0.15">
      <c r="C2597" s="76">
        <v>766</v>
      </c>
      <c r="D2597" s="76">
        <v>2.2500000000000001E-5</v>
      </c>
      <c r="E2597" s="76">
        <v>4.07E-5</v>
      </c>
      <c r="F2597" s="76">
        <v>7.9200000000000001E-5</v>
      </c>
      <c r="G2597" s="76">
        <v>8.8499999999999996E-5</v>
      </c>
      <c r="H2597" s="76">
        <v>2.8200000000000001E-5</v>
      </c>
      <c r="I2597" s="76">
        <v>1.5200000000000001E-4</v>
      </c>
      <c r="J2597" s="76">
        <v>7.4599999999999997E-5</v>
      </c>
      <c r="K2597" s="76">
        <v>1.4799999999999999E-4</v>
      </c>
      <c r="L2597" s="76">
        <v>2.3599999999999999E-4</v>
      </c>
      <c r="M2597" s="76">
        <v>1.1900000000000001E-4</v>
      </c>
    </row>
    <row r="2598" spans="2:13" x14ac:dyDescent="0.15">
      <c r="C2598" s="76">
        <v>768</v>
      </c>
      <c r="D2598" s="76">
        <v>6.4300000000000003E-6</v>
      </c>
      <c r="E2598" s="76">
        <v>2.0800000000000001E-5</v>
      </c>
      <c r="F2598" s="76">
        <v>8.2600000000000002E-5</v>
      </c>
      <c r="G2598" s="76">
        <v>8.9499999999999994E-5</v>
      </c>
      <c r="H2598" s="76">
        <v>2.8799999999999999E-5</v>
      </c>
      <c r="I2598" s="76">
        <v>1.66E-4</v>
      </c>
      <c r="J2598" s="76">
        <v>1.2999999999999999E-5</v>
      </c>
      <c r="K2598" s="76">
        <v>1.5799999999999999E-4</v>
      </c>
      <c r="L2598" s="76">
        <v>2.4000000000000001E-4</v>
      </c>
      <c r="M2598" s="76">
        <v>1.8100000000000001E-4</v>
      </c>
    </row>
    <row r="2599" spans="2:13" x14ac:dyDescent="0.15">
      <c r="C2599" s="76">
        <v>770</v>
      </c>
      <c r="D2599" s="76">
        <v>4.2799999999999997E-5</v>
      </c>
      <c r="E2599" s="76">
        <v>2.8500000000000002E-5</v>
      </c>
      <c r="F2599" s="76">
        <v>8.3700000000000002E-5</v>
      </c>
      <c r="G2599" s="76">
        <v>8.8599999999999999E-5</v>
      </c>
      <c r="H2599" s="76">
        <v>3.6399999999999997E-5</v>
      </c>
      <c r="I2599" s="76">
        <v>1.7200000000000001E-4</v>
      </c>
      <c r="J2599" s="76">
        <v>4.0099999999999999E-5</v>
      </c>
      <c r="K2599" s="76">
        <v>1.74E-4</v>
      </c>
      <c r="L2599" s="76">
        <v>2.34E-4</v>
      </c>
      <c r="M2599" s="76">
        <v>2.0799999999999999E-4</v>
      </c>
    </row>
    <row r="2600" spans="2:13" x14ac:dyDescent="0.15">
      <c r="C2600" s="76">
        <v>772</v>
      </c>
      <c r="D2600" s="76">
        <v>2.97E-5</v>
      </c>
      <c r="E2600" s="76">
        <v>2.0999999999999999E-5</v>
      </c>
      <c r="F2600" s="76">
        <v>9.2200000000000005E-5</v>
      </c>
      <c r="G2600" s="76">
        <v>8.9599999999999996E-5</v>
      </c>
      <c r="H2600" s="76">
        <v>0</v>
      </c>
      <c r="I2600" s="76">
        <v>1.15E-4</v>
      </c>
      <c r="J2600" s="76">
        <v>1.2799999999999999E-4</v>
      </c>
      <c r="K2600" s="76">
        <v>1.06E-4</v>
      </c>
      <c r="L2600" s="76">
        <v>2.34E-4</v>
      </c>
      <c r="M2600" s="76">
        <v>1.55E-4</v>
      </c>
    </row>
    <row r="2601" spans="2:13" x14ac:dyDescent="0.15">
      <c r="C2601" s="76">
        <v>774</v>
      </c>
      <c r="D2601" s="76">
        <v>2.72E-5</v>
      </c>
      <c r="E2601" s="76">
        <v>2.8E-5</v>
      </c>
      <c r="F2601" s="76">
        <v>6.5900000000000003E-5</v>
      </c>
      <c r="G2601" s="76">
        <v>7.2600000000000003E-5</v>
      </c>
      <c r="H2601" s="76">
        <v>5.5300000000000004E-6</v>
      </c>
      <c r="I2601" s="76">
        <v>1.07E-4</v>
      </c>
      <c r="J2601" s="76">
        <v>2.1100000000000001E-5</v>
      </c>
      <c r="K2601" s="76">
        <v>1.2400000000000001E-4</v>
      </c>
      <c r="L2601" s="76">
        <v>2.81E-4</v>
      </c>
      <c r="M2601" s="76">
        <v>2.8600000000000001E-4</v>
      </c>
    </row>
    <row r="2602" spans="2:13" x14ac:dyDescent="0.15">
      <c r="C2602" s="76">
        <v>776</v>
      </c>
      <c r="D2602" s="76">
        <v>2.3600000000000001E-5</v>
      </c>
      <c r="E2602" s="76">
        <v>8.3999999999999992E-6</v>
      </c>
      <c r="F2602" s="76">
        <v>6.1099999999999994E-5</v>
      </c>
      <c r="G2602" s="76">
        <v>8.7700000000000004E-5</v>
      </c>
      <c r="H2602" s="76">
        <v>6.2600000000000002E-7</v>
      </c>
      <c r="I2602" s="76">
        <v>2.3000000000000001E-4</v>
      </c>
      <c r="J2602" s="76">
        <v>2.6400000000000001E-5</v>
      </c>
      <c r="K2602" s="76">
        <v>1.6000000000000001E-4</v>
      </c>
      <c r="L2602" s="76">
        <v>2.0699999999999999E-4</v>
      </c>
      <c r="M2602" s="76">
        <v>2.0699999999999999E-4</v>
      </c>
    </row>
    <row r="2603" spans="2:13" x14ac:dyDescent="0.15">
      <c r="C2603" s="76">
        <v>778</v>
      </c>
      <c r="D2603" s="76">
        <v>2.4899999999999999E-5</v>
      </c>
      <c r="E2603" s="76">
        <v>5.5799999999999999E-6</v>
      </c>
      <c r="F2603" s="76">
        <v>4.5000000000000003E-5</v>
      </c>
      <c r="G2603" s="76">
        <v>5.4599999999999999E-5</v>
      </c>
      <c r="H2603" s="76">
        <v>1.29E-5</v>
      </c>
      <c r="I2603" s="76">
        <v>1.5899999999999999E-4</v>
      </c>
      <c r="J2603" s="76">
        <v>2.2799999999999999E-5</v>
      </c>
      <c r="K2603" s="76">
        <v>2.14E-4</v>
      </c>
      <c r="L2603" s="76">
        <v>5.9200000000000002E-5</v>
      </c>
      <c r="M2603" s="76">
        <v>2.5300000000000002E-4</v>
      </c>
    </row>
    <row r="2604" spans="2:13" x14ac:dyDescent="0.15">
      <c r="C2604" s="76">
        <v>780</v>
      </c>
      <c r="D2604" s="76">
        <v>3.0499999999999999E-5</v>
      </c>
      <c r="E2604" s="120">
        <v>1.3200000000000001E-6</v>
      </c>
      <c r="F2604" s="76">
        <v>7.8499999999999997E-5</v>
      </c>
      <c r="G2604" s="76">
        <v>8.6700000000000007E-5</v>
      </c>
      <c r="H2604" s="76">
        <v>1.7799999999999999E-5</v>
      </c>
      <c r="I2604" s="76">
        <v>1.37E-4</v>
      </c>
      <c r="J2604" s="76">
        <v>4.46E-5</v>
      </c>
      <c r="K2604" s="76">
        <v>1.02E-4</v>
      </c>
      <c r="L2604" s="76">
        <v>1.16E-4</v>
      </c>
      <c r="M2604" s="76">
        <v>3.9399999999999998E-4</v>
      </c>
    </row>
    <row r="2605" spans="2:13" x14ac:dyDescent="0.15">
      <c r="B2605" s="76">
        <v>33</v>
      </c>
      <c r="C2605" s="76" t="s">
        <v>561</v>
      </c>
      <c r="D2605" s="76">
        <v>1</v>
      </c>
      <c r="E2605" s="76">
        <v>2</v>
      </c>
      <c r="F2605" s="76">
        <v>3</v>
      </c>
      <c r="G2605" s="76">
        <v>4</v>
      </c>
      <c r="H2605" s="76">
        <v>5</v>
      </c>
      <c r="I2605" s="76">
        <v>6</v>
      </c>
      <c r="J2605" s="76">
        <v>7</v>
      </c>
      <c r="K2605" s="76">
        <v>8</v>
      </c>
      <c r="L2605" s="76">
        <v>9</v>
      </c>
      <c r="M2605" s="76">
        <v>10</v>
      </c>
    </row>
    <row r="2606" spans="2:13" x14ac:dyDescent="0.15">
      <c r="C2606" s="76" t="s">
        <v>556</v>
      </c>
      <c r="D2606" s="76">
        <v>3.5670000000000002</v>
      </c>
      <c r="E2606" s="76">
        <v>3.702</v>
      </c>
      <c r="F2606" s="76">
        <v>3.7970000000000002</v>
      </c>
      <c r="G2606" s="76">
        <v>3.875</v>
      </c>
      <c r="H2606" s="76">
        <v>3.9420000000000002</v>
      </c>
      <c r="I2606" s="76">
        <v>4.0010000000000003</v>
      </c>
      <c r="J2606" s="76">
        <v>4.056</v>
      </c>
      <c r="K2606" s="76">
        <v>4.1050000000000004</v>
      </c>
      <c r="L2606" s="76">
        <v>4.1509999999999998</v>
      </c>
      <c r="M2606" s="76">
        <v>4.1950000000000003</v>
      </c>
    </row>
    <row r="2607" spans="2:13" x14ac:dyDescent="0.15">
      <c r="C2607" s="76" t="s">
        <v>562</v>
      </c>
      <c r="D2607" s="76">
        <v>0.08</v>
      </c>
      <c r="E2607" s="76">
        <v>0.16</v>
      </c>
      <c r="F2607" s="76">
        <v>0.24</v>
      </c>
      <c r="G2607" s="76">
        <v>0.32</v>
      </c>
      <c r="H2607" s="76">
        <v>0.4</v>
      </c>
      <c r="I2607" s="76">
        <v>0.48</v>
      </c>
      <c r="J2607" s="76">
        <v>0.56000000000000005</v>
      </c>
      <c r="K2607" s="76">
        <v>0.64</v>
      </c>
      <c r="L2607" s="76">
        <v>0.72</v>
      </c>
      <c r="M2607" s="76">
        <v>0.8</v>
      </c>
    </row>
    <row r="2608" spans="2:13" x14ac:dyDescent="0.15">
      <c r="C2608" s="76" t="s">
        <v>557</v>
      </c>
      <c r="D2608" s="76">
        <v>2</v>
      </c>
      <c r="E2608" s="76">
        <v>4</v>
      </c>
      <c r="F2608" s="76">
        <v>6</v>
      </c>
      <c r="G2608" s="76">
        <v>8</v>
      </c>
      <c r="H2608" s="76">
        <v>10</v>
      </c>
      <c r="I2608" s="76">
        <v>12</v>
      </c>
      <c r="J2608" s="76">
        <v>14</v>
      </c>
      <c r="K2608" s="76">
        <v>16</v>
      </c>
      <c r="L2608" s="76">
        <v>18</v>
      </c>
      <c r="M2608" s="76">
        <v>20</v>
      </c>
    </row>
    <row r="2609" spans="3:13" x14ac:dyDescent="0.15">
      <c r="C2609" s="76" t="s">
        <v>560</v>
      </c>
      <c r="D2609" s="76">
        <v>8.2690000000000001</v>
      </c>
      <c r="E2609" s="76">
        <v>8.4280000000000008</v>
      </c>
      <c r="F2609" s="76">
        <v>8.4390000000000001</v>
      </c>
      <c r="G2609" s="76">
        <v>8.4260000000000002</v>
      </c>
      <c r="H2609" s="76">
        <v>8.4009999999999998</v>
      </c>
      <c r="I2609" s="76">
        <v>8.391</v>
      </c>
      <c r="J2609" s="76">
        <v>8.3569999999999993</v>
      </c>
      <c r="K2609" s="76">
        <v>8.3249999999999993</v>
      </c>
      <c r="L2609" s="76">
        <v>8.3109999999999999</v>
      </c>
      <c r="M2609" s="76">
        <v>8.2899999999999991</v>
      </c>
    </row>
    <row r="2610" spans="3:13" x14ac:dyDescent="0.15">
      <c r="C2610" s="76" t="s">
        <v>563</v>
      </c>
      <c r="D2610" s="76">
        <v>7.2830899999999996</v>
      </c>
      <c r="E2610" s="76">
        <v>7.152272</v>
      </c>
      <c r="F2610" s="76">
        <v>6.9820669999999998</v>
      </c>
      <c r="G2610" s="76">
        <v>6.83155</v>
      </c>
      <c r="H2610" s="76">
        <v>6.6957209999999998</v>
      </c>
      <c r="I2610" s="76">
        <v>6.5881480000000003</v>
      </c>
      <c r="J2610" s="76">
        <v>6.4731810000000003</v>
      </c>
      <c r="K2610" s="76">
        <v>6.3706079999999998</v>
      </c>
      <c r="L2610" s="76">
        <v>6.2896229999999997</v>
      </c>
      <c r="M2610" s="76">
        <v>6.2078309999999997</v>
      </c>
    </row>
    <row r="2611" spans="3:13" x14ac:dyDescent="0.15">
      <c r="C2611" s="76" t="s">
        <v>564</v>
      </c>
      <c r="D2611" s="76">
        <v>165.4</v>
      </c>
      <c r="E2611" s="76">
        <v>337.2</v>
      </c>
      <c r="F2611" s="76">
        <v>506.4</v>
      </c>
      <c r="G2611" s="76">
        <v>674.1</v>
      </c>
      <c r="H2611" s="76">
        <v>840.2</v>
      </c>
      <c r="I2611" s="76">
        <v>1007</v>
      </c>
      <c r="J2611" s="76">
        <v>1170</v>
      </c>
      <c r="K2611" s="76">
        <v>1332</v>
      </c>
      <c r="L2611" s="76">
        <v>1496</v>
      </c>
      <c r="M2611" s="76">
        <v>1658</v>
      </c>
    </row>
    <row r="2612" spans="3:13" x14ac:dyDescent="0.15">
      <c r="C2612" s="76" t="s">
        <v>565</v>
      </c>
      <c r="D2612" s="76">
        <v>165.4</v>
      </c>
      <c r="E2612" s="76">
        <v>337.2</v>
      </c>
      <c r="F2612" s="76">
        <v>506.4</v>
      </c>
      <c r="G2612" s="76">
        <v>674.1</v>
      </c>
      <c r="H2612" s="76">
        <v>840.2</v>
      </c>
      <c r="I2612" s="76">
        <v>1007</v>
      </c>
      <c r="J2612" s="76">
        <v>1170</v>
      </c>
      <c r="K2612" s="76">
        <v>1332</v>
      </c>
      <c r="L2612" s="76">
        <v>1496</v>
      </c>
      <c r="M2612" s="76">
        <v>1658</v>
      </c>
    </row>
    <row r="2613" spans="3:13" x14ac:dyDescent="0.15">
      <c r="C2613" s="76" t="s">
        <v>566</v>
      </c>
      <c r="D2613" s="76">
        <v>0.13539999999999999</v>
      </c>
      <c r="E2613" s="76">
        <v>0.1353</v>
      </c>
      <c r="F2613" s="76">
        <v>0.13539999999999999</v>
      </c>
      <c r="G2613" s="76">
        <v>0.13539999999999999</v>
      </c>
      <c r="H2613" s="76">
        <v>0.1353</v>
      </c>
      <c r="I2613" s="76">
        <v>0.1353</v>
      </c>
      <c r="J2613" s="76">
        <v>0.1353</v>
      </c>
      <c r="K2613" s="76">
        <v>0.1353</v>
      </c>
      <c r="L2613" s="76">
        <v>0.1353</v>
      </c>
      <c r="M2613" s="76">
        <v>0.13539999999999999</v>
      </c>
    </row>
    <row r="2614" spans="3:13" x14ac:dyDescent="0.15">
      <c r="C2614" s="76" t="s">
        <v>567</v>
      </c>
      <c r="D2614" s="76">
        <v>0.1183</v>
      </c>
      <c r="E2614" s="76">
        <v>0.1182</v>
      </c>
      <c r="F2614" s="76">
        <v>0.11799999999999999</v>
      </c>
      <c r="G2614" s="76">
        <v>0.1179</v>
      </c>
      <c r="H2614" s="76">
        <v>0.1178</v>
      </c>
      <c r="I2614" s="76">
        <v>0.1179</v>
      </c>
      <c r="J2614" s="76">
        <v>0.1178</v>
      </c>
      <c r="K2614" s="76">
        <v>0.1177</v>
      </c>
      <c r="L2614" s="76">
        <v>0.1177</v>
      </c>
      <c r="M2614" s="76">
        <v>0.1177</v>
      </c>
    </row>
    <row r="2615" spans="3:13" x14ac:dyDescent="0.15">
      <c r="C2615" s="76" t="s">
        <v>568</v>
      </c>
      <c r="D2615" s="76">
        <v>9.1385000000000005</v>
      </c>
      <c r="E2615" s="76">
        <v>9.3238000000000003</v>
      </c>
      <c r="F2615" s="76">
        <v>9.3309999999999995</v>
      </c>
      <c r="G2615" s="76">
        <v>9.3425999999999991</v>
      </c>
      <c r="H2615" s="76">
        <v>9.3152000000000008</v>
      </c>
      <c r="I2615" s="76">
        <v>9.2851999999999997</v>
      </c>
      <c r="J2615" s="76">
        <v>9.2719000000000005</v>
      </c>
      <c r="K2615" s="76">
        <v>9.2378</v>
      </c>
      <c r="L2615" s="76">
        <v>9.2240000000000002</v>
      </c>
      <c r="M2615" s="76">
        <v>9.1927000000000003</v>
      </c>
    </row>
    <row r="2616" spans="3:13" x14ac:dyDescent="0.15">
      <c r="C2616" s="76" t="s">
        <v>569</v>
      </c>
    </row>
    <row r="2617" spans="3:13" x14ac:dyDescent="0.15">
      <c r="C2617" s="76" t="s">
        <v>570</v>
      </c>
      <c r="D2617" s="76">
        <v>4</v>
      </c>
      <c r="E2617" s="76">
        <v>4</v>
      </c>
      <c r="F2617" s="76">
        <v>4</v>
      </c>
      <c r="G2617" s="76">
        <v>4</v>
      </c>
      <c r="H2617" s="76">
        <v>4</v>
      </c>
      <c r="I2617" s="76">
        <v>4</v>
      </c>
      <c r="J2617" s="76">
        <v>4</v>
      </c>
      <c r="K2617" s="76">
        <v>4</v>
      </c>
      <c r="L2617" s="76">
        <v>4</v>
      </c>
      <c r="M2617" s="76">
        <v>4</v>
      </c>
    </row>
    <row r="2618" spans="3:13" x14ac:dyDescent="0.15">
      <c r="C2618" s="76" t="s">
        <v>571</v>
      </c>
      <c r="D2618" s="76">
        <v>100</v>
      </c>
      <c r="E2618" s="76">
        <v>100</v>
      </c>
      <c r="F2618" s="76">
        <v>100</v>
      </c>
      <c r="G2618" s="76">
        <v>100</v>
      </c>
      <c r="H2618" s="76">
        <v>100</v>
      </c>
      <c r="I2618" s="76">
        <v>100</v>
      </c>
      <c r="J2618" s="76">
        <v>100</v>
      </c>
      <c r="K2618" s="76">
        <v>100</v>
      </c>
      <c r="L2618" s="76">
        <v>100</v>
      </c>
      <c r="M2618" s="76">
        <v>100</v>
      </c>
    </row>
    <row r="2619" spans="3:13" x14ac:dyDescent="0.15">
      <c r="C2619" s="76" t="s">
        <v>572</v>
      </c>
      <c r="D2619" s="76" t="s">
        <v>574</v>
      </c>
      <c r="E2619" s="76" t="s">
        <v>574</v>
      </c>
      <c r="F2619" s="76" t="s">
        <v>574</v>
      </c>
      <c r="G2619" s="76" t="s">
        <v>574</v>
      </c>
      <c r="H2619" s="76" t="s">
        <v>574</v>
      </c>
      <c r="I2619" s="76" t="s">
        <v>574</v>
      </c>
      <c r="J2619" s="76" t="s">
        <v>574</v>
      </c>
      <c r="K2619" s="76" t="s">
        <v>574</v>
      </c>
      <c r="L2619" s="76" t="s">
        <v>574</v>
      </c>
      <c r="M2619" s="76" t="s">
        <v>574</v>
      </c>
    </row>
    <row r="2620" spans="3:13" x14ac:dyDescent="0.15">
      <c r="C2620" s="76" t="s">
        <v>573</v>
      </c>
      <c r="D2620" s="76">
        <v>1</v>
      </c>
      <c r="E2620" s="76">
        <v>2</v>
      </c>
      <c r="F2620" s="76">
        <v>3</v>
      </c>
      <c r="G2620" s="76">
        <v>4</v>
      </c>
      <c r="H2620" s="76">
        <v>5</v>
      </c>
      <c r="I2620" s="76">
        <v>6</v>
      </c>
      <c r="J2620" s="76">
        <v>7</v>
      </c>
      <c r="K2620" s="76">
        <v>8</v>
      </c>
      <c r="L2620" s="76">
        <v>9</v>
      </c>
      <c r="M2620" s="76">
        <v>10</v>
      </c>
    </row>
    <row r="2621" spans="3:13" x14ac:dyDescent="0.15">
      <c r="C2621" s="76">
        <v>380</v>
      </c>
      <c r="D2621" s="76">
        <v>1.4799999999999999E-4</v>
      </c>
      <c r="E2621" s="76">
        <v>2.6400000000000002E-4</v>
      </c>
      <c r="F2621" s="76">
        <v>2.81E-4</v>
      </c>
      <c r="G2621" s="76">
        <v>4.0900000000000002E-4</v>
      </c>
      <c r="H2621" s="76">
        <v>7.0200000000000004E-4</v>
      </c>
      <c r="I2621" s="76">
        <v>6.1600000000000001E-4</v>
      </c>
      <c r="J2621" s="76">
        <v>1.4599999999999999E-3</v>
      </c>
      <c r="K2621" s="76">
        <v>8.9899999999999995E-4</v>
      </c>
      <c r="L2621" s="76">
        <v>6.2699999999999995E-4</v>
      </c>
      <c r="M2621" s="76">
        <v>1.8799999999999999E-3</v>
      </c>
    </row>
    <row r="2622" spans="3:13" x14ac:dyDescent="0.15">
      <c r="C2622" s="76">
        <v>382</v>
      </c>
      <c r="D2622" s="76">
        <v>1.7100000000000001E-4</v>
      </c>
      <c r="E2622" s="76">
        <v>3.57E-4</v>
      </c>
      <c r="F2622" s="76">
        <v>2.5999999999999998E-4</v>
      </c>
      <c r="G2622" s="76">
        <v>5.8500000000000002E-4</v>
      </c>
      <c r="H2622" s="76">
        <v>8.4900000000000004E-4</v>
      </c>
      <c r="I2622" s="76">
        <v>4.8500000000000003E-4</v>
      </c>
      <c r="J2622" s="76">
        <v>1.07E-3</v>
      </c>
      <c r="K2622" s="76">
        <v>1.0300000000000001E-3</v>
      </c>
      <c r="L2622" s="76">
        <v>8.2600000000000002E-4</v>
      </c>
      <c r="M2622" s="76">
        <v>1.4400000000000001E-3</v>
      </c>
    </row>
    <row r="2623" spans="3:13" x14ac:dyDescent="0.15">
      <c r="C2623" s="76">
        <v>384</v>
      </c>
      <c r="D2623" s="76">
        <v>1.55E-4</v>
      </c>
      <c r="E2623" s="76">
        <v>3.21E-4</v>
      </c>
      <c r="F2623" s="76">
        <v>1.76E-4</v>
      </c>
      <c r="G2623" s="76">
        <v>5.5699999999999999E-4</v>
      </c>
      <c r="H2623" s="76">
        <v>8.5499999999999997E-4</v>
      </c>
      <c r="I2623" s="76">
        <v>6.11E-4</v>
      </c>
      <c r="J2623" s="76">
        <v>1.07E-3</v>
      </c>
      <c r="K2623" s="76">
        <v>7.45E-4</v>
      </c>
      <c r="L2623" s="76">
        <v>8.3500000000000002E-4</v>
      </c>
      <c r="M2623" s="76">
        <v>1.6000000000000001E-3</v>
      </c>
    </row>
    <row r="2624" spans="3:13" x14ac:dyDescent="0.15">
      <c r="C2624" s="76">
        <v>386</v>
      </c>
      <c r="D2624" s="76">
        <v>1.27E-4</v>
      </c>
      <c r="E2624" s="76">
        <v>2.9700000000000001E-4</v>
      </c>
      <c r="F2624" s="76">
        <v>2.12E-4</v>
      </c>
      <c r="G2624" s="76">
        <v>5.1199999999999998E-4</v>
      </c>
      <c r="H2624" s="76">
        <v>7.6499999999999995E-4</v>
      </c>
      <c r="I2624" s="76">
        <v>8.34E-4</v>
      </c>
      <c r="J2624" s="76">
        <v>1.1000000000000001E-3</v>
      </c>
      <c r="K2624" s="76">
        <v>8.6300000000000005E-4</v>
      </c>
      <c r="L2624" s="76">
        <v>7.2599999999999997E-4</v>
      </c>
      <c r="M2624" s="76">
        <v>1.5399999999999999E-3</v>
      </c>
    </row>
    <row r="2625" spans="3:13" x14ac:dyDescent="0.15">
      <c r="C2625" s="76">
        <v>388</v>
      </c>
      <c r="D2625" s="76">
        <v>1.3100000000000001E-4</v>
      </c>
      <c r="E2625" s="76">
        <v>3.0600000000000001E-4</v>
      </c>
      <c r="F2625" s="76">
        <v>2.13E-4</v>
      </c>
      <c r="G2625" s="76">
        <v>5.9100000000000005E-4</v>
      </c>
      <c r="H2625" s="76">
        <v>8.1400000000000005E-4</v>
      </c>
      <c r="I2625" s="76">
        <v>8.1999999999999998E-4</v>
      </c>
      <c r="J2625" s="76">
        <v>1.0499999999999999E-3</v>
      </c>
      <c r="K2625" s="76">
        <v>1.0200000000000001E-3</v>
      </c>
      <c r="L2625" s="76">
        <v>1.2199999999999999E-3</v>
      </c>
      <c r="M2625" s="76">
        <v>1.2600000000000001E-3</v>
      </c>
    </row>
    <row r="2626" spans="3:13" x14ac:dyDescent="0.15">
      <c r="C2626" s="76">
        <v>390</v>
      </c>
      <c r="D2626" s="76">
        <v>1.4300000000000001E-4</v>
      </c>
      <c r="E2626" s="76">
        <v>2.5599999999999999E-4</v>
      </c>
      <c r="F2626" s="76">
        <v>2.5599999999999999E-4</v>
      </c>
      <c r="G2626" s="76">
        <v>5.6800000000000004E-4</v>
      </c>
      <c r="H2626" s="76">
        <v>7.6199999999999998E-4</v>
      </c>
      <c r="I2626" s="76">
        <v>6.7299999999999999E-4</v>
      </c>
      <c r="J2626" s="76">
        <v>9.77E-4</v>
      </c>
      <c r="K2626" s="76">
        <v>1.2600000000000001E-3</v>
      </c>
      <c r="L2626" s="76">
        <v>7.5299999999999998E-4</v>
      </c>
      <c r="M2626" s="76">
        <v>1.6199999999999999E-3</v>
      </c>
    </row>
    <row r="2627" spans="3:13" x14ac:dyDescent="0.15">
      <c r="C2627" s="76">
        <v>392</v>
      </c>
      <c r="D2627" s="76">
        <v>1.66E-4</v>
      </c>
      <c r="E2627" s="76">
        <v>2.3699999999999999E-4</v>
      </c>
      <c r="F2627" s="76">
        <v>3.2499999999999999E-4</v>
      </c>
      <c r="G2627" s="76">
        <v>6.8300000000000001E-4</v>
      </c>
      <c r="H2627" s="76">
        <v>7.6400000000000003E-4</v>
      </c>
      <c r="I2627" s="76">
        <v>6.0899999999999995E-4</v>
      </c>
      <c r="J2627" s="76">
        <v>1.15E-3</v>
      </c>
      <c r="K2627" s="76">
        <v>1.1999999999999999E-3</v>
      </c>
      <c r="L2627" s="76">
        <v>8.03E-4</v>
      </c>
      <c r="M2627" s="76">
        <v>1.64E-3</v>
      </c>
    </row>
    <row r="2628" spans="3:13" x14ac:dyDescent="0.15">
      <c r="C2628" s="76">
        <v>394</v>
      </c>
      <c r="D2628" s="76">
        <v>1.45E-4</v>
      </c>
      <c r="E2628" s="76">
        <v>2.22E-4</v>
      </c>
      <c r="F2628" s="76">
        <v>2.3900000000000001E-4</v>
      </c>
      <c r="G2628" s="76">
        <v>6.2799999999999998E-4</v>
      </c>
      <c r="H2628" s="76">
        <v>6.6500000000000001E-4</v>
      </c>
      <c r="I2628" s="76">
        <v>5.0299999999999997E-4</v>
      </c>
      <c r="J2628" s="76">
        <v>1.7600000000000001E-3</v>
      </c>
      <c r="K2628" s="76">
        <v>1.2800000000000001E-3</v>
      </c>
      <c r="L2628" s="76">
        <v>1E-3</v>
      </c>
      <c r="M2628" s="76">
        <v>1.31E-3</v>
      </c>
    </row>
    <row r="2629" spans="3:13" x14ac:dyDescent="0.15">
      <c r="C2629" s="76">
        <v>396</v>
      </c>
      <c r="D2629" s="76">
        <v>1.4200000000000001E-4</v>
      </c>
      <c r="E2629" s="76">
        <v>2.4399999999999999E-4</v>
      </c>
      <c r="F2629" s="76">
        <v>2.7099999999999997E-4</v>
      </c>
      <c r="G2629" s="76">
        <v>6.7299999999999999E-4</v>
      </c>
      <c r="H2629" s="76">
        <v>6.7599999999999995E-4</v>
      </c>
      <c r="I2629" s="76">
        <v>6.1399999999999996E-4</v>
      </c>
      <c r="J2629" s="76">
        <v>1.14E-3</v>
      </c>
      <c r="K2629" s="76">
        <v>1.25E-3</v>
      </c>
      <c r="L2629" s="76">
        <v>1.06E-3</v>
      </c>
      <c r="M2629" s="76">
        <v>1.3799999999999999E-3</v>
      </c>
    </row>
    <row r="2630" spans="3:13" x14ac:dyDescent="0.15">
      <c r="C2630" s="76">
        <v>398</v>
      </c>
      <c r="D2630" s="76">
        <v>1.5200000000000001E-4</v>
      </c>
      <c r="E2630" s="76">
        <v>2.61E-4</v>
      </c>
      <c r="F2630" s="76">
        <v>2.4699999999999999E-4</v>
      </c>
      <c r="G2630" s="76">
        <v>6.9999999999999999E-4</v>
      </c>
      <c r="H2630" s="76">
        <v>7.3200000000000001E-4</v>
      </c>
      <c r="I2630" s="76">
        <v>7.7899999999999996E-4</v>
      </c>
      <c r="J2630" s="76">
        <v>1.0499999999999999E-3</v>
      </c>
      <c r="K2630" s="76">
        <v>1.24E-3</v>
      </c>
      <c r="L2630" s="76">
        <v>1.07E-3</v>
      </c>
      <c r="M2630" s="76">
        <v>1.4300000000000001E-3</v>
      </c>
    </row>
    <row r="2631" spans="3:13" x14ac:dyDescent="0.15">
      <c r="C2631" s="76">
        <v>400</v>
      </c>
      <c r="D2631" s="76">
        <v>1.4799999999999999E-4</v>
      </c>
      <c r="E2631" s="76">
        <v>2.7700000000000001E-4</v>
      </c>
      <c r="F2631" s="76">
        <v>3.2400000000000001E-4</v>
      </c>
      <c r="G2631" s="76">
        <v>6.4999999999999997E-4</v>
      </c>
      <c r="H2631" s="76">
        <v>7.1199999999999996E-4</v>
      </c>
      <c r="I2631" s="76">
        <v>6.7000000000000002E-4</v>
      </c>
      <c r="J2631" s="76">
        <v>1.08E-3</v>
      </c>
      <c r="K2631" s="76">
        <v>1.1999999999999999E-3</v>
      </c>
      <c r="L2631" s="76">
        <v>1.15E-3</v>
      </c>
      <c r="M2631" s="76">
        <v>1.3500000000000001E-3</v>
      </c>
    </row>
    <row r="2632" spans="3:13" x14ac:dyDescent="0.15">
      <c r="C2632" s="76">
        <v>402</v>
      </c>
      <c r="D2632" s="76">
        <v>1.36E-4</v>
      </c>
      <c r="E2632" s="76">
        <v>2.9399999999999999E-4</v>
      </c>
      <c r="F2632" s="76">
        <v>3.0200000000000002E-4</v>
      </c>
      <c r="G2632" s="76">
        <v>6.5300000000000004E-4</v>
      </c>
      <c r="H2632" s="76">
        <v>7.1299999999999998E-4</v>
      </c>
      <c r="I2632" s="76">
        <v>7.4299999999999995E-4</v>
      </c>
      <c r="J2632" s="76">
        <v>9.8799999999999995E-4</v>
      </c>
      <c r="K2632" s="76">
        <v>1.2199999999999999E-3</v>
      </c>
      <c r="L2632" s="76">
        <v>1.1900000000000001E-3</v>
      </c>
      <c r="M2632" s="76">
        <v>1.4E-3</v>
      </c>
    </row>
    <row r="2633" spans="3:13" x14ac:dyDescent="0.15">
      <c r="C2633" s="76">
        <v>404</v>
      </c>
      <c r="D2633" s="76">
        <v>1.6000000000000001E-4</v>
      </c>
      <c r="E2633" s="76">
        <v>2.9300000000000002E-4</v>
      </c>
      <c r="F2633" s="76">
        <v>3.6200000000000002E-4</v>
      </c>
      <c r="G2633" s="76">
        <v>6.8599999999999998E-4</v>
      </c>
      <c r="H2633" s="76">
        <v>7.3300000000000004E-4</v>
      </c>
      <c r="I2633" s="76">
        <v>8.0599999999999997E-4</v>
      </c>
      <c r="J2633" s="76">
        <v>1.0399999999999999E-3</v>
      </c>
      <c r="K2633" s="76">
        <v>1.2700000000000001E-3</v>
      </c>
      <c r="L2633" s="76">
        <v>1.25E-3</v>
      </c>
      <c r="M2633" s="76">
        <v>1.47E-3</v>
      </c>
    </row>
    <row r="2634" spans="3:13" x14ac:dyDescent="0.15">
      <c r="C2634" s="76">
        <v>406</v>
      </c>
      <c r="D2634" s="76">
        <v>1.55E-4</v>
      </c>
      <c r="E2634" s="76">
        <v>3.4699999999999998E-4</v>
      </c>
      <c r="F2634" s="76">
        <v>4.0400000000000001E-4</v>
      </c>
      <c r="G2634" s="76">
        <v>7.5799999999999999E-4</v>
      </c>
      <c r="H2634" s="76">
        <v>7.2499999999999995E-4</v>
      </c>
      <c r="I2634" s="76">
        <v>7.94E-4</v>
      </c>
      <c r="J2634" s="76">
        <v>9.6500000000000004E-4</v>
      </c>
      <c r="K2634" s="76">
        <v>1.24E-3</v>
      </c>
      <c r="L2634" s="76">
        <v>1.5E-3</v>
      </c>
      <c r="M2634" s="76">
        <v>1.67E-3</v>
      </c>
    </row>
    <row r="2635" spans="3:13" x14ac:dyDescent="0.15">
      <c r="C2635" s="76">
        <v>408</v>
      </c>
      <c r="D2635" s="76">
        <v>1.6100000000000001E-4</v>
      </c>
      <c r="E2635" s="76">
        <v>3.3500000000000001E-4</v>
      </c>
      <c r="F2635" s="76">
        <v>4.64E-4</v>
      </c>
      <c r="G2635" s="76">
        <v>9.1200000000000005E-4</v>
      </c>
      <c r="H2635" s="76">
        <v>7.7899999999999996E-4</v>
      </c>
      <c r="I2635" s="76">
        <v>8.6899999999999998E-4</v>
      </c>
      <c r="J2635" s="76">
        <v>1.09E-3</v>
      </c>
      <c r="K2635" s="76">
        <v>1.31E-3</v>
      </c>
      <c r="L2635" s="76">
        <v>1.3699999999999999E-3</v>
      </c>
      <c r="M2635" s="76">
        <v>1.82E-3</v>
      </c>
    </row>
    <row r="2636" spans="3:13" x14ac:dyDescent="0.15">
      <c r="C2636" s="76">
        <v>410</v>
      </c>
      <c r="D2636" s="76">
        <v>1.8799999999999999E-4</v>
      </c>
      <c r="E2636" s="76">
        <v>3.6999999999999999E-4</v>
      </c>
      <c r="F2636" s="76">
        <v>4.6099999999999998E-4</v>
      </c>
      <c r="G2636" s="76">
        <v>8.4999999999999995E-4</v>
      </c>
      <c r="H2636" s="76">
        <v>7.6900000000000004E-4</v>
      </c>
      <c r="I2636" s="76">
        <v>1.0200000000000001E-3</v>
      </c>
      <c r="J2636" s="76">
        <v>1.24E-3</v>
      </c>
      <c r="K2636" s="76">
        <v>1.4499999999999999E-3</v>
      </c>
      <c r="L2636" s="76">
        <v>1.66E-3</v>
      </c>
      <c r="M2636" s="76">
        <v>1.74E-3</v>
      </c>
    </row>
    <row r="2637" spans="3:13" x14ac:dyDescent="0.15">
      <c r="C2637" s="76">
        <v>412</v>
      </c>
      <c r="D2637" s="76">
        <v>2.0900000000000001E-4</v>
      </c>
      <c r="E2637" s="76">
        <v>4.1899999999999999E-4</v>
      </c>
      <c r="F2637" s="76">
        <v>4.9799999999999996E-4</v>
      </c>
      <c r="G2637" s="76">
        <v>1E-3</v>
      </c>
      <c r="H2637" s="76">
        <v>9.1699999999999995E-4</v>
      </c>
      <c r="I2637" s="76">
        <v>1.08E-3</v>
      </c>
      <c r="J2637" s="76">
        <v>1.3500000000000001E-3</v>
      </c>
      <c r="K2637" s="76">
        <v>1.6000000000000001E-3</v>
      </c>
      <c r="L2637" s="76">
        <v>1.91E-3</v>
      </c>
      <c r="M2637" s="76">
        <v>2.0400000000000001E-3</v>
      </c>
    </row>
    <row r="2638" spans="3:13" x14ac:dyDescent="0.15">
      <c r="C2638" s="76">
        <v>414</v>
      </c>
      <c r="D2638" s="76">
        <v>2.4899999999999998E-4</v>
      </c>
      <c r="E2638" s="76">
        <v>4.8500000000000003E-4</v>
      </c>
      <c r="F2638" s="76">
        <v>6.4300000000000002E-4</v>
      </c>
      <c r="G2638" s="76">
        <v>1.08E-3</v>
      </c>
      <c r="H2638" s="76">
        <v>1.0200000000000001E-3</v>
      </c>
      <c r="I2638" s="76">
        <v>1.3500000000000001E-3</v>
      </c>
      <c r="J2638" s="76">
        <v>1.6000000000000001E-3</v>
      </c>
      <c r="K2638" s="76">
        <v>1.91E-3</v>
      </c>
      <c r="L2638" s="76">
        <v>2.2000000000000001E-3</v>
      </c>
      <c r="M2638" s="76">
        <v>2.3700000000000001E-3</v>
      </c>
    </row>
    <row r="2639" spans="3:13" x14ac:dyDescent="0.15">
      <c r="C2639" s="76">
        <v>416</v>
      </c>
      <c r="D2639" s="76">
        <v>2.7500000000000002E-4</v>
      </c>
      <c r="E2639" s="76">
        <v>5.5800000000000001E-4</v>
      </c>
      <c r="F2639" s="76">
        <v>7.6800000000000002E-4</v>
      </c>
      <c r="G2639" s="76">
        <v>1.1999999999999999E-3</v>
      </c>
      <c r="H2639" s="76">
        <v>1.2199999999999999E-3</v>
      </c>
      <c r="I2639" s="76">
        <v>1.6100000000000001E-3</v>
      </c>
      <c r="J2639" s="76">
        <v>1.83E-3</v>
      </c>
      <c r="K2639" s="76">
        <v>2.2100000000000002E-3</v>
      </c>
      <c r="L2639" s="76">
        <v>2.5400000000000002E-3</v>
      </c>
      <c r="M2639" s="76">
        <v>2.7000000000000001E-3</v>
      </c>
    </row>
    <row r="2640" spans="3:13" x14ac:dyDescent="0.15">
      <c r="C2640" s="76">
        <v>418</v>
      </c>
      <c r="D2640" s="76">
        <v>3.21E-4</v>
      </c>
      <c r="E2640" s="76">
        <v>6.4800000000000003E-4</v>
      </c>
      <c r="F2640" s="76">
        <v>9.2000000000000003E-4</v>
      </c>
      <c r="G2640" s="76">
        <v>1.3600000000000001E-3</v>
      </c>
      <c r="H2640" s="76">
        <v>1.5399999999999999E-3</v>
      </c>
      <c r="I2640" s="76">
        <v>1.91E-3</v>
      </c>
      <c r="J2640" s="76">
        <v>2.1099999999999999E-3</v>
      </c>
      <c r="K2640" s="76">
        <v>2.5400000000000002E-3</v>
      </c>
      <c r="L2640" s="76">
        <v>2.97E-3</v>
      </c>
      <c r="M2640" s="76">
        <v>3.1800000000000001E-3</v>
      </c>
    </row>
    <row r="2641" spans="3:13" x14ac:dyDescent="0.15">
      <c r="C2641" s="76">
        <v>420</v>
      </c>
      <c r="D2641" s="76">
        <v>3.7800000000000003E-4</v>
      </c>
      <c r="E2641" s="76">
        <v>7.6599999999999997E-4</v>
      </c>
      <c r="F2641" s="76">
        <v>1.1100000000000001E-3</v>
      </c>
      <c r="G2641" s="76">
        <v>1.6100000000000001E-3</v>
      </c>
      <c r="H2641" s="76">
        <v>1.82E-3</v>
      </c>
      <c r="I2641" s="76">
        <v>2.16E-3</v>
      </c>
      <c r="J2641" s="76">
        <v>2.5999999999999999E-3</v>
      </c>
      <c r="K2641" s="76">
        <v>3.0100000000000001E-3</v>
      </c>
      <c r="L2641" s="76">
        <v>3.5500000000000002E-3</v>
      </c>
      <c r="M2641" s="76">
        <v>3.79E-3</v>
      </c>
    </row>
    <row r="2642" spans="3:13" x14ac:dyDescent="0.15">
      <c r="C2642" s="76">
        <v>422</v>
      </c>
      <c r="D2642" s="76">
        <v>4.4700000000000002E-4</v>
      </c>
      <c r="E2642" s="76">
        <v>9.2900000000000003E-4</v>
      </c>
      <c r="F2642" s="76">
        <v>1.3799999999999999E-3</v>
      </c>
      <c r="G2642" s="76">
        <v>1.9300000000000001E-3</v>
      </c>
      <c r="H2642" s="76">
        <v>2.2499999999999998E-3</v>
      </c>
      <c r="I2642" s="76">
        <v>2.7299999999999998E-3</v>
      </c>
      <c r="J2642" s="76">
        <v>3.15E-3</v>
      </c>
      <c r="K2642" s="76">
        <v>3.79E-3</v>
      </c>
      <c r="L2642" s="76">
        <v>4.4600000000000004E-3</v>
      </c>
      <c r="M2642" s="76">
        <v>4.7699999999999999E-3</v>
      </c>
    </row>
    <row r="2643" spans="3:13" x14ac:dyDescent="0.15">
      <c r="C2643" s="76">
        <v>424</v>
      </c>
      <c r="D2643" s="76">
        <v>5.7399999999999997E-4</v>
      </c>
      <c r="E2643" s="76">
        <v>1.15E-3</v>
      </c>
      <c r="F2643" s="76">
        <v>1.74E-3</v>
      </c>
      <c r="G2643" s="76">
        <v>2.3800000000000002E-3</v>
      </c>
      <c r="H2643" s="76">
        <v>2.98E-3</v>
      </c>
      <c r="I2643" s="76">
        <v>3.46E-3</v>
      </c>
      <c r="J2643" s="76">
        <v>3.9899999999999996E-3</v>
      </c>
      <c r="K2643" s="76">
        <v>4.7699999999999999E-3</v>
      </c>
      <c r="L2643" s="76">
        <v>5.5300000000000002E-3</v>
      </c>
      <c r="M2643" s="76">
        <v>5.8100000000000001E-3</v>
      </c>
    </row>
    <row r="2644" spans="3:13" x14ac:dyDescent="0.15">
      <c r="C2644" s="76">
        <v>426</v>
      </c>
      <c r="D2644" s="76">
        <v>7.2000000000000005E-4</v>
      </c>
      <c r="E2644" s="76">
        <v>1.4499999999999999E-3</v>
      </c>
      <c r="F2644" s="76">
        <v>2.2200000000000002E-3</v>
      </c>
      <c r="G2644" s="76">
        <v>3.0100000000000001E-3</v>
      </c>
      <c r="H2644" s="76">
        <v>3.7100000000000002E-3</v>
      </c>
      <c r="I2644" s="76">
        <v>4.4400000000000004E-3</v>
      </c>
      <c r="J2644" s="76">
        <v>5.0699999999999999E-3</v>
      </c>
      <c r="K2644" s="76">
        <v>6.0299999999999998E-3</v>
      </c>
      <c r="L2644" s="76">
        <v>6.8900000000000003E-3</v>
      </c>
      <c r="M2644" s="76">
        <v>7.4000000000000003E-3</v>
      </c>
    </row>
    <row r="2645" spans="3:13" x14ac:dyDescent="0.15">
      <c r="C2645" s="76">
        <v>428</v>
      </c>
      <c r="D2645" s="76">
        <v>9.2800000000000001E-4</v>
      </c>
      <c r="E2645" s="76">
        <v>1.89E-3</v>
      </c>
      <c r="F2645" s="76">
        <v>2.8700000000000002E-3</v>
      </c>
      <c r="G2645" s="76">
        <v>3.8800000000000002E-3</v>
      </c>
      <c r="H2645" s="76">
        <v>4.81E-3</v>
      </c>
      <c r="I2645" s="76">
        <v>5.7600000000000004E-3</v>
      </c>
      <c r="J2645" s="76">
        <v>6.6400000000000001E-3</v>
      </c>
      <c r="K2645" s="76">
        <v>7.8700000000000003E-3</v>
      </c>
      <c r="L2645" s="76">
        <v>8.94E-3</v>
      </c>
      <c r="M2645" s="76">
        <v>9.7099999999999999E-3</v>
      </c>
    </row>
    <row r="2646" spans="3:13" x14ac:dyDescent="0.15">
      <c r="C2646" s="76">
        <v>430</v>
      </c>
      <c r="D2646" s="76">
        <v>1.25E-3</v>
      </c>
      <c r="E2646" s="76">
        <v>2.5500000000000002E-3</v>
      </c>
      <c r="F2646" s="76">
        <v>3.8800000000000002E-3</v>
      </c>
      <c r="G2646" s="76">
        <v>5.1599999999999997E-3</v>
      </c>
      <c r="H2646" s="76">
        <v>6.5100000000000002E-3</v>
      </c>
      <c r="I2646" s="76">
        <v>7.8399999999999997E-3</v>
      </c>
      <c r="J2646" s="76">
        <v>9.0600000000000003E-3</v>
      </c>
      <c r="K2646" s="76">
        <v>1.04E-2</v>
      </c>
      <c r="L2646" s="76">
        <v>1.17E-2</v>
      </c>
      <c r="M2646" s="76">
        <v>1.3100000000000001E-2</v>
      </c>
    </row>
    <row r="2647" spans="3:13" x14ac:dyDescent="0.15">
      <c r="C2647" s="76">
        <v>432</v>
      </c>
      <c r="D2647" s="76">
        <v>1.72E-3</v>
      </c>
      <c r="E2647" s="76">
        <v>3.49E-3</v>
      </c>
      <c r="F2647" s="76">
        <v>5.3099999999999996E-3</v>
      </c>
      <c r="G2647" s="76">
        <v>7.0699999999999999E-3</v>
      </c>
      <c r="H2647" s="76">
        <v>8.8999999999999999E-3</v>
      </c>
      <c r="I2647" s="76">
        <v>1.0699999999999999E-2</v>
      </c>
      <c r="J2647" s="76">
        <v>1.24E-2</v>
      </c>
      <c r="K2647" s="76">
        <v>1.4200000000000001E-2</v>
      </c>
      <c r="L2647" s="76">
        <v>1.6400000000000001E-2</v>
      </c>
      <c r="M2647" s="76">
        <v>1.7899999999999999E-2</v>
      </c>
    </row>
    <row r="2648" spans="3:13" x14ac:dyDescent="0.15">
      <c r="C2648" s="76">
        <v>434</v>
      </c>
      <c r="D2648" s="76">
        <v>2.3900000000000002E-3</v>
      </c>
      <c r="E2648" s="76">
        <v>4.8500000000000001E-3</v>
      </c>
      <c r="F2648" s="76">
        <v>7.3600000000000002E-3</v>
      </c>
      <c r="G2648" s="76">
        <v>9.8399999999999998E-3</v>
      </c>
      <c r="H2648" s="76">
        <v>1.23E-2</v>
      </c>
      <c r="I2648" s="76">
        <v>1.4800000000000001E-2</v>
      </c>
      <c r="J2648" s="76">
        <v>1.7299999999999999E-2</v>
      </c>
      <c r="K2648" s="76">
        <v>1.9699999999999999E-2</v>
      </c>
      <c r="L2648" s="76">
        <v>2.23E-2</v>
      </c>
      <c r="M2648" s="76">
        <v>2.4899999999999999E-2</v>
      </c>
    </row>
    <row r="2649" spans="3:13" x14ac:dyDescent="0.15">
      <c r="C2649" s="76">
        <v>436</v>
      </c>
      <c r="D2649" s="76">
        <v>3.4099999999999998E-3</v>
      </c>
      <c r="E2649" s="76">
        <v>6.9699999999999996E-3</v>
      </c>
      <c r="F2649" s="76">
        <v>1.06E-2</v>
      </c>
      <c r="G2649" s="76">
        <v>1.41E-2</v>
      </c>
      <c r="H2649" s="76">
        <v>1.7600000000000001E-2</v>
      </c>
      <c r="I2649" s="76">
        <v>2.1100000000000001E-2</v>
      </c>
      <c r="J2649" s="76">
        <v>2.47E-2</v>
      </c>
      <c r="K2649" s="76">
        <v>2.8199999999999999E-2</v>
      </c>
      <c r="L2649" s="76">
        <v>3.1800000000000002E-2</v>
      </c>
      <c r="M2649" s="76">
        <v>3.5200000000000002E-2</v>
      </c>
    </row>
    <row r="2650" spans="3:13" x14ac:dyDescent="0.15">
      <c r="C2650" s="76">
        <v>438</v>
      </c>
      <c r="D2650" s="76">
        <v>4.8700000000000002E-3</v>
      </c>
      <c r="E2650" s="76">
        <v>9.9299999999999996E-3</v>
      </c>
      <c r="F2650" s="76">
        <v>1.4999999999999999E-2</v>
      </c>
      <c r="G2650" s="76">
        <v>2.01E-2</v>
      </c>
      <c r="H2650" s="76">
        <v>2.5100000000000001E-2</v>
      </c>
      <c r="I2650" s="76">
        <v>3.0099999999999998E-2</v>
      </c>
      <c r="J2650" s="76">
        <v>3.5099999999999999E-2</v>
      </c>
      <c r="K2650" s="76">
        <v>4.0099999999999997E-2</v>
      </c>
      <c r="L2650" s="76">
        <v>4.5199999999999997E-2</v>
      </c>
      <c r="M2650" s="76">
        <v>5.0299999999999997E-2</v>
      </c>
    </row>
    <row r="2651" spans="3:13" x14ac:dyDescent="0.15">
      <c r="C2651" s="76">
        <v>440</v>
      </c>
      <c r="D2651" s="76">
        <v>6.7099999999999998E-3</v>
      </c>
      <c r="E2651" s="76">
        <v>1.37E-2</v>
      </c>
      <c r="F2651" s="76">
        <v>2.07E-2</v>
      </c>
      <c r="G2651" s="76">
        <v>2.76E-2</v>
      </c>
      <c r="H2651" s="76">
        <v>3.4599999999999999E-2</v>
      </c>
      <c r="I2651" s="76">
        <v>4.1399999999999999E-2</v>
      </c>
      <c r="J2651" s="76">
        <v>4.8300000000000003E-2</v>
      </c>
      <c r="K2651" s="76">
        <v>5.5100000000000003E-2</v>
      </c>
      <c r="L2651" s="76">
        <v>6.2100000000000002E-2</v>
      </c>
      <c r="M2651" s="76">
        <v>6.88E-2</v>
      </c>
    </row>
    <row r="2652" spans="3:13" x14ac:dyDescent="0.15">
      <c r="C2652" s="76">
        <v>442</v>
      </c>
      <c r="D2652" s="76">
        <v>8.9899999999999997E-3</v>
      </c>
      <c r="E2652" s="76">
        <v>1.83E-2</v>
      </c>
      <c r="F2652" s="76">
        <v>2.7699999999999999E-2</v>
      </c>
      <c r="G2652" s="76">
        <v>3.6799999999999999E-2</v>
      </c>
      <c r="H2652" s="76">
        <v>4.6199999999999998E-2</v>
      </c>
      <c r="I2652" s="76">
        <v>5.5300000000000002E-2</v>
      </c>
      <c r="J2652" s="76">
        <v>6.4500000000000002E-2</v>
      </c>
      <c r="K2652" s="76">
        <v>7.3599999999999999E-2</v>
      </c>
      <c r="L2652" s="76">
        <v>8.2799999999999999E-2</v>
      </c>
      <c r="M2652" s="76">
        <v>9.1800000000000007E-2</v>
      </c>
    </row>
    <row r="2653" spans="3:13" x14ac:dyDescent="0.15">
      <c r="C2653" s="76">
        <v>444</v>
      </c>
      <c r="D2653" s="76">
        <v>1.17E-2</v>
      </c>
      <c r="E2653" s="76">
        <v>2.3900000000000001E-2</v>
      </c>
      <c r="F2653" s="76">
        <v>3.5999999999999997E-2</v>
      </c>
      <c r="G2653" s="76">
        <v>4.7899999999999998E-2</v>
      </c>
      <c r="H2653" s="76">
        <v>0.06</v>
      </c>
      <c r="I2653" s="76">
        <v>7.1800000000000003E-2</v>
      </c>
      <c r="J2653" s="76">
        <v>8.3599999999999994E-2</v>
      </c>
      <c r="K2653" s="76">
        <v>9.5399999999999999E-2</v>
      </c>
      <c r="L2653" s="76">
        <v>0.107</v>
      </c>
      <c r="M2653" s="76">
        <v>0.11899999999999999</v>
      </c>
    </row>
    <row r="2654" spans="3:13" x14ac:dyDescent="0.15">
      <c r="C2654" s="76">
        <v>446</v>
      </c>
      <c r="D2654" s="76">
        <v>1.47E-2</v>
      </c>
      <c r="E2654" s="76">
        <v>3.0099999999999998E-2</v>
      </c>
      <c r="F2654" s="76">
        <v>4.53E-2</v>
      </c>
      <c r="G2654" s="76">
        <v>6.0299999999999999E-2</v>
      </c>
      <c r="H2654" s="76">
        <v>7.5399999999999995E-2</v>
      </c>
      <c r="I2654" s="76">
        <v>9.0399999999999994E-2</v>
      </c>
      <c r="J2654" s="76">
        <v>0.105</v>
      </c>
      <c r="K2654" s="76">
        <v>0.12</v>
      </c>
      <c r="L2654" s="76">
        <v>0.13500000000000001</v>
      </c>
      <c r="M2654" s="76">
        <v>0.14899999999999999</v>
      </c>
    </row>
    <row r="2655" spans="3:13" x14ac:dyDescent="0.15">
      <c r="C2655" s="76">
        <v>448</v>
      </c>
      <c r="D2655" s="76">
        <v>1.7999999999999999E-2</v>
      </c>
      <c r="E2655" s="76">
        <v>3.6600000000000001E-2</v>
      </c>
      <c r="F2655" s="76">
        <v>5.5199999999999999E-2</v>
      </c>
      <c r="G2655" s="76">
        <v>7.3400000000000007E-2</v>
      </c>
      <c r="H2655" s="76">
        <v>9.1800000000000007E-2</v>
      </c>
      <c r="I2655" s="76">
        <v>0.11</v>
      </c>
      <c r="J2655" s="76">
        <v>0.128</v>
      </c>
      <c r="K2655" s="76">
        <v>0.14599999999999999</v>
      </c>
      <c r="L2655" s="76">
        <v>0.16400000000000001</v>
      </c>
      <c r="M2655" s="76">
        <v>0.18099999999999999</v>
      </c>
    </row>
    <row r="2656" spans="3:13" x14ac:dyDescent="0.15">
      <c r="C2656" s="76">
        <v>450</v>
      </c>
      <c r="D2656" s="76">
        <v>2.1299999999999999E-2</v>
      </c>
      <c r="E2656" s="76">
        <v>4.36E-2</v>
      </c>
      <c r="F2656" s="76">
        <v>6.5600000000000006E-2</v>
      </c>
      <c r="G2656" s="76">
        <v>8.7300000000000003E-2</v>
      </c>
      <c r="H2656" s="76">
        <v>0.109</v>
      </c>
      <c r="I2656" s="76">
        <v>0.13100000000000001</v>
      </c>
      <c r="J2656" s="76">
        <v>0.152</v>
      </c>
      <c r="K2656" s="76">
        <v>0.17299999999999999</v>
      </c>
      <c r="L2656" s="76">
        <v>0.19500000000000001</v>
      </c>
      <c r="M2656" s="76">
        <v>0.216</v>
      </c>
    </row>
    <row r="2657" spans="3:13" x14ac:dyDescent="0.15">
      <c r="C2657" s="76">
        <v>452</v>
      </c>
      <c r="D2657" s="76">
        <v>2.4299999999999999E-2</v>
      </c>
      <c r="E2657" s="76">
        <v>4.9500000000000002E-2</v>
      </c>
      <c r="F2657" s="76">
        <v>7.46E-2</v>
      </c>
      <c r="G2657" s="76">
        <v>9.9199999999999997E-2</v>
      </c>
      <c r="H2657" s="76">
        <v>0.124</v>
      </c>
      <c r="I2657" s="76">
        <v>0.14799999999999999</v>
      </c>
      <c r="J2657" s="76">
        <v>0.17299999999999999</v>
      </c>
      <c r="K2657" s="76">
        <v>0.19700000000000001</v>
      </c>
      <c r="L2657" s="76">
        <v>0.221</v>
      </c>
      <c r="M2657" s="76">
        <v>0.245</v>
      </c>
    </row>
    <row r="2658" spans="3:13" x14ac:dyDescent="0.15">
      <c r="C2658" s="76">
        <v>454</v>
      </c>
      <c r="D2658" s="76">
        <v>2.6499999999999999E-2</v>
      </c>
      <c r="E2658" s="76">
        <v>5.4199999999999998E-2</v>
      </c>
      <c r="F2658" s="76">
        <v>8.1500000000000003E-2</v>
      </c>
      <c r="G2658" s="76">
        <v>0.108</v>
      </c>
      <c r="H2658" s="76">
        <v>0.13600000000000001</v>
      </c>
      <c r="I2658" s="76">
        <v>0.16200000000000001</v>
      </c>
      <c r="J2658" s="76">
        <v>0.189</v>
      </c>
      <c r="K2658" s="76">
        <v>0.215</v>
      </c>
      <c r="L2658" s="76">
        <v>0.24099999999999999</v>
      </c>
      <c r="M2658" s="76">
        <v>0.26700000000000002</v>
      </c>
    </row>
    <row r="2659" spans="3:13" x14ac:dyDescent="0.15">
      <c r="C2659" s="76">
        <v>456</v>
      </c>
      <c r="D2659" s="76">
        <v>2.81E-2</v>
      </c>
      <c r="E2659" s="76">
        <v>5.74E-2</v>
      </c>
      <c r="F2659" s="76">
        <v>8.6300000000000002E-2</v>
      </c>
      <c r="G2659" s="76">
        <v>0.115</v>
      </c>
      <c r="H2659" s="76">
        <v>0.14299999999999999</v>
      </c>
      <c r="I2659" s="76">
        <v>0.17199999999999999</v>
      </c>
      <c r="J2659" s="76">
        <v>0.2</v>
      </c>
      <c r="K2659" s="76">
        <v>0.22700000000000001</v>
      </c>
      <c r="L2659" s="76">
        <v>0.255</v>
      </c>
      <c r="M2659" s="76">
        <v>0.28299999999999997</v>
      </c>
    </row>
    <row r="2660" spans="3:13" x14ac:dyDescent="0.15">
      <c r="C2660" s="76">
        <v>458</v>
      </c>
      <c r="D2660" s="76">
        <v>2.8899999999999999E-2</v>
      </c>
      <c r="E2660" s="76">
        <v>5.8999999999999997E-2</v>
      </c>
      <c r="F2660" s="76">
        <v>8.8700000000000001E-2</v>
      </c>
      <c r="G2660" s="76">
        <v>0.11799999999999999</v>
      </c>
      <c r="H2660" s="76">
        <v>0.14699999999999999</v>
      </c>
      <c r="I2660" s="76">
        <v>0.17599999999999999</v>
      </c>
      <c r="J2660" s="76">
        <v>0.20499999999999999</v>
      </c>
      <c r="K2660" s="76">
        <v>0.23300000000000001</v>
      </c>
      <c r="L2660" s="76">
        <v>0.26200000000000001</v>
      </c>
      <c r="M2660" s="76">
        <v>0.28999999999999998</v>
      </c>
    </row>
    <row r="2661" spans="3:13" x14ac:dyDescent="0.15">
      <c r="C2661" s="76">
        <v>460</v>
      </c>
      <c r="D2661" s="76">
        <v>2.9000000000000001E-2</v>
      </c>
      <c r="E2661" s="76">
        <v>5.9200000000000003E-2</v>
      </c>
      <c r="F2661" s="76">
        <v>8.8900000000000007E-2</v>
      </c>
      <c r="G2661" s="76">
        <v>0.11799999999999999</v>
      </c>
      <c r="H2661" s="76">
        <v>0.14799999999999999</v>
      </c>
      <c r="I2661" s="76">
        <v>0.17699999999999999</v>
      </c>
      <c r="J2661" s="76">
        <v>0.20499999999999999</v>
      </c>
      <c r="K2661" s="76">
        <v>0.23400000000000001</v>
      </c>
      <c r="L2661" s="76">
        <v>0.26300000000000001</v>
      </c>
      <c r="M2661" s="76">
        <v>0.29099999999999998</v>
      </c>
    </row>
    <row r="2662" spans="3:13" x14ac:dyDescent="0.15">
      <c r="C2662" s="76">
        <v>462</v>
      </c>
      <c r="D2662" s="76">
        <v>2.8299999999999999E-2</v>
      </c>
      <c r="E2662" s="76">
        <v>5.7799999999999997E-2</v>
      </c>
      <c r="F2662" s="76">
        <v>8.6900000000000005E-2</v>
      </c>
      <c r="G2662" s="76">
        <v>0.11600000000000001</v>
      </c>
      <c r="H2662" s="76">
        <v>0.14399999999999999</v>
      </c>
      <c r="I2662" s="76">
        <v>0.17299999999999999</v>
      </c>
      <c r="J2662" s="76">
        <v>0.20100000000000001</v>
      </c>
      <c r="K2662" s="76">
        <v>0.22900000000000001</v>
      </c>
      <c r="L2662" s="76">
        <v>0.25700000000000001</v>
      </c>
      <c r="M2662" s="76">
        <v>0.28399999999999997</v>
      </c>
    </row>
    <row r="2663" spans="3:13" x14ac:dyDescent="0.15">
      <c r="C2663" s="76">
        <v>464</v>
      </c>
      <c r="D2663" s="76">
        <v>2.7E-2</v>
      </c>
      <c r="E2663" s="76">
        <v>5.5E-2</v>
      </c>
      <c r="F2663" s="76">
        <v>8.2799999999999999E-2</v>
      </c>
      <c r="G2663" s="76">
        <v>0.11</v>
      </c>
      <c r="H2663" s="76">
        <v>0.13800000000000001</v>
      </c>
      <c r="I2663" s="76">
        <v>0.16500000000000001</v>
      </c>
      <c r="J2663" s="76">
        <v>0.191</v>
      </c>
      <c r="K2663" s="76">
        <v>0.218</v>
      </c>
      <c r="L2663" s="76">
        <v>0.245</v>
      </c>
      <c r="M2663" s="76">
        <v>0.27100000000000002</v>
      </c>
    </row>
    <row r="2664" spans="3:13" x14ac:dyDescent="0.15">
      <c r="C2664" s="76">
        <v>466</v>
      </c>
      <c r="D2664" s="76">
        <v>2.5499999999999998E-2</v>
      </c>
      <c r="E2664" s="76">
        <v>5.21E-2</v>
      </c>
      <c r="F2664" s="76">
        <v>7.8200000000000006E-2</v>
      </c>
      <c r="G2664" s="76">
        <v>0.104</v>
      </c>
      <c r="H2664" s="76">
        <v>0.13</v>
      </c>
      <c r="I2664" s="76">
        <v>0.156</v>
      </c>
      <c r="J2664" s="76">
        <v>0.18099999999999999</v>
      </c>
      <c r="K2664" s="76">
        <v>0.20599999999999999</v>
      </c>
      <c r="L2664" s="76">
        <v>0.23100000000000001</v>
      </c>
      <c r="M2664" s="76">
        <v>0.25600000000000001</v>
      </c>
    </row>
    <row r="2665" spans="3:13" x14ac:dyDescent="0.15">
      <c r="C2665" s="76">
        <v>468</v>
      </c>
      <c r="D2665" s="76">
        <v>2.3900000000000001E-2</v>
      </c>
      <c r="E2665" s="76">
        <v>4.8899999999999999E-2</v>
      </c>
      <c r="F2665" s="76">
        <v>7.3499999999999996E-2</v>
      </c>
      <c r="G2665" s="76">
        <v>9.7799999999999998E-2</v>
      </c>
      <c r="H2665" s="76">
        <v>0.122</v>
      </c>
      <c r="I2665" s="76">
        <v>0.14599999999999999</v>
      </c>
      <c r="J2665" s="76">
        <v>0.17</v>
      </c>
      <c r="K2665" s="76">
        <v>0.19400000000000001</v>
      </c>
      <c r="L2665" s="76">
        <v>0.217</v>
      </c>
      <c r="M2665" s="76">
        <v>0.24099999999999999</v>
      </c>
    </row>
    <row r="2666" spans="3:13" x14ac:dyDescent="0.15">
      <c r="C2666" s="76">
        <v>470</v>
      </c>
      <c r="D2666" s="76">
        <v>2.24E-2</v>
      </c>
      <c r="E2666" s="76">
        <v>4.5699999999999998E-2</v>
      </c>
      <c r="F2666" s="76">
        <v>6.88E-2</v>
      </c>
      <c r="G2666" s="76">
        <v>9.1499999999999998E-2</v>
      </c>
      <c r="H2666" s="76">
        <v>0.114</v>
      </c>
      <c r="I2666" s="76">
        <v>0.13700000000000001</v>
      </c>
      <c r="J2666" s="76">
        <v>0.159</v>
      </c>
      <c r="K2666" s="76">
        <v>0.18099999999999999</v>
      </c>
      <c r="L2666" s="76">
        <v>0.20300000000000001</v>
      </c>
      <c r="M2666" s="76">
        <v>0.22500000000000001</v>
      </c>
    </row>
    <row r="2667" spans="3:13" x14ac:dyDescent="0.15">
      <c r="C2667" s="76">
        <v>472</v>
      </c>
      <c r="D2667" s="76">
        <v>2.1000000000000001E-2</v>
      </c>
      <c r="E2667" s="76">
        <v>4.2900000000000001E-2</v>
      </c>
      <c r="F2667" s="76">
        <v>6.4399999999999999E-2</v>
      </c>
      <c r="G2667" s="76">
        <v>8.5800000000000001E-2</v>
      </c>
      <c r="H2667" s="76">
        <v>0.107</v>
      </c>
      <c r="I2667" s="76">
        <v>0.128</v>
      </c>
      <c r="J2667" s="76">
        <v>0.14899999999999999</v>
      </c>
      <c r="K2667" s="76">
        <v>0.17</v>
      </c>
      <c r="L2667" s="76">
        <v>0.191</v>
      </c>
      <c r="M2667" s="76">
        <v>0.21099999999999999</v>
      </c>
    </row>
    <row r="2668" spans="3:13" x14ac:dyDescent="0.15">
      <c r="C2668" s="76">
        <v>474</v>
      </c>
      <c r="D2668" s="76">
        <v>1.9800000000000002E-2</v>
      </c>
      <c r="E2668" s="76">
        <v>4.0399999999999998E-2</v>
      </c>
      <c r="F2668" s="76">
        <v>6.0699999999999997E-2</v>
      </c>
      <c r="G2668" s="76">
        <v>8.09E-2</v>
      </c>
      <c r="H2668" s="76">
        <v>0.10100000000000001</v>
      </c>
      <c r="I2668" s="76">
        <v>0.121</v>
      </c>
      <c r="J2668" s="76">
        <v>0.14099999999999999</v>
      </c>
      <c r="K2668" s="76">
        <v>0.16</v>
      </c>
      <c r="L2668" s="76">
        <v>0.18</v>
      </c>
      <c r="M2668" s="76">
        <v>0.19900000000000001</v>
      </c>
    </row>
    <row r="2669" spans="3:13" x14ac:dyDescent="0.15">
      <c r="C2669" s="76">
        <v>476</v>
      </c>
      <c r="D2669" s="76">
        <v>1.8599999999999998E-2</v>
      </c>
      <c r="E2669" s="76">
        <v>3.7999999999999999E-2</v>
      </c>
      <c r="F2669" s="76">
        <v>5.7099999999999998E-2</v>
      </c>
      <c r="G2669" s="76">
        <v>7.6200000000000004E-2</v>
      </c>
      <c r="H2669" s="76">
        <v>9.5000000000000001E-2</v>
      </c>
      <c r="I2669" s="76">
        <v>0.114</v>
      </c>
      <c r="J2669" s="76">
        <v>0.13200000000000001</v>
      </c>
      <c r="K2669" s="76">
        <v>0.151</v>
      </c>
      <c r="L2669" s="76">
        <v>0.16900000000000001</v>
      </c>
      <c r="M2669" s="76">
        <v>0.188</v>
      </c>
    </row>
    <row r="2670" spans="3:13" x14ac:dyDescent="0.15">
      <c r="C2670" s="76">
        <v>478</v>
      </c>
      <c r="D2670" s="76">
        <v>1.78E-2</v>
      </c>
      <c r="E2670" s="76">
        <v>3.6400000000000002E-2</v>
      </c>
      <c r="F2670" s="76">
        <v>5.4699999999999999E-2</v>
      </c>
      <c r="G2670" s="76">
        <v>7.2999999999999995E-2</v>
      </c>
      <c r="H2670" s="76">
        <v>9.0899999999999995E-2</v>
      </c>
      <c r="I2670" s="76">
        <v>0.109</v>
      </c>
      <c r="J2670" s="76">
        <v>0.127</v>
      </c>
      <c r="K2670" s="76">
        <v>0.14399999999999999</v>
      </c>
      <c r="L2670" s="76">
        <v>0.16200000000000001</v>
      </c>
      <c r="M2670" s="76">
        <v>0.17899999999999999</v>
      </c>
    </row>
    <row r="2671" spans="3:13" x14ac:dyDescent="0.15">
      <c r="C2671" s="76">
        <v>480</v>
      </c>
      <c r="D2671" s="76">
        <v>1.7100000000000001E-2</v>
      </c>
      <c r="E2671" s="76">
        <v>3.5000000000000003E-2</v>
      </c>
      <c r="F2671" s="76">
        <v>5.2499999999999998E-2</v>
      </c>
      <c r="G2671" s="76">
        <v>7.0099999999999996E-2</v>
      </c>
      <c r="H2671" s="76">
        <v>8.7300000000000003E-2</v>
      </c>
      <c r="I2671" s="76">
        <v>0.105</v>
      </c>
      <c r="J2671" s="76">
        <v>0.121</v>
      </c>
      <c r="K2671" s="76">
        <v>0.13900000000000001</v>
      </c>
      <c r="L2671" s="76">
        <v>0.156</v>
      </c>
      <c r="M2671" s="76">
        <v>0.17199999999999999</v>
      </c>
    </row>
    <row r="2672" spans="3:13" x14ac:dyDescent="0.15">
      <c r="C2672" s="76">
        <v>482</v>
      </c>
      <c r="D2672" s="76">
        <v>1.6500000000000001E-2</v>
      </c>
      <c r="E2672" s="76">
        <v>3.3799999999999997E-2</v>
      </c>
      <c r="F2672" s="76">
        <v>5.0700000000000002E-2</v>
      </c>
      <c r="G2672" s="76">
        <v>6.7599999999999993E-2</v>
      </c>
      <c r="H2672" s="76">
        <v>8.4199999999999997E-2</v>
      </c>
      <c r="I2672" s="76">
        <v>0.10100000000000001</v>
      </c>
      <c r="J2672" s="76">
        <v>0.11700000000000001</v>
      </c>
      <c r="K2672" s="76">
        <v>0.13400000000000001</v>
      </c>
      <c r="L2672" s="76">
        <v>0.15</v>
      </c>
      <c r="M2672" s="76">
        <v>0.16600000000000001</v>
      </c>
    </row>
    <row r="2673" spans="3:13" x14ac:dyDescent="0.15">
      <c r="C2673" s="76">
        <v>484</v>
      </c>
      <c r="D2673" s="76">
        <v>1.5900000000000001E-2</v>
      </c>
      <c r="E2673" s="76">
        <v>3.2500000000000001E-2</v>
      </c>
      <c r="F2673" s="76">
        <v>4.8800000000000003E-2</v>
      </c>
      <c r="G2673" s="76">
        <v>6.5100000000000005E-2</v>
      </c>
      <c r="H2673" s="76">
        <v>8.1100000000000005E-2</v>
      </c>
      <c r="I2673" s="76">
        <v>9.7000000000000003E-2</v>
      </c>
      <c r="J2673" s="76">
        <v>0.113</v>
      </c>
      <c r="K2673" s="76">
        <v>0.129</v>
      </c>
      <c r="L2673" s="76">
        <v>0.14399999999999999</v>
      </c>
      <c r="M2673" s="76">
        <v>0.16</v>
      </c>
    </row>
    <row r="2674" spans="3:13" x14ac:dyDescent="0.15">
      <c r="C2674" s="76">
        <v>486</v>
      </c>
      <c r="D2674" s="76">
        <v>1.5299999999999999E-2</v>
      </c>
      <c r="E2674" s="76">
        <v>3.1300000000000001E-2</v>
      </c>
      <c r="F2674" s="76">
        <v>4.6800000000000001E-2</v>
      </c>
      <c r="G2674" s="76">
        <v>6.25E-2</v>
      </c>
      <c r="H2674" s="76">
        <v>7.7799999999999994E-2</v>
      </c>
      <c r="I2674" s="76">
        <v>9.3100000000000002E-2</v>
      </c>
      <c r="J2674" s="76">
        <v>0.108</v>
      </c>
      <c r="K2674" s="76">
        <v>0.123</v>
      </c>
      <c r="L2674" s="76">
        <v>0.13900000000000001</v>
      </c>
      <c r="M2674" s="76">
        <v>0.154</v>
      </c>
    </row>
    <row r="2675" spans="3:13" x14ac:dyDescent="0.15">
      <c r="C2675" s="76">
        <v>488</v>
      </c>
      <c r="D2675" s="76">
        <v>1.44E-2</v>
      </c>
      <c r="E2675" s="76">
        <v>2.9499999999999998E-2</v>
      </c>
      <c r="F2675" s="76">
        <v>4.4200000000000003E-2</v>
      </c>
      <c r="G2675" s="76">
        <v>5.91E-2</v>
      </c>
      <c r="H2675" s="76">
        <v>7.3599999999999999E-2</v>
      </c>
      <c r="I2675" s="76">
        <v>8.7999999999999995E-2</v>
      </c>
      <c r="J2675" s="76">
        <v>0.10199999999999999</v>
      </c>
      <c r="K2675" s="76">
        <v>0.11700000000000001</v>
      </c>
      <c r="L2675" s="76">
        <v>0.13100000000000001</v>
      </c>
      <c r="M2675" s="76">
        <v>0.14499999999999999</v>
      </c>
    </row>
    <row r="2676" spans="3:13" x14ac:dyDescent="0.15">
      <c r="C2676" s="76">
        <v>490</v>
      </c>
      <c r="D2676" s="76">
        <v>1.3599999999999999E-2</v>
      </c>
      <c r="E2676" s="76">
        <v>2.7900000000000001E-2</v>
      </c>
      <c r="F2676" s="76">
        <v>4.1799999999999997E-2</v>
      </c>
      <c r="G2676" s="76">
        <v>5.5800000000000002E-2</v>
      </c>
      <c r="H2676" s="76">
        <v>6.9500000000000006E-2</v>
      </c>
      <c r="I2676" s="76">
        <v>8.3199999999999996E-2</v>
      </c>
      <c r="J2676" s="76">
        <v>9.6600000000000005E-2</v>
      </c>
      <c r="K2676" s="76">
        <v>0.11</v>
      </c>
      <c r="L2676" s="76">
        <v>0.124</v>
      </c>
      <c r="M2676" s="76">
        <v>0.13700000000000001</v>
      </c>
    </row>
    <row r="2677" spans="3:13" x14ac:dyDescent="0.15">
      <c r="C2677" s="76">
        <v>492</v>
      </c>
      <c r="D2677" s="76">
        <v>1.2800000000000001E-2</v>
      </c>
      <c r="E2677" s="76">
        <v>2.6200000000000001E-2</v>
      </c>
      <c r="F2677" s="76">
        <v>3.9199999999999999E-2</v>
      </c>
      <c r="G2677" s="76">
        <v>5.2299999999999999E-2</v>
      </c>
      <c r="H2677" s="76">
        <v>6.5100000000000005E-2</v>
      </c>
      <c r="I2677" s="76">
        <v>7.7899999999999997E-2</v>
      </c>
      <c r="J2677" s="76">
        <v>9.06E-2</v>
      </c>
      <c r="K2677" s="76">
        <v>0.10299999999999999</v>
      </c>
      <c r="L2677" s="76">
        <v>0.11600000000000001</v>
      </c>
      <c r="M2677" s="76">
        <v>0.129</v>
      </c>
    </row>
    <row r="2678" spans="3:13" x14ac:dyDescent="0.15">
      <c r="C2678" s="76">
        <v>494</v>
      </c>
      <c r="D2678" s="76">
        <v>1.1900000000000001E-2</v>
      </c>
      <c r="E2678" s="76">
        <v>2.4299999999999999E-2</v>
      </c>
      <c r="F2678" s="76">
        <v>3.6499999999999998E-2</v>
      </c>
      <c r="G2678" s="76">
        <v>4.8599999999999997E-2</v>
      </c>
      <c r="H2678" s="76">
        <v>6.0499999999999998E-2</v>
      </c>
      <c r="I2678" s="76">
        <v>7.2499999999999995E-2</v>
      </c>
      <c r="J2678" s="76">
        <v>8.4199999999999997E-2</v>
      </c>
      <c r="K2678" s="76">
        <v>9.6100000000000005E-2</v>
      </c>
      <c r="L2678" s="76">
        <v>0.108</v>
      </c>
      <c r="M2678" s="76">
        <v>0.11899999999999999</v>
      </c>
    </row>
    <row r="2679" spans="3:13" x14ac:dyDescent="0.15">
      <c r="C2679" s="76">
        <v>496</v>
      </c>
      <c r="D2679" s="76">
        <v>1.0999999999999999E-2</v>
      </c>
      <c r="E2679" s="76">
        <v>2.2599999999999999E-2</v>
      </c>
      <c r="F2679" s="76">
        <v>3.3799999999999997E-2</v>
      </c>
      <c r="G2679" s="76">
        <v>4.5100000000000001E-2</v>
      </c>
      <c r="H2679" s="76">
        <v>5.62E-2</v>
      </c>
      <c r="I2679" s="76">
        <v>6.7199999999999996E-2</v>
      </c>
      <c r="J2679" s="76">
        <v>7.8E-2</v>
      </c>
      <c r="K2679" s="76">
        <v>8.8999999999999996E-2</v>
      </c>
      <c r="L2679" s="76">
        <v>9.9900000000000003E-2</v>
      </c>
      <c r="M2679" s="76">
        <v>0.111</v>
      </c>
    </row>
    <row r="2680" spans="3:13" x14ac:dyDescent="0.15">
      <c r="C2680" s="76">
        <v>498</v>
      </c>
      <c r="D2680" s="76">
        <v>1.01E-2</v>
      </c>
      <c r="E2680" s="76">
        <v>2.07E-2</v>
      </c>
      <c r="F2680" s="76">
        <v>3.1E-2</v>
      </c>
      <c r="G2680" s="76">
        <v>4.1399999999999999E-2</v>
      </c>
      <c r="H2680" s="76">
        <v>5.1499999999999997E-2</v>
      </c>
      <c r="I2680" s="76">
        <v>6.1600000000000002E-2</v>
      </c>
      <c r="J2680" s="76">
        <v>7.1599999999999997E-2</v>
      </c>
      <c r="K2680" s="76">
        <v>8.1699999999999995E-2</v>
      </c>
      <c r="L2680" s="76">
        <v>9.1700000000000004E-2</v>
      </c>
      <c r="M2680" s="76">
        <v>0.10199999999999999</v>
      </c>
    </row>
    <row r="2681" spans="3:13" x14ac:dyDescent="0.15">
      <c r="C2681" s="76">
        <v>500</v>
      </c>
      <c r="D2681" s="76">
        <v>9.1599999999999997E-3</v>
      </c>
      <c r="E2681" s="76">
        <v>1.8700000000000001E-2</v>
      </c>
      <c r="F2681" s="76">
        <v>2.81E-2</v>
      </c>
      <c r="G2681" s="76">
        <v>3.7499999999999999E-2</v>
      </c>
      <c r="H2681" s="76">
        <v>4.6699999999999998E-2</v>
      </c>
      <c r="I2681" s="76">
        <v>5.5899999999999998E-2</v>
      </c>
      <c r="J2681" s="76">
        <v>6.4899999999999999E-2</v>
      </c>
      <c r="K2681" s="76">
        <v>7.3999999999999996E-2</v>
      </c>
      <c r="L2681" s="76">
        <v>8.3199999999999996E-2</v>
      </c>
      <c r="M2681" s="76">
        <v>9.2100000000000001E-2</v>
      </c>
    </row>
    <row r="2682" spans="3:13" x14ac:dyDescent="0.15">
      <c r="C2682" s="76">
        <v>502</v>
      </c>
      <c r="D2682" s="76">
        <v>8.2799999999999992E-3</v>
      </c>
      <c r="E2682" s="76">
        <v>1.6899999999999998E-2</v>
      </c>
      <c r="F2682" s="76">
        <v>2.5399999999999999E-2</v>
      </c>
      <c r="G2682" s="76">
        <v>3.3799999999999997E-2</v>
      </c>
      <c r="H2682" s="76">
        <v>4.2200000000000001E-2</v>
      </c>
      <c r="I2682" s="76">
        <v>5.0500000000000003E-2</v>
      </c>
      <c r="J2682" s="76">
        <v>5.8599999999999999E-2</v>
      </c>
      <c r="K2682" s="76">
        <v>6.6799999999999998E-2</v>
      </c>
      <c r="L2682" s="76">
        <v>7.51E-2</v>
      </c>
      <c r="M2682" s="76">
        <v>8.3099999999999993E-2</v>
      </c>
    </row>
    <row r="2683" spans="3:13" x14ac:dyDescent="0.15">
      <c r="C2683" s="76">
        <v>504</v>
      </c>
      <c r="D2683" s="76">
        <v>7.4900000000000001E-3</v>
      </c>
      <c r="E2683" s="76">
        <v>1.5299999999999999E-2</v>
      </c>
      <c r="F2683" s="76">
        <v>2.3E-2</v>
      </c>
      <c r="G2683" s="76">
        <v>3.0599999999999999E-2</v>
      </c>
      <c r="H2683" s="76">
        <v>3.8199999999999998E-2</v>
      </c>
      <c r="I2683" s="76">
        <v>4.5699999999999998E-2</v>
      </c>
      <c r="J2683" s="76">
        <v>5.3100000000000001E-2</v>
      </c>
      <c r="K2683" s="76">
        <v>6.0499999999999998E-2</v>
      </c>
      <c r="L2683" s="76">
        <v>6.8000000000000005E-2</v>
      </c>
      <c r="M2683" s="76">
        <v>7.5300000000000006E-2</v>
      </c>
    </row>
    <row r="2684" spans="3:13" x14ac:dyDescent="0.15">
      <c r="C2684" s="76">
        <v>506</v>
      </c>
      <c r="D2684" s="76">
        <v>6.7799999999999996E-3</v>
      </c>
      <c r="E2684" s="76">
        <v>1.3899999999999999E-2</v>
      </c>
      <c r="F2684" s="76">
        <v>2.0799999999999999E-2</v>
      </c>
      <c r="G2684" s="76">
        <v>2.7699999999999999E-2</v>
      </c>
      <c r="H2684" s="76">
        <v>3.4599999999999999E-2</v>
      </c>
      <c r="I2684" s="76">
        <v>4.1399999999999999E-2</v>
      </c>
      <c r="J2684" s="76">
        <v>4.8099999999999997E-2</v>
      </c>
      <c r="K2684" s="76">
        <v>5.4800000000000001E-2</v>
      </c>
      <c r="L2684" s="76">
        <v>6.1600000000000002E-2</v>
      </c>
      <c r="M2684" s="76">
        <v>6.8099999999999994E-2</v>
      </c>
    </row>
    <row r="2685" spans="3:13" x14ac:dyDescent="0.15">
      <c r="C2685" s="76">
        <v>508</v>
      </c>
      <c r="D2685" s="76">
        <v>6.1500000000000001E-3</v>
      </c>
      <c r="E2685" s="76">
        <v>1.26E-2</v>
      </c>
      <c r="F2685" s="76">
        <v>1.8800000000000001E-2</v>
      </c>
      <c r="G2685" s="76">
        <v>2.5000000000000001E-2</v>
      </c>
      <c r="H2685" s="76">
        <v>3.1300000000000001E-2</v>
      </c>
      <c r="I2685" s="76">
        <v>3.7499999999999999E-2</v>
      </c>
      <c r="J2685" s="76">
        <v>4.3499999999999997E-2</v>
      </c>
      <c r="K2685" s="76">
        <v>4.9599999999999998E-2</v>
      </c>
      <c r="L2685" s="76">
        <v>5.5800000000000002E-2</v>
      </c>
      <c r="M2685" s="76">
        <v>6.1600000000000002E-2</v>
      </c>
    </row>
    <row r="2686" spans="3:13" x14ac:dyDescent="0.15">
      <c r="C2686" s="76">
        <v>510</v>
      </c>
      <c r="D2686" s="76">
        <v>5.5799999999999999E-3</v>
      </c>
      <c r="E2686" s="76">
        <v>1.14E-2</v>
      </c>
      <c r="F2686" s="76">
        <v>1.7100000000000001E-2</v>
      </c>
      <c r="G2686" s="76">
        <v>2.2800000000000001E-2</v>
      </c>
      <c r="H2686" s="76">
        <v>2.8500000000000001E-2</v>
      </c>
      <c r="I2686" s="76">
        <v>3.4000000000000002E-2</v>
      </c>
      <c r="J2686" s="76">
        <v>3.95E-2</v>
      </c>
      <c r="K2686" s="76">
        <v>4.5100000000000001E-2</v>
      </c>
      <c r="L2686" s="76">
        <v>5.0700000000000002E-2</v>
      </c>
      <c r="M2686" s="76">
        <v>5.6099999999999997E-2</v>
      </c>
    </row>
    <row r="2687" spans="3:13" x14ac:dyDescent="0.15">
      <c r="C2687" s="76">
        <v>512</v>
      </c>
      <c r="D2687" s="76">
        <v>5.0200000000000002E-3</v>
      </c>
      <c r="E2687" s="76">
        <v>1.03E-2</v>
      </c>
      <c r="F2687" s="76">
        <v>1.54E-2</v>
      </c>
      <c r="G2687" s="76">
        <v>2.0500000000000001E-2</v>
      </c>
      <c r="H2687" s="76">
        <v>2.5700000000000001E-2</v>
      </c>
      <c r="I2687" s="76">
        <v>3.0700000000000002E-2</v>
      </c>
      <c r="J2687" s="76">
        <v>3.5700000000000003E-2</v>
      </c>
      <c r="K2687" s="76">
        <v>4.0599999999999997E-2</v>
      </c>
      <c r="L2687" s="76">
        <v>4.5699999999999998E-2</v>
      </c>
      <c r="M2687" s="76">
        <v>5.0500000000000003E-2</v>
      </c>
    </row>
    <row r="2688" spans="3:13" x14ac:dyDescent="0.15">
      <c r="C2688" s="76">
        <v>514</v>
      </c>
      <c r="D2688" s="76">
        <v>4.5999999999999999E-3</v>
      </c>
      <c r="E2688" s="76">
        <v>9.3600000000000003E-3</v>
      </c>
      <c r="F2688" s="76">
        <v>1.41E-2</v>
      </c>
      <c r="G2688" s="76">
        <v>1.8700000000000001E-2</v>
      </c>
      <c r="H2688" s="76">
        <v>2.3400000000000001E-2</v>
      </c>
      <c r="I2688" s="76">
        <v>2.8000000000000001E-2</v>
      </c>
      <c r="J2688" s="76">
        <v>3.2500000000000001E-2</v>
      </c>
      <c r="K2688" s="76">
        <v>3.7100000000000001E-2</v>
      </c>
      <c r="L2688" s="76">
        <v>4.1799999999999997E-2</v>
      </c>
      <c r="M2688" s="76">
        <v>4.6100000000000002E-2</v>
      </c>
    </row>
    <row r="2689" spans="3:46" x14ac:dyDescent="0.15">
      <c r="C2689" s="76">
        <v>516</v>
      </c>
      <c r="D2689" s="76">
        <v>4.2199999999999998E-3</v>
      </c>
      <c r="E2689" s="76">
        <v>8.6099999999999996E-3</v>
      </c>
      <c r="F2689" s="76">
        <v>1.2999999999999999E-2</v>
      </c>
      <c r="G2689" s="76">
        <v>1.72E-2</v>
      </c>
      <c r="H2689" s="76">
        <v>2.1499999999999998E-2</v>
      </c>
      <c r="I2689" s="76">
        <v>2.58E-2</v>
      </c>
      <c r="J2689" s="76">
        <v>2.9899999999999999E-2</v>
      </c>
      <c r="K2689" s="76">
        <v>3.4099999999999998E-2</v>
      </c>
      <c r="L2689" s="76">
        <v>3.8300000000000001E-2</v>
      </c>
      <c r="M2689" s="76">
        <v>4.2299999999999997E-2</v>
      </c>
    </row>
    <row r="2690" spans="3:46" x14ac:dyDescent="0.15">
      <c r="C2690" s="76">
        <v>518</v>
      </c>
      <c r="D2690" s="76">
        <v>3.8999999999999998E-3</v>
      </c>
      <c r="E2690" s="76">
        <v>7.9500000000000005E-3</v>
      </c>
      <c r="F2690" s="76">
        <v>1.2E-2</v>
      </c>
      <c r="G2690" s="76">
        <v>1.5900000000000001E-2</v>
      </c>
      <c r="H2690" s="76">
        <v>1.9900000000000001E-2</v>
      </c>
      <c r="I2690" s="76">
        <v>2.3800000000000002E-2</v>
      </c>
      <c r="J2690" s="76">
        <v>2.76E-2</v>
      </c>
      <c r="K2690" s="76">
        <v>3.1399999999999997E-2</v>
      </c>
      <c r="L2690" s="76">
        <v>3.5499999999999997E-2</v>
      </c>
      <c r="M2690" s="76">
        <v>3.9100000000000003E-2</v>
      </c>
    </row>
    <row r="2691" spans="3:46" x14ac:dyDescent="0.15">
      <c r="C2691" s="76">
        <v>520</v>
      </c>
      <c r="D2691" s="76">
        <v>3.6099999999999999E-3</v>
      </c>
      <c r="E2691" s="76">
        <v>7.3600000000000002E-3</v>
      </c>
      <c r="F2691" s="76">
        <v>1.11E-2</v>
      </c>
      <c r="G2691" s="76">
        <v>1.47E-2</v>
      </c>
      <c r="H2691" s="76">
        <v>1.84E-2</v>
      </c>
      <c r="I2691" s="76">
        <v>2.1999999999999999E-2</v>
      </c>
      <c r="J2691" s="76">
        <v>2.5600000000000001E-2</v>
      </c>
      <c r="K2691" s="76">
        <v>2.9100000000000001E-2</v>
      </c>
      <c r="L2691" s="76">
        <v>3.2800000000000003E-2</v>
      </c>
      <c r="M2691" s="76">
        <v>3.6299999999999999E-2</v>
      </c>
    </row>
    <row r="2692" spans="3:46" x14ac:dyDescent="0.15">
      <c r="C2692" s="81">
        <v>522</v>
      </c>
      <c r="D2692" s="76">
        <v>3.3500000000000001E-3</v>
      </c>
      <c r="E2692" s="76">
        <v>6.8100000000000001E-3</v>
      </c>
      <c r="F2692" s="76">
        <v>1.03E-2</v>
      </c>
      <c r="G2692" s="76">
        <v>1.3599999999999999E-2</v>
      </c>
      <c r="H2692" s="81">
        <v>1.7100000000000001E-2</v>
      </c>
      <c r="I2692" s="76">
        <v>2.0400000000000001E-2</v>
      </c>
      <c r="J2692" s="76">
        <v>2.3699999999999999E-2</v>
      </c>
      <c r="K2692" s="76">
        <v>2.69E-2</v>
      </c>
      <c r="L2692" s="81">
        <v>3.0200000000000001E-2</v>
      </c>
      <c r="M2692" s="76">
        <v>3.3500000000000002E-2</v>
      </c>
      <c r="N2692" s="81"/>
      <c r="T2692" s="81"/>
      <c r="W2692" s="81"/>
      <c r="AG2692" s="81"/>
      <c r="AT2692" s="81"/>
    </row>
    <row r="2693" spans="3:46" x14ac:dyDescent="0.15">
      <c r="C2693" s="81">
        <v>524</v>
      </c>
      <c r="D2693" s="76">
        <v>3.0799999999999998E-3</v>
      </c>
      <c r="E2693" s="76">
        <v>6.2399999999999999E-3</v>
      </c>
      <c r="F2693" s="76">
        <v>9.3799999999999994E-3</v>
      </c>
      <c r="G2693" s="76">
        <v>1.2500000000000001E-2</v>
      </c>
      <c r="H2693" s="81">
        <v>1.5599999999999999E-2</v>
      </c>
      <c r="I2693" s="76">
        <v>1.8700000000000001E-2</v>
      </c>
      <c r="J2693" s="76">
        <v>2.1700000000000001E-2</v>
      </c>
      <c r="K2693" s="76">
        <v>2.46E-2</v>
      </c>
      <c r="L2693" s="81">
        <v>2.7799999999999998E-2</v>
      </c>
      <c r="M2693" s="76">
        <v>3.0700000000000002E-2</v>
      </c>
      <c r="N2693" s="81"/>
      <c r="T2693" s="81"/>
      <c r="W2693" s="81"/>
      <c r="AG2693" s="81"/>
      <c r="AT2693" s="81"/>
    </row>
    <row r="2694" spans="3:46" x14ac:dyDescent="0.15">
      <c r="C2694" s="81">
        <v>526</v>
      </c>
      <c r="D2694" s="76">
        <v>2.8400000000000001E-3</v>
      </c>
      <c r="E2694" s="76">
        <v>5.77E-3</v>
      </c>
      <c r="F2694" s="76">
        <v>8.6999999999999994E-3</v>
      </c>
      <c r="G2694" s="76">
        <v>1.15E-2</v>
      </c>
      <c r="H2694" s="81">
        <v>1.44E-2</v>
      </c>
      <c r="I2694" s="76">
        <v>1.72E-2</v>
      </c>
      <c r="J2694" s="76">
        <v>0.02</v>
      </c>
      <c r="K2694" s="76">
        <v>2.2700000000000001E-2</v>
      </c>
      <c r="L2694" s="81">
        <v>2.5700000000000001E-2</v>
      </c>
      <c r="M2694" s="76">
        <v>2.8299999999999999E-2</v>
      </c>
      <c r="N2694" s="81"/>
      <c r="T2694" s="81"/>
      <c r="W2694" s="81"/>
      <c r="AG2694" s="81"/>
      <c r="AT2694" s="81"/>
    </row>
    <row r="2695" spans="3:46" x14ac:dyDescent="0.15">
      <c r="C2695" s="81">
        <v>528</v>
      </c>
      <c r="D2695" s="76">
        <v>2.6199999999999999E-3</v>
      </c>
      <c r="E2695" s="76">
        <v>5.3400000000000001E-3</v>
      </c>
      <c r="F2695" s="76">
        <v>8.0199999999999994E-3</v>
      </c>
      <c r="G2695" s="76">
        <v>1.06E-2</v>
      </c>
      <c r="H2695" s="81">
        <v>1.34E-2</v>
      </c>
      <c r="I2695" s="76">
        <v>1.6E-2</v>
      </c>
      <c r="J2695" s="76">
        <v>1.8499999999999999E-2</v>
      </c>
      <c r="K2695" s="76">
        <v>2.1000000000000001E-2</v>
      </c>
      <c r="L2695" s="81">
        <v>2.3699999999999999E-2</v>
      </c>
      <c r="M2695" s="76">
        <v>2.6200000000000001E-2</v>
      </c>
      <c r="N2695" s="81"/>
      <c r="T2695" s="81"/>
      <c r="W2695" s="81"/>
      <c r="AG2695" s="81"/>
      <c r="AT2695" s="81"/>
    </row>
    <row r="2696" spans="3:46" x14ac:dyDescent="0.15">
      <c r="C2696" s="81">
        <v>530</v>
      </c>
      <c r="D2696" s="76">
        <v>2.4199999999999998E-3</v>
      </c>
      <c r="E2696" s="76">
        <v>4.8999999999999998E-3</v>
      </c>
      <c r="F2696" s="76">
        <v>7.3699999999999998E-3</v>
      </c>
      <c r="G2696" s="76">
        <v>9.7800000000000005E-3</v>
      </c>
      <c r="H2696" s="81">
        <v>1.23E-2</v>
      </c>
      <c r="I2696" s="76">
        <v>1.47E-2</v>
      </c>
      <c r="J2696" s="76">
        <v>1.7000000000000001E-2</v>
      </c>
      <c r="K2696" s="76">
        <v>1.9300000000000001E-2</v>
      </c>
      <c r="L2696" s="81">
        <v>2.18E-2</v>
      </c>
      <c r="M2696" s="76">
        <v>2.41E-2</v>
      </c>
      <c r="N2696" s="81"/>
      <c r="T2696" s="81"/>
      <c r="W2696" s="81"/>
      <c r="AG2696" s="81"/>
      <c r="AT2696" s="81"/>
    </row>
    <row r="2697" spans="3:46" x14ac:dyDescent="0.15">
      <c r="C2697" s="81">
        <v>532</v>
      </c>
      <c r="D2697" s="76">
        <v>2.2200000000000002E-3</v>
      </c>
      <c r="E2697" s="76">
        <v>4.47E-3</v>
      </c>
      <c r="F2697" s="76">
        <v>6.7499999999999999E-3</v>
      </c>
      <c r="G2697" s="76">
        <v>8.9800000000000001E-3</v>
      </c>
      <c r="H2697" s="81">
        <v>1.1299999999999999E-2</v>
      </c>
      <c r="I2697" s="76">
        <v>1.35E-2</v>
      </c>
      <c r="J2697" s="76">
        <v>1.5699999999999999E-2</v>
      </c>
      <c r="K2697" s="76">
        <v>1.77E-2</v>
      </c>
      <c r="L2697" s="81">
        <v>0.02</v>
      </c>
      <c r="M2697" s="76">
        <v>2.1999999999999999E-2</v>
      </c>
      <c r="N2697" s="81"/>
      <c r="T2697" s="81"/>
      <c r="W2697" s="81"/>
      <c r="AG2697" s="81"/>
      <c r="AT2697" s="81"/>
    </row>
    <row r="2698" spans="3:46" x14ac:dyDescent="0.15">
      <c r="C2698" s="81">
        <v>534</v>
      </c>
      <c r="D2698" s="76">
        <v>2.0200000000000001E-3</v>
      </c>
      <c r="E2698" s="76">
        <v>4.0899999999999999E-3</v>
      </c>
      <c r="F2698" s="76">
        <v>6.1700000000000001E-3</v>
      </c>
      <c r="G2698" s="76">
        <v>8.1700000000000002E-3</v>
      </c>
      <c r="H2698" s="81">
        <v>1.03E-2</v>
      </c>
      <c r="I2698" s="76">
        <v>1.23E-2</v>
      </c>
      <c r="J2698" s="76">
        <v>1.43E-2</v>
      </c>
      <c r="K2698" s="76">
        <v>1.61E-2</v>
      </c>
      <c r="L2698" s="81">
        <v>1.83E-2</v>
      </c>
      <c r="M2698" s="76">
        <v>2.01E-2</v>
      </c>
      <c r="N2698" s="81"/>
      <c r="T2698" s="81"/>
      <c r="W2698" s="81"/>
      <c r="AG2698" s="81"/>
      <c r="AT2698" s="81"/>
    </row>
    <row r="2699" spans="3:46" x14ac:dyDescent="0.15">
      <c r="C2699" s="81">
        <v>536</v>
      </c>
      <c r="D2699" s="76">
        <v>1.83E-3</v>
      </c>
      <c r="E2699" s="76">
        <v>3.6900000000000001E-3</v>
      </c>
      <c r="F2699" s="76">
        <v>5.5799999999999999E-3</v>
      </c>
      <c r="G2699" s="76">
        <v>7.3600000000000002E-3</v>
      </c>
      <c r="H2699" s="81">
        <v>9.2599999999999991E-3</v>
      </c>
      <c r="I2699" s="76">
        <v>1.11E-2</v>
      </c>
      <c r="J2699" s="76">
        <v>1.2800000000000001E-2</v>
      </c>
      <c r="K2699" s="76">
        <v>1.46E-2</v>
      </c>
      <c r="L2699" s="81">
        <v>1.6400000000000001E-2</v>
      </c>
      <c r="M2699" s="76">
        <v>1.8200000000000001E-2</v>
      </c>
      <c r="N2699" s="81"/>
      <c r="T2699" s="81"/>
      <c r="W2699" s="81"/>
      <c r="AG2699" s="81"/>
      <c r="AT2699" s="81"/>
    </row>
    <row r="2700" spans="3:46" x14ac:dyDescent="0.15">
      <c r="C2700" s="81">
        <v>538</v>
      </c>
      <c r="D2700" s="76">
        <v>1.67E-3</v>
      </c>
      <c r="E2700" s="76">
        <v>3.3500000000000001E-3</v>
      </c>
      <c r="F2700" s="76">
        <v>5.0800000000000003E-3</v>
      </c>
      <c r="G2700" s="76">
        <v>6.7400000000000003E-3</v>
      </c>
      <c r="H2700" s="81">
        <v>8.3999999999999995E-3</v>
      </c>
      <c r="I2700" s="76">
        <v>1.01E-2</v>
      </c>
      <c r="J2700" s="76">
        <v>1.17E-2</v>
      </c>
      <c r="K2700" s="76">
        <v>1.3299999999999999E-2</v>
      </c>
      <c r="L2700" s="81">
        <v>1.49E-2</v>
      </c>
      <c r="M2700" s="76">
        <v>1.66E-2</v>
      </c>
      <c r="N2700" s="81"/>
      <c r="T2700" s="81"/>
      <c r="W2700" s="81"/>
      <c r="AG2700" s="81"/>
      <c r="AT2700" s="81"/>
    </row>
    <row r="2701" spans="3:46" x14ac:dyDescent="0.15">
      <c r="C2701" s="81">
        <v>540</v>
      </c>
      <c r="D2701" s="76">
        <v>1.5100000000000001E-3</v>
      </c>
      <c r="E2701" s="76">
        <v>3.0500000000000002E-3</v>
      </c>
      <c r="F2701" s="76">
        <v>4.6100000000000004E-3</v>
      </c>
      <c r="G2701" s="76">
        <v>6.0800000000000003E-3</v>
      </c>
      <c r="H2701" s="81">
        <v>7.6400000000000001E-3</v>
      </c>
      <c r="I2701" s="76">
        <v>9.1400000000000006E-3</v>
      </c>
      <c r="J2701" s="76">
        <v>1.0699999999999999E-2</v>
      </c>
      <c r="K2701" s="76">
        <v>1.21E-2</v>
      </c>
      <c r="L2701" s="81">
        <v>1.3599999999999999E-2</v>
      </c>
      <c r="M2701" s="76">
        <v>1.5100000000000001E-2</v>
      </c>
      <c r="N2701" s="81"/>
      <c r="T2701" s="81"/>
      <c r="W2701" s="81"/>
      <c r="AG2701" s="81"/>
      <c r="AT2701" s="81"/>
    </row>
    <row r="2702" spans="3:46" x14ac:dyDescent="0.15">
      <c r="C2702" s="81">
        <v>542</v>
      </c>
      <c r="D2702" s="76">
        <v>1.3799999999999999E-3</v>
      </c>
      <c r="E2702" s="76">
        <v>2.7799999999999999E-3</v>
      </c>
      <c r="F2702" s="76">
        <v>4.1900000000000001E-3</v>
      </c>
      <c r="G2702" s="76">
        <v>5.5399999999999998E-3</v>
      </c>
      <c r="H2702" s="81">
        <v>6.94E-3</v>
      </c>
      <c r="I2702" s="76">
        <v>8.3199999999999993E-3</v>
      </c>
      <c r="J2702" s="76">
        <v>9.6799999999999994E-3</v>
      </c>
      <c r="K2702" s="76">
        <v>1.0999999999999999E-2</v>
      </c>
      <c r="L2702" s="81">
        <v>1.24E-2</v>
      </c>
      <c r="M2702" s="76">
        <v>1.37E-2</v>
      </c>
      <c r="N2702" s="81"/>
      <c r="T2702" s="81"/>
      <c r="W2702" s="81"/>
      <c r="AG2702" s="81"/>
      <c r="AT2702" s="81"/>
    </row>
    <row r="2703" spans="3:46" x14ac:dyDescent="0.15">
      <c r="C2703" s="81">
        <v>544</v>
      </c>
      <c r="D2703" s="76">
        <v>1.2600000000000001E-3</v>
      </c>
      <c r="E2703" s="76">
        <v>2.5300000000000001E-3</v>
      </c>
      <c r="F2703" s="76">
        <v>3.8E-3</v>
      </c>
      <c r="G2703" s="76">
        <v>5.0499999999999998E-3</v>
      </c>
      <c r="H2703" s="81">
        <v>6.3200000000000001E-3</v>
      </c>
      <c r="I2703" s="76">
        <v>7.5599999999999999E-3</v>
      </c>
      <c r="J2703" s="76">
        <v>8.8400000000000006E-3</v>
      </c>
      <c r="K2703" s="76">
        <v>9.9900000000000006E-3</v>
      </c>
      <c r="L2703" s="81">
        <v>1.12E-2</v>
      </c>
      <c r="M2703" s="76">
        <v>1.2500000000000001E-2</v>
      </c>
      <c r="N2703" s="81"/>
      <c r="T2703" s="81"/>
      <c r="W2703" s="81"/>
      <c r="AG2703" s="81"/>
      <c r="AT2703" s="81"/>
    </row>
    <row r="2704" spans="3:46" x14ac:dyDescent="0.15">
      <c r="C2704" s="81">
        <v>546</v>
      </c>
      <c r="D2704" s="76">
        <v>1.1299999999999999E-3</v>
      </c>
      <c r="E2704" s="76">
        <v>2.2799999999999999E-3</v>
      </c>
      <c r="F2704" s="76">
        <v>3.4499999999999999E-3</v>
      </c>
      <c r="G2704" s="76">
        <v>4.5500000000000002E-3</v>
      </c>
      <c r="H2704" s="81">
        <v>5.6899999999999997E-3</v>
      </c>
      <c r="I2704" s="76">
        <v>6.8300000000000001E-3</v>
      </c>
      <c r="J2704" s="76">
        <v>7.9399999999999991E-3</v>
      </c>
      <c r="K2704" s="76">
        <v>9.0699999999999999E-3</v>
      </c>
      <c r="L2704" s="81">
        <v>1.01E-2</v>
      </c>
      <c r="M2704" s="76">
        <v>1.1299999999999999E-2</v>
      </c>
      <c r="N2704" s="81"/>
      <c r="T2704" s="81"/>
      <c r="W2704" s="81"/>
      <c r="AG2704" s="81"/>
      <c r="AT2704" s="81"/>
    </row>
    <row r="2705" spans="3:56" x14ac:dyDescent="0.15">
      <c r="C2705" s="81">
        <v>548</v>
      </c>
      <c r="D2705" s="76">
        <v>1.0300000000000001E-3</v>
      </c>
      <c r="E2705" s="76">
        <v>2.0600000000000002E-3</v>
      </c>
      <c r="F2705" s="76">
        <v>3.13E-3</v>
      </c>
      <c r="G2705" s="76">
        <v>4.1399999999999996E-3</v>
      </c>
      <c r="H2705" s="81">
        <v>5.1399999999999996E-3</v>
      </c>
      <c r="I2705" s="76">
        <v>6.2399999999999999E-3</v>
      </c>
      <c r="J2705" s="76">
        <v>7.1799999999999998E-3</v>
      </c>
      <c r="K2705" s="76">
        <v>8.2100000000000003E-3</v>
      </c>
      <c r="L2705" s="81">
        <v>9.1299999999999992E-3</v>
      </c>
      <c r="M2705" s="76">
        <v>1.0200000000000001E-2</v>
      </c>
      <c r="N2705" s="81"/>
      <c r="T2705" s="81"/>
      <c r="W2705" s="81"/>
      <c r="AG2705" s="81"/>
      <c r="AT2705" s="81"/>
    </row>
    <row r="2706" spans="3:56" x14ac:dyDescent="0.15">
      <c r="C2706" s="81">
        <v>550</v>
      </c>
      <c r="D2706" s="81">
        <v>9.3899999999999995E-4</v>
      </c>
      <c r="E2706" s="81">
        <v>1.8799999999999999E-3</v>
      </c>
      <c r="F2706" s="81">
        <v>2.8400000000000001E-3</v>
      </c>
      <c r="G2706" s="81">
        <v>3.79E-3</v>
      </c>
      <c r="H2706" s="81">
        <v>4.7000000000000002E-3</v>
      </c>
      <c r="I2706" s="81">
        <v>5.6499999999999996E-3</v>
      </c>
      <c r="J2706" s="81">
        <v>6.5500000000000003E-3</v>
      </c>
      <c r="K2706" s="81">
        <v>7.4999999999999997E-3</v>
      </c>
      <c r="L2706" s="81">
        <v>8.3300000000000006E-3</v>
      </c>
      <c r="M2706" s="81">
        <v>9.3500000000000007E-3</v>
      </c>
      <c r="N2706" s="81"/>
      <c r="O2706" s="81"/>
      <c r="P2706" s="81"/>
      <c r="Q2706" s="81"/>
      <c r="R2706" s="81"/>
      <c r="S2706" s="81"/>
      <c r="T2706" s="81"/>
      <c r="U2706" s="81"/>
      <c r="V2706" s="81"/>
      <c r="W2706" s="81"/>
      <c r="X2706" s="81"/>
      <c r="Y2706" s="81"/>
      <c r="Z2706" s="81"/>
      <c r="AA2706" s="81"/>
      <c r="AB2706" s="81"/>
      <c r="AC2706" s="81"/>
      <c r="AD2706" s="81"/>
      <c r="AG2706" s="81"/>
      <c r="AH2706" s="81"/>
      <c r="AI2706" s="81"/>
      <c r="AJ2706" s="81"/>
      <c r="AK2706" s="81"/>
      <c r="AL2706" s="81"/>
      <c r="AM2706" s="81"/>
      <c r="AN2706" s="81"/>
      <c r="AO2706" s="81"/>
      <c r="AP2706" s="81"/>
      <c r="AQ2706" s="81"/>
      <c r="AT2706" s="81"/>
      <c r="AU2706" s="81"/>
      <c r="AV2706" s="81"/>
      <c r="AW2706" s="81"/>
      <c r="AX2706" s="81"/>
      <c r="AY2706" s="81"/>
      <c r="AZ2706" s="81"/>
      <c r="BA2706" s="81"/>
      <c r="BB2706" s="81"/>
      <c r="BC2706" s="81"/>
      <c r="BD2706" s="81"/>
    </row>
    <row r="2707" spans="3:56" x14ac:dyDescent="0.15">
      <c r="C2707" s="81">
        <v>552</v>
      </c>
      <c r="D2707" s="76">
        <v>8.5999999999999998E-4</v>
      </c>
      <c r="E2707" s="76">
        <v>1.72E-3</v>
      </c>
      <c r="F2707" s="76">
        <v>2.5799999999999998E-3</v>
      </c>
      <c r="G2707" s="76">
        <v>3.46E-3</v>
      </c>
      <c r="H2707" s="81">
        <v>4.2900000000000004E-3</v>
      </c>
      <c r="I2707" s="76">
        <v>5.1500000000000001E-3</v>
      </c>
      <c r="J2707" s="76">
        <v>6.0099999999999997E-3</v>
      </c>
      <c r="K2707" s="76">
        <v>6.8599999999999998E-3</v>
      </c>
      <c r="L2707" s="81">
        <v>7.6E-3</v>
      </c>
      <c r="M2707" s="76">
        <v>8.5199999999999998E-3</v>
      </c>
      <c r="N2707" s="81"/>
      <c r="T2707" s="81"/>
      <c r="W2707" s="81"/>
      <c r="AG2707" s="81"/>
      <c r="AT2707" s="81"/>
    </row>
    <row r="2708" spans="3:56" x14ac:dyDescent="0.15">
      <c r="C2708" s="76">
        <v>554</v>
      </c>
      <c r="D2708" s="76">
        <v>7.7899999999999996E-4</v>
      </c>
      <c r="E2708" s="76">
        <v>1.57E-3</v>
      </c>
      <c r="F2708" s="76">
        <v>2.3500000000000001E-3</v>
      </c>
      <c r="G2708" s="76">
        <v>3.14E-3</v>
      </c>
      <c r="H2708" s="76">
        <v>3.9300000000000003E-3</v>
      </c>
      <c r="I2708" s="76">
        <v>4.7299999999999998E-3</v>
      </c>
      <c r="J2708" s="76">
        <v>5.4900000000000001E-3</v>
      </c>
      <c r="K2708" s="76">
        <v>6.2500000000000003E-3</v>
      </c>
      <c r="L2708" s="76">
        <v>6.94E-3</v>
      </c>
      <c r="M2708" s="76">
        <v>7.7200000000000003E-3</v>
      </c>
    </row>
    <row r="2709" spans="3:56" x14ac:dyDescent="0.15">
      <c r="C2709" s="76">
        <v>556</v>
      </c>
      <c r="D2709" s="76">
        <v>7.0399999999999998E-4</v>
      </c>
      <c r="E2709" s="76">
        <v>1.4400000000000001E-3</v>
      </c>
      <c r="F2709" s="76">
        <v>2.14E-3</v>
      </c>
      <c r="G2709" s="76">
        <v>2.8700000000000002E-3</v>
      </c>
      <c r="H2709" s="76">
        <v>3.5699999999999998E-3</v>
      </c>
      <c r="I2709" s="76">
        <v>4.3099999999999996E-3</v>
      </c>
      <c r="J2709" s="76">
        <v>5.0000000000000001E-3</v>
      </c>
      <c r="K2709" s="76">
        <v>5.7400000000000003E-3</v>
      </c>
      <c r="L2709" s="76">
        <v>6.3499999999999997E-3</v>
      </c>
      <c r="M2709" s="76">
        <v>7.11E-3</v>
      </c>
    </row>
    <row r="2710" spans="3:56" x14ac:dyDescent="0.15">
      <c r="C2710" s="76">
        <v>558</v>
      </c>
      <c r="D2710" s="76">
        <v>6.3400000000000001E-4</v>
      </c>
      <c r="E2710" s="76">
        <v>1.32E-3</v>
      </c>
      <c r="F2710" s="76">
        <v>1.9300000000000001E-3</v>
      </c>
      <c r="G2710" s="76">
        <v>2.6099999999999999E-3</v>
      </c>
      <c r="H2710" s="76">
        <v>3.1800000000000001E-3</v>
      </c>
      <c r="I2710" s="76">
        <v>3.8700000000000002E-3</v>
      </c>
      <c r="J2710" s="76">
        <v>4.5500000000000002E-3</v>
      </c>
      <c r="K2710" s="76">
        <v>5.11E-3</v>
      </c>
      <c r="L2710" s="76">
        <v>5.6699999999999997E-3</v>
      </c>
      <c r="M2710" s="76">
        <v>6.3899999999999998E-3</v>
      </c>
    </row>
    <row r="2711" spans="3:56" x14ac:dyDescent="0.15">
      <c r="C2711" s="76">
        <v>560</v>
      </c>
      <c r="D2711" s="76">
        <v>5.9000000000000003E-4</v>
      </c>
      <c r="E2711" s="76">
        <v>1.2199999999999999E-3</v>
      </c>
      <c r="F2711" s="76">
        <v>1.7899999999999999E-3</v>
      </c>
      <c r="G2711" s="76">
        <v>2.3900000000000002E-3</v>
      </c>
      <c r="H2711" s="76">
        <v>2.9199999999999999E-3</v>
      </c>
      <c r="I2711" s="76">
        <v>3.5500000000000002E-3</v>
      </c>
      <c r="J2711" s="76">
        <v>4.1599999999999996E-3</v>
      </c>
      <c r="K2711" s="76">
        <v>4.7200000000000002E-3</v>
      </c>
      <c r="L2711" s="76">
        <v>5.1500000000000001E-3</v>
      </c>
      <c r="M2711" s="76">
        <v>5.8900000000000003E-3</v>
      </c>
    </row>
    <row r="2712" spans="3:56" x14ac:dyDescent="0.15">
      <c r="C2712" s="76">
        <v>562</v>
      </c>
      <c r="D2712" s="76">
        <v>5.44E-4</v>
      </c>
      <c r="E2712" s="76">
        <v>1.1100000000000001E-3</v>
      </c>
      <c r="F2712" s="76">
        <v>1.64E-3</v>
      </c>
      <c r="G2712" s="76">
        <v>2.2000000000000001E-3</v>
      </c>
      <c r="H2712" s="76">
        <v>2.6700000000000001E-3</v>
      </c>
      <c r="I2712" s="76">
        <v>3.2599999999999999E-3</v>
      </c>
      <c r="J2712" s="76">
        <v>3.8E-3</v>
      </c>
      <c r="K2712" s="76">
        <v>4.3699999999999998E-3</v>
      </c>
      <c r="L2712" s="76">
        <v>4.6699999999999997E-3</v>
      </c>
      <c r="M2712" s="76">
        <v>5.45E-3</v>
      </c>
    </row>
    <row r="2713" spans="3:56" x14ac:dyDescent="0.15">
      <c r="C2713" s="76">
        <v>564</v>
      </c>
      <c r="D2713" s="76">
        <v>5.0000000000000001E-4</v>
      </c>
      <c r="E2713" s="76">
        <v>1.0200000000000001E-3</v>
      </c>
      <c r="F2713" s="76">
        <v>1.49E-3</v>
      </c>
      <c r="G2713" s="76">
        <v>2.0100000000000001E-3</v>
      </c>
      <c r="H2713" s="76">
        <v>2.4299999999999999E-3</v>
      </c>
      <c r="I2713" s="76">
        <v>2.99E-3</v>
      </c>
      <c r="J2713" s="76">
        <v>3.48E-3</v>
      </c>
      <c r="K2713" s="76">
        <v>4.0099999999999997E-3</v>
      </c>
      <c r="L2713" s="76">
        <v>4.3400000000000001E-3</v>
      </c>
      <c r="M2713" s="76">
        <v>5.0200000000000002E-3</v>
      </c>
    </row>
    <row r="2714" spans="3:56" x14ac:dyDescent="0.15">
      <c r="C2714" s="76">
        <v>566</v>
      </c>
      <c r="D2714" s="76">
        <v>4.6000000000000001E-4</v>
      </c>
      <c r="E2714" s="76">
        <v>9.4300000000000004E-4</v>
      </c>
      <c r="F2714" s="76">
        <v>1.3600000000000001E-3</v>
      </c>
      <c r="G2714" s="76">
        <v>1.8600000000000001E-3</v>
      </c>
      <c r="H2714" s="76">
        <v>2.2100000000000002E-3</v>
      </c>
      <c r="I2714" s="76">
        <v>2.81E-3</v>
      </c>
      <c r="J2714" s="76">
        <v>3.2399999999999998E-3</v>
      </c>
      <c r="K2714" s="76">
        <v>3.6900000000000001E-3</v>
      </c>
      <c r="L2714" s="76">
        <v>4.0200000000000001E-3</v>
      </c>
      <c r="M2714" s="76">
        <v>4.5999999999999999E-3</v>
      </c>
    </row>
    <row r="2715" spans="3:56" x14ac:dyDescent="0.15">
      <c r="C2715" s="76">
        <v>568</v>
      </c>
      <c r="D2715" s="76">
        <v>4.2200000000000001E-4</v>
      </c>
      <c r="E2715" s="76">
        <v>8.7299999999999997E-4</v>
      </c>
      <c r="F2715" s="76">
        <v>1.2800000000000001E-3</v>
      </c>
      <c r="G2715" s="76">
        <v>1.7099999999999999E-3</v>
      </c>
      <c r="H2715" s="76">
        <v>2.0500000000000002E-3</v>
      </c>
      <c r="I2715" s="76">
        <v>2.5699999999999998E-3</v>
      </c>
      <c r="J2715" s="76">
        <v>2.9499999999999999E-3</v>
      </c>
      <c r="K2715" s="76">
        <v>3.3899999999999998E-3</v>
      </c>
      <c r="L2715" s="76">
        <v>3.65E-3</v>
      </c>
      <c r="M2715" s="76">
        <v>4.2300000000000003E-3</v>
      </c>
    </row>
    <row r="2716" spans="3:56" x14ac:dyDescent="0.15">
      <c r="C2716" s="76">
        <v>570</v>
      </c>
      <c r="D2716" s="76">
        <v>3.88E-4</v>
      </c>
      <c r="E2716" s="76">
        <v>8.1400000000000005E-4</v>
      </c>
      <c r="F2716" s="76">
        <v>1.17E-3</v>
      </c>
      <c r="G2716" s="76">
        <v>1.58E-3</v>
      </c>
      <c r="H2716" s="76">
        <v>1.9E-3</v>
      </c>
      <c r="I2716" s="76">
        <v>2.3700000000000001E-3</v>
      </c>
      <c r="J2716" s="76">
        <v>2.7399999999999998E-3</v>
      </c>
      <c r="K2716" s="76">
        <v>3.15E-3</v>
      </c>
      <c r="L2716" s="76">
        <v>3.3400000000000001E-3</v>
      </c>
      <c r="M2716" s="76">
        <v>3.8700000000000002E-3</v>
      </c>
    </row>
    <row r="2717" spans="3:56" x14ac:dyDescent="0.15">
      <c r="C2717" s="76">
        <v>572</v>
      </c>
      <c r="D2717" s="76">
        <v>3.6000000000000002E-4</v>
      </c>
      <c r="E2717" s="76">
        <v>7.6400000000000003E-4</v>
      </c>
      <c r="F2717" s="76">
        <v>1.1000000000000001E-3</v>
      </c>
      <c r="G2717" s="76">
        <v>1.49E-3</v>
      </c>
      <c r="H2717" s="76">
        <v>1.74E-3</v>
      </c>
      <c r="I2717" s="76">
        <v>2.1700000000000001E-3</v>
      </c>
      <c r="J2717" s="76">
        <v>2.5699999999999998E-3</v>
      </c>
      <c r="K2717" s="76">
        <v>2.9099999999999998E-3</v>
      </c>
      <c r="L2717" s="76">
        <v>3.14E-3</v>
      </c>
      <c r="M2717" s="76">
        <v>3.64E-3</v>
      </c>
    </row>
    <row r="2718" spans="3:56" x14ac:dyDescent="0.15">
      <c r="C2718" s="76">
        <v>574</v>
      </c>
      <c r="D2718" s="76">
        <v>3.3599999999999998E-4</v>
      </c>
      <c r="E2718" s="76">
        <v>6.96E-4</v>
      </c>
      <c r="F2718" s="76">
        <v>1.0300000000000001E-3</v>
      </c>
      <c r="G2718" s="76">
        <v>1.3600000000000001E-3</v>
      </c>
      <c r="H2718" s="76">
        <v>1.6299999999999999E-3</v>
      </c>
      <c r="I2718" s="76">
        <v>2.0200000000000001E-3</v>
      </c>
      <c r="J2718" s="76">
        <v>2.3800000000000002E-3</v>
      </c>
      <c r="K2718" s="76">
        <v>2.7000000000000001E-3</v>
      </c>
      <c r="L2718" s="76">
        <v>2.8999999999999998E-3</v>
      </c>
      <c r="M2718" s="76">
        <v>3.3999999999999998E-3</v>
      </c>
    </row>
    <row r="2719" spans="3:56" x14ac:dyDescent="0.15">
      <c r="C2719" s="76">
        <v>576</v>
      </c>
      <c r="D2719" s="76">
        <v>3.1500000000000001E-4</v>
      </c>
      <c r="E2719" s="76">
        <v>6.5200000000000002E-4</v>
      </c>
      <c r="F2719" s="76">
        <v>9.3700000000000001E-4</v>
      </c>
      <c r="G2719" s="76">
        <v>1.2899999999999999E-3</v>
      </c>
      <c r="H2719" s="76">
        <v>1.5200000000000001E-3</v>
      </c>
      <c r="I2719" s="76">
        <v>1.89E-3</v>
      </c>
      <c r="J2719" s="76">
        <v>2.2100000000000002E-3</v>
      </c>
      <c r="K2719" s="76">
        <v>2.5400000000000002E-3</v>
      </c>
      <c r="L2719" s="76">
        <v>2.7000000000000001E-3</v>
      </c>
      <c r="M2719" s="76">
        <v>3.1800000000000001E-3</v>
      </c>
    </row>
    <row r="2720" spans="3:56" x14ac:dyDescent="0.15">
      <c r="C2720" s="76">
        <v>578</v>
      </c>
      <c r="D2720" s="76">
        <v>2.92E-4</v>
      </c>
      <c r="E2720" s="76">
        <v>5.9699999999999998E-4</v>
      </c>
      <c r="F2720" s="76">
        <v>8.9599999999999999E-4</v>
      </c>
      <c r="G2720" s="76">
        <v>1.1900000000000001E-3</v>
      </c>
      <c r="H2720" s="76">
        <v>1.4E-3</v>
      </c>
      <c r="I2720" s="76">
        <v>1.73E-3</v>
      </c>
      <c r="J2720" s="76">
        <v>2.0200000000000001E-3</v>
      </c>
      <c r="K2720" s="76">
        <v>2.2899999999999999E-3</v>
      </c>
      <c r="L2720" s="76">
        <v>2.4199999999999998E-3</v>
      </c>
      <c r="M2720" s="76">
        <v>2.8700000000000002E-3</v>
      </c>
    </row>
    <row r="2721" spans="3:13" x14ac:dyDescent="0.15">
      <c r="C2721" s="76">
        <v>580</v>
      </c>
      <c r="D2721" s="76">
        <v>2.6699999999999998E-4</v>
      </c>
      <c r="E2721" s="76">
        <v>5.5099999999999995E-4</v>
      </c>
      <c r="F2721" s="76">
        <v>8.1099999999999998E-4</v>
      </c>
      <c r="G2721" s="76">
        <v>1.08E-3</v>
      </c>
      <c r="H2721" s="76">
        <v>1.24E-3</v>
      </c>
      <c r="I2721" s="76">
        <v>1.5900000000000001E-3</v>
      </c>
      <c r="J2721" s="76">
        <v>1.82E-3</v>
      </c>
      <c r="K2721" s="76">
        <v>2.1199999999999999E-3</v>
      </c>
      <c r="L2721" s="76">
        <v>2.2499999999999998E-3</v>
      </c>
      <c r="M2721" s="76">
        <v>2.63E-3</v>
      </c>
    </row>
    <row r="2722" spans="3:13" x14ac:dyDescent="0.15">
      <c r="C2722" s="76">
        <v>582</v>
      </c>
      <c r="D2722" s="76">
        <v>2.5000000000000001E-4</v>
      </c>
      <c r="E2722" s="76">
        <v>5.0199999999999995E-4</v>
      </c>
      <c r="F2722" s="76">
        <v>7.4200000000000004E-4</v>
      </c>
      <c r="G2722" s="76">
        <v>1.0300000000000001E-3</v>
      </c>
      <c r="H2722" s="76">
        <v>1.1800000000000001E-3</v>
      </c>
      <c r="I2722" s="76">
        <v>1.5E-3</v>
      </c>
      <c r="J2722" s="76">
        <v>1.67E-3</v>
      </c>
      <c r="K2722" s="76">
        <v>1.9300000000000001E-3</v>
      </c>
      <c r="L2722" s="76">
        <v>2.0600000000000002E-3</v>
      </c>
      <c r="M2722" s="76">
        <v>2.4399999999999999E-3</v>
      </c>
    </row>
    <row r="2723" spans="3:13" x14ac:dyDescent="0.15">
      <c r="C2723" s="76">
        <v>584</v>
      </c>
      <c r="D2723" s="76">
        <v>2.23E-4</v>
      </c>
      <c r="E2723" s="76">
        <v>4.6500000000000003E-4</v>
      </c>
      <c r="F2723" s="76">
        <v>6.7199999999999996E-4</v>
      </c>
      <c r="G2723" s="76">
        <v>9.3400000000000004E-4</v>
      </c>
      <c r="H2723" s="76">
        <v>1.08E-3</v>
      </c>
      <c r="I2723" s="76">
        <v>1.33E-3</v>
      </c>
      <c r="J2723" s="76">
        <v>1.5100000000000001E-3</v>
      </c>
      <c r="K2723" s="76">
        <v>1.73E-3</v>
      </c>
      <c r="L2723" s="76">
        <v>1.89E-3</v>
      </c>
      <c r="M2723" s="76">
        <v>2.2200000000000002E-3</v>
      </c>
    </row>
    <row r="2724" spans="3:13" x14ac:dyDescent="0.15">
      <c r="C2724" s="76">
        <v>586</v>
      </c>
      <c r="D2724" s="76">
        <v>2.03E-4</v>
      </c>
      <c r="E2724" s="76">
        <v>4.28E-4</v>
      </c>
      <c r="F2724" s="76">
        <v>6.2399999999999999E-4</v>
      </c>
      <c r="G2724" s="76">
        <v>8.3000000000000001E-4</v>
      </c>
      <c r="H2724" s="76">
        <v>9.9799999999999997E-4</v>
      </c>
      <c r="I2724" s="76">
        <v>1.23E-3</v>
      </c>
      <c r="J2724" s="76">
        <v>1.3600000000000001E-3</v>
      </c>
      <c r="K2724" s="76">
        <v>1.5900000000000001E-3</v>
      </c>
      <c r="L2724" s="76">
        <v>1.7899999999999999E-3</v>
      </c>
      <c r="M2724" s="76">
        <v>2.0500000000000002E-3</v>
      </c>
    </row>
    <row r="2725" spans="3:13" x14ac:dyDescent="0.15">
      <c r="C2725" s="76">
        <v>588</v>
      </c>
      <c r="D2725" s="76">
        <v>1.84E-4</v>
      </c>
      <c r="E2725" s="76">
        <v>3.88E-4</v>
      </c>
      <c r="F2725" s="76">
        <v>5.8399999999999999E-4</v>
      </c>
      <c r="G2725" s="76">
        <v>7.5900000000000002E-4</v>
      </c>
      <c r="H2725" s="76">
        <v>9.1600000000000004E-4</v>
      </c>
      <c r="I2725" s="76">
        <v>1.09E-3</v>
      </c>
      <c r="J2725" s="76">
        <v>1.2199999999999999E-3</v>
      </c>
      <c r="K2725" s="76">
        <v>1.5E-3</v>
      </c>
      <c r="L2725" s="76">
        <v>1.67E-3</v>
      </c>
      <c r="M2725" s="76">
        <v>1.8400000000000001E-3</v>
      </c>
    </row>
    <row r="2726" spans="3:13" x14ac:dyDescent="0.15">
      <c r="C2726" s="76">
        <v>590</v>
      </c>
      <c r="D2726" s="76">
        <v>1.6799999999999999E-4</v>
      </c>
      <c r="E2726" s="76">
        <v>3.5300000000000002E-4</v>
      </c>
      <c r="F2726" s="76">
        <v>5.1500000000000005E-4</v>
      </c>
      <c r="G2726" s="76">
        <v>7.0100000000000002E-4</v>
      </c>
      <c r="H2726" s="76">
        <v>8.34E-4</v>
      </c>
      <c r="I2726" s="76">
        <v>1.0200000000000001E-3</v>
      </c>
      <c r="J2726" s="76">
        <v>1.1100000000000001E-3</v>
      </c>
      <c r="K2726" s="76">
        <v>1.34E-3</v>
      </c>
      <c r="L2726" s="76">
        <v>1.5E-3</v>
      </c>
      <c r="M2726" s="76">
        <v>1.67E-3</v>
      </c>
    </row>
    <row r="2727" spans="3:13" x14ac:dyDescent="0.15">
      <c r="C2727" s="76">
        <v>592</v>
      </c>
      <c r="D2727" s="76">
        <v>1.5699999999999999E-4</v>
      </c>
      <c r="E2727" s="76">
        <v>3.0699999999999998E-4</v>
      </c>
      <c r="F2727" s="76">
        <v>4.86E-4</v>
      </c>
      <c r="G2727" s="76">
        <v>6.0800000000000003E-4</v>
      </c>
      <c r="H2727" s="76">
        <v>7.8200000000000003E-4</v>
      </c>
      <c r="I2727" s="76">
        <v>9.4700000000000003E-4</v>
      </c>
      <c r="J2727" s="76">
        <v>1.0300000000000001E-3</v>
      </c>
      <c r="K2727" s="76">
        <v>1.2099999999999999E-3</v>
      </c>
      <c r="L2727" s="76">
        <v>1.3600000000000001E-3</v>
      </c>
      <c r="M2727" s="76">
        <v>1.56E-3</v>
      </c>
    </row>
    <row r="2728" spans="3:13" x14ac:dyDescent="0.15">
      <c r="C2728" s="76">
        <v>594</v>
      </c>
      <c r="D2728" s="76">
        <v>1.46E-4</v>
      </c>
      <c r="E2728" s="76">
        <v>2.7700000000000001E-4</v>
      </c>
      <c r="F2728" s="76">
        <v>4.4900000000000002E-4</v>
      </c>
      <c r="G2728" s="76">
        <v>5.8500000000000002E-4</v>
      </c>
      <c r="H2728" s="76">
        <v>7.0699999999999995E-4</v>
      </c>
      <c r="I2728" s="76">
        <v>8.2399999999999997E-4</v>
      </c>
      <c r="J2728" s="76">
        <v>9.1699999999999995E-4</v>
      </c>
      <c r="K2728" s="76">
        <v>1.08E-3</v>
      </c>
      <c r="L2728" s="76">
        <v>1.2800000000000001E-3</v>
      </c>
      <c r="M2728" s="76">
        <v>1.4E-3</v>
      </c>
    </row>
    <row r="2729" spans="3:13" x14ac:dyDescent="0.15">
      <c r="C2729" s="76">
        <v>596</v>
      </c>
      <c r="D2729" s="76">
        <v>1.2999999999999999E-4</v>
      </c>
      <c r="E2729" s="76">
        <v>2.63E-4</v>
      </c>
      <c r="F2729" s="76">
        <v>4.0700000000000003E-4</v>
      </c>
      <c r="G2729" s="76">
        <v>5.2599999999999999E-4</v>
      </c>
      <c r="H2729" s="76">
        <v>6.29E-4</v>
      </c>
      <c r="I2729" s="76">
        <v>7.6400000000000003E-4</v>
      </c>
      <c r="J2729" s="76">
        <v>8.1499999999999997E-4</v>
      </c>
      <c r="K2729" s="76">
        <v>1.0300000000000001E-3</v>
      </c>
      <c r="L2729" s="76">
        <v>1.2600000000000001E-3</v>
      </c>
      <c r="M2729" s="76">
        <v>1.2600000000000001E-3</v>
      </c>
    </row>
    <row r="2730" spans="3:13" x14ac:dyDescent="0.15">
      <c r="C2730" s="76">
        <v>598</v>
      </c>
      <c r="D2730" s="76">
        <v>1.2E-4</v>
      </c>
      <c r="E2730" s="76">
        <v>2.34E-4</v>
      </c>
      <c r="F2730" s="76">
        <v>4.0099999999999999E-4</v>
      </c>
      <c r="G2730" s="76">
        <v>4.84E-4</v>
      </c>
      <c r="H2730" s="76">
        <v>5.9900000000000003E-4</v>
      </c>
      <c r="I2730" s="76">
        <v>7.1299999999999998E-4</v>
      </c>
      <c r="J2730" s="76">
        <v>7.4600000000000003E-4</v>
      </c>
      <c r="K2730" s="76">
        <v>9.0499999999999999E-4</v>
      </c>
      <c r="L2730" s="76">
        <v>1.16E-3</v>
      </c>
      <c r="M2730" s="76">
        <v>1.1199999999999999E-3</v>
      </c>
    </row>
    <row r="2731" spans="3:13" x14ac:dyDescent="0.15">
      <c r="C2731" s="76">
        <v>600</v>
      </c>
      <c r="D2731" s="76">
        <v>1.11E-4</v>
      </c>
      <c r="E2731" s="76">
        <v>2.1599999999999999E-4</v>
      </c>
      <c r="F2731" s="76">
        <v>3.4699999999999998E-4</v>
      </c>
      <c r="G2731" s="76">
        <v>4.3800000000000002E-4</v>
      </c>
      <c r="H2731" s="76">
        <v>5.6599999999999999E-4</v>
      </c>
      <c r="I2731" s="76">
        <v>5.7799999999999995E-4</v>
      </c>
      <c r="J2731" s="76">
        <v>7.2800000000000002E-4</v>
      </c>
      <c r="K2731" s="76">
        <v>8.4699999999999999E-4</v>
      </c>
      <c r="L2731" s="76">
        <v>1.06E-3</v>
      </c>
      <c r="M2731" s="76">
        <v>1.08E-3</v>
      </c>
    </row>
    <row r="2732" spans="3:13" x14ac:dyDescent="0.15">
      <c r="C2732" s="76">
        <v>602</v>
      </c>
      <c r="D2732" s="76">
        <v>1.02E-4</v>
      </c>
      <c r="E2732" s="76">
        <v>2.02E-4</v>
      </c>
      <c r="F2732" s="76">
        <v>3.2400000000000001E-4</v>
      </c>
      <c r="G2732" s="76">
        <v>4.17E-4</v>
      </c>
      <c r="H2732" s="76">
        <v>5.0799999999999999E-4</v>
      </c>
      <c r="I2732" s="76">
        <v>6.0400000000000004E-4</v>
      </c>
      <c r="J2732" s="76">
        <v>6.4800000000000003E-4</v>
      </c>
      <c r="K2732" s="76">
        <v>7.5799999999999999E-4</v>
      </c>
      <c r="L2732" s="76">
        <v>1.06E-3</v>
      </c>
      <c r="M2732" s="76">
        <v>9.8999999999999999E-4</v>
      </c>
    </row>
    <row r="2733" spans="3:13" x14ac:dyDescent="0.15">
      <c r="C2733" s="76">
        <v>604</v>
      </c>
      <c r="D2733" s="76">
        <v>9.3599999999999998E-5</v>
      </c>
      <c r="E2733" s="76">
        <v>1.8100000000000001E-4</v>
      </c>
      <c r="F2733" s="76">
        <v>3.21E-4</v>
      </c>
      <c r="G2733" s="76">
        <v>3.9199999999999999E-4</v>
      </c>
      <c r="H2733" s="76">
        <v>4.9799999999999996E-4</v>
      </c>
      <c r="I2733" s="76">
        <v>5.5099999999999995E-4</v>
      </c>
      <c r="J2733" s="76">
        <v>6.0300000000000002E-4</v>
      </c>
      <c r="K2733" s="76">
        <v>7.2900000000000005E-4</v>
      </c>
      <c r="L2733" s="76">
        <v>9.4799999999999995E-4</v>
      </c>
      <c r="M2733" s="76">
        <v>9.1E-4</v>
      </c>
    </row>
    <row r="2734" spans="3:13" x14ac:dyDescent="0.15">
      <c r="C2734" s="76">
        <v>606</v>
      </c>
      <c r="D2734" s="76">
        <v>8.8200000000000003E-5</v>
      </c>
      <c r="E2734" s="76">
        <v>1.6899999999999999E-4</v>
      </c>
      <c r="F2734" s="76">
        <v>2.81E-4</v>
      </c>
      <c r="G2734" s="76">
        <v>3.4600000000000001E-4</v>
      </c>
      <c r="H2734" s="76">
        <v>4.6099999999999998E-4</v>
      </c>
      <c r="I2734" s="76">
        <v>5.4100000000000003E-4</v>
      </c>
      <c r="J2734" s="76">
        <v>5.5199999999999997E-4</v>
      </c>
      <c r="K2734" s="76">
        <v>6.2100000000000002E-4</v>
      </c>
      <c r="L2734" s="76">
        <v>8.7299999999999997E-4</v>
      </c>
      <c r="M2734" s="76">
        <v>8.3299999999999997E-4</v>
      </c>
    </row>
    <row r="2735" spans="3:13" x14ac:dyDescent="0.15">
      <c r="C2735" s="76">
        <v>608</v>
      </c>
      <c r="D2735" s="76">
        <v>8.5400000000000002E-5</v>
      </c>
      <c r="E2735" s="76">
        <v>1.5200000000000001E-4</v>
      </c>
      <c r="F2735" s="76">
        <v>2.34E-4</v>
      </c>
      <c r="G2735" s="76">
        <v>3.3599999999999998E-4</v>
      </c>
      <c r="H2735" s="76">
        <v>4.4799999999999999E-4</v>
      </c>
      <c r="I2735" s="76">
        <v>4.8700000000000002E-4</v>
      </c>
      <c r="J2735" s="76">
        <v>5.13E-4</v>
      </c>
      <c r="K2735" s="76">
        <v>5.9800000000000001E-4</v>
      </c>
      <c r="L2735" s="76">
        <v>8.7100000000000003E-4</v>
      </c>
      <c r="M2735" s="76">
        <v>8.0500000000000005E-4</v>
      </c>
    </row>
    <row r="2736" spans="3:13" x14ac:dyDescent="0.15">
      <c r="C2736" s="76">
        <v>610</v>
      </c>
      <c r="D2736" s="76">
        <v>7.7799999999999994E-5</v>
      </c>
      <c r="E2736" s="76">
        <v>1.45E-4</v>
      </c>
      <c r="F2736" s="76">
        <v>2.2800000000000001E-4</v>
      </c>
      <c r="G2736" s="76">
        <v>3.2600000000000001E-4</v>
      </c>
      <c r="H2736" s="76">
        <v>4.0499999999999998E-4</v>
      </c>
      <c r="I2736" s="76">
        <v>5.0000000000000001E-4</v>
      </c>
      <c r="J2736" s="76">
        <v>4.9299999999999995E-4</v>
      </c>
      <c r="K2736" s="76">
        <v>5.1699999999999999E-4</v>
      </c>
      <c r="L2736" s="76">
        <v>7.8799999999999996E-4</v>
      </c>
      <c r="M2736" s="76">
        <v>7.5100000000000004E-4</v>
      </c>
    </row>
    <row r="2737" spans="3:13" x14ac:dyDescent="0.15">
      <c r="C2737" s="76">
        <v>612</v>
      </c>
      <c r="D2737" s="76">
        <v>7.1099999999999994E-5</v>
      </c>
      <c r="E2737" s="76">
        <v>1.5200000000000001E-4</v>
      </c>
      <c r="F2737" s="76">
        <v>2.0699999999999999E-4</v>
      </c>
      <c r="G2737" s="76">
        <v>2.7099999999999997E-4</v>
      </c>
      <c r="H2737" s="76">
        <v>3.6900000000000002E-4</v>
      </c>
      <c r="I2737" s="76">
        <v>4.28E-4</v>
      </c>
      <c r="J2737" s="76">
        <v>4.2499999999999998E-4</v>
      </c>
      <c r="K2737" s="76">
        <v>5.0500000000000002E-4</v>
      </c>
      <c r="L2737" s="76">
        <v>8.3199999999999995E-4</v>
      </c>
      <c r="M2737" s="76">
        <v>7.1699999999999997E-4</v>
      </c>
    </row>
    <row r="2738" spans="3:13" x14ac:dyDescent="0.15">
      <c r="C2738" s="76">
        <v>614</v>
      </c>
      <c r="D2738" s="76">
        <v>6.2399999999999999E-5</v>
      </c>
      <c r="E2738" s="76">
        <v>1.3100000000000001E-4</v>
      </c>
      <c r="F2738" s="76">
        <v>1.9900000000000001E-4</v>
      </c>
      <c r="G2738" s="76">
        <v>2.7799999999999998E-4</v>
      </c>
      <c r="H2738" s="76">
        <v>3.6499999999999998E-4</v>
      </c>
      <c r="I2738" s="76">
        <v>3.9300000000000001E-4</v>
      </c>
      <c r="J2738" s="76">
        <v>4.2499999999999998E-4</v>
      </c>
      <c r="K2738" s="76">
        <v>4.5800000000000002E-4</v>
      </c>
      <c r="L2738" s="76">
        <v>7.27E-4</v>
      </c>
      <c r="M2738" s="76">
        <v>6.8999999999999997E-4</v>
      </c>
    </row>
    <row r="2739" spans="3:13" x14ac:dyDescent="0.15">
      <c r="C2739" s="76">
        <v>616</v>
      </c>
      <c r="D2739" s="76">
        <v>6.4599999999999998E-5</v>
      </c>
      <c r="E2739" s="76">
        <v>1E-4</v>
      </c>
      <c r="F2739" s="76">
        <v>1.6899999999999999E-4</v>
      </c>
      <c r="G2739" s="76">
        <v>2.7399999999999999E-4</v>
      </c>
      <c r="H2739" s="76">
        <v>3.28E-4</v>
      </c>
      <c r="I2739" s="76">
        <v>3.7100000000000002E-4</v>
      </c>
      <c r="J2739" s="76">
        <v>4.6799999999999999E-4</v>
      </c>
      <c r="K2739" s="76">
        <v>3.7199999999999999E-4</v>
      </c>
      <c r="L2739" s="76">
        <v>6.5200000000000002E-4</v>
      </c>
      <c r="M2739" s="76">
        <v>5.9100000000000005E-4</v>
      </c>
    </row>
    <row r="2740" spans="3:13" x14ac:dyDescent="0.15">
      <c r="C2740" s="76">
        <v>618</v>
      </c>
      <c r="D2740" s="76">
        <v>6.1500000000000004E-5</v>
      </c>
      <c r="E2740" s="76">
        <v>1.03E-4</v>
      </c>
      <c r="F2740" s="76">
        <v>1.73E-4</v>
      </c>
      <c r="G2740" s="76">
        <v>2.6200000000000003E-4</v>
      </c>
      <c r="H2740" s="76">
        <v>3.0200000000000002E-4</v>
      </c>
      <c r="I2740" s="76">
        <v>3.4699999999999998E-4</v>
      </c>
      <c r="J2740" s="76">
        <v>3.3E-4</v>
      </c>
      <c r="K2740" s="76">
        <v>3.5100000000000002E-4</v>
      </c>
      <c r="L2740" s="76">
        <v>6.7900000000000002E-4</v>
      </c>
      <c r="M2740" s="76">
        <v>6.0400000000000004E-4</v>
      </c>
    </row>
    <row r="2741" spans="3:13" x14ac:dyDescent="0.15">
      <c r="C2741" s="76">
        <v>620</v>
      </c>
      <c r="D2741" s="76">
        <v>5.63E-5</v>
      </c>
      <c r="E2741" s="76">
        <v>9.3900000000000006E-5</v>
      </c>
      <c r="F2741" s="76">
        <v>1.3899999999999999E-4</v>
      </c>
      <c r="G2741" s="76">
        <v>2.3000000000000001E-4</v>
      </c>
      <c r="H2741" s="76">
        <v>2.6699999999999998E-4</v>
      </c>
      <c r="I2741" s="76">
        <v>3.0200000000000002E-4</v>
      </c>
      <c r="J2741" s="76">
        <v>3.7599999999999998E-4</v>
      </c>
      <c r="K2741" s="76">
        <v>3.2299999999999999E-4</v>
      </c>
      <c r="L2741" s="76">
        <v>5.9100000000000005E-4</v>
      </c>
      <c r="M2741" s="76">
        <v>5.1599999999999997E-4</v>
      </c>
    </row>
    <row r="2742" spans="3:13" x14ac:dyDescent="0.15">
      <c r="C2742" s="76">
        <v>622</v>
      </c>
      <c r="D2742" s="76">
        <v>5.4400000000000001E-5</v>
      </c>
      <c r="E2742" s="76">
        <v>7.8399999999999995E-5</v>
      </c>
      <c r="F2742" s="76">
        <v>1.3300000000000001E-4</v>
      </c>
      <c r="G2742" s="76">
        <v>2.3900000000000001E-4</v>
      </c>
      <c r="H2742" s="76">
        <v>2.43E-4</v>
      </c>
      <c r="I2742" s="76">
        <v>2.8699999999999998E-4</v>
      </c>
      <c r="J2742" s="76">
        <v>3.2200000000000002E-4</v>
      </c>
      <c r="K2742" s="76">
        <v>3.19E-4</v>
      </c>
      <c r="L2742" s="76">
        <v>5.53E-4</v>
      </c>
      <c r="M2742" s="76">
        <v>4.95E-4</v>
      </c>
    </row>
    <row r="2743" spans="3:13" x14ac:dyDescent="0.15">
      <c r="C2743" s="76">
        <v>624</v>
      </c>
      <c r="D2743" s="76">
        <v>4.8099999999999997E-5</v>
      </c>
      <c r="E2743" s="76">
        <v>6.6500000000000004E-5</v>
      </c>
      <c r="F2743" s="76">
        <v>1.36E-4</v>
      </c>
      <c r="G2743" s="76">
        <v>2.12E-4</v>
      </c>
      <c r="H2743" s="76">
        <v>2.3499999999999999E-4</v>
      </c>
      <c r="I2743" s="76">
        <v>2.92E-4</v>
      </c>
      <c r="J2743" s="76">
        <v>3.0600000000000001E-4</v>
      </c>
      <c r="K2743" s="76">
        <v>3.3100000000000002E-4</v>
      </c>
      <c r="L2743" s="76">
        <v>4.6299999999999998E-4</v>
      </c>
      <c r="M2743" s="76">
        <v>4.7399999999999997E-4</v>
      </c>
    </row>
    <row r="2744" spans="3:13" x14ac:dyDescent="0.15">
      <c r="C2744" s="76">
        <v>626</v>
      </c>
      <c r="D2744" s="76">
        <v>4.8900000000000003E-5</v>
      </c>
      <c r="E2744" s="76">
        <v>8.5599999999999994E-5</v>
      </c>
      <c r="F2744" s="76">
        <v>1.37E-4</v>
      </c>
      <c r="G2744" s="76">
        <v>2.2599999999999999E-4</v>
      </c>
      <c r="H2744" s="76">
        <v>2.0100000000000001E-4</v>
      </c>
      <c r="I2744" s="76">
        <v>2.3000000000000001E-4</v>
      </c>
      <c r="J2744" s="76">
        <v>3.0400000000000002E-4</v>
      </c>
      <c r="K2744" s="76">
        <v>3.4200000000000002E-4</v>
      </c>
      <c r="L2744" s="76">
        <v>4.35E-4</v>
      </c>
      <c r="M2744" s="76">
        <v>4.5199999999999998E-4</v>
      </c>
    </row>
    <row r="2745" spans="3:13" x14ac:dyDescent="0.15">
      <c r="C2745" s="76">
        <v>628</v>
      </c>
      <c r="D2745" s="76">
        <v>3.1099999999999997E-5</v>
      </c>
      <c r="E2745" s="76">
        <v>6.3E-5</v>
      </c>
      <c r="F2745" s="76">
        <v>1.08E-4</v>
      </c>
      <c r="G2745" s="76">
        <v>2.2699999999999999E-4</v>
      </c>
      <c r="H2745" s="76">
        <v>2.2800000000000001E-4</v>
      </c>
      <c r="I2745" s="76">
        <v>2.2000000000000001E-4</v>
      </c>
      <c r="J2745" s="76">
        <v>2.9599999999999998E-4</v>
      </c>
      <c r="K2745" s="76">
        <v>3.1599999999999998E-4</v>
      </c>
      <c r="L2745" s="76">
        <v>4.3800000000000002E-4</v>
      </c>
      <c r="M2745" s="76">
        <v>4.6200000000000001E-4</v>
      </c>
    </row>
    <row r="2746" spans="3:13" x14ac:dyDescent="0.15">
      <c r="C2746" s="76">
        <v>630</v>
      </c>
      <c r="D2746" s="76">
        <v>4.0000000000000003E-5</v>
      </c>
      <c r="E2746" s="76">
        <v>6.7100000000000005E-5</v>
      </c>
      <c r="F2746" s="76">
        <v>1.2E-4</v>
      </c>
      <c r="G2746" s="76">
        <v>2.1599999999999999E-4</v>
      </c>
      <c r="H2746" s="76">
        <v>2.1100000000000001E-4</v>
      </c>
      <c r="I2746" s="76">
        <v>2.2100000000000001E-4</v>
      </c>
      <c r="J2746" s="76">
        <v>2.7399999999999999E-4</v>
      </c>
      <c r="K2746" s="76">
        <v>3.01E-4</v>
      </c>
      <c r="L2746" s="76">
        <v>3.1799999999999998E-4</v>
      </c>
      <c r="M2746" s="76">
        <v>3.7399999999999998E-4</v>
      </c>
    </row>
    <row r="2747" spans="3:13" x14ac:dyDescent="0.15">
      <c r="C2747" s="76">
        <v>632</v>
      </c>
      <c r="D2747" s="76">
        <v>3.4400000000000003E-5</v>
      </c>
      <c r="E2747" s="76">
        <v>5.9599999999999999E-5</v>
      </c>
      <c r="F2747" s="76">
        <v>1.1900000000000001E-4</v>
      </c>
      <c r="G2747" s="76">
        <v>2.0699999999999999E-4</v>
      </c>
      <c r="H2747" s="76">
        <v>1.6799999999999999E-4</v>
      </c>
      <c r="I2747" s="76">
        <v>1.92E-4</v>
      </c>
      <c r="J2747" s="76">
        <v>2.9100000000000003E-4</v>
      </c>
      <c r="K2747" s="76">
        <v>3.19E-4</v>
      </c>
      <c r="L2747" s="76">
        <v>3.2899999999999997E-4</v>
      </c>
      <c r="M2747" s="76">
        <v>3.28E-4</v>
      </c>
    </row>
    <row r="2748" spans="3:13" x14ac:dyDescent="0.15">
      <c r="C2748" s="76">
        <v>634</v>
      </c>
      <c r="D2748" s="76">
        <v>2.5999999999999998E-5</v>
      </c>
      <c r="E2748" s="76">
        <v>4.8699999999999998E-5</v>
      </c>
      <c r="F2748" s="76">
        <v>9.9099999999999996E-5</v>
      </c>
      <c r="G2748" s="76">
        <v>1.8200000000000001E-4</v>
      </c>
      <c r="H2748" s="76">
        <v>1.85E-4</v>
      </c>
      <c r="I2748" s="76">
        <v>1.76E-4</v>
      </c>
      <c r="J2748" s="76">
        <v>2.7900000000000001E-4</v>
      </c>
      <c r="K2748" s="76">
        <v>3.21E-4</v>
      </c>
      <c r="L2748" s="76">
        <v>2.7799999999999998E-4</v>
      </c>
      <c r="M2748" s="76">
        <v>2.5399999999999999E-4</v>
      </c>
    </row>
    <row r="2749" spans="3:13" x14ac:dyDescent="0.15">
      <c r="C2749" s="76">
        <v>636</v>
      </c>
      <c r="D2749" s="76">
        <v>2.76E-5</v>
      </c>
      <c r="E2749" s="76">
        <v>5.5999999999999999E-5</v>
      </c>
      <c r="F2749" s="76">
        <v>8.4099999999999998E-5</v>
      </c>
      <c r="G2749" s="76">
        <v>1.64E-4</v>
      </c>
      <c r="H2749" s="76">
        <v>1.8000000000000001E-4</v>
      </c>
      <c r="I2749" s="76">
        <v>1.44E-4</v>
      </c>
      <c r="J2749" s="76">
        <v>3.1399999999999999E-4</v>
      </c>
      <c r="K2749" s="76">
        <v>3.48E-4</v>
      </c>
      <c r="L2749" s="76">
        <v>2.32E-4</v>
      </c>
      <c r="M2749" s="76">
        <v>4.0499999999999998E-4</v>
      </c>
    </row>
    <row r="2750" spans="3:13" x14ac:dyDescent="0.15">
      <c r="C2750" s="76">
        <v>638</v>
      </c>
      <c r="D2750" s="76">
        <v>2.0599999999999999E-5</v>
      </c>
      <c r="E2750" s="76">
        <v>4.1699999999999997E-5</v>
      </c>
      <c r="F2750" s="76">
        <v>8.9800000000000001E-5</v>
      </c>
      <c r="G2750" s="76">
        <v>1.3300000000000001E-4</v>
      </c>
      <c r="H2750" s="76">
        <v>1.8100000000000001E-4</v>
      </c>
      <c r="I2750" s="76">
        <v>1.7699999999999999E-4</v>
      </c>
      <c r="J2750" s="76">
        <v>2.8299999999999999E-4</v>
      </c>
      <c r="K2750" s="76">
        <v>2.9399999999999999E-4</v>
      </c>
      <c r="L2750" s="76">
        <v>1.5100000000000001E-4</v>
      </c>
      <c r="M2750" s="76">
        <v>2.5000000000000001E-4</v>
      </c>
    </row>
    <row r="2751" spans="3:13" x14ac:dyDescent="0.15">
      <c r="C2751" s="76">
        <v>640</v>
      </c>
      <c r="D2751" s="76">
        <v>2.6299999999999999E-5</v>
      </c>
      <c r="E2751" s="76">
        <v>4.6300000000000001E-5</v>
      </c>
      <c r="F2751" s="76">
        <v>9.6000000000000002E-5</v>
      </c>
      <c r="G2751" s="76">
        <v>1.7100000000000001E-4</v>
      </c>
      <c r="H2751" s="76">
        <v>1.6699999999999999E-4</v>
      </c>
      <c r="I2751" s="76">
        <v>1.5300000000000001E-4</v>
      </c>
      <c r="J2751" s="76">
        <v>2.1800000000000001E-4</v>
      </c>
      <c r="K2751" s="76">
        <v>3.0499999999999999E-4</v>
      </c>
      <c r="L2751" s="76">
        <v>1.1900000000000001E-4</v>
      </c>
      <c r="M2751" s="76">
        <v>2.52E-4</v>
      </c>
    </row>
    <row r="2752" spans="3:13" x14ac:dyDescent="0.15">
      <c r="C2752" s="76">
        <v>642</v>
      </c>
      <c r="D2752" s="76">
        <v>2.12E-5</v>
      </c>
      <c r="E2752" s="76">
        <v>3.8600000000000003E-5</v>
      </c>
      <c r="F2752" s="76">
        <v>9.7700000000000003E-5</v>
      </c>
      <c r="G2752" s="76">
        <v>1.5799999999999999E-4</v>
      </c>
      <c r="H2752" s="76">
        <v>1.7200000000000001E-4</v>
      </c>
      <c r="I2752" s="76">
        <v>1.1900000000000001E-4</v>
      </c>
      <c r="J2752" s="76">
        <v>2.2499999999999999E-4</v>
      </c>
      <c r="K2752" s="76">
        <v>2.9300000000000002E-4</v>
      </c>
      <c r="L2752" s="76">
        <v>2.0299999999999999E-5</v>
      </c>
      <c r="M2752" s="76">
        <v>2.6200000000000003E-4</v>
      </c>
    </row>
    <row r="2753" spans="3:13" x14ac:dyDescent="0.15">
      <c r="C2753" s="76">
        <v>644</v>
      </c>
      <c r="D2753" s="76">
        <v>1.4600000000000001E-5</v>
      </c>
      <c r="E2753" s="76">
        <v>4.9200000000000003E-5</v>
      </c>
      <c r="F2753" s="76">
        <v>1.2E-4</v>
      </c>
      <c r="G2753" s="76">
        <v>1.4200000000000001E-4</v>
      </c>
      <c r="H2753" s="76">
        <v>1.85E-4</v>
      </c>
      <c r="I2753" s="76">
        <v>1.34E-4</v>
      </c>
      <c r="J2753" s="76">
        <v>2.3000000000000001E-4</v>
      </c>
      <c r="K2753" s="76">
        <v>3.5500000000000001E-4</v>
      </c>
      <c r="L2753" s="76">
        <v>1.4200000000000001E-4</v>
      </c>
      <c r="M2753" s="76">
        <v>2.02E-4</v>
      </c>
    </row>
    <row r="2754" spans="3:13" x14ac:dyDescent="0.15">
      <c r="C2754" s="76">
        <v>646</v>
      </c>
      <c r="D2754" s="76">
        <v>2.2500000000000001E-5</v>
      </c>
      <c r="E2754" s="76">
        <v>6.4599999999999998E-5</v>
      </c>
      <c r="F2754" s="76">
        <v>9.1399999999999999E-5</v>
      </c>
      <c r="G2754" s="76">
        <v>9.8300000000000004E-5</v>
      </c>
      <c r="H2754" s="76">
        <v>1.75E-4</v>
      </c>
      <c r="I2754" s="76">
        <v>1.3300000000000001E-4</v>
      </c>
      <c r="J2754" s="76">
        <v>2.5900000000000001E-4</v>
      </c>
      <c r="K2754" s="76">
        <v>3.3100000000000002E-4</v>
      </c>
      <c r="L2754" s="76">
        <v>3.7299999999999999E-5</v>
      </c>
      <c r="M2754" s="76">
        <v>1.8900000000000001E-4</v>
      </c>
    </row>
    <row r="2755" spans="3:13" x14ac:dyDescent="0.15">
      <c r="C2755" s="76">
        <v>648</v>
      </c>
      <c r="D2755" s="76">
        <v>1.38E-5</v>
      </c>
      <c r="E2755" s="76">
        <v>5.7200000000000001E-5</v>
      </c>
      <c r="F2755" s="76">
        <v>8.3700000000000002E-5</v>
      </c>
      <c r="G2755" s="76">
        <v>1.13E-4</v>
      </c>
      <c r="H2755" s="76">
        <v>2.0699999999999999E-4</v>
      </c>
      <c r="I2755" s="76">
        <v>1.6000000000000001E-4</v>
      </c>
      <c r="J2755" s="76">
        <v>2.8899999999999998E-4</v>
      </c>
      <c r="K2755" s="76">
        <v>3.48E-4</v>
      </c>
      <c r="L2755" s="76">
        <v>9.2999999999999997E-5</v>
      </c>
      <c r="M2755" s="76">
        <v>2.2599999999999999E-4</v>
      </c>
    </row>
    <row r="2756" spans="3:13" x14ac:dyDescent="0.15">
      <c r="C2756" s="76">
        <v>650</v>
      </c>
      <c r="D2756" s="76">
        <v>1.3699999999999999E-5</v>
      </c>
      <c r="E2756" s="76">
        <v>5.3399999999999997E-5</v>
      </c>
      <c r="F2756" s="76">
        <v>1.07E-4</v>
      </c>
      <c r="G2756" s="76">
        <v>1.2300000000000001E-4</v>
      </c>
      <c r="H2756" s="76">
        <v>1.9100000000000001E-4</v>
      </c>
      <c r="I2756" s="76">
        <v>1.55E-4</v>
      </c>
      <c r="J2756" s="76">
        <v>3.0400000000000002E-4</v>
      </c>
      <c r="K2756" s="76">
        <v>2.9599999999999998E-4</v>
      </c>
      <c r="L2756" s="76">
        <v>7.2399999999999998E-5</v>
      </c>
      <c r="M2756" s="76">
        <v>1.7000000000000001E-4</v>
      </c>
    </row>
    <row r="2757" spans="3:13" x14ac:dyDescent="0.15">
      <c r="C2757" s="76">
        <v>652</v>
      </c>
      <c r="D2757" s="76">
        <v>1.2E-5</v>
      </c>
      <c r="E2757" s="76">
        <v>6.5500000000000006E-5</v>
      </c>
      <c r="F2757" s="76">
        <v>1.08E-4</v>
      </c>
      <c r="G2757" s="76">
        <v>1.2300000000000001E-4</v>
      </c>
      <c r="H2757" s="76">
        <v>1.4799999999999999E-4</v>
      </c>
      <c r="I2757" s="76">
        <v>1.8000000000000001E-4</v>
      </c>
      <c r="J2757" s="76">
        <v>2.2800000000000001E-4</v>
      </c>
      <c r="K2757" s="76">
        <v>2.63E-4</v>
      </c>
      <c r="L2757" s="76">
        <v>1.5999999999999999E-5</v>
      </c>
      <c r="M2757" s="76">
        <v>2.31E-4</v>
      </c>
    </row>
    <row r="2758" spans="3:13" x14ac:dyDescent="0.15">
      <c r="C2758" s="76">
        <v>654</v>
      </c>
      <c r="D2758" s="76">
        <v>9.9399999999999997E-6</v>
      </c>
      <c r="E2758" s="76">
        <v>6.0699999999999998E-5</v>
      </c>
      <c r="F2758" s="76">
        <v>7.1299999999999998E-5</v>
      </c>
      <c r="G2758" s="76">
        <v>1.1400000000000001E-4</v>
      </c>
      <c r="H2758" s="76">
        <v>1.56E-4</v>
      </c>
      <c r="I2758" s="76">
        <v>1.35E-4</v>
      </c>
      <c r="J2758" s="76">
        <v>2.1000000000000001E-4</v>
      </c>
      <c r="K2758" s="76">
        <v>3.1599999999999998E-4</v>
      </c>
      <c r="L2758" s="76">
        <v>3.7599999999999999E-5</v>
      </c>
      <c r="M2758" s="76">
        <v>2.4800000000000001E-4</v>
      </c>
    </row>
    <row r="2759" spans="3:13" x14ac:dyDescent="0.15">
      <c r="C2759" s="76">
        <v>656</v>
      </c>
      <c r="D2759" s="76">
        <v>1.0900000000000001E-5</v>
      </c>
      <c r="E2759" s="76">
        <v>5.2500000000000002E-5</v>
      </c>
      <c r="F2759" s="76">
        <v>9.3800000000000003E-5</v>
      </c>
      <c r="G2759" s="76">
        <v>8.8800000000000004E-5</v>
      </c>
      <c r="H2759" s="76">
        <v>1.5100000000000001E-4</v>
      </c>
      <c r="I2759" s="76">
        <v>1.3100000000000001E-4</v>
      </c>
      <c r="J2759" s="76">
        <v>1.93E-4</v>
      </c>
      <c r="K2759" s="76">
        <v>2.1499999999999999E-4</v>
      </c>
      <c r="L2759" s="76">
        <v>6.0600000000000003E-5</v>
      </c>
      <c r="M2759" s="76">
        <v>1.55E-4</v>
      </c>
    </row>
    <row r="2760" spans="3:13" x14ac:dyDescent="0.15">
      <c r="C2760" s="76">
        <v>658</v>
      </c>
      <c r="D2760" s="76">
        <v>1.7200000000000001E-5</v>
      </c>
      <c r="E2760" s="76">
        <v>4.9200000000000003E-5</v>
      </c>
      <c r="F2760" s="76">
        <v>1.11E-4</v>
      </c>
      <c r="G2760" s="76">
        <v>7.9300000000000003E-5</v>
      </c>
      <c r="H2760" s="76">
        <v>1.4999999999999999E-4</v>
      </c>
      <c r="I2760" s="76">
        <v>1.3200000000000001E-4</v>
      </c>
      <c r="J2760" s="76">
        <v>2.05E-4</v>
      </c>
      <c r="K2760" s="76">
        <v>2.5599999999999999E-4</v>
      </c>
      <c r="L2760" s="76">
        <v>6.6299999999999999E-5</v>
      </c>
      <c r="M2760" s="76">
        <v>1.84E-4</v>
      </c>
    </row>
    <row r="2761" spans="3:13" x14ac:dyDescent="0.15">
      <c r="C2761" s="76">
        <v>660</v>
      </c>
      <c r="D2761" s="76">
        <v>2.1500000000000001E-5</v>
      </c>
      <c r="E2761" s="76">
        <v>7.0300000000000001E-5</v>
      </c>
      <c r="F2761" s="76">
        <v>1.17E-4</v>
      </c>
      <c r="G2761" s="76">
        <v>1.07E-4</v>
      </c>
      <c r="H2761" s="76">
        <v>1.3799999999999999E-4</v>
      </c>
      <c r="I2761" s="76">
        <v>1.2799999999999999E-4</v>
      </c>
      <c r="J2761" s="76">
        <v>1.8699999999999999E-4</v>
      </c>
      <c r="K2761" s="76">
        <v>2.7500000000000002E-4</v>
      </c>
      <c r="L2761" s="76">
        <v>4.2500000000000003E-5</v>
      </c>
      <c r="M2761" s="76">
        <v>2.2900000000000001E-4</v>
      </c>
    </row>
    <row r="2762" spans="3:13" x14ac:dyDescent="0.15">
      <c r="C2762" s="76">
        <v>662</v>
      </c>
      <c r="D2762" s="76">
        <v>2.5000000000000001E-5</v>
      </c>
      <c r="E2762" s="76">
        <v>6.9200000000000002E-5</v>
      </c>
      <c r="F2762" s="76">
        <v>7.5300000000000001E-5</v>
      </c>
      <c r="G2762" s="76">
        <v>7.8800000000000004E-5</v>
      </c>
      <c r="H2762" s="76">
        <v>1.3799999999999999E-4</v>
      </c>
      <c r="I2762" s="76">
        <v>1.1400000000000001E-4</v>
      </c>
      <c r="J2762" s="76">
        <v>1.6799999999999999E-4</v>
      </c>
      <c r="K2762" s="76">
        <v>2.32E-4</v>
      </c>
      <c r="L2762" s="76">
        <v>8.0800000000000006E-6</v>
      </c>
      <c r="M2762" s="76">
        <v>1.83E-4</v>
      </c>
    </row>
    <row r="2763" spans="3:13" x14ac:dyDescent="0.15">
      <c r="C2763" s="76">
        <v>664</v>
      </c>
      <c r="D2763" s="76">
        <v>3.8300000000000003E-5</v>
      </c>
      <c r="E2763" s="76">
        <v>5.66E-5</v>
      </c>
      <c r="F2763" s="76">
        <v>8.7399999999999997E-5</v>
      </c>
      <c r="G2763" s="76">
        <v>9.0400000000000002E-5</v>
      </c>
      <c r="H2763" s="76">
        <v>1.21E-4</v>
      </c>
      <c r="I2763" s="76">
        <v>1.4300000000000001E-4</v>
      </c>
      <c r="J2763" s="76">
        <v>1.7200000000000001E-4</v>
      </c>
      <c r="K2763" s="76">
        <v>1.6100000000000001E-4</v>
      </c>
      <c r="L2763" s="76">
        <v>4.8000000000000001E-5</v>
      </c>
      <c r="M2763" s="76">
        <v>1.3300000000000001E-4</v>
      </c>
    </row>
    <row r="2764" spans="3:13" x14ac:dyDescent="0.15">
      <c r="C2764" s="76">
        <v>666</v>
      </c>
      <c r="D2764" s="76">
        <v>3.1099999999999997E-5</v>
      </c>
      <c r="E2764" s="76">
        <v>4.99E-5</v>
      </c>
      <c r="F2764" s="76">
        <v>8.7899999999999995E-5</v>
      </c>
      <c r="G2764" s="76">
        <v>1.13E-4</v>
      </c>
      <c r="H2764" s="76">
        <v>6.86E-5</v>
      </c>
      <c r="I2764" s="76">
        <v>1.46E-4</v>
      </c>
      <c r="J2764" s="76">
        <v>1.3799999999999999E-4</v>
      </c>
      <c r="K2764" s="76">
        <v>2.03E-4</v>
      </c>
      <c r="L2764" s="76">
        <v>1.26E-4</v>
      </c>
      <c r="M2764" s="76">
        <v>1.05E-4</v>
      </c>
    </row>
    <row r="2765" spans="3:13" x14ac:dyDescent="0.15">
      <c r="C2765" s="76">
        <v>668</v>
      </c>
      <c r="D2765" s="76">
        <v>2.8600000000000001E-5</v>
      </c>
      <c r="E2765" s="76">
        <v>4.6699999999999997E-5</v>
      </c>
      <c r="F2765" s="76">
        <v>7.7399999999999998E-5</v>
      </c>
      <c r="G2765" s="76">
        <v>8.1199999999999995E-5</v>
      </c>
      <c r="H2765" s="76">
        <v>6.0600000000000003E-5</v>
      </c>
      <c r="I2765" s="76">
        <v>1.46E-4</v>
      </c>
      <c r="J2765" s="76">
        <v>1.3999999999999999E-4</v>
      </c>
      <c r="K2765" s="76">
        <v>2.0900000000000001E-4</v>
      </c>
      <c r="L2765" s="76">
        <v>1.64E-4</v>
      </c>
      <c r="M2765" s="76">
        <v>9.87E-5</v>
      </c>
    </row>
    <row r="2766" spans="3:13" x14ac:dyDescent="0.15">
      <c r="C2766" s="76">
        <v>670</v>
      </c>
      <c r="D2766" s="76">
        <v>3.3599999999999997E-5</v>
      </c>
      <c r="E2766" s="76">
        <v>4.5899999999999998E-5</v>
      </c>
      <c r="F2766" s="76">
        <v>5.3499999999999999E-5</v>
      </c>
      <c r="G2766" s="76">
        <v>9.1700000000000006E-5</v>
      </c>
      <c r="H2766" s="76">
        <v>4.32E-5</v>
      </c>
      <c r="I2766" s="76">
        <v>1.4999999999999999E-4</v>
      </c>
      <c r="J2766" s="76">
        <v>1.3899999999999999E-4</v>
      </c>
      <c r="K2766" s="76">
        <v>2.1000000000000001E-4</v>
      </c>
      <c r="L2766" s="76">
        <v>1.4999999999999999E-4</v>
      </c>
      <c r="M2766" s="76">
        <v>1.12E-4</v>
      </c>
    </row>
    <row r="2767" spans="3:13" x14ac:dyDescent="0.15">
      <c r="C2767" s="76">
        <v>672</v>
      </c>
      <c r="D2767" s="76">
        <v>3.8500000000000001E-5</v>
      </c>
      <c r="E2767" s="76">
        <v>5.1100000000000002E-5</v>
      </c>
      <c r="F2767" s="76">
        <v>7.6500000000000003E-5</v>
      </c>
      <c r="G2767" s="76">
        <v>9.7600000000000001E-5</v>
      </c>
      <c r="H2767" s="76">
        <v>6.0099999999999997E-5</v>
      </c>
      <c r="I2767" s="76">
        <v>1.8900000000000001E-4</v>
      </c>
      <c r="J2767" s="76">
        <v>9.7100000000000002E-5</v>
      </c>
      <c r="K2767" s="76">
        <v>1.93E-4</v>
      </c>
      <c r="L2767" s="76">
        <v>2.1499999999999999E-4</v>
      </c>
      <c r="M2767" s="76">
        <v>1.8799999999999999E-4</v>
      </c>
    </row>
    <row r="2768" spans="3:13" x14ac:dyDescent="0.15">
      <c r="C2768" s="76">
        <v>674</v>
      </c>
      <c r="D2768" s="76">
        <v>4.5899999999999998E-5</v>
      </c>
      <c r="E2768" s="76">
        <v>4.6100000000000002E-5</v>
      </c>
      <c r="F2768" s="76">
        <v>1.03E-4</v>
      </c>
      <c r="G2768" s="76">
        <v>7.86E-5</v>
      </c>
      <c r="H2768" s="76">
        <v>5.77E-5</v>
      </c>
      <c r="I2768" s="76">
        <v>1.5200000000000001E-4</v>
      </c>
      <c r="J2768" s="76">
        <v>1.05E-4</v>
      </c>
      <c r="K2768" s="76">
        <v>1.4799999999999999E-4</v>
      </c>
      <c r="L2768" s="76">
        <v>2.61E-4</v>
      </c>
      <c r="M2768" s="76">
        <v>1.37E-4</v>
      </c>
    </row>
    <row r="2769" spans="3:13" x14ac:dyDescent="0.15">
      <c r="C2769" s="76">
        <v>676</v>
      </c>
      <c r="D2769" s="76">
        <v>3.4799999999999999E-5</v>
      </c>
      <c r="E2769" s="76">
        <v>4.7500000000000003E-5</v>
      </c>
      <c r="F2769" s="76">
        <v>7.9300000000000003E-5</v>
      </c>
      <c r="G2769" s="76">
        <v>8.1699999999999994E-5</v>
      </c>
      <c r="H2769" s="76">
        <v>4.8300000000000002E-5</v>
      </c>
      <c r="I2769" s="76">
        <v>1.63E-4</v>
      </c>
      <c r="J2769" s="76">
        <v>7.8300000000000006E-5</v>
      </c>
      <c r="K2769" s="76">
        <v>1.4200000000000001E-4</v>
      </c>
      <c r="L2769" s="76">
        <v>2.6699999999999998E-4</v>
      </c>
      <c r="M2769" s="76">
        <v>1.11E-4</v>
      </c>
    </row>
    <row r="2770" spans="3:13" x14ac:dyDescent="0.15">
      <c r="C2770" s="76">
        <v>678</v>
      </c>
      <c r="D2770" s="76">
        <v>3.2400000000000001E-5</v>
      </c>
      <c r="E2770" s="76">
        <v>3.3599999999999997E-5</v>
      </c>
      <c r="F2770" s="76">
        <v>6.8800000000000005E-5</v>
      </c>
      <c r="G2770" s="76">
        <v>1.02E-4</v>
      </c>
      <c r="H2770" s="76">
        <v>3.4199999999999998E-5</v>
      </c>
      <c r="I2770" s="76">
        <v>1.2E-4</v>
      </c>
      <c r="J2770" s="76">
        <v>8.6100000000000006E-5</v>
      </c>
      <c r="K2770" s="76">
        <v>1.5300000000000001E-4</v>
      </c>
      <c r="L2770" s="76">
        <v>3.0699999999999998E-4</v>
      </c>
      <c r="M2770" s="76">
        <v>1.4999999999999999E-4</v>
      </c>
    </row>
    <row r="2771" spans="3:13" x14ac:dyDescent="0.15">
      <c r="C2771" s="76">
        <v>680</v>
      </c>
      <c r="D2771" s="76">
        <v>3.0899999999999999E-5</v>
      </c>
      <c r="E2771" s="76">
        <v>4.3099999999999997E-5</v>
      </c>
      <c r="F2771" s="76">
        <v>8.4900000000000004E-5</v>
      </c>
      <c r="G2771" s="76">
        <v>1.15E-4</v>
      </c>
      <c r="H2771" s="76">
        <v>2.8099999999999999E-5</v>
      </c>
      <c r="I2771" s="76">
        <v>1.3799999999999999E-4</v>
      </c>
      <c r="J2771" s="76">
        <v>1.22E-4</v>
      </c>
      <c r="K2771" s="76">
        <v>1.18E-4</v>
      </c>
      <c r="L2771" s="76">
        <v>3.68E-4</v>
      </c>
      <c r="M2771" s="76">
        <v>1.44E-4</v>
      </c>
    </row>
    <row r="2772" spans="3:13" x14ac:dyDescent="0.15">
      <c r="C2772" s="76">
        <v>682</v>
      </c>
      <c r="D2772" s="76">
        <v>3.2100000000000001E-5</v>
      </c>
      <c r="E2772" s="76">
        <v>3.7599999999999999E-5</v>
      </c>
      <c r="F2772" s="76">
        <v>5.8699999999999997E-5</v>
      </c>
      <c r="G2772" s="76">
        <v>1.1400000000000001E-4</v>
      </c>
      <c r="H2772" s="76">
        <v>1.2500000000000001E-5</v>
      </c>
      <c r="I2772" s="76">
        <v>1.5200000000000001E-4</v>
      </c>
      <c r="J2772" s="76">
        <v>1.3200000000000001E-4</v>
      </c>
      <c r="K2772" s="76">
        <v>1.45E-4</v>
      </c>
      <c r="L2772" s="76">
        <v>3.5799999999999997E-4</v>
      </c>
      <c r="M2772" s="76">
        <v>1.6200000000000001E-4</v>
      </c>
    </row>
    <row r="2773" spans="3:13" x14ac:dyDescent="0.15">
      <c r="C2773" s="76">
        <v>684</v>
      </c>
      <c r="D2773" s="76">
        <v>3.5299999999999997E-5</v>
      </c>
      <c r="E2773" s="76">
        <v>2.37E-5</v>
      </c>
      <c r="F2773" s="76">
        <v>5.3900000000000002E-5</v>
      </c>
      <c r="G2773" s="76">
        <v>9.9900000000000002E-5</v>
      </c>
      <c r="H2773" s="76">
        <v>4.4299999999999999E-5</v>
      </c>
      <c r="I2773" s="76">
        <v>1.44E-4</v>
      </c>
      <c r="J2773" s="76">
        <v>1.3100000000000001E-4</v>
      </c>
      <c r="K2773" s="76">
        <v>1.45E-4</v>
      </c>
      <c r="L2773" s="76">
        <v>3.8699999999999997E-4</v>
      </c>
      <c r="M2773" s="76">
        <v>1.6799999999999999E-4</v>
      </c>
    </row>
    <row r="2774" spans="3:13" x14ac:dyDescent="0.15">
      <c r="C2774" s="76">
        <v>686</v>
      </c>
      <c r="D2774" s="76">
        <v>3.3500000000000001E-5</v>
      </c>
      <c r="E2774" s="76">
        <v>2.1800000000000001E-5</v>
      </c>
      <c r="F2774" s="76">
        <v>5.91E-5</v>
      </c>
      <c r="G2774" s="76">
        <v>1.65E-4</v>
      </c>
      <c r="H2774" s="76">
        <v>2.6800000000000001E-5</v>
      </c>
      <c r="I2774" s="76">
        <v>1.22E-4</v>
      </c>
      <c r="J2774" s="76">
        <v>1.2400000000000001E-4</v>
      </c>
      <c r="K2774" s="76">
        <v>6.6500000000000004E-5</v>
      </c>
      <c r="L2774" s="76">
        <v>2.7700000000000001E-4</v>
      </c>
      <c r="M2774" s="76">
        <v>2.7799999999999998E-4</v>
      </c>
    </row>
    <row r="2775" spans="3:13" x14ac:dyDescent="0.15">
      <c r="C2775" s="76">
        <v>688</v>
      </c>
      <c r="D2775" s="76">
        <v>2.8799999999999999E-5</v>
      </c>
      <c r="E2775" s="76">
        <v>2.4600000000000002E-5</v>
      </c>
      <c r="F2775" s="76">
        <v>4.35E-5</v>
      </c>
      <c r="G2775" s="76">
        <v>1.35E-4</v>
      </c>
      <c r="H2775" s="76">
        <v>1.95E-6</v>
      </c>
      <c r="I2775" s="76">
        <v>1.27E-4</v>
      </c>
      <c r="J2775" s="76">
        <v>1.1900000000000001E-4</v>
      </c>
      <c r="K2775" s="76">
        <v>1.0399999999999999E-4</v>
      </c>
      <c r="L2775" s="76">
        <v>3.2000000000000003E-4</v>
      </c>
      <c r="M2775" s="76">
        <v>1.9100000000000001E-4</v>
      </c>
    </row>
    <row r="2776" spans="3:13" x14ac:dyDescent="0.15">
      <c r="C2776" s="76">
        <v>690</v>
      </c>
      <c r="D2776" s="76">
        <v>3.18E-5</v>
      </c>
      <c r="E2776" s="76">
        <v>2.1299999999999999E-6</v>
      </c>
      <c r="F2776" s="76">
        <v>2.7699999999999999E-5</v>
      </c>
      <c r="G2776" s="76">
        <v>1.3200000000000001E-4</v>
      </c>
      <c r="H2776" s="76">
        <v>6.7399999999999998E-6</v>
      </c>
      <c r="I2776" s="76">
        <v>1.27E-4</v>
      </c>
      <c r="J2776" s="76">
        <v>3.6200000000000002E-4</v>
      </c>
      <c r="K2776" s="76">
        <v>1.01E-4</v>
      </c>
      <c r="L2776" s="76">
        <v>2.9799999999999998E-4</v>
      </c>
      <c r="M2776" s="76">
        <v>1.9100000000000001E-4</v>
      </c>
    </row>
    <row r="2777" spans="3:13" x14ac:dyDescent="0.15">
      <c r="C2777" s="76">
        <v>692</v>
      </c>
      <c r="D2777" s="76">
        <v>2.69E-5</v>
      </c>
      <c r="E2777" s="76">
        <v>1.8300000000000001E-5</v>
      </c>
      <c r="F2777" s="76">
        <v>4.49E-5</v>
      </c>
      <c r="G2777" s="76">
        <v>1.15E-4</v>
      </c>
      <c r="H2777" s="76">
        <v>2.37E-5</v>
      </c>
      <c r="I2777" s="76">
        <v>1.1900000000000001E-4</v>
      </c>
      <c r="J2777" s="76">
        <v>4.2200000000000003E-5</v>
      </c>
      <c r="K2777" s="76">
        <v>1.02E-4</v>
      </c>
      <c r="L2777" s="76">
        <v>3.4499999999999998E-4</v>
      </c>
      <c r="M2777" s="76">
        <v>2.2499999999999999E-4</v>
      </c>
    </row>
    <row r="2778" spans="3:13" x14ac:dyDescent="0.15">
      <c r="C2778" s="76">
        <v>694</v>
      </c>
      <c r="D2778" s="76">
        <v>1.9400000000000001E-5</v>
      </c>
      <c r="E2778" s="76">
        <v>2.65E-5</v>
      </c>
      <c r="F2778" s="76">
        <v>3.4600000000000001E-5</v>
      </c>
      <c r="G2778" s="76">
        <v>1.17E-4</v>
      </c>
      <c r="H2778" s="76">
        <v>2.7800000000000001E-5</v>
      </c>
      <c r="I2778" s="76">
        <v>8.3599999999999999E-5</v>
      </c>
      <c r="J2778" s="76">
        <v>1.12E-4</v>
      </c>
      <c r="K2778" s="76">
        <v>1.3100000000000001E-4</v>
      </c>
      <c r="L2778" s="76">
        <v>3.6200000000000002E-4</v>
      </c>
      <c r="M2778" s="76">
        <v>1.9599999999999999E-4</v>
      </c>
    </row>
    <row r="2779" spans="3:13" x14ac:dyDescent="0.15">
      <c r="C2779" s="76">
        <v>696</v>
      </c>
      <c r="D2779" s="76">
        <v>2.9099999999999999E-5</v>
      </c>
      <c r="E2779" s="76">
        <v>2.9299999999999999E-6</v>
      </c>
      <c r="F2779" s="76">
        <v>2.55E-5</v>
      </c>
      <c r="G2779" s="76">
        <v>1.02E-4</v>
      </c>
      <c r="H2779" s="76">
        <v>3.7499999999999997E-5</v>
      </c>
      <c r="I2779" s="76">
        <v>1.2300000000000001E-4</v>
      </c>
      <c r="J2779" s="76">
        <v>9.3499999999999996E-5</v>
      </c>
      <c r="K2779" s="76">
        <v>6.7500000000000001E-5</v>
      </c>
      <c r="L2779" s="76">
        <v>2.9999999999999997E-4</v>
      </c>
      <c r="M2779" s="76">
        <v>2.2499999999999999E-4</v>
      </c>
    </row>
    <row r="2780" spans="3:13" x14ac:dyDescent="0.15">
      <c r="C2780" s="76">
        <v>698</v>
      </c>
      <c r="D2780" s="76">
        <v>2.1800000000000001E-5</v>
      </c>
      <c r="E2780" s="76">
        <v>1.4300000000000001E-6</v>
      </c>
      <c r="F2780" s="76">
        <v>1.56E-5</v>
      </c>
      <c r="G2780" s="76">
        <v>9.6500000000000001E-5</v>
      </c>
      <c r="H2780" s="76">
        <v>7.4400000000000006E-5</v>
      </c>
      <c r="I2780" s="76">
        <v>1.06E-4</v>
      </c>
      <c r="J2780" s="76">
        <v>1.18E-4</v>
      </c>
      <c r="K2780" s="76">
        <v>8.2299999999999995E-5</v>
      </c>
      <c r="L2780" s="76">
        <v>3.1700000000000001E-4</v>
      </c>
      <c r="M2780" s="76">
        <v>2.2100000000000001E-4</v>
      </c>
    </row>
    <row r="2781" spans="3:13" x14ac:dyDescent="0.15">
      <c r="C2781" s="76">
        <v>700</v>
      </c>
      <c r="D2781" s="76">
        <v>2.7900000000000001E-5</v>
      </c>
      <c r="E2781" s="76">
        <v>2.61E-6</v>
      </c>
      <c r="F2781" s="76">
        <v>1.6099999999999998E-5</v>
      </c>
      <c r="G2781" s="76">
        <v>1.22E-4</v>
      </c>
      <c r="H2781" s="76">
        <v>8.1799999999999996E-5</v>
      </c>
      <c r="I2781" s="76">
        <v>8.7100000000000003E-5</v>
      </c>
      <c r="J2781" s="76">
        <v>1.75E-4</v>
      </c>
      <c r="K2781" s="76">
        <v>4.8300000000000002E-5</v>
      </c>
      <c r="L2781" s="76">
        <v>3.1399999999999999E-4</v>
      </c>
      <c r="M2781" s="76">
        <v>2.9999999999999997E-4</v>
      </c>
    </row>
    <row r="2782" spans="3:13" x14ac:dyDescent="0.15">
      <c r="C2782" s="76">
        <v>702</v>
      </c>
      <c r="D2782" s="76">
        <v>2.3600000000000001E-5</v>
      </c>
      <c r="E2782" s="76">
        <v>0</v>
      </c>
      <c r="F2782" s="76">
        <v>2.8099999999999999E-5</v>
      </c>
      <c r="G2782" s="76">
        <v>6.4999999999999994E-5</v>
      </c>
      <c r="H2782" s="76">
        <v>1E-4</v>
      </c>
      <c r="I2782" s="76">
        <v>8.0400000000000003E-5</v>
      </c>
      <c r="J2782" s="76">
        <v>1.85E-4</v>
      </c>
      <c r="K2782" s="76">
        <v>2.5700000000000001E-5</v>
      </c>
      <c r="L2782" s="76">
        <v>2.22E-4</v>
      </c>
      <c r="M2782" s="76">
        <v>3.2400000000000001E-4</v>
      </c>
    </row>
    <row r="2783" spans="3:13" x14ac:dyDescent="0.15">
      <c r="C2783" s="76">
        <v>704</v>
      </c>
      <c r="D2783" s="76">
        <v>2.1100000000000001E-5</v>
      </c>
      <c r="E2783" s="76">
        <v>7.3200000000000004E-7</v>
      </c>
      <c r="F2783" s="76">
        <v>2.8200000000000001E-6</v>
      </c>
      <c r="G2783" s="76">
        <v>1.25E-4</v>
      </c>
      <c r="H2783" s="76">
        <v>1.06E-4</v>
      </c>
      <c r="I2783" s="76">
        <v>9.8900000000000005E-5</v>
      </c>
      <c r="J2783" s="76">
        <v>1.4899999999999999E-4</v>
      </c>
      <c r="K2783" s="76">
        <v>2.4899999999999999E-5</v>
      </c>
      <c r="L2783" s="76">
        <v>2.1499999999999999E-4</v>
      </c>
      <c r="M2783" s="76">
        <v>2.4399999999999999E-4</v>
      </c>
    </row>
    <row r="2784" spans="3:13" x14ac:dyDescent="0.15">
      <c r="C2784" s="76">
        <v>706</v>
      </c>
      <c r="D2784" s="76">
        <v>2.0100000000000001E-5</v>
      </c>
      <c r="E2784" s="76">
        <v>1.01E-5</v>
      </c>
      <c r="F2784" s="76">
        <v>7.8199999999999997E-6</v>
      </c>
      <c r="G2784" s="76">
        <v>1.16E-4</v>
      </c>
      <c r="H2784" s="76">
        <v>7.7999999999999999E-5</v>
      </c>
      <c r="I2784" s="76">
        <v>6.2899999999999997E-5</v>
      </c>
      <c r="J2784" s="76">
        <v>1.4799999999999999E-4</v>
      </c>
      <c r="K2784" s="76">
        <v>7.0699999999999997E-5</v>
      </c>
      <c r="L2784" s="76">
        <v>1.9799999999999999E-4</v>
      </c>
      <c r="M2784" s="76">
        <v>2.1499999999999999E-4</v>
      </c>
    </row>
    <row r="2785" spans="3:13" x14ac:dyDescent="0.15">
      <c r="C2785" s="76">
        <v>708</v>
      </c>
      <c r="D2785" s="76">
        <v>1.9000000000000001E-5</v>
      </c>
      <c r="E2785" s="76">
        <v>7.7300000000000005E-6</v>
      </c>
      <c r="F2785" s="76">
        <v>3.9499999999999998E-5</v>
      </c>
      <c r="G2785" s="76">
        <v>9.6899999999999997E-5</v>
      </c>
      <c r="H2785" s="76">
        <v>1.27E-4</v>
      </c>
      <c r="I2785" s="76">
        <v>2.9499999999999999E-5</v>
      </c>
      <c r="J2785" s="76">
        <v>1.76E-4</v>
      </c>
      <c r="K2785" s="76">
        <v>5.3399999999999997E-5</v>
      </c>
      <c r="L2785" s="76">
        <v>1.3300000000000001E-4</v>
      </c>
      <c r="M2785" s="76">
        <v>2.3000000000000001E-4</v>
      </c>
    </row>
    <row r="2786" spans="3:13" x14ac:dyDescent="0.15">
      <c r="C2786" s="76">
        <v>710</v>
      </c>
      <c r="D2786" s="76">
        <v>1.3499999999999999E-5</v>
      </c>
      <c r="E2786" s="76">
        <v>9.2599999999999994E-6</v>
      </c>
      <c r="F2786" s="76">
        <v>2.6100000000000001E-5</v>
      </c>
      <c r="G2786" s="76">
        <v>9.9199999999999999E-5</v>
      </c>
      <c r="H2786" s="76">
        <v>1.01E-4</v>
      </c>
      <c r="I2786" s="76">
        <v>6.3100000000000002E-5</v>
      </c>
      <c r="J2786" s="76">
        <v>1.9000000000000001E-4</v>
      </c>
      <c r="K2786" s="76">
        <v>9.1799999999999995E-5</v>
      </c>
      <c r="L2786" s="76">
        <v>1.3799999999999999E-4</v>
      </c>
      <c r="M2786" s="76">
        <v>2.1900000000000001E-4</v>
      </c>
    </row>
    <row r="2787" spans="3:13" x14ac:dyDescent="0.15">
      <c r="C2787" s="76">
        <v>712</v>
      </c>
      <c r="D2787" s="76">
        <v>1.7E-5</v>
      </c>
      <c r="E2787" s="76">
        <v>2.3800000000000001E-6</v>
      </c>
      <c r="F2787" s="76">
        <v>6.1299999999999998E-6</v>
      </c>
      <c r="G2787" s="76">
        <v>1.01E-4</v>
      </c>
      <c r="H2787" s="76">
        <v>1.02E-4</v>
      </c>
      <c r="I2787" s="76">
        <v>4.9200000000000003E-5</v>
      </c>
      <c r="J2787" s="76">
        <v>2.0699999999999999E-4</v>
      </c>
      <c r="K2787" s="76">
        <v>6.1500000000000004E-5</v>
      </c>
      <c r="L2787" s="76">
        <v>1.3200000000000001E-4</v>
      </c>
      <c r="M2787" s="76">
        <v>2.5399999999999999E-4</v>
      </c>
    </row>
    <row r="2788" spans="3:13" x14ac:dyDescent="0.15">
      <c r="C2788" s="76">
        <v>714</v>
      </c>
      <c r="D2788" s="76">
        <v>1.6799999999999998E-5</v>
      </c>
      <c r="E2788" s="76">
        <v>1.4E-5</v>
      </c>
      <c r="F2788" s="76">
        <v>1.27E-5</v>
      </c>
      <c r="G2788" s="76">
        <v>8.8999999999999995E-5</v>
      </c>
      <c r="H2788" s="76">
        <v>1.3300000000000001E-4</v>
      </c>
      <c r="I2788" s="76">
        <v>1.49E-5</v>
      </c>
      <c r="J2788" s="76">
        <v>2.1900000000000001E-4</v>
      </c>
      <c r="K2788" s="76">
        <v>7.1799999999999997E-5</v>
      </c>
      <c r="L2788" s="76">
        <v>1.4999999999999999E-4</v>
      </c>
      <c r="M2788" s="76">
        <v>2.5300000000000002E-4</v>
      </c>
    </row>
    <row r="2789" spans="3:13" x14ac:dyDescent="0.15">
      <c r="C2789" s="76">
        <v>716</v>
      </c>
      <c r="D2789" s="76">
        <v>9.2099999999999999E-6</v>
      </c>
      <c r="E2789" s="76">
        <v>9.7499999999999998E-6</v>
      </c>
      <c r="F2789" s="76">
        <v>1.5800000000000001E-5</v>
      </c>
      <c r="G2789" s="76">
        <v>8.4499999999999994E-5</v>
      </c>
      <c r="H2789" s="76">
        <v>1.5100000000000001E-4</v>
      </c>
      <c r="I2789" s="76">
        <v>2.2900000000000001E-5</v>
      </c>
      <c r="J2789" s="76">
        <v>1.7100000000000001E-4</v>
      </c>
      <c r="K2789" s="76">
        <v>1.54E-4</v>
      </c>
      <c r="L2789" s="76">
        <v>9.59E-5</v>
      </c>
      <c r="M2789" s="76">
        <v>2.14E-4</v>
      </c>
    </row>
    <row r="2790" spans="3:13" x14ac:dyDescent="0.15">
      <c r="C2790" s="76">
        <v>718</v>
      </c>
      <c r="D2790" s="76">
        <v>1.45E-5</v>
      </c>
      <c r="E2790" s="76">
        <v>0</v>
      </c>
      <c r="F2790" s="76">
        <v>2.0000000000000002E-5</v>
      </c>
      <c r="G2790" s="76">
        <v>6.7100000000000005E-5</v>
      </c>
      <c r="H2790" s="76">
        <v>1.25E-4</v>
      </c>
      <c r="I2790" s="76">
        <v>9.1000000000000003E-5</v>
      </c>
      <c r="J2790" s="76">
        <v>1.3899999999999999E-4</v>
      </c>
      <c r="K2790" s="76">
        <v>1.6799999999999999E-4</v>
      </c>
      <c r="L2790" s="76">
        <v>7.6100000000000007E-5</v>
      </c>
      <c r="M2790" s="76">
        <v>1.8100000000000001E-4</v>
      </c>
    </row>
    <row r="2791" spans="3:13" x14ac:dyDescent="0.15">
      <c r="C2791" s="76">
        <v>720</v>
      </c>
      <c r="D2791" s="76">
        <v>8.9400000000000008E-6</v>
      </c>
      <c r="E2791" s="76">
        <v>4.34E-7</v>
      </c>
      <c r="F2791" s="76">
        <v>3.4E-5</v>
      </c>
      <c r="G2791" s="76">
        <v>6.3299999999999994E-5</v>
      </c>
      <c r="H2791" s="76">
        <v>1.4999999999999999E-4</v>
      </c>
      <c r="I2791" s="76">
        <v>5.9500000000000003E-5</v>
      </c>
      <c r="J2791" s="76">
        <v>1.25E-4</v>
      </c>
      <c r="K2791" s="76">
        <v>9.8900000000000005E-5</v>
      </c>
      <c r="L2791" s="76">
        <v>4.7500000000000003E-5</v>
      </c>
      <c r="M2791" s="76">
        <v>1.8900000000000001E-4</v>
      </c>
    </row>
    <row r="2792" spans="3:13" x14ac:dyDescent="0.15">
      <c r="C2792" s="76">
        <v>722</v>
      </c>
      <c r="D2792" s="76">
        <v>1.34E-5</v>
      </c>
      <c r="E2792" s="76">
        <v>9.5400000000000001E-6</v>
      </c>
      <c r="F2792" s="76">
        <v>5.7100000000000004E-6</v>
      </c>
      <c r="G2792" s="76">
        <v>3.4E-5</v>
      </c>
      <c r="H2792" s="76">
        <v>1.3899999999999999E-4</v>
      </c>
      <c r="I2792" s="76">
        <v>3.9100000000000002E-5</v>
      </c>
      <c r="J2792" s="76">
        <v>1.22E-4</v>
      </c>
      <c r="K2792" s="76">
        <v>1.3899999999999999E-4</v>
      </c>
      <c r="L2792" s="76">
        <v>0</v>
      </c>
      <c r="M2792" s="76">
        <v>1.5899999999999999E-4</v>
      </c>
    </row>
    <row r="2793" spans="3:13" x14ac:dyDescent="0.15">
      <c r="C2793" s="76">
        <v>724</v>
      </c>
      <c r="D2793" s="76">
        <v>7.3599999999999998E-6</v>
      </c>
      <c r="E2793" s="76">
        <v>1.0200000000000001E-5</v>
      </c>
      <c r="F2793" s="76">
        <v>2.6299999999999999E-5</v>
      </c>
      <c r="G2793" s="76">
        <v>1.6699999999999999E-5</v>
      </c>
      <c r="H2793" s="76">
        <v>1.3300000000000001E-4</v>
      </c>
      <c r="I2793" s="76">
        <v>4.2799999999999997E-5</v>
      </c>
      <c r="J2793" s="76">
        <v>1.36E-4</v>
      </c>
      <c r="K2793" s="76">
        <v>1.75E-4</v>
      </c>
      <c r="L2793" s="76">
        <v>1.05E-4</v>
      </c>
      <c r="M2793" s="76">
        <v>1.3799999999999999E-4</v>
      </c>
    </row>
    <row r="2794" spans="3:13" x14ac:dyDescent="0.15">
      <c r="C2794" s="76">
        <v>726</v>
      </c>
      <c r="D2794" s="76">
        <v>6.7299999999999999E-6</v>
      </c>
      <c r="E2794" s="76">
        <v>1.2999999999999999E-5</v>
      </c>
      <c r="F2794" s="76">
        <v>1.29E-5</v>
      </c>
      <c r="G2794" s="76">
        <v>3.4799999999999999E-7</v>
      </c>
      <c r="H2794" s="76">
        <v>1.22E-4</v>
      </c>
      <c r="I2794" s="76">
        <v>2.8200000000000001E-5</v>
      </c>
      <c r="J2794" s="76">
        <v>1.36E-4</v>
      </c>
      <c r="K2794" s="76">
        <v>2.1800000000000001E-4</v>
      </c>
      <c r="L2794" s="76">
        <v>3.6199999999999999E-5</v>
      </c>
      <c r="M2794" s="76">
        <v>1.12E-4</v>
      </c>
    </row>
    <row r="2795" spans="3:13" x14ac:dyDescent="0.15">
      <c r="C2795" s="76">
        <v>728</v>
      </c>
      <c r="D2795" s="76">
        <v>1.4399999999999999E-5</v>
      </c>
      <c r="E2795" s="76">
        <v>1.2799999999999999E-5</v>
      </c>
      <c r="F2795" s="76">
        <v>8.0099999999999995E-6</v>
      </c>
      <c r="G2795" s="76">
        <v>3.4E-5</v>
      </c>
      <c r="H2795" s="76">
        <v>1.22E-4</v>
      </c>
      <c r="I2795" s="76">
        <v>1.98E-5</v>
      </c>
      <c r="J2795" s="76">
        <v>4.6900000000000002E-5</v>
      </c>
      <c r="K2795" s="76">
        <v>1.4799999999999999E-4</v>
      </c>
      <c r="L2795" s="76">
        <v>0</v>
      </c>
      <c r="M2795" s="76">
        <v>8.6700000000000007E-5</v>
      </c>
    </row>
    <row r="2796" spans="3:13" x14ac:dyDescent="0.15">
      <c r="C2796" s="76">
        <v>730</v>
      </c>
      <c r="D2796" s="76">
        <v>1.3699999999999999E-5</v>
      </c>
      <c r="E2796" s="76">
        <v>2.3300000000000001E-5</v>
      </c>
      <c r="F2796" s="76">
        <v>2.9300000000000001E-5</v>
      </c>
      <c r="G2796" s="76">
        <v>3.8899999999999997E-5</v>
      </c>
      <c r="H2796" s="76">
        <v>1.4200000000000001E-4</v>
      </c>
      <c r="I2796" s="76">
        <v>7.5900000000000002E-5</v>
      </c>
      <c r="J2796" s="76">
        <v>4.8999999999999998E-5</v>
      </c>
      <c r="K2796" s="76">
        <v>1.3899999999999999E-4</v>
      </c>
      <c r="L2796" s="76">
        <v>2.9300000000000001E-5</v>
      </c>
      <c r="M2796" s="76">
        <v>4.35E-5</v>
      </c>
    </row>
    <row r="2797" spans="3:13" x14ac:dyDescent="0.15">
      <c r="C2797" s="76">
        <v>732</v>
      </c>
      <c r="D2797" s="76">
        <v>1.4100000000000001E-5</v>
      </c>
      <c r="E2797" s="76">
        <v>3.3099999999999998E-5</v>
      </c>
      <c r="F2797" s="76">
        <v>4.5300000000000003E-5</v>
      </c>
      <c r="G2797" s="76">
        <v>5.0300000000000003E-5</v>
      </c>
      <c r="H2797" s="76">
        <v>1.21E-4</v>
      </c>
      <c r="I2797" s="76">
        <v>1.07E-4</v>
      </c>
      <c r="J2797" s="76">
        <v>8.9800000000000001E-5</v>
      </c>
      <c r="K2797" s="76">
        <v>2.0599999999999999E-4</v>
      </c>
      <c r="L2797" s="76">
        <v>5.2599999999999998E-5</v>
      </c>
      <c r="M2797" s="76">
        <v>5.2500000000000002E-5</v>
      </c>
    </row>
    <row r="2798" spans="3:13" x14ac:dyDescent="0.15">
      <c r="C2798" s="76">
        <v>734</v>
      </c>
      <c r="D2798" s="76">
        <v>1.49E-5</v>
      </c>
      <c r="E2798" s="76">
        <v>5.49E-5</v>
      </c>
      <c r="F2798" s="76">
        <v>6.0399999999999998E-5</v>
      </c>
      <c r="G2798" s="76">
        <v>2.65E-5</v>
      </c>
      <c r="H2798" s="76">
        <v>1.3300000000000001E-4</v>
      </c>
      <c r="I2798" s="76">
        <v>6.69E-5</v>
      </c>
      <c r="J2798" s="76">
        <v>1.35E-4</v>
      </c>
      <c r="K2798" s="76">
        <v>2.1699999999999999E-4</v>
      </c>
      <c r="L2798" s="76">
        <v>9.8599999999999998E-5</v>
      </c>
      <c r="M2798" s="76">
        <v>1.6200000000000001E-5</v>
      </c>
    </row>
    <row r="2799" spans="3:13" x14ac:dyDescent="0.15">
      <c r="C2799" s="76">
        <v>736</v>
      </c>
      <c r="D2799" s="76">
        <v>1.7200000000000001E-5</v>
      </c>
      <c r="E2799" s="76">
        <v>4.0299999999999997E-5</v>
      </c>
      <c r="F2799" s="76">
        <v>4.2700000000000001E-5</v>
      </c>
      <c r="G2799" s="76">
        <v>1.5099999999999999E-6</v>
      </c>
      <c r="H2799" s="76">
        <v>1.0900000000000001E-4</v>
      </c>
      <c r="I2799" s="76">
        <v>8.5099999999999995E-5</v>
      </c>
      <c r="J2799" s="76">
        <v>9.48E-5</v>
      </c>
      <c r="K2799" s="76">
        <v>1.93E-4</v>
      </c>
      <c r="L2799" s="76">
        <v>6.3E-5</v>
      </c>
      <c r="M2799" s="76">
        <v>8.3599999999999999E-5</v>
      </c>
    </row>
    <row r="2800" spans="3:13" x14ac:dyDescent="0.15">
      <c r="C2800" s="76">
        <v>738</v>
      </c>
      <c r="D2800" s="76">
        <v>1.5099999999999999E-5</v>
      </c>
      <c r="E2800" s="76">
        <v>5.2899999999999998E-5</v>
      </c>
      <c r="F2800" s="76">
        <v>5.5699999999999999E-5</v>
      </c>
      <c r="G2800" s="76">
        <v>2.6100000000000001E-5</v>
      </c>
      <c r="H2800" s="76">
        <v>9.4599999999999996E-5</v>
      </c>
      <c r="I2800" s="76">
        <v>7.1299999999999998E-5</v>
      </c>
      <c r="J2800" s="76">
        <v>5.2500000000000002E-5</v>
      </c>
      <c r="K2800" s="76">
        <v>1.64E-4</v>
      </c>
      <c r="L2800" s="76">
        <v>8.5199999999999997E-5</v>
      </c>
      <c r="M2800" s="76">
        <v>3.6699999999999998E-5</v>
      </c>
    </row>
    <row r="2801" spans="3:46" x14ac:dyDescent="0.15">
      <c r="C2801" s="76">
        <v>740</v>
      </c>
      <c r="D2801" s="76">
        <v>1.8099999999999999E-5</v>
      </c>
      <c r="E2801" s="76">
        <v>7.2899999999999997E-5</v>
      </c>
      <c r="F2801" s="76">
        <v>5.52E-5</v>
      </c>
      <c r="G2801" s="76">
        <v>3.1099999999999997E-5</v>
      </c>
      <c r="H2801" s="76">
        <v>1.08E-4</v>
      </c>
      <c r="I2801" s="76">
        <v>7.9200000000000001E-5</v>
      </c>
      <c r="J2801" s="76">
        <v>7.2200000000000007E-5</v>
      </c>
      <c r="K2801" s="76">
        <v>2.1499999999999999E-4</v>
      </c>
      <c r="L2801" s="76">
        <v>1.16E-4</v>
      </c>
      <c r="M2801" s="76">
        <v>2.4899999999999999E-5</v>
      </c>
    </row>
    <row r="2802" spans="3:46" x14ac:dyDescent="0.15">
      <c r="C2802" s="76">
        <v>742</v>
      </c>
      <c r="D2802" s="76">
        <v>1.7E-5</v>
      </c>
      <c r="E2802" s="76">
        <v>5.8100000000000003E-5</v>
      </c>
      <c r="F2802" s="76">
        <v>4.9299999999999999E-5</v>
      </c>
      <c r="G2802" s="76">
        <v>7.1299999999999998E-5</v>
      </c>
      <c r="H2802" s="76">
        <v>9.2E-5</v>
      </c>
      <c r="I2802" s="76">
        <v>7.4800000000000002E-5</v>
      </c>
      <c r="J2802" s="76">
        <v>1.16E-4</v>
      </c>
      <c r="K2802" s="76">
        <v>2.0100000000000001E-4</v>
      </c>
      <c r="L2802" s="76">
        <v>1.05E-4</v>
      </c>
      <c r="M2802" s="76">
        <v>4.57E-5</v>
      </c>
    </row>
    <row r="2803" spans="3:46" x14ac:dyDescent="0.15">
      <c r="C2803" s="76">
        <v>744</v>
      </c>
      <c r="D2803" s="76">
        <v>1.8199999999999999E-5</v>
      </c>
      <c r="E2803" s="76">
        <v>5.9599999999999999E-5</v>
      </c>
      <c r="F2803" s="76">
        <v>5.6199999999999997E-5</v>
      </c>
      <c r="G2803" s="76">
        <v>5.7899999999999998E-5</v>
      </c>
      <c r="H2803" s="76">
        <v>8.53E-5</v>
      </c>
      <c r="I2803" s="76">
        <v>9.1600000000000004E-5</v>
      </c>
      <c r="J2803" s="76">
        <v>1.3300000000000001E-4</v>
      </c>
      <c r="K2803" s="76">
        <v>2.24E-4</v>
      </c>
      <c r="L2803" s="76">
        <v>2.0599999999999999E-4</v>
      </c>
      <c r="M2803" s="76">
        <v>5.4500000000000003E-5</v>
      </c>
    </row>
    <row r="2804" spans="3:46" x14ac:dyDescent="0.15">
      <c r="C2804" s="76">
        <v>746</v>
      </c>
      <c r="D2804" s="76">
        <v>2.4199999999999999E-5</v>
      </c>
      <c r="E2804" s="76">
        <v>6.0399999999999998E-5</v>
      </c>
      <c r="F2804" s="76">
        <v>5.4500000000000003E-5</v>
      </c>
      <c r="G2804" s="76">
        <v>6.2100000000000005E-5</v>
      </c>
      <c r="H2804" s="76">
        <v>8.25E-5</v>
      </c>
      <c r="I2804" s="76">
        <v>7.8399999999999995E-5</v>
      </c>
      <c r="J2804" s="76">
        <v>1.2400000000000001E-4</v>
      </c>
      <c r="K2804" s="76">
        <v>2.6600000000000001E-4</v>
      </c>
      <c r="L2804" s="76">
        <v>1.8000000000000001E-4</v>
      </c>
      <c r="M2804" s="76">
        <v>7.8599999999999993E-6</v>
      </c>
    </row>
    <row r="2805" spans="3:46" x14ac:dyDescent="0.15">
      <c r="C2805" s="76">
        <v>748</v>
      </c>
      <c r="D2805" s="76">
        <v>2.3799999999999999E-5</v>
      </c>
      <c r="E2805" s="76">
        <v>7.0599999999999995E-5</v>
      </c>
      <c r="F2805" s="76">
        <v>5.9500000000000003E-5</v>
      </c>
      <c r="G2805" s="76">
        <v>4.1399999999999997E-5</v>
      </c>
      <c r="H2805" s="76">
        <v>5.0099999999999998E-5</v>
      </c>
      <c r="I2805" s="76">
        <v>9.2E-5</v>
      </c>
      <c r="J2805" s="76">
        <v>1.12E-4</v>
      </c>
      <c r="K2805" s="76">
        <v>2.4399999999999999E-4</v>
      </c>
      <c r="L2805" s="76">
        <v>1.5899999999999999E-4</v>
      </c>
      <c r="M2805" s="76">
        <v>7.7000000000000001E-5</v>
      </c>
    </row>
    <row r="2806" spans="3:46" x14ac:dyDescent="0.15">
      <c r="C2806" s="76">
        <v>750</v>
      </c>
      <c r="D2806" s="76">
        <v>2.2799999999999999E-5</v>
      </c>
      <c r="E2806" s="76">
        <v>7.64E-5</v>
      </c>
      <c r="F2806" s="76">
        <v>5.8E-5</v>
      </c>
      <c r="G2806" s="76">
        <v>1.9899999999999999E-5</v>
      </c>
      <c r="H2806" s="76">
        <v>7.5599999999999994E-5</v>
      </c>
      <c r="I2806" s="76">
        <v>9.6600000000000003E-5</v>
      </c>
      <c r="J2806" s="76">
        <v>1.1900000000000001E-4</v>
      </c>
      <c r="K2806" s="76">
        <v>2.41E-4</v>
      </c>
      <c r="L2806" s="76">
        <v>1.7699999999999999E-4</v>
      </c>
      <c r="M2806" s="76">
        <v>6.6699999999999995E-5</v>
      </c>
    </row>
    <row r="2807" spans="3:46" x14ac:dyDescent="0.15">
      <c r="C2807" s="76">
        <v>752</v>
      </c>
      <c r="D2807" s="76">
        <v>2.3600000000000001E-5</v>
      </c>
      <c r="E2807" s="76">
        <v>7.5900000000000002E-5</v>
      </c>
      <c r="F2807" s="76">
        <v>9.2700000000000004E-5</v>
      </c>
      <c r="G2807" s="76">
        <v>1.11E-5</v>
      </c>
      <c r="H2807" s="76">
        <v>6.2600000000000004E-5</v>
      </c>
      <c r="I2807" s="76">
        <v>1.03E-4</v>
      </c>
      <c r="J2807" s="76">
        <v>6.7299999999999996E-5</v>
      </c>
      <c r="K2807" s="76">
        <v>2.6800000000000001E-4</v>
      </c>
      <c r="L2807" s="76">
        <v>2.05E-4</v>
      </c>
      <c r="M2807" s="76">
        <v>9.48E-5</v>
      </c>
    </row>
    <row r="2808" spans="3:46" x14ac:dyDescent="0.15">
      <c r="C2808" s="76">
        <v>754</v>
      </c>
      <c r="D2808" s="76">
        <v>2.7500000000000001E-5</v>
      </c>
      <c r="E2808" s="76">
        <v>7.1000000000000005E-5</v>
      </c>
      <c r="F2808" s="76">
        <v>8.5199999999999997E-5</v>
      </c>
      <c r="G2808" s="76">
        <v>2.69E-5</v>
      </c>
      <c r="H2808" s="76">
        <v>4.35E-5</v>
      </c>
      <c r="I2808" s="76">
        <v>6.7199999999999994E-5</v>
      </c>
      <c r="J2808" s="76">
        <v>1.1900000000000001E-4</v>
      </c>
      <c r="K2808" s="76">
        <v>2.31E-4</v>
      </c>
      <c r="L2808" s="76">
        <v>3.4499999999999998E-4</v>
      </c>
      <c r="M2808" s="76">
        <v>1.2400000000000001E-4</v>
      </c>
    </row>
    <row r="2809" spans="3:46" x14ac:dyDescent="0.15">
      <c r="C2809" s="81">
        <v>756</v>
      </c>
      <c r="D2809" s="76">
        <v>2.27E-5</v>
      </c>
      <c r="E2809" s="76">
        <v>7.25E-5</v>
      </c>
      <c r="F2809" s="76">
        <v>6.5599999999999995E-5</v>
      </c>
      <c r="G2809" s="76">
        <v>1.4E-5</v>
      </c>
      <c r="H2809" s="81">
        <v>9.3300000000000005E-5</v>
      </c>
      <c r="I2809" s="76">
        <v>8.4900000000000004E-5</v>
      </c>
      <c r="J2809" s="76">
        <v>1.93E-4</v>
      </c>
      <c r="K2809" s="76">
        <v>2.2699999999999999E-4</v>
      </c>
      <c r="L2809" s="81">
        <v>3.3399999999999999E-4</v>
      </c>
      <c r="M2809" s="76">
        <v>2.3799999999999999E-5</v>
      </c>
      <c r="N2809" s="81"/>
      <c r="T2809" s="81"/>
      <c r="W2809" s="81"/>
      <c r="AG2809" s="81"/>
      <c r="AT2809" s="81"/>
    </row>
    <row r="2810" spans="3:46" x14ac:dyDescent="0.15">
      <c r="C2810" s="81">
        <v>758</v>
      </c>
      <c r="D2810" s="76">
        <v>1.7900000000000001E-5</v>
      </c>
      <c r="E2810" s="76">
        <v>8.2200000000000006E-5</v>
      </c>
      <c r="F2810" s="76">
        <v>7.3399999999999995E-5</v>
      </c>
      <c r="G2810" s="76">
        <v>3.8099999999999998E-5</v>
      </c>
      <c r="H2810" s="81">
        <v>5.91E-5</v>
      </c>
      <c r="I2810" s="76">
        <v>9.1000000000000003E-5</v>
      </c>
      <c r="J2810" s="76">
        <v>1.37E-4</v>
      </c>
      <c r="K2810" s="76">
        <v>1.9000000000000001E-4</v>
      </c>
      <c r="L2810" s="81">
        <v>3.6499999999999998E-4</v>
      </c>
      <c r="M2810" s="76">
        <v>8.3800000000000004E-5</v>
      </c>
      <c r="N2810" s="81"/>
      <c r="T2810" s="81"/>
      <c r="W2810" s="81"/>
      <c r="AG2810" s="81"/>
      <c r="AT2810" s="81"/>
    </row>
    <row r="2811" spans="3:46" x14ac:dyDescent="0.15">
      <c r="C2811" s="81">
        <v>760</v>
      </c>
      <c r="D2811" s="76">
        <v>1.66E-5</v>
      </c>
      <c r="E2811" s="76">
        <v>7.7399999999999998E-5</v>
      </c>
      <c r="F2811" s="76">
        <v>6.0999999999999999E-5</v>
      </c>
      <c r="G2811" s="76">
        <v>3.54E-5</v>
      </c>
      <c r="H2811" s="81">
        <v>1.42E-5</v>
      </c>
      <c r="I2811" s="76">
        <v>1.26E-4</v>
      </c>
      <c r="J2811" s="76">
        <v>1.45E-4</v>
      </c>
      <c r="K2811" s="76">
        <v>1.93E-4</v>
      </c>
      <c r="L2811" s="81">
        <v>3.6299999999999999E-4</v>
      </c>
      <c r="M2811" s="76">
        <v>8.6100000000000006E-5</v>
      </c>
      <c r="N2811" s="81"/>
      <c r="T2811" s="81"/>
      <c r="W2811" s="81"/>
      <c r="AG2811" s="81"/>
      <c r="AT2811" s="81"/>
    </row>
    <row r="2812" spans="3:46" x14ac:dyDescent="0.15">
      <c r="C2812" s="81">
        <v>762</v>
      </c>
      <c r="D2812" s="76">
        <v>1.52E-5</v>
      </c>
      <c r="E2812" s="76">
        <v>6.5900000000000003E-5</v>
      </c>
      <c r="F2812" s="76">
        <v>3.1000000000000001E-5</v>
      </c>
      <c r="G2812" s="76">
        <v>6.86E-5</v>
      </c>
      <c r="H2812" s="81">
        <v>3.6399999999999997E-5</v>
      </c>
      <c r="I2812" s="76">
        <v>9.2700000000000004E-5</v>
      </c>
      <c r="J2812" s="76">
        <v>1.44E-4</v>
      </c>
      <c r="K2812" s="76">
        <v>1.8100000000000001E-4</v>
      </c>
      <c r="L2812" s="81">
        <v>2.8800000000000001E-4</v>
      </c>
      <c r="M2812" s="76">
        <v>1.05E-4</v>
      </c>
      <c r="N2812" s="81"/>
      <c r="T2812" s="81"/>
      <c r="W2812" s="81"/>
      <c r="AG2812" s="81"/>
      <c r="AT2812" s="81"/>
    </row>
    <row r="2813" spans="3:46" x14ac:dyDescent="0.15">
      <c r="C2813" s="81">
        <v>764</v>
      </c>
      <c r="D2813" s="76">
        <v>1.7900000000000001E-5</v>
      </c>
      <c r="E2813" s="76">
        <v>5.0500000000000001E-5</v>
      </c>
      <c r="F2813" s="76">
        <v>1.19E-5</v>
      </c>
      <c r="G2813" s="76">
        <v>7.8200000000000003E-5</v>
      </c>
      <c r="H2813" s="81">
        <v>7.8800000000000004E-5</v>
      </c>
      <c r="I2813" s="76">
        <v>8.7399999999999997E-5</v>
      </c>
      <c r="J2813" s="76">
        <v>1.9699999999999999E-4</v>
      </c>
      <c r="K2813" s="76">
        <v>1.75E-4</v>
      </c>
      <c r="L2813" s="81">
        <v>5.1400000000000003E-4</v>
      </c>
      <c r="M2813" s="76">
        <v>1.9900000000000001E-4</v>
      </c>
      <c r="N2813" s="81"/>
      <c r="T2813" s="81"/>
      <c r="W2813" s="81"/>
      <c r="AG2813" s="81"/>
      <c r="AT2813" s="81"/>
    </row>
    <row r="2814" spans="3:46" x14ac:dyDescent="0.15">
      <c r="C2814" s="81">
        <v>766</v>
      </c>
      <c r="D2814" s="76">
        <v>1.66E-5</v>
      </c>
      <c r="E2814" s="76">
        <v>5.7299999999999997E-5</v>
      </c>
      <c r="F2814" s="76">
        <v>1.33E-5</v>
      </c>
      <c r="G2814" s="76">
        <v>8.0900000000000001E-5</v>
      </c>
      <c r="H2814" s="81">
        <v>3.0300000000000001E-5</v>
      </c>
      <c r="I2814" s="76">
        <v>7.6000000000000004E-5</v>
      </c>
      <c r="J2814" s="76">
        <v>1.7899999999999999E-4</v>
      </c>
      <c r="K2814" s="76">
        <v>1.46E-4</v>
      </c>
      <c r="L2814" s="81">
        <v>4.0000000000000002E-4</v>
      </c>
      <c r="M2814" s="76">
        <v>3.1700000000000001E-4</v>
      </c>
      <c r="N2814" s="81"/>
      <c r="T2814" s="81"/>
      <c r="W2814" s="81"/>
      <c r="AG2814" s="81"/>
      <c r="AT2814" s="81"/>
    </row>
    <row r="2815" spans="3:46" x14ac:dyDescent="0.15">
      <c r="C2815" s="81">
        <v>768</v>
      </c>
      <c r="D2815" s="76">
        <v>2.27E-5</v>
      </c>
      <c r="E2815" s="76">
        <v>4.0299999999999997E-5</v>
      </c>
      <c r="F2815" s="76">
        <v>2.9499999999999999E-5</v>
      </c>
      <c r="G2815" s="76">
        <v>9.3300000000000005E-5</v>
      </c>
      <c r="H2815" s="81">
        <v>6.4399999999999993E-5</v>
      </c>
      <c r="I2815" s="76">
        <v>9.4500000000000007E-5</v>
      </c>
      <c r="J2815" s="76">
        <v>3.6900000000000002E-4</v>
      </c>
      <c r="K2815" s="76">
        <v>1.22E-4</v>
      </c>
      <c r="L2815" s="81">
        <v>4.1800000000000002E-4</v>
      </c>
      <c r="M2815" s="76">
        <v>1.9799999999999999E-4</v>
      </c>
      <c r="N2815" s="81"/>
      <c r="T2815" s="81"/>
      <c r="W2815" s="81"/>
      <c r="AG2815" s="81"/>
      <c r="AT2815" s="81"/>
    </row>
    <row r="2816" spans="3:46" x14ac:dyDescent="0.15">
      <c r="C2816" s="81">
        <v>770</v>
      </c>
      <c r="D2816" s="76">
        <v>9.1200000000000008E-6</v>
      </c>
      <c r="E2816" s="76">
        <v>1.1800000000000001E-5</v>
      </c>
      <c r="F2816" s="76">
        <v>1.2799999999999999E-5</v>
      </c>
      <c r="G2816" s="76">
        <v>1.2899999999999999E-4</v>
      </c>
      <c r="H2816" s="81">
        <v>9.1199999999999994E-5</v>
      </c>
      <c r="I2816" s="76">
        <v>4.1100000000000003E-5</v>
      </c>
      <c r="J2816" s="76">
        <v>2.1000000000000001E-4</v>
      </c>
      <c r="K2816" s="76">
        <v>1.9599999999999999E-4</v>
      </c>
      <c r="L2816" s="81">
        <v>3.6200000000000002E-4</v>
      </c>
      <c r="M2816" s="76">
        <v>3.0800000000000001E-4</v>
      </c>
      <c r="N2816" s="81"/>
      <c r="T2816" s="81"/>
      <c r="W2816" s="81"/>
      <c r="AG2816" s="81"/>
      <c r="AT2816" s="81"/>
    </row>
    <row r="2817" spans="2:56" x14ac:dyDescent="0.15">
      <c r="C2817" s="81">
        <v>772</v>
      </c>
      <c r="D2817" s="76">
        <v>9.3999999999999998E-6</v>
      </c>
      <c r="E2817" s="76">
        <v>2.3300000000000001E-5</v>
      </c>
      <c r="F2817" s="76">
        <v>2.1399999999999998E-5</v>
      </c>
      <c r="G2817" s="76">
        <v>1.01E-4</v>
      </c>
      <c r="H2817" s="81">
        <v>8.53E-5</v>
      </c>
      <c r="I2817" s="76">
        <v>7.6100000000000007E-5</v>
      </c>
      <c r="J2817" s="76">
        <v>2.1699999999999999E-4</v>
      </c>
      <c r="K2817" s="76">
        <v>7.2000000000000002E-5</v>
      </c>
      <c r="L2817" s="81">
        <v>3.5300000000000002E-4</v>
      </c>
      <c r="M2817" s="76">
        <v>2.6699999999999998E-4</v>
      </c>
      <c r="N2817" s="81"/>
      <c r="T2817" s="81"/>
      <c r="W2817" s="81"/>
      <c r="AG2817" s="81"/>
      <c r="AT2817" s="81"/>
    </row>
    <row r="2818" spans="2:56" x14ac:dyDescent="0.15">
      <c r="C2818" s="81">
        <v>774</v>
      </c>
      <c r="D2818" s="76">
        <v>3.2600000000000001E-6</v>
      </c>
      <c r="E2818" s="76">
        <v>9.6199999999999994E-6</v>
      </c>
      <c r="F2818" s="76">
        <v>0</v>
      </c>
      <c r="G2818" s="76">
        <v>9.7800000000000006E-5</v>
      </c>
      <c r="H2818" s="81">
        <v>1.06E-4</v>
      </c>
      <c r="I2818" s="76">
        <v>4.2700000000000001E-5</v>
      </c>
      <c r="J2818" s="76">
        <v>1.9900000000000001E-4</v>
      </c>
      <c r="K2818" s="76">
        <v>1.5799999999999999E-4</v>
      </c>
      <c r="L2818" s="81">
        <v>3.3599999999999998E-4</v>
      </c>
      <c r="M2818" s="76">
        <v>2.05E-4</v>
      </c>
      <c r="N2818" s="81"/>
      <c r="T2818" s="81"/>
      <c r="W2818" s="81"/>
      <c r="AG2818" s="81"/>
      <c r="AT2818" s="81"/>
    </row>
    <row r="2819" spans="2:56" x14ac:dyDescent="0.15">
      <c r="C2819" s="81">
        <v>776</v>
      </c>
      <c r="D2819" s="76">
        <v>1.3199999999999999E-7</v>
      </c>
      <c r="E2819" s="76">
        <v>1.64E-6</v>
      </c>
      <c r="F2819" s="76">
        <v>0</v>
      </c>
      <c r="G2819" s="76">
        <v>9.5199999999999997E-5</v>
      </c>
      <c r="H2819" s="81">
        <v>8.6199999999999995E-5</v>
      </c>
      <c r="I2819" s="76">
        <v>6.4200000000000002E-5</v>
      </c>
      <c r="J2819" s="76">
        <v>1.8900000000000001E-4</v>
      </c>
      <c r="K2819" s="76">
        <v>1.0399999999999999E-4</v>
      </c>
      <c r="L2819" s="81">
        <v>3.19E-4</v>
      </c>
      <c r="M2819" s="76">
        <v>3.4900000000000003E-4</v>
      </c>
      <c r="N2819" s="81"/>
      <c r="T2819" s="81"/>
      <c r="W2819" s="81"/>
      <c r="AG2819" s="81"/>
      <c r="AT2819" s="81"/>
    </row>
    <row r="2820" spans="2:56" x14ac:dyDescent="0.15">
      <c r="C2820" s="81">
        <v>778</v>
      </c>
      <c r="D2820" s="76">
        <v>6.7899999999999998E-7</v>
      </c>
      <c r="E2820" s="76">
        <v>1.2E-5</v>
      </c>
      <c r="F2820" s="76">
        <v>0</v>
      </c>
      <c r="G2820" s="76">
        <v>1.63E-4</v>
      </c>
      <c r="H2820" s="81">
        <v>1.3100000000000001E-4</v>
      </c>
      <c r="I2820" s="76">
        <v>3.1399999999999998E-5</v>
      </c>
      <c r="J2820" s="76">
        <v>2.0799999999999999E-4</v>
      </c>
      <c r="K2820" s="76">
        <v>9.9900000000000002E-5</v>
      </c>
      <c r="L2820" s="81">
        <v>2.8600000000000001E-4</v>
      </c>
      <c r="M2820" s="76">
        <v>2.9700000000000001E-4</v>
      </c>
      <c r="N2820" s="81"/>
      <c r="T2820" s="81"/>
      <c r="W2820" s="81"/>
      <c r="AG2820" s="81"/>
      <c r="AT2820" s="81"/>
    </row>
    <row r="2821" spans="2:56" x14ac:dyDescent="0.15">
      <c r="C2821" s="81">
        <v>780</v>
      </c>
      <c r="D2821" s="76">
        <v>6.2099999999999998E-6</v>
      </c>
      <c r="E2821" s="120">
        <v>7.6599999999999995E-6</v>
      </c>
      <c r="F2821" s="76">
        <v>0</v>
      </c>
      <c r="G2821" s="76">
        <v>1.9699999999999999E-4</v>
      </c>
      <c r="H2821" s="81">
        <v>1.55E-4</v>
      </c>
      <c r="I2821" s="76">
        <v>1.2E-4</v>
      </c>
      <c r="J2821" s="120">
        <v>1.3100000000000001E-4</v>
      </c>
      <c r="K2821" s="76">
        <v>1.76E-4</v>
      </c>
      <c r="L2821" s="120">
        <v>2.5700000000000001E-4</v>
      </c>
      <c r="M2821" s="76">
        <v>2.2100000000000001E-4</v>
      </c>
      <c r="N2821" s="120"/>
      <c r="T2821" s="81"/>
      <c r="W2821" s="81"/>
      <c r="AG2821" s="81"/>
      <c r="AT2821" s="81"/>
    </row>
    <row r="2822" spans="2:56" x14ac:dyDescent="0.15">
      <c r="B2822" s="76">
        <v>34</v>
      </c>
      <c r="C2822" s="81" t="s">
        <v>561</v>
      </c>
      <c r="D2822" s="76">
        <v>1</v>
      </c>
      <c r="E2822" s="76">
        <v>2</v>
      </c>
      <c r="F2822" s="76">
        <v>3</v>
      </c>
      <c r="G2822" s="76">
        <v>4</v>
      </c>
      <c r="H2822" s="81">
        <v>5</v>
      </c>
      <c r="I2822" s="76">
        <v>6</v>
      </c>
      <c r="J2822" s="76">
        <v>7</v>
      </c>
      <c r="K2822" s="76">
        <v>8</v>
      </c>
      <c r="L2822" s="81">
        <v>9</v>
      </c>
      <c r="M2822" s="76">
        <v>10</v>
      </c>
      <c r="N2822" s="81"/>
      <c r="T2822" s="81"/>
      <c r="W2822" s="81"/>
      <c r="AG2822" s="81"/>
      <c r="AT2822" s="81"/>
    </row>
    <row r="2823" spans="2:56" x14ac:dyDescent="0.15">
      <c r="C2823" s="81" t="s">
        <v>556</v>
      </c>
      <c r="D2823" s="81">
        <v>3.5670000000000002</v>
      </c>
      <c r="E2823" s="81">
        <v>3.7029999999999998</v>
      </c>
      <c r="F2823" s="81">
        <v>3.7989999999999999</v>
      </c>
      <c r="G2823" s="81">
        <v>3.8769999999999998</v>
      </c>
      <c r="H2823" s="81">
        <v>3.9449999999999998</v>
      </c>
      <c r="I2823" s="81">
        <v>4.0049999999999999</v>
      </c>
      <c r="J2823" s="81">
        <v>4.0599999999999996</v>
      </c>
      <c r="K2823" s="81">
        <v>4.1100000000000003</v>
      </c>
      <c r="L2823" s="81">
        <v>4.157</v>
      </c>
      <c r="M2823" s="81">
        <v>4.2009999999999996</v>
      </c>
      <c r="N2823" s="81"/>
      <c r="O2823" s="81"/>
      <c r="P2823" s="81"/>
      <c r="Q2823" s="81"/>
      <c r="R2823" s="81"/>
      <c r="S2823" s="81"/>
      <c r="T2823" s="81"/>
      <c r="U2823" s="81"/>
      <c r="V2823" s="81"/>
      <c r="W2823" s="81"/>
      <c r="X2823" s="81"/>
      <c r="Y2823" s="81"/>
      <c r="Z2823" s="81"/>
      <c r="AA2823" s="81"/>
      <c r="AB2823" s="81"/>
      <c r="AC2823" s="81"/>
      <c r="AD2823" s="81"/>
      <c r="AG2823" s="81"/>
      <c r="AH2823" s="81"/>
      <c r="AI2823" s="81"/>
      <c r="AJ2823" s="81"/>
      <c r="AK2823" s="81"/>
      <c r="AL2823" s="81"/>
      <c r="AM2823" s="81"/>
      <c r="AN2823" s="81"/>
      <c r="AO2823" s="81"/>
      <c r="AP2823" s="81"/>
      <c r="AQ2823" s="81"/>
      <c r="AT2823" s="81"/>
      <c r="AU2823" s="81"/>
      <c r="AV2823" s="81"/>
      <c r="AW2823" s="81"/>
      <c r="AX2823" s="81"/>
      <c r="AY2823" s="81"/>
      <c r="AZ2823" s="81"/>
      <c r="BA2823" s="81"/>
      <c r="BB2823" s="81"/>
      <c r="BC2823" s="81"/>
      <c r="BD2823" s="81"/>
    </row>
    <row r="2824" spans="2:56" x14ac:dyDescent="0.15">
      <c r="C2824" s="81" t="s">
        <v>562</v>
      </c>
      <c r="D2824" s="76">
        <v>0.08</v>
      </c>
      <c r="E2824" s="76">
        <v>0.16</v>
      </c>
      <c r="F2824" s="76">
        <v>0.24</v>
      </c>
      <c r="G2824" s="76">
        <v>0.32</v>
      </c>
      <c r="H2824" s="81">
        <v>0.4</v>
      </c>
      <c r="I2824" s="76">
        <v>0.48</v>
      </c>
      <c r="J2824" s="76">
        <v>0.56000000000000005</v>
      </c>
      <c r="K2824" s="76">
        <v>0.64</v>
      </c>
      <c r="L2824" s="81">
        <v>0.72</v>
      </c>
      <c r="M2824" s="76">
        <v>0.8</v>
      </c>
      <c r="N2824" s="81"/>
      <c r="T2824" s="81"/>
      <c r="W2824" s="81"/>
      <c r="AG2824" s="81"/>
      <c r="AT2824" s="81"/>
    </row>
    <row r="2825" spans="2:56" x14ac:dyDescent="0.15">
      <c r="C2825" s="76" t="s">
        <v>557</v>
      </c>
      <c r="D2825" s="76">
        <v>2</v>
      </c>
      <c r="E2825" s="76">
        <v>4</v>
      </c>
      <c r="F2825" s="76">
        <v>6</v>
      </c>
      <c r="G2825" s="76">
        <v>8</v>
      </c>
      <c r="H2825" s="76">
        <v>10</v>
      </c>
      <c r="I2825" s="76">
        <v>12</v>
      </c>
      <c r="J2825" s="76">
        <v>14</v>
      </c>
      <c r="K2825" s="76">
        <v>16</v>
      </c>
      <c r="L2825" s="76">
        <v>18</v>
      </c>
      <c r="M2825" s="76">
        <v>20</v>
      </c>
    </row>
    <row r="2826" spans="2:56" x14ac:dyDescent="0.15">
      <c r="C2826" s="76" t="s">
        <v>560</v>
      </c>
      <c r="D2826" s="76">
        <v>8.2949999999999999</v>
      </c>
      <c r="E2826" s="76">
        <v>8.4689999999999994</v>
      </c>
      <c r="F2826" s="76">
        <v>8.4849999999999994</v>
      </c>
      <c r="G2826" s="76">
        <v>8.484</v>
      </c>
      <c r="H2826" s="76">
        <v>8.4730000000000008</v>
      </c>
      <c r="I2826" s="76">
        <v>8.4580000000000002</v>
      </c>
      <c r="J2826" s="76">
        <v>8.4499999999999993</v>
      </c>
      <c r="K2826" s="76">
        <v>8.4250000000000007</v>
      </c>
      <c r="L2826" s="76">
        <v>8.4169999999999998</v>
      </c>
      <c r="M2826" s="76">
        <v>8.39</v>
      </c>
    </row>
    <row r="2827" spans="2:56" x14ac:dyDescent="0.15">
      <c r="C2827" s="76" t="s">
        <v>563</v>
      </c>
      <c r="D2827" s="76">
        <v>7.3046680000000004</v>
      </c>
      <c r="E2827" s="76">
        <v>7.1847750000000001</v>
      </c>
      <c r="F2827" s="76">
        <v>7.016877</v>
      </c>
      <c r="G2827" s="76">
        <v>6.8757149999999996</v>
      </c>
      <c r="H2827" s="76">
        <v>6.7483380000000004</v>
      </c>
      <c r="I2827" s="76">
        <v>6.6347579999999997</v>
      </c>
      <c r="J2827" s="76">
        <v>6.5383810000000002</v>
      </c>
      <c r="K2827" s="76">
        <v>6.4389180000000001</v>
      </c>
      <c r="L2827" s="76">
        <v>6.3604710000000004</v>
      </c>
      <c r="M2827" s="76">
        <v>6.274114</v>
      </c>
    </row>
    <row r="2828" spans="2:56" x14ac:dyDescent="0.15">
      <c r="C2828" s="76" t="s">
        <v>564</v>
      </c>
      <c r="D2828" s="76">
        <v>165.9</v>
      </c>
      <c r="E2828" s="76">
        <v>338.8</v>
      </c>
      <c r="F2828" s="76">
        <v>509.1</v>
      </c>
      <c r="G2828" s="76">
        <v>678.8</v>
      </c>
      <c r="H2828" s="76">
        <v>847.4</v>
      </c>
      <c r="I2828" s="76">
        <v>1015</v>
      </c>
      <c r="J2828" s="76">
        <v>1183</v>
      </c>
      <c r="K2828" s="76">
        <v>1348</v>
      </c>
      <c r="L2828" s="76">
        <v>1515</v>
      </c>
      <c r="M2828" s="76">
        <v>1678</v>
      </c>
    </row>
    <row r="2829" spans="2:56" x14ac:dyDescent="0.15">
      <c r="C2829" s="76" t="s">
        <v>565</v>
      </c>
      <c r="D2829" s="76">
        <v>165.9</v>
      </c>
      <c r="E2829" s="76">
        <v>338.8</v>
      </c>
      <c r="F2829" s="76">
        <v>509.1</v>
      </c>
      <c r="G2829" s="76">
        <v>678.8</v>
      </c>
      <c r="H2829" s="76">
        <v>847.4</v>
      </c>
      <c r="I2829" s="76">
        <v>1015</v>
      </c>
      <c r="J2829" s="76">
        <v>1183</v>
      </c>
      <c r="K2829" s="76">
        <v>1348</v>
      </c>
      <c r="L2829" s="76">
        <v>1515</v>
      </c>
      <c r="M2829" s="76">
        <v>1678</v>
      </c>
    </row>
    <row r="2830" spans="2:56" x14ac:dyDescent="0.15">
      <c r="C2830" s="76" t="s">
        <v>566</v>
      </c>
      <c r="D2830" s="76">
        <v>0.1356</v>
      </c>
      <c r="E2830" s="76">
        <v>0.13550000000000001</v>
      </c>
      <c r="F2830" s="76">
        <v>0.13550000000000001</v>
      </c>
      <c r="G2830" s="76">
        <v>0.13539999999999999</v>
      </c>
      <c r="H2830" s="76">
        <v>0.13550000000000001</v>
      </c>
      <c r="I2830" s="76">
        <v>0.13539999999999999</v>
      </c>
      <c r="J2830" s="76">
        <v>0.13550000000000001</v>
      </c>
      <c r="K2830" s="76">
        <v>0.13539999999999999</v>
      </c>
      <c r="L2830" s="76">
        <v>0.13539999999999999</v>
      </c>
      <c r="M2830" s="76">
        <v>0.13550000000000001</v>
      </c>
    </row>
    <row r="2831" spans="2:56" x14ac:dyDescent="0.15">
      <c r="C2831" s="76" t="s">
        <v>567</v>
      </c>
      <c r="D2831" s="76">
        <v>0.1179</v>
      </c>
      <c r="E2831" s="76">
        <v>0.1178</v>
      </c>
      <c r="F2831" s="76">
        <v>0.1176</v>
      </c>
      <c r="G2831" s="76">
        <v>0.1176</v>
      </c>
      <c r="H2831" s="76">
        <v>0.11749999999999999</v>
      </c>
      <c r="I2831" s="76">
        <v>0.11749999999999999</v>
      </c>
      <c r="J2831" s="76">
        <v>0.11749999999999999</v>
      </c>
      <c r="K2831" s="76">
        <v>0.1174</v>
      </c>
      <c r="L2831" s="76">
        <v>0.11749999999999999</v>
      </c>
      <c r="M2831" s="76">
        <v>0.1174</v>
      </c>
    </row>
    <row r="2832" spans="2:56" x14ac:dyDescent="0.15">
      <c r="C2832" s="76" t="s">
        <v>568</v>
      </c>
      <c r="D2832" s="76">
        <v>9.1806999999999999</v>
      </c>
      <c r="E2832" s="76">
        <v>9.3844999999999992</v>
      </c>
      <c r="F2832" s="76">
        <v>9.4041999999999994</v>
      </c>
      <c r="G2832" s="76">
        <v>9.4036000000000008</v>
      </c>
      <c r="H2832" s="76">
        <v>9.4010999999999996</v>
      </c>
      <c r="I2832" s="76">
        <v>9.3826999999999998</v>
      </c>
      <c r="J2832" s="76">
        <v>9.3806999999999992</v>
      </c>
      <c r="K2832" s="76">
        <v>9.3552</v>
      </c>
      <c r="L2832" s="76">
        <v>9.3490000000000002</v>
      </c>
      <c r="M2832" s="76">
        <v>9.3119999999999994</v>
      </c>
    </row>
    <row r="2833" spans="3:13" x14ac:dyDescent="0.15">
      <c r="C2833" s="76" t="s">
        <v>569</v>
      </c>
    </row>
    <row r="2834" spans="3:13" x14ac:dyDescent="0.15">
      <c r="C2834" s="76" t="s">
        <v>570</v>
      </c>
      <c r="D2834" s="76">
        <v>4</v>
      </c>
      <c r="E2834" s="76">
        <v>4</v>
      </c>
      <c r="F2834" s="76">
        <v>4</v>
      </c>
      <c r="G2834" s="76">
        <v>4</v>
      </c>
      <c r="H2834" s="76">
        <v>4</v>
      </c>
      <c r="I2834" s="76">
        <v>4</v>
      </c>
      <c r="J2834" s="76">
        <v>4</v>
      </c>
      <c r="K2834" s="76">
        <v>4</v>
      </c>
      <c r="L2834" s="76">
        <v>4</v>
      </c>
      <c r="M2834" s="76">
        <v>4</v>
      </c>
    </row>
    <row r="2835" spans="3:13" x14ac:dyDescent="0.15">
      <c r="C2835" s="76" t="s">
        <v>571</v>
      </c>
      <c r="D2835" s="76">
        <v>100</v>
      </c>
      <c r="E2835" s="76">
        <v>100</v>
      </c>
      <c r="F2835" s="76">
        <v>100</v>
      </c>
      <c r="G2835" s="76">
        <v>100</v>
      </c>
      <c r="H2835" s="76">
        <v>100</v>
      </c>
      <c r="I2835" s="76">
        <v>100</v>
      </c>
      <c r="J2835" s="76">
        <v>100</v>
      </c>
      <c r="K2835" s="76">
        <v>100</v>
      </c>
      <c r="L2835" s="76">
        <v>100</v>
      </c>
      <c r="M2835" s="76">
        <v>100</v>
      </c>
    </row>
    <row r="2836" spans="3:13" x14ac:dyDescent="0.15">
      <c r="C2836" s="76" t="s">
        <v>572</v>
      </c>
      <c r="D2836" s="76" t="s">
        <v>574</v>
      </c>
      <c r="E2836" s="76" t="s">
        <v>574</v>
      </c>
      <c r="F2836" s="76" t="s">
        <v>574</v>
      </c>
      <c r="G2836" s="76" t="s">
        <v>574</v>
      </c>
      <c r="H2836" s="76" t="s">
        <v>574</v>
      </c>
      <c r="I2836" s="76" t="s">
        <v>574</v>
      </c>
      <c r="J2836" s="76" t="s">
        <v>574</v>
      </c>
      <c r="K2836" s="76" t="s">
        <v>574</v>
      </c>
      <c r="L2836" s="76" t="s">
        <v>574</v>
      </c>
      <c r="M2836" s="76" t="s">
        <v>574</v>
      </c>
    </row>
    <row r="2837" spans="3:13" x14ac:dyDescent="0.15">
      <c r="C2837" s="76" t="s">
        <v>573</v>
      </c>
      <c r="D2837" s="76">
        <v>1</v>
      </c>
      <c r="E2837" s="76">
        <v>2</v>
      </c>
      <c r="F2837" s="76">
        <v>3</v>
      </c>
      <c r="G2837" s="76">
        <v>4</v>
      </c>
      <c r="H2837" s="76">
        <v>5</v>
      </c>
      <c r="I2837" s="76">
        <v>6</v>
      </c>
      <c r="J2837" s="76">
        <v>7</v>
      </c>
      <c r="K2837" s="76">
        <v>8</v>
      </c>
      <c r="L2837" s="76">
        <v>9</v>
      </c>
      <c r="M2837" s="76">
        <v>10</v>
      </c>
    </row>
    <row r="2838" spans="3:13" x14ac:dyDescent="0.15">
      <c r="C2838" s="76">
        <v>380</v>
      </c>
      <c r="D2838" s="76">
        <v>6.7899999999999997E-5</v>
      </c>
      <c r="E2838" s="76">
        <v>2.32E-4</v>
      </c>
      <c r="F2838" s="76">
        <v>4.3199999999999998E-4</v>
      </c>
      <c r="G2838" s="76">
        <v>6.9099999999999999E-4</v>
      </c>
      <c r="H2838" s="76">
        <v>8.8699999999999998E-4</v>
      </c>
      <c r="I2838" s="76">
        <v>6.0499999999999996E-4</v>
      </c>
      <c r="J2838" s="76">
        <v>1.1299999999999999E-3</v>
      </c>
      <c r="K2838" s="76">
        <v>7.8899999999999999E-4</v>
      </c>
      <c r="L2838" s="76">
        <v>1.2099999999999999E-3</v>
      </c>
      <c r="M2838" s="76">
        <v>5.9699999999999998E-4</v>
      </c>
    </row>
    <row r="2839" spans="3:13" x14ac:dyDescent="0.15">
      <c r="C2839" s="76">
        <v>382</v>
      </c>
      <c r="D2839" s="76">
        <v>1.03E-4</v>
      </c>
      <c r="E2839" s="76">
        <v>1.7799999999999999E-4</v>
      </c>
      <c r="F2839" s="76">
        <v>5.1000000000000004E-4</v>
      </c>
      <c r="G2839" s="76">
        <v>5.2400000000000005E-4</v>
      </c>
      <c r="H2839" s="76">
        <v>7.1199999999999996E-4</v>
      </c>
      <c r="I2839" s="76">
        <v>6.6299999999999996E-4</v>
      </c>
      <c r="J2839" s="76">
        <v>9.3300000000000002E-4</v>
      </c>
      <c r="K2839" s="76">
        <v>1.64E-3</v>
      </c>
      <c r="L2839" s="76">
        <v>3.57E-4</v>
      </c>
      <c r="M2839" s="76">
        <v>8.7299999999999997E-4</v>
      </c>
    </row>
    <row r="2840" spans="3:13" x14ac:dyDescent="0.15">
      <c r="C2840" s="76">
        <v>384</v>
      </c>
      <c r="D2840" s="76">
        <v>9.1899999999999998E-5</v>
      </c>
      <c r="E2840" s="76">
        <v>2.1900000000000001E-4</v>
      </c>
      <c r="F2840" s="76">
        <v>4.0000000000000002E-4</v>
      </c>
      <c r="G2840" s="76">
        <v>3.9300000000000001E-4</v>
      </c>
      <c r="H2840" s="76">
        <v>6.4300000000000002E-4</v>
      </c>
      <c r="I2840" s="76">
        <v>5.8399999999999999E-4</v>
      </c>
      <c r="J2840" s="76">
        <v>9.41E-4</v>
      </c>
      <c r="K2840" s="76">
        <v>1.1299999999999999E-3</v>
      </c>
      <c r="L2840" s="76">
        <v>1.1900000000000001E-3</v>
      </c>
      <c r="M2840" s="76">
        <v>8.4000000000000003E-4</v>
      </c>
    </row>
    <row r="2841" spans="3:13" x14ac:dyDescent="0.15">
      <c r="C2841" s="76">
        <v>386</v>
      </c>
      <c r="D2841" s="76">
        <v>1.0399999999999999E-4</v>
      </c>
      <c r="E2841" s="76">
        <v>2.14E-4</v>
      </c>
      <c r="F2841" s="76">
        <v>4.1100000000000002E-4</v>
      </c>
      <c r="G2841" s="76">
        <v>4.64E-4</v>
      </c>
      <c r="H2841" s="76">
        <v>6.7000000000000002E-4</v>
      </c>
      <c r="I2841" s="76">
        <v>7.94E-4</v>
      </c>
      <c r="J2841" s="76">
        <v>7.9199999999999995E-4</v>
      </c>
      <c r="K2841" s="76">
        <v>8.25E-4</v>
      </c>
      <c r="L2841" s="76">
        <v>1.48E-3</v>
      </c>
      <c r="M2841" s="76">
        <v>6.38E-4</v>
      </c>
    </row>
    <row r="2842" spans="3:13" x14ac:dyDescent="0.15">
      <c r="C2842" s="76">
        <v>388</v>
      </c>
      <c r="D2842" s="76">
        <v>1.05E-4</v>
      </c>
      <c r="E2842" s="76">
        <v>2.7599999999999999E-4</v>
      </c>
      <c r="F2842" s="76">
        <v>3.8000000000000002E-4</v>
      </c>
      <c r="G2842" s="76">
        <v>4.2499999999999998E-4</v>
      </c>
      <c r="H2842" s="76">
        <v>6.7100000000000005E-4</v>
      </c>
      <c r="I2842" s="76">
        <v>7.1000000000000002E-4</v>
      </c>
      <c r="J2842" s="76">
        <v>9.1799999999999998E-4</v>
      </c>
      <c r="K2842" s="76">
        <v>9.9599999999999992E-4</v>
      </c>
      <c r="L2842" s="76">
        <v>1.3500000000000001E-3</v>
      </c>
      <c r="M2842" s="76">
        <v>5.6499999999999996E-4</v>
      </c>
    </row>
    <row r="2843" spans="3:13" x14ac:dyDescent="0.15">
      <c r="C2843" s="76">
        <v>390</v>
      </c>
      <c r="D2843" s="76">
        <v>1E-4</v>
      </c>
      <c r="E2843" s="76">
        <v>2.6800000000000001E-4</v>
      </c>
      <c r="F2843" s="76">
        <v>3.6400000000000001E-4</v>
      </c>
      <c r="G2843" s="76">
        <v>4.1899999999999999E-4</v>
      </c>
      <c r="H2843" s="76">
        <v>6.5399999999999996E-4</v>
      </c>
      <c r="I2843" s="76">
        <v>7.6000000000000004E-4</v>
      </c>
      <c r="J2843" s="76">
        <v>8.3699999999999996E-4</v>
      </c>
      <c r="K2843" s="76">
        <v>1E-3</v>
      </c>
      <c r="L2843" s="76">
        <v>1.2999999999999999E-3</v>
      </c>
      <c r="M2843" s="76">
        <v>8.5400000000000005E-4</v>
      </c>
    </row>
    <row r="2844" spans="3:13" x14ac:dyDescent="0.15">
      <c r="C2844" s="76">
        <v>392</v>
      </c>
      <c r="D2844" s="76">
        <v>1.17E-4</v>
      </c>
      <c r="E2844" s="76">
        <v>2.6499999999999999E-4</v>
      </c>
      <c r="F2844" s="76">
        <v>2.9799999999999998E-4</v>
      </c>
      <c r="G2844" s="76">
        <v>5.0799999999999999E-4</v>
      </c>
      <c r="H2844" s="76">
        <v>5.9900000000000003E-4</v>
      </c>
      <c r="I2844" s="76">
        <v>6.6600000000000003E-4</v>
      </c>
      <c r="J2844" s="76">
        <v>9.77E-4</v>
      </c>
      <c r="K2844" s="76">
        <v>1.1999999999999999E-3</v>
      </c>
      <c r="L2844" s="76">
        <v>1.15E-3</v>
      </c>
      <c r="M2844" s="76">
        <v>8.3799999999999999E-4</v>
      </c>
    </row>
    <row r="2845" spans="3:13" x14ac:dyDescent="0.15">
      <c r="C2845" s="76">
        <v>394</v>
      </c>
      <c r="D2845" s="76">
        <v>1.26E-4</v>
      </c>
      <c r="E2845" s="76">
        <v>2.8200000000000002E-4</v>
      </c>
      <c r="F2845" s="76">
        <v>3.6200000000000002E-4</v>
      </c>
      <c r="G2845" s="76">
        <v>3.6299999999999999E-4</v>
      </c>
      <c r="H2845" s="76">
        <v>5.7899999999999998E-4</v>
      </c>
      <c r="I2845" s="76">
        <v>6.38E-4</v>
      </c>
      <c r="J2845" s="76">
        <v>1.0499999999999999E-3</v>
      </c>
      <c r="K2845" s="76">
        <v>9.6100000000000005E-4</v>
      </c>
      <c r="L2845" s="76">
        <v>1.1999999999999999E-3</v>
      </c>
      <c r="M2845" s="76">
        <v>8.8699999999999998E-4</v>
      </c>
    </row>
    <row r="2846" spans="3:13" x14ac:dyDescent="0.15">
      <c r="C2846" s="76">
        <v>396</v>
      </c>
      <c r="D2846" s="76">
        <v>1.26E-4</v>
      </c>
      <c r="E2846" s="76">
        <v>2.5599999999999999E-4</v>
      </c>
      <c r="F2846" s="76">
        <v>3.5300000000000002E-4</v>
      </c>
      <c r="G2846" s="76">
        <v>3.4400000000000001E-4</v>
      </c>
      <c r="H2846" s="76">
        <v>5.8900000000000001E-4</v>
      </c>
      <c r="I2846" s="76">
        <v>7.6199999999999998E-4</v>
      </c>
      <c r="J2846" s="76">
        <v>9.3700000000000001E-4</v>
      </c>
      <c r="K2846" s="76">
        <v>7.5699999999999997E-4</v>
      </c>
      <c r="L2846" s="76">
        <v>1.1800000000000001E-3</v>
      </c>
      <c r="M2846" s="76">
        <v>9.3000000000000005E-4</v>
      </c>
    </row>
    <row r="2847" spans="3:13" x14ac:dyDescent="0.15">
      <c r="C2847" s="76">
        <v>398</v>
      </c>
      <c r="D2847" s="76">
        <v>1.22E-4</v>
      </c>
      <c r="E2847" s="76">
        <v>3.0699999999999998E-4</v>
      </c>
      <c r="F2847" s="76">
        <v>4.0700000000000003E-4</v>
      </c>
      <c r="G2847" s="76">
        <v>4.4900000000000002E-4</v>
      </c>
      <c r="H2847" s="76">
        <v>5.8799999999999998E-4</v>
      </c>
      <c r="I2847" s="76">
        <v>7.5900000000000002E-4</v>
      </c>
      <c r="J2847" s="76">
        <v>9.4899999999999997E-4</v>
      </c>
      <c r="K2847" s="76">
        <v>8.6200000000000003E-4</v>
      </c>
      <c r="L2847" s="76">
        <v>1.2899999999999999E-3</v>
      </c>
      <c r="M2847" s="76">
        <v>1.0499999999999999E-3</v>
      </c>
    </row>
    <row r="2848" spans="3:13" x14ac:dyDescent="0.15">
      <c r="C2848" s="76">
        <v>400</v>
      </c>
      <c r="D2848" s="76">
        <v>1.1400000000000001E-4</v>
      </c>
      <c r="E2848" s="76">
        <v>3.2400000000000001E-4</v>
      </c>
      <c r="F2848" s="76">
        <v>3.8200000000000002E-4</v>
      </c>
      <c r="G2848" s="76">
        <v>3.97E-4</v>
      </c>
      <c r="H2848" s="76">
        <v>6.0800000000000003E-4</v>
      </c>
      <c r="I2848" s="76">
        <v>7.2400000000000003E-4</v>
      </c>
      <c r="J2848" s="76">
        <v>8.9300000000000002E-4</v>
      </c>
      <c r="K2848" s="76">
        <v>9.3999999999999997E-4</v>
      </c>
      <c r="L2848" s="76">
        <v>1.4E-3</v>
      </c>
      <c r="M2848" s="76">
        <v>9.9200000000000004E-4</v>
      </c>
    </row>
    <row r="2849" spans="3:13" x14ac:dyDescent="0.15">
      <c r="C2849" s="76">
        <v>402</v>
      </c>
      <c r="D2849" s="76">
        <v>1.35E-4</v>
      </c>
      <c r="E2849" s="76">
        <v>3.2000000000000003E-4</v>
      </c>
      <c r="F2849" s="76">
        <v>3.2200000000000002E-4</v>
      </c>
      <c r="G2849" s="76">
        <v>5.0900000000000001E-4</v>
      </c>
      <c r="H2849" s="76">
        <v>5.62E-4</v>
      </c>
      <c r="I2849" s="76">
        <v>7.6900000000000004E-4</v>
      </c>
      <c r="J2849" s="76">
        <v>8.7500000000000002E-4</v>
      </c>
      <c r="K2849" s="76">
        <v>8.8599999999999996E-4</v>
      </c>
      <c r="L2849" s="76">
        <v>1.4400000000000001E-3</v>
      </c>
      <c r="M2849" s="76">
        <v>1.14E-3</v>
      </c>
    </row>
    <row r="2850" spans="3:13" x14ac:dyDescent="0.15">
      <c r="C2850" s="76">
        <v>404</v>
      </c>
      <c r="D2850" s="76">
        <v>1.5200000000000001E-4</v>
      </c>
      <c r="E2850" s="76">
        <v>3.2200000000000002E-4</v>
      </c>
      <c r="F2850" s="76">
        <v>3.9500000000000001E-4</v>
      </c>
      <c r="G2850" s="76">
        <v>4.8700000000000002E-4</v>
      </c>
      <c r="H2850" s="76">
        <v>5.7700000000000004E-4</v>
      </c>
      <c r="I2850" s="76">
        <v>9.0200000000000002E-4</v>
      </c>
      <c r="J2850" s="76">
        <v>9.7199999999999999E-4</v>
      </c>
      <c r="K2850" s="76">
        <v>9.8499999999999998E-4</v>
      </c>
      <c r="L2850" s="76">
        <v>1.4499999999999999E-3</v>
      </c>
      <c r="M2850" s="76">
        <v>1.17E-3</v>
      </c>
    </row>
    <row r="2851" spans="3:13" x14ac:dyDescent="0.15">
      <c r="C2851" s="76">
        <v>406</v>
      </c>
      <c r="D2851" s="76">
        <v>1.6100000000000001E-4</v>
      </c>
      <c r="E2851" s="76">
        <v>2.9999999999999997E-4</v>
      </c>
      <c r="F2851" s="76">
        <v>4.1599999999999997E-4</v>
      </c>
      <c r="G2851" s="76">
        <v>5.0000000000000001E-4</v>
      </c>
      <c r="H2851" s="76">
        <v>6.8999999999999997E-4</v>
      </c>
      <c r="I2851" s="76">
        <v>8.4699999999999999E-4</v>
      </c>
      <c r="J2851" s="76">
        <v>9.7400000000000004E-4</v>
      </c>
      <c r="K2851" s="76">
        <v>9.990000000000001E-4</v>
      </c>
      <c r="L2851" s="76">
        <v>1.8E-3</v>
      </c>
      <c r="M2851" s="76">
        <v>1.32E-3</v>
      </c>
    </row>
    <row r="2852" spans="3:13" x14ac:dyDescent="0.15">
      <c r="C2852" s="76">
        <v>408</v>
      </c>
      <c r="D2852" s="76">
        <v>1.76E-4</v>
      </c>
      <c r="E2852" s="76">
        <v>3.6400000000000001E-4</v>
      </c>
      <c r="F2852" s="76">
        <v>4.2400000000000001E-4</v>
      </c>
      <c r="G2852" s="76">
        <v>4.7800000000000002E-4</v>
      </c>
      <c r="H2852" s="76">
        <v>7.4799999999999997E-4</v>
      </c>
      <c r="I2852" s="76">
        <v>1.0499999999999999E-3</v>
      </c>
      <c r="J2852" s="76">
        <v>1.16E-3</v>
      </c>
      <c r="K2852" s="76">
        <v>1.08E-3</v>
      </c>
      <c r="L2852" s="76">
        <v>1.5299999999999999E-3</v>
      </c>
      <c r="M2852" s="76">
        <v>1.7099999999999999E-3</v>
      </c>
    </row>
    <row r="2853" spans="3:13" x14ac:dyDescent="0.15">
      <c r="C2853" s="76">
        <v>410</v>
      </c>
      <c r="D2853" s="76">
        <v>1.83E-4</v>
      </c>
      <c r="E2853" s="76">
        <v>3.8200000000000002E-4</v>
      </c>
      <c r="F2853" s="76">
        <v>4.46E-4</v>
      </c>
      <c r="G2853" s="76">
        <v>6.8999999999999997E-4</v>
      </c>
      <c r="H2853" s="76">
        <v>9.0600000000000001E-4</v>
      </c>
      <c r="I2853" s="76">
        <v>1E-3</v>
      </c>
      <c r="J2853" s="76">
        <v>1.17E-3</v>
      </c>
      <c r="K2853" s="76">
        <v>1.3600000000000001E-3</v>
      </c>
      <c r="L2853" s="76">
        <v>1.89E-3</v>
      </c>
      <c r="M2853" s="76">
        <v>1.8799999999999999E-3</v>
      </c>
    </row>
    <row r="2854" spans="3:13" x14ac:dyDescent="0.15">
      <c r="C2854" s="76">
        <v>412</v>
      </c>
      <c r="D2854" s="76">
        <v>1.85E-4</v>
      </c>
      <c r="E2854" s="76">
        <v>4.5199999999999998E-4</v>
      </c>
      <c r="F2854" s="76">
        <v>5.7899999999999998E-4</v>
      </c>
      <c r="G2854" s="76">
        <v>7.6400000000000003E-4</v>
      </c>
      <c r="H2854" s="76">
        <v>9.3300000000000002E-4</v>
      </c>
      <c r="I2854" s="76">
        <v>1.2999999999999999E-3</v>
      </c>
      <c r="J2854" s="76">
        <v>1.48E-3</v>
      </c>
      <c r="K2854" s="76">
        <v>1.5E-3</v>
      </c>
      <c r="L2854" s="76">
        <v>1.9300000000000001E-3</v>
      </c>
      <c r="M2854" s="76">
        <v>2.0999999999999999E-3</v>
      </c>
    </row>
    <row r="2855" spans="3:13" x14ac:dyDescent="0.15">
      <c r="C2855" s="76">
        <v>414</v>
      </c>
      <c r="D2855" s="76">
        <v>2.4899999999999998E-4</v>
      </c>
      <c r="E2855" s="76">
        <v>5.0199999999999995E-4</v>
      </c>
      <c r="F2855" s="76">
        <v>6.8199999999999999E-4</v>
      </c>
      <c r="G2855" s="76">
        <v>9.41E-4</v>
      </c>
      <c r="H2855" s="76">
        <v>1.07E-3</v>
      </c>
      <c r="I2855" s="76">
        <v>1.42E-3</v>
      </c>
      <c r="J2855" s="76">
        <v>1.5900000000000001E-3</v>
      </c>
      <c r="K2855" s="76">
        <v>1.6800000000000001E-3</v>
      </c>
      <c r="L2855" s="76">
        <v>2.3E-3</v>
      </c>
      <c r="M2855" s="76">
        <v>2.4199999999999998E-3</v>
      </c>
    </row>
    <row r="2856" spans="3:13" x14ac:dyDescent="0.15">
      <c r="C2856" s="76">
        <v>416</v>
      </c>
      <c r="D2856" s="76">
        <v>2.8200000000000002E-4</v>
      </c>
      <c r="E2856" s="76">
        <v>5.6899999999999995E-4</v>
      </c>
      <c r="F2856" s="76">
        <v>7.7800000000000005E-4</v>
      </c>
      <c r="G2856" s="76">
        <v>1.0300000000000001E-3</v>
      </c>
      <c r="H2856" s="76">
        <v>1.34E-3</v>
      </c>
      <c r="I2856" s="76">
        <v>1.66E-3</v>
      </c>
      <c r="J2856" s="76">
        <v>1.9599999999999999E-3</v>
      </c>
      <c r="K2856" s="76">
        <v>2.0999999999999999E-3</v>
      </c>
      <c r="L2856" s="76">
        <v>2.6800000000000001E-3</v>
      </c>
      <c r="M2856" s="76">
        <v>2.9199999999999999E-3</v>
      </c>
    </row>
    <row r="2857" spans="3:13" x14ac:dyDescent="0.15">
      <c r="C2857" s="76">
        <v>418</v>
      </c>
      <c r="D2857" s="76">
        <v>3.3100000000000002E-4</v>
      </c>
      <c r="E2857" s="76">
        <v>6.5700000000000003E-4</v>
      </c>
      <c r="F2857" s="76">
        <v>8.8999999999999995E-4</v>
      </c>
      <c r="G2857" s="76">
        <v>1.2800000000000001E-3</v>
      </c>
      <c r="H2857" s="76">
        <v>1.5499999999999999E-3</v>
      </c>
      <c r="I2857" s="76">
        <v>1.9599999999999999E-3</v>
      </c>
      <c r="J2857" s="76">
        <v>2.31E-3</v>
      </c>
      <c r="K2857" s="76">
        <v>2.63E-3</v>
      </c>
      <c r="L2857" s="76">
        <v>3.1199999999999999E-3</v>
      </c>
      <c r="M2857" s="76">
        <v>3.3999999999999998E-3</v>
      </c>
    </row>
    <row r="2858" spans="3:13" x14ac:dyDescent="0.15">
      <c r="C2858" s="76">
        <v>420</v>
      </c>
      <c r="D2858" s="76">
        <v>3.8400000000000001E-4</v>
      </c>
      <c r="E2858" s="76">
        <v>7.8200000000000003E-4</v>
      </c>
      <c r="F2858" s="76">
        <v>1.1100000000000001E-3</v>
      </c>
      <c r="G2858" s="76">
        <v>1.56E-3</v>
      </c>
      <c r="H2858" s="76">
        <v>1.91E-3</v>
      </c>
      <c r="I2858" s="76">
        <v>2.3700000000000001E-3</v>
      </c>
      <c r="J2858" s="76">
        <v>2.8600000000000001E-3</v>
      </c>
      <c r="K2858" s="76">
        <v>3.0699999999999998E-3</v>
      </c>
      <c r="L2858" s="76">
        <v>3.7200000000000002E-3</v>
      </c>
      <c r="M2858" s="76">
        <v>4.0299999999999997E-3</v>
      </c>
    </row>
    <row r="2859" spans="3:13" x14ac:dyDescent="0.15">
      <c r="C2859" s="76">
        <v>422</v>
      </c>
      <c r="D2859" s="76">
        <v>4.7699999999999999E-4</v>
      </c>
      <c r="E2859" s="76">
        <v>1.0200000000000001E-3</v>
      </c>
      <c r="F2859" s="76">
        <v>1.3699999999999999E-3</v>
      </c>
      <c r="G2859" s="76">
        <v>1.9400000000000001E-3</v>
      </c>
      <c r="H2859" s="76">
        <v>2.3700000000000001E-3</v>
      </c>
      <c r="I2859" s="76">
        <v>3.0000000000000001E-3</v>
      </c>
      <c r="J2859" s="76">
        <v>3.3899999999999998E-3</v>
      </c>
      <c r="K2859" s="76">
        <v>3.82E-3</v>
      </c>
      <c r="L2859" s="76">
        <v>4.4900000000000001E-3</v>
      </c>
      <c r="M2859" s="76">
        <v>4.8999999999999998E-3</v>
      </c>
    </row>
    <row r="2860" spans="3:13" x14ac:dyDescent="0.15">
      <c r="C2860" s="76">
        <v>424</v>
      </c>
      <c r="D2860" s="76">
        <v>5.8699999999999996E-4</v>
      </c>
      <c r="E2860" s="76">
        <v>1.17E-3</v>
      </c>
      <c r="F2860" s="76">
        <v>1.7600000000000001E-3</v>
      </c>
      <c r="G2860" s="76">
        <v>2.4099999999999998E-3</v>
      </c>
      <c r="H2860" s="76">
        <v>2.96E-3</v>
      </c>
      <c r="I2860" s="76">
        <v>3.5500000000000002E-3</v>
      </c>
      <c r="J2860" s="76">
        <v>4.3E-3</v>
      </c>
      <c r="K2860" s="76">
        <v>4.8799999999999998E-3</v>
      </c>
      <c r="L2860" s="76">
        <v>5.5100000000000001E-3</v>
      </c>
      <c r="M2860" s="76">
        <v>6.1599999999999997E-3</v>
      </c>
    </row>
    <row r="2861" spans="3:13" x14ac:dyDescent="0.15">
      <c r="C2861" s="76">
        <v>426</v>
      </c>
      <c r="D2861" s="76">
        <v>7.4899999999999999E-4</v>
      </c>
      <c r="E2861" s="76">
        <v>1.49E-3</v>
      </c>
      <c r="F2861" s="76">
        <v>2.2300000000000002E-3</v>
      </c>
      <c r="G2861" s="76">
        <v>3.0500000000000002E-3</v>
      </c>
      <c r="H2861" s="76">
        <v>3.7399999999999998E-3</v>
      </c>
      <c r="I2861" s="76">
        <v>4.5799999999999999E-3</v>
      </c>
      <c r="J2861" s="76">
        <v>5.47E-3</v>
      </c>
      <c r="K2861" s="76">
        <v>6.13E-3</v>
      </c>
      <c r="L2861" s="76">
        <v>6.8300000000000001E-3</v>
      </c>
      <c r="M2861" s="76">
        <v>7.8399999999999997E-3</v>
      </c>
    </row>
    <row r="2862" spans="3:13" x14ac:dyDescent="0.15">
      <c r="C2862" s="76">
        <v>428</v>
      </c>
      <c r="D2862" s="76">
        <v>9.6299999999999999E-4</v>
      </c>
      <c r="E2862" s="76">
        <v>1.9499999999999999E-3</v>
      </c>
      <c r="F2862" s="76">
        <v>2.9199999999999999E-3</v>
      </c>
      <c r="G2862" s="76">
        <v>3.9199999999999999E-3</v>
      </c>
      <c r="H2862" s="76">
        <v>4.9199999999999999E-3</v>
      </c>
      <c r="I2862" s="76">
        <v>6.0099999999999997E-3</v>
      </c>
      <c r="J2862" s="76">
        <v>6.9899999999999997E-3</v>
      </c>
      <c r="K2862" s="76">
        <v>7.9500000000000005E-3</v>
      </c>
      <c r="L2862" s="76">
        <v>9.0100000000000006E-3</v>
      </c>
      <c r="M2862" s="76">
        <v>1.01E-2</v>
      </c>
    </row>
    <row r="2863" spans="3:13" x14ac:dyDescent="0.15">
      <c r="C2863" s="76">
        <v>430</v>
      </c>
      <c r="D2863" s="76">
        <v>1.2899999999999999E-3</v>
      </c>
      <c r="E2863" s="76">
        <v>2.6099999999999999E-3</v>
      </c>
      <c r="F2863" s="76">
        <v>3.9100000000000003E-3</v>
      </c>
      <c r="G2863" s="76">
        <v>5.28E-3</v>
      </c>
      <c r="H2863" s="76">
        <v>6.6100000000000004E-3</v>
      </c>
      <c r="I2863" s="76">
        <v>8.0000000000000002E-3</v>
      </c>
      <c r="J2863" s="76">
        <v>9.3500000000000007E-3</v>
      </c>
      <c r="K2863" s="76">
        <v>1.0699999999999999E-2</v>
      </c>
      <c r="L2863" s="76">
        <v>1.2E-2</v>
      </c>
      <c r="M2863" s="76">
        <v>1.35E-2</v>
      </c>
    </row>
    <row r="2864" spans="3:13" x14ac:dyDescent="0.15">
      <c r="C2864" s="76">
        <v>432</v>
      </c>
      <c r="D2864" s="76">
        <v>1.7600000000000001E-3</v>
      </c>
      <c r="E2864" s="76">
        <v>3.5799999999999998E-3</v>
      </c>
      <c r="F2864" s="76">
        <v>5.3800000000000002E-3</v>
      </c>
      <c r="G2864" s="76">
        <v>7.2899999999999996E-3</v>
      </c>
      <c r="H2864" s="76">
        <v>9.0500000000000008E-3</v>
      </c>
      <c r="I2864" s="76">
        <v>1.09E-2</v>
      </c>
      <c r="J2864" s="76">
        <v>1.2800000000000001E-2</v>
      </c>
      <c r="K2864" s="76">
        <v>1.47E-2</v>
      </c>
      <c r="L2864" s="76">
        <v>1.6400000000000001E-2</v>
      </c>
      <c r="M2864" s="76">
        <v>1.8499999999999999E-2</v>
      </c>
    </row>
    <row r="2865" spans="3:13" x14ac:dyDescent="0.15">
      <c r="C2865" s="76">
        <v>434</v>
      </c>
      <c r="D2865" s="76">
        <v>2.4299999999999999E-3</v>
      </c>
      <c r="E2865" s="76">
        <v>4.9399999999999999E-3</v>
      </c>
      <c r="F2865" s="76">
        <v>7.4799999999999997E-3</v>
      </c>
      <c r="G2865" s="76">
        <v>0.01</v>
      </c>
      <c r="H2865" s="76">
        <v>1.26E-2</v>
      </c>
      <c r="I2865" s="76">
        <v>1.5100000000000001E-2</v>
      </c>
      <c r="J2865" s="76">
        <v>1.78E-2</v>
      </c>
      <c r="K2865" s="76">
        <v>2.0299999999999999E-2</v>
      </c>
      <c r="L2865" s="76">
        <v>2.2700000000000001E-2</v>
      </c>
      <c r="M2865" s="76">
        <v>2.5499999999999998E-2</v>
      </c>
    </row>
    <row r="2866" spans="3:13" x14ac:dyDescent="0.15">
      <c r="C2866" s="76">
        <v>436</v>
      </c>
      <c r="D2866" s="76">
        <v>3.48E-3</v>
      </c>
      <c r="E2866" s="76">
        <v>7.0899999999999999E-3</v>
      </c>
      <c r="F2866" s="76">
        <v>1.0699999999999999E-2</v>
      </c>
      <c r="G2866" s="76">
        <v>1.43E-2</v>
      </c>
      <c r="H2866" s="76">
        <v>1.7899999999999999E-2</v>
      </c>
      <c r="I2866" s="76">
        <v>2.1600000000000001E-2</v>
      </c>
      <c r="J2866" s="76">
        <v>2.52E-2</v>
      </c>
      <c r="K2866" s="76">
        <v>2.9000000000000001E-2</v>
      </c>
      <c r="L2866" s="76">
        <v>3.2500000000000001E-2</v>
      </c>
      <c r="M2866" s="76">
        <v>3.6200000000000003E-2</v>
      </c>
    </row>
    <row r="2867" spans="3:13" x14ac:dyDescent="0.15">
      <c r="C2867" s="76">
        <v>438</v>
      </c>
      <c r="D2867" s="76">
        <v>4.9500000000000004E-3</v>
      </c>
      <c r="E2867" s="76">
        <v>1.01E-2</v>
      </c>
      <c r="F2867" s="76">
        <v>1.5299999999999999E-2</v>
      </c>
      <c r="G2867" s="76">
        <v>2.0400000000000001E-2</v>
      </c>
      <c r="H2867" s="76">
        <v>2.5600000000000001E-2</v>
      </c>
      <c r="I2867" s="76">
        <v>3.0700000000000002E-2</v>
      </c>
      <c r="J2867" s="76">
        <v>3.5900000000000001E-2</v>
      </c>
      <c r="K2867" s="76">
        <v>4.1000000000000002E-2</v>
      </c>
      <c r="L2867" s="76">
        <v>4.6100000000000002E-2</v>
      </c>
      <c r="M2867" s="76">
        <v>5.1400000000000001E-2</v>
      </c>
    </row>
    <row r="2868" spans="3:13" x14ac:dyDescent="0.15">
      <c r="C2868" s="76">
        <v>440</v>
      </c>
      <c r="D2868" s="76">
        <v>6.8199999999999997E-3</v>
      </c>
      <c r="E2868" s="76">
        <v>1.3899999999999999E-2</v>
      </c>
      <c r="F2868" s="76">
        <v>2.1000000000000001E-2</v>
      </c>
      <c r="G2868" s="76">
        <v>2.81E-2</v>
      </c>
      <c r="H2868" s="76">
        <v>3.5099999999999999E-2</v>
      </c>
      <c r="I2868" s="76">
        <v>4.2200000000000001E-2</v>
      </c>
      <c r="J2868" s="76">
        <v>4.9299999999999997E-2</v>
      </c>
      <c r="K2868" s="76">
        <v>5.6300000000000003E-2</v>
      </c>
      <c r="L2868" s="76">
        <v>6.3299999999999995E-2</v>
      </c>
      <c r="M2868" s="76">
        <v>7.0400000000000004E-2</v>
      </c>
    </row>
    <row r="2869" spans="3:13" x14ac:dyDescent="0.15">
      <c r="C2869" s="76">
        <v>442</v>
      </c>
      <c r="D2869" s="76">
        <v>9.11E-3</v>
      </c>
      <c r="E2869" s="76">
        <v>1.8599999999999998E-2</v>
      </c>
      <c r="F2869" s="76">
        <v>2.81E-2</v>
      </c>
      <c r="G2869" s="76">
        <v>3.7499999999999999E-2</v>
      </c>
      <c r="H2869" s="76">
        <v>4.6899999999999997E-2</v>
      </c>
      <c r="I2869" s="76">
        <v>5.6399999999999999E-2</v>
      </c>
      <c r="J2869" s="76">
        <v>6.5799999999999997E-2</v>
      </c>
      <c r="K2869" s="76">
        <v>7.51E-2</v>
      </c>
      <c r="L2869" s="76">
        <v>8.4500000000000006E-2</v>
      </c>
      <c r="M2869" s="76">
        <v>9.3700000000000006E-2</v>
      </c>
    </row>
    <row r="2870" spans="3:13" x14ac:dyDescent="0.15">
      <c r="C2870" s="76">
        <v>444</v>
      </c>
      <c r="D2870" s="76">
        <v>1.18E-2</v>
      </c>
      <c r="E2870" s="76">
        <v>2.4199999999999999E-2</v>
      </c>
      <c r="F2870" s="76">
        <v>3.6499999999999998E-2</v>
      </c>
      <c r="G2870" s="76">
        <v>4.87E-2</v>
      </c>
      <c r="H2870" s="76">
        <v>6.0900000000000003E-2</v>
      </c>
      <c r="I2870" s="76">
        <v>7.3099999999999998E-2</v>
      </c>
      <c r="J2870" s="76">
        <v>8.5199999999999998E-2</v>
      </c>
      <c r="K2870" s="76">
        <v>9.7299999999999998E-2</v>
      </c>
      <c r="L2870" s="76">
        <v>0.109</v>
      </c>
      <c r="M2870" s="76">
        <v>0.122</v>
      </c>
    </row>
    <row r="2871" spans="3:13" x14ac:dyDescent="0.15">
      <c r="C2871" s="76">
        <v>446</v>
      </c>
      <c r="D2871" s="76">
        <v>1.49E-2</v>
      </c>
      <c r="E2871" s="76">
        <v>3.04E-2</v>
      </c>
      <c r="F2871" s="76">
        <v>4.5900000000000003E-2</v>
      </c>
      <c r="G2871" s="76">
        <v>6.13E-2</v>
      </c>
      <c r="H2871" s="76">
        <v>7.6600000000000001E-2</v>
      </c>
      <c r="I2871" s="76">
        <v>9.1899999999999996E-2</v>
      </c>
      <c r="J2871" s="76">
        <v>0.107</v>
      </c>
      <c r="K2871" s="76">
        <v>0.122</v>
      </c>
      <c r="L2871" s="76">
        <v>0.13700000000000001</v>
      </c>
      <c r="M2871" s="76">
        <v>0.152</v>
      </c>
    </row>
    <row r="2872" spans="3:13" x14ac:dyDescent="0.15">
      <c r="C2872" s="76">
        <v>448</v>
      </c>
      <c r="D2872" s="76">
        <v>1.8100000000000002E-2</v>
      </c>
      <c r="E2872" s="76">
        <v>3.7100000000000001E-2</v>
      </c>
      <c r="F2872" s="76">
        <v>5.6000000000000001E-2</v>
      </c>
      <c r="G2872" s="76">
        <v>7.46E-2</v>
      </c>
      <c r="H2872" s="76">
        <v>9.3200000000000005E-2</v>
      </c>
      <c r="I2872" s="76">
        <v>0.112</v>
      </c>
      <c r="J2872" s="76">
        <v>0.13</v>
      </c>
      <c r="K2872" s="76">
        <v>0.14899999999999999</v>
      </c>
      <c r="L2872" s="76">
        <v>0.16700000000000001</v>
      </c>
      <c r="M2872" s="76">
        <v>0.185</v>
      </c>
    </row>
    <row r="2873" spans="3:13" x14ac:dyDescent="0.15">
      <c r="C2873" s="76">
        <v>450</v>
      </c>
      <c r="D2873" s="76">
        <v>2.1600000000000001E-2</v>
      </c>
      <c r="E2873" s="76">
        <v>4.41E-2</v>
      </c>
      <c r="F2873" s="76">
        <v>6.6500000000000004E-2</v>
      </c>
      <c r="G2873" s="76">
        <v>8.8599999999999998E-2</v>
      </c>
      <c r="H2873" s="76">
        <v>0.111</v>
      </c>
      <c r="I2873" s="76">
        <v>0.13300000000000001</v>
      </c>
      <c r="J2873" s="76">
        <v>0.155</v>
      </c>
      <c r="K2873" s="76">
        <v>0.17599999999999999</v>
      </c>
      <c r="L2873" s="76">
        <v>0.19800000000000001</v>
      </c>
      <c r="M2873" s="76">
        <v>0.22</v>
      </c>
    </row>
    <row r="2874" spans="3:13" x14ac:dyDescent="0.15">
      <c r="C2874" s="76">
        <v>452</v>
      </c>
      <c r="D2874" s="76">
        <v>2.4500000000000001E-2</v>
      </c>
      <c r="E2874" s="76">
        <v>5.0099999999999999E-2</v>
      </c>
      <c r="F2874" s="76">
        <v>7.5499999999999998E-2</v>
      </c>
      <c r="G2874" s="76">
        <v>0.10100000000000001</v>
      </c>
      <c r="H2874" s="76">
        <v>0.126</v>
      </c>
      <c r="I2874" s="76">
        <v>0.151</v>
      </c>
      <c r="J2874" s="76">
        <v>0.17499999999999999</v>
      </c>
      <c r="K2874" s="76">
        <v>0.2</v>
      </c>
      <c r="L2874" s="76">
        <v>0.22500000000000001</v>
      </c>
      <c r="M2874" s="76">
        <v>0.249</v>
      </c>
    </row>
    <row r="2875" spans="3:13" x14ac:dyDescent="0.15">
      <c r="C2875" s="76">
        <v>454</v>
      </c>
      <c r="D2875" s="76">
        <v>2.6800000000000001E-2</v>
      </c>
      <c r="E2875" s="76">
        <v>5.4699999999999999E-2</v>
      </c>
      <c r="F2875" s="76">
        <v>8.2400000000000001E-2</v>
      </c>
      <c r="G2875" s="76">
        <v>0.11</v>
      </c>
      <c r="H2875" s="76">
        <v>0.13700000000000001</v>
      </c>
      <c r="I2875" s="76">
        <v>0.16400000000000001</v>
      </c>
      <c r="J2875" s="76">
        <v>0.191</v>
      </c>
      <c r="K2875" s="76">
        <v>0.218</v>
      </c>
      <c r="L2875" s="76">
        <v>0.245</v>
      </c>
      <c r="M2875" s="76">
        <v>0.27200000000000002</v>
      </c>
    </row>
    <row r="2876" spans="3:13" x14ac:dyDescent="0.15">
      <c r="C2876" s="76">
        <v>456</v>
      </c>
      <c r="D2876" s="76">
        <v>2.8299999999999999E-2</v>
      </c>
      <c r="E2876" s="76">
        <v>5.8000000000000003E-2</v>
      </c>
      <c r="F2876" s="76">
        <v>8.72E-2</v>
      </c>
      <c r="G2876" s="76">
        <v>0.11600000000000001</v>
      </c>
      <c r="H2876" s="76">
        <v>0.14499999999999999</v>
      </c>
      <c r="I2876" s="76">
        <v>0.17399999999999999</v>
      </c>
      <c r="J2876" s="76">
        <v>0.20300000000000001</v>
      </c>
      <c r="K2876" s="76">
        <v>0.23100000000000001</v>
      </c>
      <c r="L2876" s="76">
        <v>0.25900000000000001</v>
      </c>
      <c r="M2876" s="76">
        <v>0.28699999999999998</v>
      </c>
    </row>
    <row r="2877" spans="3:13" x14ac:dyDescent="0.15">
      <c r="C2877" s="76">
        <v>458</v>
      </c>
      <c r="D2877" s="76">
        <v>2.9100000000000001E-2</v>
      </c>
      <c r="E2877" s="76">
        <v>5.9499999999999997E-2</v>
      </c>
      <c r="F2877" s="76">
        <v>8.9599999999999999E-2</v>
      </c>
      <c r="G2877" s="76">
        <v>0.11899999999999999</v>
      </c>
      <c r="H2877" s="76">
        <v>0.14899999999999999</v>
      </c>
      <c r="I2877" s="76">
        <v>0.17799999999999999</v>
      </c>
      <c r="J2877" s="76">
        <v>0.20799999999999999</v>
      </c>
      <c r="K2877" s="76">
        <v>0.23699999999999999</v>
      </c>
      <c r="L2877" s="76">
        <v>0.26600000000000001</v>
      </c>
      <c r="M2877" s="76">
        <v>0.29499999999999998</v>
      </c>
    </row>
    <row r="2878" spans="3:13" x14ac:dyDescent="0.15">
      <c r="C2878" s="76">
        <v>460</v>
      </c>
      <c r="D2878" s="76">
        <v>2.9100000000000001E-2</v>
      </c>
      <c r="E2878" s="76">
        <v>5.96E-2</v>
      </c>
      <c r="F2878" s="76">
        <v>8.9800000000000005E-2</v>
      </c>
      <c r="G2878" s="76">
        <v>0.12</v>
      </c>
      <c r="H2878" s="76">
        <v>0.14899999999999999</v>
      </c>
      <c r="I2878" s="76">
        <v>0.17899999999999999</v>
      </c>
      <c r="J2878" s="76">
        <v>0.20799999999999999</v>
      </c>
      <c r="K2878" s="76">
        <v>0.23699999999999999</v>
      </c>
      <c r="L2878" s="76">
        <v>0.26700000000000002</v>
      </c>
      <c r="M2878" s="76">
        <v>0.29499999999999998</v>
      </c>
    </row>
    <row r="2879" spans="3:13" x14ac:dyDescent="0.15">
      <c r="C2879" s="76">
        <v>462</v>
      </c>
      <c r="D2879" s="76">
        <v>2.8500000000000001E-2</v>
      </c>
      <c r="E2879" s="76">
        <v>5.8299999999999998E-2</v>
      </c>
      <c r="F2879" s="76">
        <v>8.77E-2</v>
      </c>
      <c r="G2879" s="76">
        <v>0.11700000000000001</v>
      </c>
      <c r="H2879" s="76">
        <v>0.14599999999999999</v>
      </c>
      <c r="I2879" s="76">
        <v>0.17499999999999999</v>
      </c>
      <c r="J2879" s="76">
        <v>0.20300000000000001</v>
      </c>
      <c r="K2879" s="76">
        <v>0.23200000000000001</v>
      </c>
      <c r="L2879" s="76">
        <v>0.26</v>
      </c>
      <c r="M2879" s="76">
        <v>0.28899999999999998</v>
      </c>
    </row>
    <row r="2880" spans="3:13" x14ac:dyDescent="0.15">
      <c r="C2880" s="76">
        <v>464</v>
      </c>
      <c r="D2880" s="76">
        <v>2.7099999999999999E-2</v>
      </c>
      <c r="E2880" s="76">
        <v>5.5500000000000001E-2</v>
      </c>
      <c r="F2880" s="76">
        <v>8.3500000000000005E-2</v>
      </c>
      <c r="G2880" s="76">
        <v>0.111</v>
      </c>
      <c r="H2880" s="76">
        <v>0.13900000000000001</v>
      </c>
      <c r="I2880" s="76">
        <v>0.16600000000000001</v>
      </c>
      <c r="J2880" s="76">
        <v>0.19400000000000001</v>
      </c>
      <c r="K2880" s="76">
        <v>0.221</v>
      </c>
      <c r="L2880" s="76">
        <v>0.248</v>
      </c>
      <c r="M2880" s="76">
        <v>0.27500000000000002</v>
      </c>
    </row>
    <row r="2881" spans="3:13" x14ac:dyDescent="0.15">
      <c r="C2881" s="76">
        <v>466</v>
      </c>
      <c r="D2881" s="76">
        <v>2.5600000000000001E-2</v>
      </c>
      <c r="E2881" s="76">
        <v>5.2400000000000002E-2</v>
      </c>
      <c r="F2881" s="76">
        <v>7.8899999999999998E-2</v>
      </c>
      <c r="G2881" s="76">
        <v>0.105</v>
      </c>
      <c r="H2881" s="76">
        <v>0.13100000000000001</v>
      </c>
      <c r="I2881" s="76">
        <v>0.157</v>
      </c>
      <c r="J2881" s="76">
        <v>0.183</v>
      </c>
      <c r="K2881" s="76">
        <v>0.20899999999999999</v>
      </c>
      <c r="L2881" s="76">
        <v>0.23400000000000001</v>
      </c>
      <c r="M2881" s="76">
        <v>0.26</v>
      </c>
    </row>
    <row r="2882" spans="3:13" x14ac:dyDescent="0.15">
      <c r="C2882" s="76">
        <v>468</v>
      </c>
      <c r="D2882" s="76">
        <v>2.4E-2</v>
      </c>
      <c r="E2882" s="76">
        <v>4.9200000000000001E-2</v>
      </c>
      <c r="F2882" s="76">
        <v>7.4099999999999999E-2</v>
      </c>
      <c r="G2882" s="76">
        <v>9.8699999999999996E-2</v>
      </c>
      <c r="H2882" s="76">
        <v>0.123</v>
      </c>
      <c r="I2882" s="76">
        <v>0.14699999999999999</v>
      </c>
      <c r="J2882" s="76">
        <v>0.17199999999999999</v>
      </c>
      <c r="K2882" s="76">
        <v>0.19600000000000001</v>
      </c>
      <c r="L2882" s="76">
        <v>0.22</v>
      </c>
      <c r="M2882" s="76">
        <v>0.24399999999999999</v>
      </c>
    </row>
    <row r="2883" spans="3:13" x14ac:dyDescent="0.15">
      <c r="C2883" s="76">
        <v>470</v>
      </c>
      <c r="D2883" s="76">
        <v>2.2499999999999999E-2</v>
      </c>
      <c r="E2883" s="76">
        <v>4.5999999999999999E-2</v>
      </c>
      <c r="F2883" s="76">
        <v>6.9199999999999998E-2</v>
      </c>
      <c r="G2883" s="76">
        <v>9.2200000000000004E-2</v>
      </c>
      <c r="H2883" s="76">
        <v>0.115</v>
      </c>
      <c r="I2883" s="76">
        <v>0.13800000000000001</v>
      </c>
      <c r="J2883" s="76">
        <v>0.161</v>
      </c>
      <c r="K2883" s="76">
        <v>0.183</v>
      </c>
      <c r="L2883" s="76">
        <v>0.20599999999999999</v>
      </c>
      <c r="M2883" s="76">
        <v>0.22800000000000001</v>
      </c>
    </row>
    <row r="2884" spans="3:13" x14ac:dyDescent="0.15">
      <c r="C2884" s="76">
        <v>472</v>
      </c>
      <c r="D2884" s="76">
        <v>2.1000000000000001E-2</v>
      </c>
      <c r="E2884" s="76">
        <v>4.3099999999999999E-2</v>
      </c>
      <c r="F2884" s="76">
        <v>6.4799999999999996E-2</v>
      </c>
      <c r="G2884" s="76">
        <v>8.6400000000000005E-2</v>
      </c>
      <c r="H2884" s="76">
        <v>0.108</v>
      </c>
      <c r="I2884" s="76">
        <v>0.129</v>
      </c>
      <c r="J2884" s="76">
        <v>0.15</v>
      </c>
      <c r="K2884" s="76">
        <v>0.17199999999999999</v>
      </c>
      <c r="L2884" s="76">
        <v>0.193</v>
      </c>
      <c r="M2884" s="76">
        <v>0.214</v>
      </c>
    </row>
    <row r="2885" spans="3:13" x14ac:dyDescent="0.15">
      <c r="C2885" s="76">
        <v>474</v>
      </c>
      <c r="D2885" s="76">
        <v>1.9800000000000002E-2</v>
      </c>
      <c r="E2885" s="76">
        <v>4.0599999999999997E-2</v>
      </c>
      <c r="F2885" s="76">
        <v>6.1100000000000002E-2</v>
      </c>
      <c r="G2885" s="76">
        <v>8.1500000000000003E-2</v>
      </c>
      <c r="H2885" s="76">
        <v>0.10199999999999999</v>
      </c>
      <c r="I2885" s="76">
        <v>0.122</v>
      </c>
      <c r="J2885" s="76">
        <v>0.14199999999999999</v>
      </c>
      <c r="K2885" s="76">
        <v>0.16200000000000001</v>
      </c>
      <c r="L2885" s="76">
        <v>0.182</v>
      </c>
      <c r="M2885" s="76">
        <v>0.20100000000000001</v>
      </c>
    </row>
    <row r="2886" spans="3:13" x14ac:dyDescent="0.15">
      <c r="C2886" s="76">
        <v>476</v>
      </c>
      <c r="D2886" s="76">
        <v>1.8700000000000001E-2</v>
      </c>
      <c r="E2886" s="76">
        <v>3.8199999999999998E-2</v>
      </c>
      <c r="F2886" s="76">
        <v>5.7500000000000002E-2</v>
      </c>
      <c r="G2886" s="76">
        <v>7.6600000000000001E-2</v>
      </c>
      <c r="H2886" s="76">
        <v>9.5699999999999993E-2</v>
      </c>
      <c r="I2886" s="76">
        <v>0.115</v>
      </c>
      <c r="J2886" s="76">
        <v>0.13400000000000001</v>
      </c>
      <c r="K2886" s="76">
        <v>0.152</v>
      </c>
      <c r="L2886" s="76">
        <v>0.17100000000000001</v>
      </c>
      <c r="M2886" s="76">
        <v>0.19</v>
      </c>
    </row>
    <row r="2887" spans="3:13" x14ac:dyDescent="0.15">
      <c r="C2887" s="76">
        <v>478</v>
      </c>
      <c r="D2887" s="76">
        <v>1.7899999999999999E-2</v>
      </c>
      <c r="E2887" s="76">
        <v>3.6499999999999998E-2</v>
      </c>
      <c r="F2887" s="76">
        <v>5.4899999999999997E-2</v>
      </c>
      <c r="G2887" s="76">
        <v>7.3300000000000004E-2</v>
      </c>
      <c r="H2887" s="76">
        <v>9.1499999999999998E-2</v>
      </c>
      <c r="I2887" s="76">
        <v>0.11</v>
      </c>
      <c r="J2887" s="76">
        <v>0.128</v>
      </c>
      <c r="K2887" s="76">
        <v>0.14599999999999999</v>
      </c>
      <c r="L2887" s="76">
        <v>0.16300000000000001</v>
      </c>
      <c r="M2887" s="76">
        <v>0.18099999999999999</v>
      </c>
    </row>
    <row r="2888" spans="3:13" x14ac:dyDescent="0.15">
      <c r="C2888" s="76">
        <v>480</v>
      </c>
      <c r="D2888" s="76">
        <v>1.72E-2</v>
      </c>
      <c r="E2888" s="76">
        <v>3.5099999999999999E-2</v>
      </c>
      <c r="F2888" s="76">
        <v>5.28E-2</v>
      </c>
      <c r="G2888" s="76">
        <v>7.0400000000000004E-2</v>
      </c>
      <c r="H2888" s="76">
        <v>8.7900000000000006E-2</v>
      </c>
      <c r="I2888" s="76">
        <v>0.105</v>
      </c>
      <c r="J2888" s="76">
        <v>0.123</v>
      </c>
      <c r="K2888" s="76">
        <v>0.14000000000000001</v>
      </c>
      <c r="L2888" s="76">
        <v>0.157</v>
      </c>
      <c r="M2888" s="76">
        <v>0.17399999999999999</v>
      </c>
    </row>
    <row r="2889" spans="3:13" x14ac:dyDescent="0.15">
      <c r="C2889" s="76">
        <v>482</v>
      </c>
      <c r="D2889" s="76">
        <v>1.6500000000000001E-2</v>
      </c>
      <c r="E2889" s="76">
        <v>3.3799999999999997E-2</v>
      </c>
      <c r="F2889" s="76">
        <v>5.0900000000000001E-2</v>
      </c>
      <c r="G2889" s="76">
        <v>6.7900000000000002E-2</v>
      </c>
      <c r="H2889" s="76">
        <v>8.4699999999999998E-2</v>
      </c>
      <c r="I2889" s="76">
        <v>0.10199999999999999</v>
      </c>
      <c r="J2889" s="76">
        <v>0.11799999999999999</v>
      </c>
      <c r="K2889" s="76">
        <v>0.13500000000000001</v>
      </c>
      <c r="L2889" s="76">
        <v>0.152</v>
      </c>
      <c r="M2889" s="76">
        <v>0.16800000000000001</v>
      </c>
    </row>
    <row r="2890" spans="3:13" x14ac:dyDescent="0.15">
      <c r="C2890" s="76">
        <v>484</v>
      </c>
      <c r="D2890" s="76">
        <v>1.5900000000000001E-2</v>
      </c>
      <c r="E2890" s="76">
        <v>3.2599999999999997E-2</v>
      </c>
      <c r="F2890" s="76">
        <v>4.9000000000000002E-2</v>
      </c>
      <c r="G2890" s="76">
        <v>6.5299999999999997E-2</v>
      </c>
      <c r="H2890" s="76">
        <v>8.1500000000000003E-2</v>
      </c>
      <c r="I2890" s="76">
        <v>9.7699999999999995E-2</v>
      </c>
      <c r="J2890" s="76">
        <v>0.114</v>
      </c>
      <c r="K2890" s="76">
        <v>0.13</v>
      </c>
      <c r="L2890" s="76">
        <v>0.14599999999999999</v>
      </c>
      <c r="M2890" s="76">
        <v>0.161</v>
      </c>
    </row>
    <row r="2891" spans="3:13" x14ac:dyDescent="0.15">
      <c r="C2891" s="76">
        <v>486</v>
      </c>
      <c r="D2891" s="76">
        <v>1.5299999999999999E-2</v>
      </c>
      <c r="E2891" s="76">
        <v>3.1300000000000001E-2</v>
      </c>
      <c r="F2891" s="76">
        <v>4.7E-2</v>
      </c>
      <c r="G2891" s="76">
        <v>6.2700000000000006E-2</v>
      </c>
      <c r="H2891" s="76">
        <v>7.8299999999999995E-2</v>
      </c>
      <c r="I2891" s="76">
        <v>9.3799999999999994E-2</v>
      </c>
      <c r="J2891" s="76">
        <v>0.109</v>
      </c>
      <c r="K2891" s="76">
        <v>0.125</v>
      </c>
      <c r="L2891" s="76">
        <v>0.14000000000000001</v>
      </c>
      <c r="M2891" s="76">
        <v>0.155</v>
      </c>
    </row>
    <row r="2892" spans="3:13" x14ac:dyDescent="0.15">
      <c r="C2892" s="76">
        <v>488</v>
      </c>
      <c r="D2892" s="76">
        <v>1.4500000000000001E-2</v>
      </c>
      <c r="E2892" s="76">
        <v>2.9600000000000001E-2</v>
      </c>
      <c r="F2892" s="76">
        <v>4.4499999999999998E-2</v>
      </c>
      <c r="G2892" s="76">
        <v>5.9299999999999999E-2</v>
      </c>
      <c r="H2892" s="76">
        <v>7.4099999999999999E-2</v>
      </c>
      <c r="I2892" s="76">
        <v>8.8700000000000001E-2</v>
      </c>
      <c r="J2892" s="76">
        <v>0.10299999999999999</v>
      </c>
      <c r="K2892" s="76">
        <v>0.11799999999999999</v>
      </c>
      <c r="L2892" s="76">
        <v>0.13200000000000001</v>
      </c>
      <c r="M2892" s="76">
        <v>0.14599999999999999</v>
      </c>
    </row>
    <row r="2893" spans="3:13" x14ac:dyDescent="0.15">
      <c r="C2893" s="76">
        <v>490</v>
      </c>
      <c r="D2893" s="76">
        <v>1.37E-2</v>
      </c>
      <c r="E2893" s="76">
        <v>2.7900000000000001E-2</v>
      </c>
      <c r="F2893" s="76">
        <v>4.2000000000000003E-2</v>
      </c>
      <c r="G2893" s="76">
        <v>5.5899999999999998E-2</v>
      </c>
      <c r="H2893" s="76">
        <v>6.9800000000000001E-2</v>
      </c>
      <c r="I2893" s="76">
        <v>8.3699999999999997E-2</v>
      </c>
      <c r="J2893" s="76">
        <v>9.7500000000000003E-2</v>
      </c>
      <c r="K2893" s="76">
        <v>0.111</v>
      </c>
      <c r="L2893" s="76">
        <v>0.125</v>
      </c>
      <c r="M2893" s="76">
        <v>0.13800000000000001</v>
      </c>
    </row>
    <row r="2894" spans="3:13" x14ac:dyDescent="0.15">
      <c r="C2894" s="76">
        <v>492</v>
      </c>
      <c r="D2894" s="76">
        <v>1.2800000000000001E-2</v>
      </c>
      <c r="E2894" s="76">
        <v>2.6200000000000001E-2</v>
      </c>
      <c r="F2894" s="76">
        <v>3.9300000000000002E-2</v>
      </c>
      <c r="G2894" s="76">
        <v>5.2400000000000002E-2</v>
      </c>
      <c r="H2894" s="76">
        <v>6.5500000000000003E-2</v>
      </c>
      <c r="I2894" s="76">
        <v>7.85E-2</v>
      </c>
      <c r="J2894" s="76">
        <v>9.1300000000000006E-2</v>
      </c>
      <c r="K2894" s="76">
        <v>0.104</v>
      </c>
      <c r="L2894" s="76">
        <v>0.11700000000000001</v>
      </c>
      <c r="M2894" s="76">
        <v>0.13</v>
      </c>
    </row>
    <row r="2895" spans="3:13" x14ac:dyDescent="0.15">
      <c r="C2895" s="76">
        <v>494</v>
      </c>
      <c r="D2895" s="76">
        <v>1.1900000000000001E-2</v>
      </c>
      <c r="E2895" s="76">
        <v>2.4299999999999999E-2</v>
      </c>
      <c r="F2895" s="76">
        <v>3.6600000000000001E-2</v>
      </c>
      <c r="G2895" s="76">
        <v>4.8800000000000003E-2</v>
      </c>
      <c r="H2895" s="76">
        <v>6.0900000000000003E-2</v>
      </c>
      <c r="I2895" s="76">
        <v>7.2900000000000006E-2</v>
      </c>
      <c r="J2895" s="76">
        <v>8.5000000000000006E-2</v>
      </c>
      <c r="K2895" s="76">
        <v>9.7100000000000006E-2</v>
      </c>
      <c r="L2895" s="76">
        <v>0.109</v>
      </c>
      <c r="M2895" s="76">
        <v>0.12</v>
      </c>
    </row>
    <row r="2896" spans="3:13" x14ac:dyDescent="0.15">
      <c r="C2896" s="76">
        <v>496</v>
      </c>
      <c r="D2896" s="76">
        <v>1.0999999999999999E-2</v>
      </c>
      <c r="E2896" s="76">
        <v>2.2599999999999999E-2</v>
      </c>
      <c r="F2896" s="76">
        <v>3.39E-2</v>
      </c>
      <c r="G2896" s="76">
        <v>4.5199999999999997E-2</v>
      </c>
      <c r="H2896" s="76">
        <v>5.6399999999999999E-2</v>
      </c>
      <c r="I2896" s="76">
        <v>6.7599999999999993E-2</v>
      </c>
      <c r="J2896" s="76">
        <v>7.8700000000000006E-2</v>
      </c>
      <c r="K2896" s="76">
        <v>8.9899999999999994E-2</v>
      </c>
      <c r="L2896" s="76">
        <v>0.10100000000000001</v>
      </c>
      <c r="M2896" s="76">
        <v>0.112</v>
      </c>
    </row>
    <row r="2897" spans="3:13" x14ac:dyDescent="0.15">
      <c r="C2897" s="76">
        <v>498</v>
      </c>
      <c r="D2897" s="76">
        <v>1.01E-2</v>
      </c>
      <c r="E2897" s="76">
        <v>2.07E-2</v>
      </c>
      <c r="F2897" s="76">
        <v>3.1099999999999999E-2</v>
      </c>
      <c r="G2897" s="76">
        <v>4.1500000000000002E-2</v>
      </c>
      <c r="H2897" s="76">
        <v>5.1799999999999999E-2</v>
      </c>
      <c r="I2897" s="76">
        <v>6.2100000000000002E-2</v>
      </c>
      <c r="J2897" s="76">
        <v>7.2300000000000003E-2</v>
      </c>
      <c r="K2897" s="76">
        <v>8.2500000000000004E-2</v>
      </c>
      <c r="L2897" s="76">
        <v>9.2600000000000002E-2</v>
      </c>
      <c r="M2897" s="76">
        <v>0.10199999999999999</v>
      </c>
    </row>
    <row r="2898" spans="3:13" x14ac:dyDescent="0.15">
      <c r="C2898" s="76">
        <v>500</v>
      </c>
      <c r="D2898" s="76">
        <v>9.1900000000000003E-3</v>
      </c>
      <c r="E2898" s="76">
        <v>1.8800000000000001E-2</v>
      </c>
      <c r="F2898" s="76">
        <v>2.8199999999999999E-2</v>
      </c>
      <c r="G2898" s="76">
        <v>3.7699999999999997E-2</v>
      </c>
      <c r="H2898" s="76">
        <v>4.6899999999999997E-2</v>
      </c>
      <c r="I2898" s="76">
        <v>5.6300000000000003E-2</v>
      </c>
      <c r="J2898" s="76">
        <v>6.5500000000000003E-2</v>
      </c>
      <c r="K2898" s="76">
        <v>7.4899999999999994E-2</v>
      </c>
      <c r="L2898" s="76">
        <v>8.4000000000000005E-2</v>
      </c>
      <c r="M2898" s="76">
        <v>9.2899999999999996E-2</v>
      </c>
    </row>
    <row r="2899" spans="3:13" x14ac:dyDescent="0.15">
      <c r="C2899" s="76">
        <v>502</v>
      </c>
      <c r="D2899" s="76">
        <v>8.3000000000000001E-3</v>
      </c>
      <c r="E2899" s="76">
        <v>1.7000000000000001E-2</v>
      </c>
      <c r="F2899" s="76">
        <v>2.5399999999999999E-2</v>
      </c>
      <c r="G2899" s="76">
        <v>3.39E-2</v>
      </c>
      <c r="H2899" s="76">
        <v>4.24E-2</v>
      </c>
      <c r="I2899" s="76">
        <v>5.0900000000000001E-2</v>
      </c>
      <c r="J2899" s="76">
        <v>5.9200000000000003E-2</v>
      </c>
      <c r="K2899" s="76">
        <v>6.7599999999999993E-2</v>
      </c>
      <c r="L2899" s="76">
        <v>7.5899999999999995E-2</v>
      </c>
      <c r="M2899" s="76">
        <v>8.3900000000000002E-2</v>
      </c>
    </row>
    <row r="2900" spans="3:13" x14ac:dyDescent="0.15">
      <c r="C2900" s="76">
        <v>504</v>
      </c>
      <c r="D2900" s="76">
        <v>7.5199999999999998E-3</v>
      </c>
      <c r="E2900" s="76">
        <v>1.54E-2</v>
      </c>
      <c r="F2900" s="76">
        <v>2.3E-2</v>
      </c>
      <c r="G2900" s="76">
        <v>3.0700000000000002E-2</v>
      </c>
      <c r="H2900" s="76">
        <v>3.8399999999999997E-2</v>
      </c>
      <c r="I2900" s="76">
        <v>4.6100000000000002E-2</v>
      </c>
      <c r="J2900" s="76">
        <v>5.3600000000000002E-2</v>
      </c>
      <c r="K2900" s="76">
        <v>6.13E-2</v>
      </c>
      <c r="L2900" s="76">
        <v>6.8699999999999997E-2</v>
      </c>
      <c r="M2900" s="76">
        <v>7.5899999999999995E-2</v>
      </c>
    </row>
    <row r="2901" spans="3:13" x14ac:dyDescent="0.15">
      <c r="C2901" s="76">
        <v>506</v>
      </c>
      <c r="D2901" s="76">
        <v>6.8100000000000001E-3</v>
      </c>
      <c r="E2901" s="76">
        <v>1.3899999999999999E-2</v>
      </c>
      <c r="F2901" s="76">
        <v>2.0899999999999998E-2</v>
      </c>
      <c r="G2901" s="76">
        <v>2.7900000000000001E-2</v>
      </c>
      <c r="H2901" s="76">
        <v>3.4799999999999998E-2</v>
      </c>
      <c r="I2901" s="76">
        <v>4.1700000000000001E-2</v>
      </c>
      <c r="J2901" s="76">
        <v>4.8500000000000001E-2</v>
      </c>
      <c r="K2901" s="76">
        <v>5.5399999999999998E-2</v>
      </c>
      <c r="L2901" s="76">
        <v>6.2199999999999998E-2</v>
      </c>
      <c r="M2901" s="76">
        <v>6.88E-2</v>
      </c>
    </row>
    <row r="2902" spans="3:13" x14ac:dyDescent="0.15">
      <c r="C2902" s="76">
        <v>508</v>
      </c>
      <c r="D2902" s="76">
        <v>6.1700000000000001E-3</v>
      </c>
      <c r="E2902" s="76">
        <v>1.2500000000000001E-2</v>
      </c>
      <c r="F2902" s="76">
        <v>1.89E-2</v>
      </c>
      <c r="G2902" s="76">
        <v>2.52E-2</v>
      </c>
      <c r="H2902" s="76">
        <v>3.15E-2</v>
      </c>
      <c r="I2902" s="76">
        <v>3.78E-2</v>
      </c>
      <c r="J2902" s="76">
        <v>4.3999999999999997E-2</v>
      </c>
      <c r="K2902" s="76">
        <v>5.0200000000000002E-2</v>
      </c>
      <c r="L2902" s="76">
        <v>5.6300000000000003E-2</v>
      </c>
      <c r="M2902" s="76">
        <v>6.2300000000000001E-2</v>
      </c>
    </row>
    <row r="2903" spans="3:13" x14ac:dyDescent="0.15">
      <c r="C2903" s="76">
        <v>510</v>
      </c>
      <c r="D2903" s="76">
        <v>5.6100000000000004E-3</v>
      </c>
      <c r="E2903" s="76">
        <v>1.14E-2</v>
      </c>
      <c r="F2903" s="76">
        <v>1.72E-2</v>
      </c>
      <c r="G2903" s="76">
        <v>2.29E-2</v>
      </c>
      <c r="H2903" s="76">
        <v>2.8500000000000001E-2</v>
      </c>
      <c r="I2903" s="76">
        <v>3.4299999999999997E-2</v>
      </c>
      <c r="J2903" s="76">
        <v>0.04</v>
      </c>
      <c r="K2903" s="76">
        <v>4.5699999999999998E-2</v>
      </c>
      <c r="L2903" s="76">
        <v>5.11E-2</v>
      </c>
      <c r="M2903" s="76">
        <v>5.6599999999999998E-2</v>
      </c>
    </row>
    <row r="2904" spans="3:13" x14ac:dyDescent="0.15">
      <c r="C2904" s="76">
        <v>512</v>
      </c>
      <c r="D2904" s="76">
        <v>5.0499999999999998E-3</v>
      </c>
      <c r="E2904" s="76">
        <v>1.03E-2</v>
      </c>
      <c r="F2904" s="76">
        <v>1.55E-2</v>
      </c>
      <c r="G2904" s="76">
        <v>2.07E-2</v>
      </c>
      <c r="H2904" s="76">
        <v>2.5700000000000001E-2</v>
      </c>
      <c r="I2904" s="76">
        <v>3.1E-2</v>
      </c>
      <c r="J2904" s="76">
        <v>3.5999999999999997E-2</v>
      </c>
      <c r="K2904" s="76">
        <v>4.1200000000000001E-2</v>
      </c>
      <c r="L2904" s="76">
        <v>4.5999999999999999E-2</v>
      </c>
      <c r="M2904" s="76">
        <v>5.11E-2</v>
      </c>
    </row>
    <row r="2905" spans="3:13" x14ac:dyDescent="0.15">
      <c r="C2905" s="76">
        <v>514</v>
      </c>
      <c r="D2905" s="76">
        <v>4.62E-3</v>
      </c>
      <c r="E2905" s="76">
        <v>9.4000000000000004E-3</v>
      </c>
      <c r="F2905" s="76">
        <v>1.41E-2</v>
      </c>
      <c r="G2905" s="76">
        <v>1.89E-2</v>
      </c>
      <c r="H2905" s="76">
        <v>2.35E-2</v>
      </c>
      <c r="I2905" s="76">
        <v>2.8299999999999999E-2</v>
      </c>
      <c r="J2905" s="76">
        <v>3.2800000000000003E-2</v>
      </c>
      <c r="K2905" s="76">
        <v>3.7600000000000001E-2</v>
      </c>
      <c r="L2905" s="76">
        <v>4.2200000000000001E-2</v>
      </c>
      <c r="M2905" s="76">
        <v>4.6600000000000003E-2</v>
      </c>
    </row>
    <row r="2906" spans="3:13" x14ac:dyDescent="0.15">
      <c r="C2906" s="76">
        <v>516</v>
      </c>
      <c r="D2906" s="76">
        <v>4.2500000000000003E-3</v>
      </c>
      <c r="E2906" s="76">
        <v>8.6499999999999997E-3</v>
      </c>
      <c r="F2906" s="76">
        <v>1.2999999999999999E-2</v>
      </c>
      <c r="G2906" s="76">
        <v>1.7299999999999999E-2</v>
      </c>
      <c r="H2906" s="76">
        <v>2.1700000000000001E-2</v>
      </c>
      <c r="I2906" s="76">
        <v>2.5999999999999999E-2</v>
      </c>
      <c r="J2906" s="76">
        <v>3.0200000000000001E-2</v>
      </c>
      <c r="K2906" s="76">
        <v>3.4599999999999999E-2</v>
      </c>
      <c r="L2906" s="76">
        <v>3.8800000000000001E-2</v>
      </c>
      <c r="M2906" s="76">
        <v>4.2900000000000001E-2</v>
      </c>
    </row>
    <row r="2907" spans="3:13" x14ac:dyDescent="0.15">
      <c r="C2907" s="76">
        <v>518</v>
      </c>
      <c r="D2907" s="76">
        <v>3.9199999999999999E-3</v>
      </c>
      <c r="E2907" s="76">
        <v>7.9900000000000006E-3</v>
      </c>
      <c r="F2907" s="76">
        <v>1.2E-2</v>
      </c>
      <c r="G2907" s="76">
        <v>1.6E-2</v>
      </c>
      <c r="H2907" s="76">
        <v>0.02</v>
      </c>
      <c r="I2907" s="76">
        <v>2.4E-2</v>
      </c>
      <c r="J2907" s="76">
        <v>2.7900000000000001E-2</v>
      </c>
      <c r="K2907" s="76">
        <v>3.2000000000000001E-2</v>
      </c>
      <c r="L2907" s="76">
        <v>3.5799999999999998E-2</v>
      </c>
      <c r="M2907" s="76">
        <v>3.9600000000000003E-2</v>
      </c>
    </row>
    <row r="2908" spans="3:13" x14ac:dyDescent="0.15">
      <c r="C2908" s="76">
        <v>520</v>
      </c>
      <c r="D2908" s="76">
        <v>3.63E-3</v>
      </c>
      <c r="E2908" s="76">
        <v>7.4099999999999999E-3</v>
      </c>
      <c r="F2908" s="76">
        <v>1.11E-2</v>
      </c>
      <c r="G2908" s="76">
        <v>1.49E-2</v>
      </c>
      <c r="H2908" s="76">
        <v>1.8499999999999999E-2</v>
      </c>
      <c r="I2908" s="76">
        <v>2.2200000000000001E-2</v>
      </c>
      <c r="J2908" s="76">
        <v>2.5899999999999999E-2</v>
      </c>
      <c r="K2908" s="76">
        <v>2.9600000000000001E-2</v>
      </c>
      <c r="L2908" s="76">
        <v>3.3099999999999997E-2</v>
      </c>
      <c r="M2908" s="76">
        <v>3.6700000000000003E-2</v>
      </c>
    </row>
    <row r="2909" spans="3:13" x14ac:dyDescent="0.15">
      <c r="C2909" s="76">
        <v>522</v>
      </c>
      <c r="D2909" s="76">
        <v>3.3600000000000001E-3</v>
      </c>
      <c r="E2909" s="76">
        <v>6.8500000000000002E-3</v>
      </c>
      <c r="F2909" s="76">
        <v>1.03E-2</v>
      </c>
      <c r="G2909" s="76">
        <v>1.38E-2</v>
      </c>
      <c r="H2909" s="76">
        <v>1.72E-2</v>
      </c>
      <c r="I2909" s="76">
        <v>2.06E-2</v>
      </c>
      <c r="J2909" s="76">
        <v>2.3900000000000001E-2</v>
      </c>
      <c r="K2909" s="76">
        <v>2.7300000000000001E-2</v>
      </c>
      <c r="L2909" s="76">
        <v>3.0599999999999999E-2</v>
      </c>
      <c r="M2909" s="76">
        <v>3.4000000000000002E-2</v>
      </c>
    </row>
    <row r="2910" spans="3:13" x14ac:dyDescent="0.15">
      <c r="C2910" s="76">
        <v>524</v>
      </c>
      <c r="D2910" s="76">
        <v>3.0799999999999998E-3</v>
      </c>
      <c r="E2910" s="76">
        <v>6.2700000000000004E-3</v>
      </c>
      <c r="F2910" s="76">
        <v>9.4299999999999991E-3</v>
      </c>
      <c r="G2910" s="76">
        <v>1.26E-2</v>
      </c>
      <c r="H2910" s="76">
        <v>1.5699999999999999E-2</v>
      </c>
      <c r="I2910" s="76">
        <v>1.89E-2</v>
      </c>
      <c r="J2910" s="76">
        <v>2.1899999999999999E-2</v>
      </c>
      <c r="K2910" s="76">
        <v>2.5000000000000001E-2</v>
      </c>
      <c r="L2910" s="76">
        <v>2.8199999999999999E-2</v>
      </c>
      <c r="M2910" s="76">
        <v>3.1099999999999999E-2</v>
      </c>
    </row>
    <row r="2911" spans="3:13" x14ac:dyDescent="0.15">
      <c r="C2911" s="76">
        <v>526</v>
      </c>
      <c r="D2911" s="76">
        <v>2.8500000000000001E-3</v>
      </c>
      <c r="E2911" s="76">
        <v>5.7999999999999996E-3</v>
      </c>
      <c r="F2911" s="76">
        <v>8.7100000000000007E-3</v>
      </c>
      <c r="G2911" s="76">
        <v>1.1599999999999999E-2</v>
      </c>
      <c r="H2911" s="76">
        <v>1.4500000000000001E-2</v>
      </c>
      <c r="I2911" s="76">
        <v>1.7500000000000002E-2</v>
      </c>
      <c r="J2911" s="76">
        <v>2.0299999999999999E-2</v>
      </c>
      <c r="K2911" s="76">
        <v>2.3199999999999998E-2</v>
      </c>
      <c r="L2911" s="76">
        <v>2.5999999999999999E-2</v>
      </c>
      <c r="M2911" s="76">
        <v>2.8799999999999999E-2</v>
      </c>
    </row>
    <row r="2912" spans="3:13" x14ac:dyDescent="0.15">
      <c r="C2912" s="76">
        <v>528</v>
      </c>
      <c r="D2912" s="76">
        <v>2.63E-3</v>
      </c>
      <c r="E2912" s="76">
        <v>5.3600000000000002E-3</v>
      </c>
      <c r="F2912" s="76">
        <v>8.0599999999999995E-3</v>
      </c>
      <c r="G2912" s="76">
        <v>1.0800000000000001E-2</v>
      </c>
      <c r="H2912" s="76">
        <v>1.34E-2</v>
      </c>
      <c r="I2912" s="76">
        <v>1.61E-2</v>
      </c>
      <c r="J2912" s="76">
        <v>1.8700000000000001E-2</v>
      </c>
      <c r="K2912" s="76">
        <v>2.1399999999999999E-2</v>
      </c>
      <c r="L2912" s="76">
        <v>2.4E-2</v>
      </c>
      <c r="M2912" s="76">
        <v>2.6599999999999999E-2</v>
      </c>
    </row>
    <row r="2913" spans="3:13" x14ac:dyDescent="0.15">
      <c r="C2913" s="76">
        <v>530</v>
      </c>
      <c r="D2913" s="76">
        <v>2.4199999999999998E-3</v>
      </c>
      <c r="E2913" s="76">
        <v>4.9300000000000004E-3</v>
      </c>
      <c r="F2913" s="76">
        <v>7.4099999999999999E-3</v>
      </c>
      <c r="G2913" s="76">
        <v>9.9299999999999996E-3</v>
      </c>
      <c r="H2913" s="76">
        <v>1.24E-2</v>
      </c>
      <c r="I2913" s="76">
        <v>1.4800000000000001E-2</v>
      </c>
      <c r="J2913" s="76">
        <v>1.7299999999999999E-2</v>
      </c>
      <c r="K2913" s="76">
        <v>1.9699999999999999E-2</v>
      </c>
      <c r="L2913" s="76">
        <v>2.2100000000000002E-2</v>
      </c>
      <c r="M2913" s="76">
        <v>2.4500000000000001E-2</v>
      </c>
    </row>
    <row r="2914" spans="3:13" x14ac:dyDescent="0.15">
      <c r="C2914" s="76">
        <v>532</v>
      </c>
      <c r="D2914" s="76">
        <v>2.2100000000000002E-3</v>
      </c>
      <c r="E2914" s="76">
        <v>4.5100000000000001E-3</v>
      </c>
      <c r="F2914" s="76">
        <v>6.7999999999999996E-3</v>
      </c>
      <c r="G2914" s="76">
        <v>9.11E-3</v>
      </c>
      <c r="H2914" s="76">
        <v>1.1299999999999999E-2</v>
      </c>
      <c r="I2914" s="76">
        <v>1.3599999999999999E-2</v>
      </c>
      <c r="J2914" s="76">
        <v>1.5800000000000002E-2</v>
      </c>
      <c r="K2914" s="76">
        <v>1.7999999999999999E-2</v>
      </c>
      <c r="L2914" s="76">
        <v>2.0199999999999999E-2</v>
      </c>
      <c r="M2914" s="76">
        <v>2.2499999999999999E-2</v>
      </c>
    </row>
    <row r="2915" spans="3:13" x14ac:dyDescent="0.15">
      <c r="C2915" s="76">
        <v>534</v>
      </c>
      <c r="D2915" s="76">
        <v>2.0300000000000001E-3</v>
      </c>
      <c r="E2915" s="76">
        <v>4.1200000000000004E-3</v>
      </c>
      <c r="F2915" s="76">
        <v>6.2300000000000003E-3</v>
      </c>
      <c r="G2915" s="76">
        <v>8.3000000000000001E-3</v>
      </c>
      <c r="H2915" s="76">
        <v>1.03E-2</v>
      </c>
      <c r="I2915" s="76">
        <v>1.24E-2</v>
      </c>
      <c r="J2915" s="76">
        <v>1.44E-2</v>
      </c>
      <c r="K2915" s="76">
        <v>1.6400000000000001E-2</v>
      </c>
      <c r="L2915" s="76">
        <v>1.84E-2</v>
      </c>
      <c r="M2915" s="76">
        <v>2.0500000000000001E-2</v>
      </c>
    </row>
    <row r="2916" spans="3:13" x14ac:dyDescent="0.15">
      <c r="C2916" s="76">
        <v>536</v>
      </c>
      <c r="D2916" s="76">
        <v>1.82E-3</v>
      </c>
      <c r="E2916" s="76">
        <v>3.7100000000000002E-3</v>
      </c>
      <c r="F2916" s="76">
        <v>5.5599999999999998E-3</v>
      </c>
      <c r="G2916" s="76">
        <v>7.4999999999999997E-3</v>
      </c>
      <c r="H2916" s="76">
        <v>9.2899999999999996E-3</v>
      </c>
      <c r="I2916" s="76">
        <v>1.11E-2</v>
      </c>
      <c r="J2916" s="76">
        <v>1.2999999999999999E-2</v>
      </c>
      <c r="K2916" s="76">
        <v>1.47E-2</v>
      </c>
      <c r="L2916" s="76">
        <v>1.66E-2</v>
      </c>
      <c r="M2916" s="76">
        <v>1.8499999999999999E-2</v>
      </c>
    </row>
    <row r="2917" spans="3:13" x14ac:dyDescent="0.15">
      <c r="C2917" s="76">
        <v>538</v>
      </c>
      <c r="D2917" s="76">
        <v>1.66E-3</v>
      </c>
      <c r="E2917" s="76">
        <v>3.3899999999999998E-3</v>
      </c>
      <c r="F2917" s="76">
        <v>5.0699999999999999E-3</v>
      </c>
      <c r="G2917" s="76">
        <v>6.8100000000000001E-3</v>
      </c>
      <c r="H2917" s="76">
        <v>8.4799999999999997E-3</v>
      </c>
      <c r="I2917" s="76">
        <v>1.0200000000000001E-2</v>
      </c>
      <c r="J2917" s="76">
        <v>1.18E-2</v>
      </c>
      <c r="K2917" s="76">
        <v>1.34E-2</v>
      </c>
      <c r="L2917" s="76">
        <v>1.5100000000000001E-2</v>
      </c>
      <c r="M2917" s="76">
        <v>1.6799999999999999E-2</v>
      </c>
    </row>
    <row r="2918" spans="3:13" x14ac:dyDescent="0.15">
      <c r="C2918" s="76">
        <v>540</v>
      </c>
      <c r="D2918" s="76">
        <v>1.5E-3</v>
      </c>
      <c r="E2918" s="76">
        <v>3.0699999999999998E-3</v>
      </c>
      <c r="F2918" s="76">
        <v>4.62E-3</v>
      </c>
      <c r="G2918" s="76">
        <v>6.1900000000000002E-3</v>
      </c>
      <c r="H2918" s="76">
        <v>7.6899999999999998E-3</v>
      </c>
      <c r="I2918" s="76">
        <v>9.2099999999999994E-3</v>
      </c>
      <c r="J2918" s="76">
        <v>1.0699999999999999E-2</v>
      </c>
      <c r="K2918" s="76">
        <v>1.21E-2</v>
      </c>
      <c r="L2918" s="76">
        <v>1.38E-2</v>
      </c>
      <c r="M2918" s="76">
        <v>1.52E-2</v>
      </c>
    </row>
    <row r="2919" spans="3:13" x14ac:dyDescent="0.15">
      <c r="C2919" s="76">
        <v>542</v>
      </c>
      <c r="D2919" s="76">
        <v>1.3699999999999999E-3</v>
      </c>
      <c r="E2919" s="76">
        <v>2.7899999999999999E-3</v>
      </c>
      <c r="F2919" s="76">
        <v>4.1999999999999997E-3</v>
      </c>
      <c r="G2919" s="76">
        <v>5.6299999999999996E-3</v>
      </c>
      <c r="H2919" s="76">
        <v>7.0299999999999998E-3</v>
      </c>
      <c r="I2919" s="76">
        <v>8.3499999999999998E-3</v>
      </c>
      <c r="J2919" s="76">
        <v>9.7599999999999996E-3</v>
      </c>
      <c r="K2919" s="76">
        <v>1.0999999999999999E-2</v>
      </c>
      <c r="L2919" s="76">
        <v>1.2500000000000001E-2</v>
      </c>
      <c r="M2919" s="76">
        <v>1.3899999999999999E-2</v>
      </c>
    </row>
    <row r="2920" spans="3:13" x14ac:dyDescent="0.15">
      <c r="C2920" s="76">
        <v>544</v>
      </c>
      <c r="D2920" s="76">
        <v>1.25E-3</v>
      </c>
      <c r="E2920" s="76">
        <v>2.5500000000000002E-3</v>
      </c>
      <c r="F2920" s="76">
        <v>3.82E-3</v>
      </c>
      <c r="G2920" s="76">
        <v>5.13E-3</v>
      </c>
      <c r="H2920" s="76">
        <v>6.3899999999999998E-3</v>
      </c>
      <c r="I2920" s="76">
        <v>7.5900000000000004E-3</v>
      </c>
      <c r="J2920" s="76">
        <v>8.8900000000000003E-3</v>
      </c>
      <c r="K2920" s="76">
        <v>1.01E-2</v>
      </c>
      <c r="L2920" s="76">
        <v>1.14E-2</v>
      </c>
      <c r="M2920" s="76">
        <v>1.26E-2</v>
      </c>
    </row>
    <row r="2921" spans="3:13" x14ac:dyDescent="0.15">
      <c r="C2921" s="76">
        <v>546</v>
      </c>
      <c r="D2921" s="76">
        <v>1.1199999999999999E-3</v>
      </c>
      <c r="E2921" s="76">
        <v>2.31E-3</v>
      </c>
      <c r="F2921" s="76">
        <v>3.47E-3</v>
      </c>
      <c r="G2921" s="76">
        <v>4.62E-3</v>
      </c>
      <c r="H2921" s="76">
        <v>5.7600000000000004E-3</v>
      </c>
      <c r="I2921" s="76">
        <v>6.8900000000000003E-3</v>
      </c>
      <c r="J2921" s="76">
        <v>8.0000000000000002E-3</v>
      </c>
      <c r="K2921" s="76">
        <v>9.0100000000000006E-3</v>
      </c>
      <c r="L2921" s="76">
        <v>1.03E-2</v>
      </c>
      <c r="M2921" s="76">
        <v>1.14E-2</v>
      </c>
    </row>
    <row r="2922" spans="3:13" x14ac:dyDescent="0.15">
      <c r="C2922" s="76">
        <v>548</v>
      </c>
      <c r="D2922" s="76">
        <v>1.01E-3</v>
      </c>
      <c r="E2922" s="76">
        <v>2.0899999999999998E-3</v>
      </c>
      <c r="F2922" s="76">
        <v>3.13E-3</v>
      </c>
      <c r="G2922" s="76">
        <v>4.1900000000000001E-3</v>
      </c>
      <c r="H2922" s="76">
        <v>5.2300000000000003E-3</v>
      </c>
      <c r="I2922" s="76">
        <v>6.2500000000000003E-3</v>
      </c>
      <c r="J2922" s="76">
        <v>7.2300000000000003E-3</v>
      </c>
      <c r="K2922" s="76">
        <v>8.2100000000000003E-3</v>
      </c>
      <c r="L2922" s="76">
        <v>9.3100000000000006E-3</v>
      </c>
      <c r="M2922" s="76">
        <v>1.03E-2</v>
      </c>
    </row>
    <row r="2923" spans="3:13" x14ac:dyDescent="0.15">
      <c r="C2923" s="76">
        <v>550</v>
      </c>
      <c r="D2923" s="76">
        <v>9.2800000000000001E-4</v>
      </c>
      <c r="E2923" s="76">
        <v>1.91E-3</v>
      </c>
      <c r="F2923" s="76">
        <v>2.8500000000000001E-3</v>
      </c>
      <c r="G2923" s="76">
        <v>3.81E-3</v>
      </c>
      <c r="H2923" s="76">
        <v>4.7699999999999999E-3</v>
      </c>
      <c r="I2923" s="76">
        <v>5.7000000000000002E-3</v>
      </c>
      <c r="J2923" s="76">
        <v>6.6299999999999996E-3</v>
      </c>
      <c r="K2923" s="76">
        <v>7.5199999999999998E-3</v>
      </c>
      <c r="L2923" s="76">
        <v>8.5100000000000002E-3</v>
      </c>
      <c r="M2923" s="76">
        <v>9.41E-3</v>
      </c>
    </row>
    <row r="2924" spans="3:13" x14ac:dyDescent="0.15">
      <c r="C2924" s="76">
        <v>552</v>
      </c>
      <c r="D2924" s="76">
        <v>8.4500000000000005E-4</v>
      </c>
      <c r="E2924" s="76">
        <v>1.75E-3</v>
      </c>
      <c r="F2924" s="76">
        <v>2.5899999999999999E-3</v>
      </c>
      <c r="G2924" s="76">
        <v>3.47E-3</v>
      </c>
      <c r="H2924" s="76">
        <v>4.3499999999999997E-3</v>
      </c>
      <c r="I2924" s="76">
        <v>5.1799999999999997E-3</v>
      </c>
      <c r="J2924" s="76">
        <v>6.0499999999999998E-3</v>
      </c>
      <c r="K2924" s="76">
        <v>6.8100000000000001E-3</v>
      </c>
      <c r="L2924" s="76">
        <v>7.7299999999999999E-3</v>
      </c>
      <c r="M2924" s="76">
        <v>8.5699999999999995E-3</v>
      </c>
    </row>
    <row r="2925" spans="3:13" x14ac:dyDescent="0.15">
      <c r="C2925" s="76">
        <v>554</v>
      </c>
      <c r="D2925" s="76">
        <v>7.6900000000000004E-4</v>
      </c>
      <c r="E2925" s="76">
        <v>1.58E-3</v>
      </c>
      <c r="F2925" s="76">
        <v>2.3600000000000001E-3</v>
      </c>
      <c r="G2925" s="76">
        <v>3.1800000000000001E-3</v>
      </c>
      <c r="H2925" s="76">
        <v>3.9699999999999996E-3</v>
      </c>
      <c r="I2925" s="76">
        <v>4.7099999999999998E-3</v>
      </c>
      <c r="J2925" s="76">
        <v>5.4900000000000001E-3</v>
      </c>
      <c r="K2925" s="76">
        <v>6.2100000000000002E-3</v>
      </c>
      <c r="L2925" s="76">
        <v>7.0499999999999998E-3</v>
      </c>
      <c r="M2925" s="76">
        <v>7.8100000000000001E-3</v>
      </c>
    </row>
    <row r="2926" spans="3:13" x14ac:dyDescent="0.15">
      <c r="C2926" s="76">
        <v>556</v>
      </c>
      <c r="D2926" s="76">
        <v>7.0799999999999997E-4</v>
      </c>
      <c r="E2926" s="76">
        <v>1.4400000000000001E-3</v>
      </c>
      <c r="F2926" s="76">
        <v>2.1800000000000001E-3</v>
      </c>
      <c r="G2926" s="76">
        <v>2.8900000000000002E-3</v>
      </c>
      <c r="H2926" s="76">
        <v>3.5899999999999999E-3</v>
      </c>
      <c r="I2926" s="76">
        <v>4.3200000000000001E-3</v>
      </c>
      <c r="J2926" s="76">
        <v>5.0000000000000001E-3</v>
      </c>
      <c r="K2926" s="76">
        <v>5.62E-3</v>
      </c>
      <c r="L2926" s="76">
        <v>6.5199999999999998E-3</v>
      </c>
      <c r="M2926" s="76">
        <v>7.1599999999999997E-3</v>
      </c>
    </row>
    <row r="2927" spans="3:13" x14ac:dyDescent="0.15">
      <c r="C2927" s="76">
        <v>558</v>
      </c>
      <c r="D2927" s="76">
        <v>6.3900000000000003E-4</v>
      </c>
      <c r="E2927" s="76">
        <v>1.2999999999999999E-3</v>
      </c>
      <c r="F2927" s="76">
        <v>1.9599999999999999E-3</v>
      </c>
      <c r="G2927" s="76">
        <v>2.63E-3</v>
      </c>
      <c r="H2927" s="76">
        <v>3.2599999999999999E-3</v>
      </c>
      <c r="I2927" s="76">
        <v>3.8999999999999998E-3</v>
      </c>
      <c r="J2927" s="76">
        <v>4.5900000000000003E-3</v>
      </c>
      <c r="K2927" s="76">
        <v>5.1399999999999996E-3</v>
      </c>
      <c r="L2927" s="76">
        <v>5.8599999999999998E-3</v>
      </c>
      <c r="M2927" s="76">
        <v>6.4599999999999996E-3</v>
      </c>
    </row>
    <row r="2928" spans="3:13" x14ac:dyDescent="0.15">
      <c r="C2928" s="76">
        <v>560</v>
      </c>
      <c r="D2928" s="76">
        <v>5.8E-4</v>
      </c>
      <c r="E2928" s="76">
        <v>1.1999999999999999E-3</v>
      </c>
      <c r="F2928" s="76">
        <v>1.8E-3</v>
      </c>
      <c r="G2928" s="76">
        <v>2.3999999999999998E-3</v>
      </c>
      <c r="H2928" s="76">
        <v>3.0100000000000001E-3</v>
      </c>
      <c r="I2928" s="76">
        <v>3.5599999999999998E-3</v>
      </c>
      <c r="J2928" s="76">
        <v>4.13E-3</v>
      </c>
      <c r="K2928" s="76">
        <v>4.6600000000000001E-3</v>
      </c>
      <c r="L2928" s="76">
        <v>5.3499999999999997E-3</v>
      </c>
      <c r="M2928" s="76">
        <v>5.8700000000000002E-3</v>
      </c>
    </row>
    <row r="2929" spans="3:13" x14ac:dyDescent="0.15">
      <c r="C2929" s="76">
        <v>562</v>
      </c>
      <c r="D2929" s="76">
        <v>5.3600000000000002E-4</v>
      </c>
      <c r="E2929" s="76">
        <v>1.1000000000000001E-3</v>
      </c>
      <c r="F2929" s="76">
        <v>1.66E-3</v>
      </c>
      <c r="G2929" s="76">
        <v>2.2100000000000002E-3</v>
      </c>
      <c r="H2929" s="76">
        <v>2.7599999999999999E-3</v>
      </c>
      <c r="I2929" s="76">
        <v>3.2599999999999999E-3</v>
      </c>
      <c r="J2929" s="76">
        <v>3.79E-3</v>
      </c>
      <c r="K2929" s="76">
        <v>4.2700000000000004E-3</v>
      </c>
      <c r="L2929" s="76">
        <v>4.9899999999999996E-3</v>
      </c>
      <c r="M2929" s="76">
        <v>5.3899999999999998E-3</v>
      </c>
    </row>
    <row r="2930" spans="3:13" x14ac:dyDescent="0.15">
      <c r="C2930" s="76">
        <v>564</v>
      </c>
      <c r="D2930" s="76">
        <v>4.9200000000000003E-4</v>
      </c>
      <c r="E2930" s="76">
        <v>1.01E-3</v>
      </c>
      <c r="F2930" s="76">
        <v>1.5200000000000001E-3</v>
      </c>
      <c r="G2930" s="76">
        <v>2.0200000000000001E-3</v>
      </c>
      <c r="H2930" s="76">
        <v>2.5200000000000001E-3</v>
      </c>
      <c r="I2930" s="76">
        <v>3.0200000000000001E-3</v>
      </c>
      <c r="J2930" s="76">
        <v>3.5000000000000001E-3</v>
      </c>
      <c r="K2930" s="76">
        <v>3.9100000000000003E-3</v>
      </c>
      <c r="L2930" s="76">
        <v>4.5399999999999998E-3</v>
      </c>
      <c r="M2930" s="76">
        <v>4.9500000000000004E-3</v>
      </c>
    </row>
    <row r="2931" spans="3:13" x14ac:dyDescent="0.15">
      <c r="C2931" s="76">
        <v>566</v>
      </c>
      <c r="D2931" s="76">
        <v>4.5300000000000001E-4</v>
      </c>
      <c r="E2931" s="76">
        <v>9.4300000000000004E-4</v>
      </c>
      <c r="F2931" s="76">
        <v>1.39E-3</v>
      </c>
      <c r="G2931" s="76">
        <v>1.8400000000000001E-3</v>
      </c>
      <c r="H2931" s="76">
        <v>2.3400000000000001E-3</v>
      </c>
      <c r="I2931" s="76">
        <v>2.8E-3</v>
      </c>
      <c r="J2931" s="76">
        <v>3.2599999999999999E-3</v>
      </c>
      <c r="K2931" s="76">
        <v>3.64E-3</v>
      </c>
      <c r="L2931" s="76">
        <v>4.15E-3</v>
      </c>
      <c r="M2931" s="76">
        <v>4.5700000000000003E-3</v>
      </c>
    </row>
    <row r="2932" spans="3:13" x14ac:dyDescent="0.15">
      <c r="C2932" s="76">
        <v>568</v>
      </c>
      <c r="D2932" s="76">
        <v>4.1100000000000002E-4</v>
      </c>
      <c r="E2932" s="76">
        <v>8.7000000000000001E-4</v>
      </c>
      <c r="F2932" s="76">
        <v>1.2700000000000001E-3</v>
      </c>
      <c r="G2932" s="76">
        <v>1.7099999999999999E-3</v>
      </c>
      <c r="H2932" s="76">
        <v>2.15E-3</v>
      </c>
      <c r="I2932" s="76">
        <v>2.5699999999999998E-3</v>
      </c>
      <c r="J2932" s="76">
        <v>2.96E-3</v>
      </c>
      <c r="K2932" s="76">
        <v>3.3400000000000001E-3</v>
      </c>
      <c r="L2932" s="76">
        <v>3.8800000000000002E-3</v>
      </c>
      <c r="M2932" s="76">
        <v>4.1999999999999997E-3</v>
      </c>
    </row>
    <row r="2933" spans="3:13" x14ac:dyDescent="0.15">
      <c r="C2933" s="76">
        <v>570</v>
      </c>
      <c r="D2933" s="76">
        <v>3.8299999999999999E-4</v>
      </c>
      <c r="E2933" s="76">
        <v>8.0199999999999998E-4</v>
      </c>
      <c r="F2933" s="76">
        <v>1.1999999999999999E-3</v>
      </c>
      <c r="G2933" s="76">
        <v>1.5499999999999999E-3</v>
      </c>
      <c r="H2933" s="76">
        <v>1.99E-3</v>
      </c>
      <c r="I2933" s="76">
        <v>2.3600000000000001E-3</v>
      </c>
      <c r="J2933" s="76">
        <v>2.7599999999999999E-3</v>
      </c>
      <c r="K2933" s="76">
        <v>3.0999999999999999E-3</v>
      </c>
      <c r="L2933" s="76">
        <v>3.5799999999999998E-3</v>
      </c>
      <c r="M2933" s="76">
        <v>3.9199999999999999E-3</v>
      </c>
    </row>
    <row r="2934" spans="3:13" x14ac:dyDescent="0.15">
      <c r="C2934" s="76">
        <v>572</v>
      </c>
      <c r="D2934" s="76">
        <v>3.5599999999999998E-4</v>
      </c>
      <c r="E2934" s="76">
        <v>7.4299999999999995E-4</v>
      </c>
      <c r="F2934" s="76">
        <v>1.1100000000000001E-3</v>
      </c>
      <c r="G2934" s="76">
        <v>1.47E-3</v>
      </c>
      <c r="H2934" s="76">
        <v>1.8699999999999999E-3</v>
      </c>
      <c r="I2934" s="76">
        <v>2.2000000000000001E-3</v>
      </c>
      <c r="J2934" s="76">
        <v>2.5799999999999998E-3</v>
      </c>
      <c r="K2934" s="76">
        <v>2.9099999999999998E-3</v>
      </c>
      <c r="L2934" s="76">
        <v>3.3400000000000001E-3</v>
      </c>
      <c r="M2934" s="76">
        <v>3.64E-3</v>
      </c>
    </row>
    <row r="2935" spans="3:13" x14ac:dyDescent="0.15">
      <c r="C2935" s="76">
        <v>574</v>
      </c>
      <c r="D2935" s="76">
        <v>3.3500000000000001E-4</v>
      </c>
      <c r="E2935" s="76">
        <v>7.1100000000000004E-4</v>
      </c>
      <c r="F2935" s="76">
        <v>1.0300000000000001E-3</v>
      </c>
      <c r="G2935" s="76">
        <v>1.3799999999999999E-3</v>
      </c>
      <c r="H2935" s="76">
        <v>1.73E-3</v>
      </c>
      <c r="I2935" s="76">
        <v>2.0400000000000001E-3</v>
      </c>
      <c r="J2935" s="76">
        <v>2.3900000000000002E-3</v>
      </c>
      <c r="K2935" s="76">
        <v>2.7299999999999998E-3</v>
      </c>
      <c r="L2935" s="76">
        <v>3.1199999999999999E-3</v>
      </c>
      <c r="M2935" s="76">
        <v>3.3600000000000001E-3</v>
      </c>
    </row>
    <row r="2936" spans="3:13" x14ac:dyDescent="0.15">
      <c r="C2936" s="76">
        <v>576</v>
      </c>
      <c r="D2936" s="76">
        <v>3.0800000000000001E-4</v>
      </c>
      <c r="E2936" s="76">
        <v>6.5600000000000001E-4</v>
      </c>
      <c r="F2936" s="76">
        <v>9.1100000000000003E-4</v>
      </c>
      <c r="G2936" s="76">
        <v>1.2700000000000001E-3</v>
      </c>
      <c r="H2936" s="76">
        <v>1.6000000000000001E-3</v>
      </c>
      <c r="I2936" s="76">
        <v>1.89E-3</v>
      </c>
      <c r="J2936" s="76">
        <v>2.2300000000000002E-3</v>
      </c>
      <c r="K2936" s="76">
        <v>2.5500000000000002E-3</v>
      </c>
      <c r="L2936" s="76">
        <v>2.8999999999999998E-3</v>
      </c>
      <c r="M2936" s="76">
        <v>3.0799999999999998E-3</v>
      </c>
    </row>
    <row r="2937" spans="3:13" x14ac:dyDescent="0.15">
      <c r="C2937" s="76">
        <v>578</v>
      </c>
      <c r="D2937" s="76">
        <v>2.8800000000000001E-4</v>
      </c>
      <c r="E2937" s="76">
        <v>5.9900000000000003E-4</v>
      </c>
      <c r="F2937" s="76">
        <v>8.7100000000000003E-4</v>
      </c>
      <c r="G2937" s="76">
        <v>1.17E-3</v>
      </c>
      <c r="H2937" s="76">
        <v>1.4599999999999999E-3</v>
      </c>
      <c r="I2937" s="76">
        <v>1.7600000000000001E-3</v>
      </c>
      <c r="J2937" s="76">
        <v>2.0400000000000001E-3</v>
      </c>
      <c r="K2937" s="76">
        <v>2.3500000000000001E-3</v>
      </c>
      <c r="L2937" s="76">
        <v>2.49E-3</v>
      </c>
      <c r="M2937" s="76">
        <v>2.8600000000000001E-3</v>
      </c>
    </row>
    <row r="2938" spans="3:13" x14ac:dyDescent="0.15">
      <c r="C2938" s="76">
        <v>580</v>
      </c>
      <c r="D2938" s="76">
        <v>2.6400000000000002E-4</v>
      </c>
      <c r="E2938" s="76">
        <v>5.6300000000000002E-4</v>
      </c>
      <c r="F2938" s="76">
        <v>8.1700000000000002E-4</v>
      </c>
      <c r="G2938" s="76">
        <v>1.08E-3</v>
      </c>
      <c r="H2938" s="76">
        <v>1.33E-3</v>
      </c>
      <c r="I2938" s="76">
        <v>1.65E-3</v>
      </c>
      <c r="J2938" s="76">
        <v>1.9E-3</v>
      </c>
      <c r="K2938" s="76">
        <v>2.15E-3</v>
      </c>
      <c r="L2938" s="76">
        <v>2.48E-3</v>
      </c>
      <c r="M2938" s="76">
        <v>2.6700000000000001E-3</v>
      </c>
    </row>
    <row r="2939" spans="3:13" x14ac:dyDescent="0.15">
      <c r="C2939" s="76">
        <v>582</v>
      </c>
      <c r="D2939" s="76">
        <v>2.42E-4</v>
      </c>
      <c r="E2939" s="76">
        <v>5.1400000000000003E-4</v>
      </c>
      <c r="F2939" s="76">
        <v>7.5000000000000002E-4</v>
      </c>
      <c r="G2939" s="76">
        <v>9.7799999999999992E-4</v>
      </c>
      <c r="H2939" s="76">
        <v>1.23E-3</v>
      </c>
      <c r="I2939" s="76">
        <v>1.5E-3</v>
      </c>
      <c r="J2939" s="76">
        <v>1.74E-3</v>
      </c>
      <c r="K2939" s="76">
        <v>1.99E-3</v>
      </c>
      <c r="L2939" s="76">
        <v>2.32E-3</v>
      </c>
      <c r="M2939" s="76">
        <v>2.4499999999999999E-3</v>
      </c>
    </row>
    <row r="2940" spans="3:13" x14ac:dyDescent="0.15">
      <c r="C2940" s="76">
        <v>584</v>
      </c>
      <c r="D2940" s="76">
        <v>2.2699999999999999E-4</v>
      </c>
      <c r="E2940" s="76">
        <v>4.7600000000000002E-4</v>
      </c>
      <c r="F2940" s="76">
        <v>7.1599999999999995E-4</v>
      </c>
      <c r="G2940" s="76">
        <v>9.3599999999999998E-4</v>
      </c>
      <c r="H2940" s="76">
        <v>1.1199999999999999E-3</v>
      </c>
      <c r="I2940" s="76">
        <v>1.39E-3</v>
      </c>
      <c r="J2940" s="76">
        <v>1.5900000000000001E-3</v>
      </c>
      <c r="K2940" s="76">
        <v>1.8600000000000001E-3</v>
      </c>
      <c r="L2940" s="76">
        <v>2.14E-3</v>
      </c>
      <c r="M2940" s="76">
        <v>2.2799999999999999E-3</v>
      </c>
    </row>
    <row r="2941" spans="3:13" x14ac:dyDescent="0.15">
      <c r="C2941" s="76">
        <v>586</v>
      </c>
      <c r="D2941" s="76">
        <v>2.0900000000000001E-4</v>
      </c>
      <c r="E2941" s="76">
        <v>4.4900000000000002E-4</v>
      </c>
      <c r="F2941" s="76">
        <v>6.5200000000000002E-4</v>
      </c>
      <c r="G2941" s="76">
        <v>8.1400000000000005E-4</v>
      </c>
      <c r="H2941" s="76">
        <v>1.0300000000000001E-3</v>
      </c>
      <c r="I2941" s="76">
        <v>1.24E-3</v>
      </c>
      <c r="J2941" s="76">
        <v>1.4499999999999999E-3</v>
      </c>
      <c r="K2941" s="76">
        <v>1.67E-3</v>
      </c>
      <c r="L2941" s="76">
        <v>2.0600000000000002E-3</v>
      </c>
      <c r="M2941" s="76">
        <v>2.0400000000000001E-3</v>
      </c>
    </row>
    <row r="2942" spans="3:13" x14ac:dyDescent="0.15">
      <c r="C2942" s="76">
        <v>588</v>
      </c>
      <c r="D2942" s="76">
        <v>1.9100000000000001E-4</v>
      </c>
      <c r="E2942" s="76">
        <v>3.9500000000000001E-4</v>
      </c>
      <c r="F2942" s="76">
        <v>5.8900000000000001E-4</v>
      </c>
      <c r="G2942" s="76">
        <v>7.5000000000000002E-4</v>
      </c>
      <c r="H2942" s="76">
        <v>9.6100000000000005E-4</v>
      </c>
      <c r="I2942" s="76">
        <v>1.1000000000000001E-3</v>
      </c>
      <c r="J2942" s="76">
        <v>1.32E-3</v>
      </c>
      <c r="K2942" s="76">
        <v>1.6199999999999999E-3</v>
      </c>
      <c r="L2942" s="76">
        <v>1.7799999999999999E-3</v>
      </c>
      <c r="M2942" s="76">
        <v>1.8799999999999999E-3</v>
      </c>
    </row>
    <row r="2943" spans="3:13" x14ac:dyDescent="0.15">
      <c r="C2943" s="76">
        <v>590</v>
      </c>
      <c r="D2943" s="76">
        <v>1.8799999999999999E-4</v>
      </c>
      <c r="E2943" s="76">
        <v>3.4699999999999998E-4</v>
      </c>
      <c r="F2943" s="76">
        <v>5.62E-4</v>
      </c>
      <c r="G2943" s="76">
        <v>6.9300000000000004E-4</v>
      </c>
      <c r="H2943" s="76">
        <v>8.3799999999999999E-4</v>
      </c>
      <c r="I2943" s="76">
        <v>1.06E-3</v>
      </c>
      <c r="J2943" s="76">
        <v>1.2099999999999999E-3</v>
      </c>
      <c r="K2943" s="76">
        <v>1.39E-3</v>
      </c>
      <c r="L2943" s="76">
        <v>1.56E-3</v>
      </c>
      <c r="M2943" s="76">
        <v>1.72E-3</v>
      </c>
    </row>
    <row r="2944" spans="3:13" x14ac:dyDescent="0.15">
      <c r="C2944" s="76">
        <v>592</v>
      </c>
      <c r="D2944" s="76">
        <v>1.75E-4</v>
      </c>
      <c r="E2944" s="76">
        <v>3.4600000000000001E-4</v>
      </c>
      <c r="F2944" s="76">
        <v>5.3300000000000005E-4</v>
      </c>
      <c r="G2944" s="76">
        <v>6.29E-4</v>
      </c>
      <c r="H2944" s="76">
        <v>7.7399999999999995E-4</v>
      </c>
      <c r="I2944" s="76">
        <v>1.0200000000000001E-3</v>
      </c>
      <c r="J2944" s="76">
        <v>1.1800000000000001E-3</v>
      </c>
      <c r="K2944" s="76">
        <v>1.2800000000000001E-3</v>
      </c>
      <c r="L2944" s="76">
        <v>1.47E-3</v>
      </c>
      <c r="M2944" s="76">
        <v>1.6100000000000001E-3</v>
      </c>
    </row>
    <row r="2945" spans="3:13" x14ac:dyDescent="0.15">
      <c r="C2945" s="76">
        <v>594</v>
      </c>
      <c r="D2945" s="76">
        <v>1.5899999999999999E-4</v>
      </c>
      <c r="E2945" s="76">
        <v>3.3E-4</v>
      </c>
      <c r="F2945" s="76">
        <v>4.9200000000000003E-4</v>
      </c>
      <c r="G2945" s="76">
        <v>5.6999999999999998E-4</v>
      </c>
      <c r="H2945" s="76">
        <v>7.3200000000000001E-4</v>
      </c>
      <c r="I2945" s="76">
        <v>8.4900000000000004E-4</v>
      </c>
      <c r="J2945" s="76">
        <v>1.06E-3</v>
      </c>
      <c r="K2945" s="76">
        <v>1.17E-3</v>
      </c>
      <c r="L2945" s="76">
        <v>1.2999999999999999E-3</v>
      </c>
      <c r="M2945" s="76">
        <v>1.49E-3</v>
      </c>
    </row>
    <row r="2946" spans="3:13" x14ac:dyDescent="0.15">
      <c r="C2946" s="76">
        <v>596</v>
      </c>
      <c r="D2946" s="76">
        <v>1.4899999999999999E-4</v>
      </c>
      <c r="E2946" s="76">
        <v>2.63E-4</v>
      </c>
      <c r="F2946" s="76">
        <v>4.4799999999999999E-4</v>
      </c>
      <c r="G2946" s="76">
        <v>4.95E-4</v>
      </c>
      <c r="H2946" s="76">
        <v>6.5700000000000003E-4</v>
      </c>
      <c r="I2946" s="76">
        <v>8.3000000000000001E-4</v>
      </c>
      <c r="J2946" s="76">
        <v>9.2000000000000003E-4</v>
      </c>
      <c r="K2946" s="76">
        <v>1.07E-3</v>
      </c>
      <c r="L2946" s="76">
        <v>1.2199999999999999E-3</v>
      </c>
      <c r="M2946" s="76">
        <v>1.3500000000000001E-3</v>
      </c>
    </row>
    <row r="2947" spans="3:13" x14ac:dyDescent="0.15">
      <c r="C2947" s="76">
        <v>598</v>
      </c>
      <c r="D2947" s="76">
        <v>1.37E-4</v>
      </c>
      <c r="E2947" s="76">
        <v>2.5799999999999998E-4</v>
      </c>
      <c r="F2947" s="76">
        <v>4.15E-4</v>
      </c>
      <c r="G2947" s="76">
        <v>4.4299999999999998E-4</v>
      </c>
      <c r="H2947" s="76">
        <v>6.3199999999999997E-4</v>
      </c>
      <c r="I2947" s="76">
        <v>7.2099999999999996E-4</v>
      </c>
      <c r="J2947" s="76">
        <v>8.6399999999999997E-4</v>
      </c>
      <c r="K2947" s="76">
        <v>1.01E-3</v>
      </c>
      <c r="L2947" s="76">
        <v>1.06E-3</v>
      </c>
      <c r="M2947" s="76">
        <v>1.34E-3</v>
      </c>
    </row>
    <row r="2948" spans="3:13" x14ac:dyDescent="0.15">
      <c r="C2948" s="76">
        <v>600</v>
      </c>
      <c r="D2948" s="76">
        <v>1.2899999999999999E-4</v>
      </c>
      <c r="E2948" s="76">
        <v>2.2499999999999999E-4</v>
      </c>
      <c r="F2948" s="76">
        <v>3.9599999999999998E-4</v>
      </c>
      <c r="G2948" s="76">
        <v>4.4000000000000002E-4</v>
      </c>
      <c r="H2948" s="76">
        <v>5.2599999999999999E-4</v>
      </c>
      <c r="I2948" s="76">
        <v>6.7699999999999998E-4</v>
      </c>
      <c r="J2948" s="76">
        <v>6.8900000000000005E-4</v>
      </c>
      <c r="K2948" s="76">
        <v>9.0799999999999995E-4</v>
      </c>
      <c r="L2948" s="76">
        <v>9.4600000000000001E-4</v>
      </c>
      <c r="M2948" s="76">
        <v>1.1800000000000001E-3</v>
      </c>
    </row>
    <row r="2949" spans="3:13" x14ac:dyDescent="0.15">
      <c r="C2949" s="76">
        <v>602</v>
      </c>
      <c r="D2949" s="76">
        <v>1.15E-4</v>
      </c>
      <c r="E2949" s="76">
        <v>1.9699999999999999E-4</v>
      </c>
      <c r="F2949" s="76">
        <v>3.5300000000000002E-4</v>
      </c>
      <c r="G2949" s="76">
        <v>3.8099999999999999E-4</v>
      </c>
      <c r="H2949" s="76">
        <v>5.0799999999999999E-4</v>
      </c>
      <c r="I2949" s="76">
        <v>6.0599999999999998E-4</v>
      </c>
      <c r="J2949" s="76">
        <v>7.2000000000000005E-4</v>
      </c>
      <c r="K2949" s="76">
        <v>8.12E-4</v>
      </c>
      <c r="L2949" s="76">
        <v>8.2899999999999998E-4</v>
      </c>
      <c r="M2949" s="76">
        <v>1.1100000000000001E-3</v>
      </c>
    </row>
    <row r="2950" spans="3:13" x14ac:dyDescent="0.15">
      <c r="C2950" s="76">
        <v>604</v>
      </c>
      <c r="D2950" s="76">
        <v>1.11E-4</v>
      </c>
      <c r="E2950" s="76">
        <v>1.8100000000000001E-4</v>
      </c>
      <c r="F2950" s="76">
        <v>3.2499999999999999E-4</v>
      </c>
      <c r="G2950" s="76">
        <v>3.4200000000000002E-4</v>
      </c>
      <c r="H2950" s="76">
        <v>4.7600000000000002E-4</v>
      </c>
      <c r="I2950" s="76">
        <v>5.62E-4</v>
      </c>
      <c r="J2950" s="76">
        <v>6.7400000000000001E-4</v>
      </c>
      <c r="K2950" s="76">
        <v>7.45E-4</v>
      </c>
      <c r="L2950" s="76">
        <v>7.45E-4</v>
      </c>
      <c r="M2950" s="76">
        <v>1.0300000000000001E-3</v>
      </c>
    </row>
    <row r="2951" spans="3:13" x14ac:dyDescent="0.15">
      <c r="C2951" s="76">
        <v>606</v>
      </c>
      <c r="D2951" s="76">
        <v>1.13E-4</v>
      </c>
      <c r="E2951" s="76">
        <v>1.6899999999999999E-4</v>
      </c>
      <c r="F2951" s="76">
        <v>3.01E-4</v>
      </c>
      <c r="G2951" s="76">
        <v>3.0899999999999998E-4</v>
      </c>
      <c r="H2951" s="76">
        <v>4.6000000000000001E-4</v>
      </c>
      <c r="I2951" s="76">
        <v>5.0299999999999997E-4</v>
      </c>
      <c r="J2951" s="76">
        <v>6.4800000000000003E-4</v>
      </c>
      <c r="K2951" s="76">
        <v>7.7499999999999997E-4</v>
      </c>
      <c r="L2951" s="76">
        <v>7.0100000000000002E-4</v>
      </c>
      <c r="M2951" s="76">
        <v>9.59E-4</v>
      </c>
    </row>
    <row r="2952" spans="3:13" x14ac:dyDescent="0.15">
      <c r="C2952" s="76">
        <v>608</v>
      </c>
      <c r="D2952" s="76">
        <v>9.87E-5</v>
      </c>
      <c r="E2952" s="76">
        <v>1.5899999999999999E-4</v>
      </c>
      <c r="F2952" s="76">
        <v>2.9300000000000002E-4</v>
      </c>
      <c r="G2952" s="76">
        <v>3.0699999999999998E-4</v>
      </c>
      <c r="H2952" s="76">
        <v>4.2000000000000002E-4</v>
      </c>
      <c r="I2952" s="76">
        <v>4.6200000000000001E-4</v>
      </c>
      <c r="J2952" s="76">
        <v>5.8699999999999996E-4</v>
      </c>
      <c r="K2952" s="76">
        <v>7.0899999999999999E-4</v>
      </c>
      <c r="L2952" s="76">
        <v>6.3900000000000003E-4</v>
      </c>
      <c r="M2952" s="76">
        <v>9.1100000000000003E-4</v>
      </c>
    </row>
    <row r="2953" spans="3:13" x14ac:dyDescent="0.15">
      <c r="C2953" s="76">
        <v>610</v>
      </c>
      <c r="D2953" s="76">
        <v>8.5099999999999995E-5</v>
      </c>
      <c r="E2953" s="76">
        <v>1.35E-4</v>
      </c>
      <c r="F2953" s="76">
        <v>2.4800000000000001E-4</v>
      </c>
      <c r="G2953" s="76">
        <v>2.7999999999999998E-4</v>
      </c>
      <c r="H2953" s="76">
        <v>4.0299999999999998E-4</v>
      </c>
      <c r="I2953" s="76">
        <v>4.2299999999999998E-4</v>
      </c>
      <c r="J2953" s="76">
        <v>5.71E-4</v>
      </c>
      <c r="K2953" s="76">
        <v>6.0499999999999996E-4</v>
      </c>
      <c r="L2953" s="76">
        <v>5.4199999999999995E-4</v>
      </c>
      <c r="M2953" s="76">
        <v>8.6499999999999999E-4</v>
      </c>
    </row>
    <row r="2954" spans="3:13" x14ac:dyDescent="0.15">
      <c r="C2954" s="76">
        <v>612</v>
      </c>
      <c r="D2954" s="76">
        <v>8.1799999999999996E-5</v>
      </c>
      <c r="E2954" s="76">
        <v>1.34E-4</v>
      </c>
      <c r="F2954" s="76">
        <v>2.3599999999999999E-4</v>
      </c>
      <c r="G2954" s="76">
        <v>2.6899999999999998E-4</v>
      </c>
      <c r="H2954" s="76">
        <v>3.6200000000000002E-4</v>
      </c>
      <c r="I2954" s="76">
        <v>3.7300000000000001E-4</v>
      </c>
      <c r="J2954" s="76">
        <v>5.4900000000000001E-4</v>
      </c>
      <c r="K2954" s="76">
        <v>5.6099999999999998E-4</v>
      </c>
      <c r="L2954" s="76">
        <v>4.7899999999999999E-4</v>
      </c>
      <c r="M2954" s="76">
        <v>8.3100000000000003E-4</v>
      </c>
    </row>
    <row r="2955" spans="3:13" x14ac:dyDescent="0.15">
      <c r="C2955" s="76">
        <v>614</v>
      </c>
      <c r="D2955" s="76">
        <v>7.1699999999999995E-5</v>
      </c>
      <c r="E2955" s="76">
        <v>1.11E-4</v>
      </c>
      <c r="F2955" s="76">
        <v>2.2699999999999999E-4</v>
      </c>
      <c r="G2955" s="76">
        <v>2.4499999999999999E-4</v>
      </c>
      <c r="H2955" s="76">
        <v>3.3599999999999998E-4</v>
      </c>
      <c r="I2955" s="76">
        <v>3.88E-4</v>
      </c>
      <c r="J2955" s="76">
        <v>4.9799999999999996E-4</v>
      </c>
      <c r="K2955" s="76">
        <v>4.7199999999999998E-4</v>
      </c>
      <c r="L2955" s="76">
        <v>4.0400000000000001E-4</v>
      </c>
      <c r="M2955" s="76">
        <v>6.9499999999999998E-4</v>
      </c>
    </row>
    <row r="2956" spans="3:13" x14ac:dyDescent="0.15">
      <c r="C2956" s="76">
        <v>616</v>
      </c>
      <c r="D2956" s="76">
        <v>6.7100000000000005E-5</v>
      </c>
      <c r="E2956" s="76">
        <v>1.12E-4</v>
      </c>
      <c r="F2956" s="76">
        <v>1.9900000000000001E-4</v>
      </c>
      <c r="G2956" s="76">
        <v>2.3000000000000001E-4</v>
      </c>
      <c r="H2956" s="76">
        <v>3.1199999999999999E-4</v>
      </c>
      <c r="I2956" s="76">
        <v>3.7199999999999999E-4</v>
      </c>
      <c r="J2956" s="76">
        <v>5.13E-4</v>
      </c>
      <c r="K2956" s="76">
        <v>4.4000000000000002E-4</v>
      </c>
      <c r="L2956" s="76">
        <v>4.4200000000000001E-4</v>
      </c>
      <c r="M2956" s="76">
        <v>6.9099999999999999E-4</v>
      </c>
    </row>
    <row r="2957" spans="3:13" x14ac:dyDescent="0.15">
      <c r="C2957" s="76">
        <v>618</v>
      </c>
      <c r="D2957" s="76">
        <v>6.0000000000000002E-5</v>
      </c>
      <c r="E2957" s="76">
        <v>8.6799999999999996E-5</v>
      </c>
      <c r="F2957" s="76">
        <v>1.3300000000000001E-4</v>
      </c>
      <c r="G2957" s="76">
        <v>2.22E-4</v>
      </c>
      <c r="H2957" s="76">
        <v>3.0699999999999998E-4</v>
      </c>
      <c r="I2957" s="76">
        <v>3.4200000000000002E-4</v>
      </c>
      <c r="J2957" s="76">
        <v>4.1899999999999999E-4</v>
      </c>
      <c r="K2957" s="76">
        <v>3.9800000000000002E-4</v>
      </c>
      <c r="L2957" s="76">
        <v>4.35E-4</v>
      </c>
      <c r="M2957" s="76">
        <v>6.29E-4</v>
      </c>
    </row>
    <row r="2958" spans="3:13" x14ac:dyDescent="0.15">
      <c r="C2958" s="76">
        <v>620</v>
      </c>
      <c r="D2958" s="76">
        <v>5.1900000000000001E-5</v>
      </c>
      <c r="E2958" s="76">
        <v>7.8200000000000003E-5</v>
      </c>
      <c r="F2958" s="76">
        <v>1.54E-4</v>
      </c>
      <c r="G2958" s="76">
        <v>2.04E-4</v>
      </c>
      <c r="H2958" s="76">
        <v>2.7900000000000001E-4</v>
      </c>
      <c r="I2958" s="76">
        <v>3.1100000000000002E-4</v>
      </c>
      <c r="J2958" s="76">
        <v>4.26E-4</v>
      </c>
      <c r="K2958" s="76">
        <v>3.3300000000000002E-4</v>
      </c>
      <c r="L2958" s="76">
        <v>5.2300000000000003E-4</v>
      </c>
      <c r="M2958" s="76">
        <v>5.6800000000000004E-4</v>
      </c>
    </row>
    <row r="2959" spans="3:13" x14ac:dyDescent="0.15">
      <c r="C2959" s="76">
        <v>622</v>
      </c>
      <c r="D2959" s="76">
        <v>5.5000000000000002E-5</v>
      </c>
      <c r="E2959" s="76">
        <v>8.6199999999999995E-5</v>
      </c>
      <c r="F2959" s="76">
        <v>1.65E-4</v>
      </c>
      <c r="G2959" s="76">
        <v>1.95E-4</v>
      </c>
      <c r="H2959" s="76">
        <v>2.5399999999999999E-4</v>
      </c>
      <c r="I2959" s="76">
        <v>2.9799999999999998E-4</v>
      </c>
      <c r="J2959" s="76">
        <v>3.8400000000000001E-4</v>
      </c>
      <c r="K2959" s="76">
        <v>3.57E-4</v>
      </c>
      <c r="L2959" s="76">
        <v>3.6000000000000002E-4</v>
      </c>
      <c r="M2959" s="76">
        <v>5.4000000000000001E-4</v>
      </c>
    </row>
    <row r="2960" spans="3:13" x14ac:dyDescent="0.15">
      <c r="C2960" s="76">
        <v>624</v>
      </c>
      <c r="D2960" s="76">
        <v>4.88E-5</v>
      </c>
      <c r="E2960" s="76">
        <v>8.7499999999999999E-5</v>
      </c>
      <c r="F2960" s="76">
        <v>1.3100000000000001E-4</v>
      </c>
      <c r="G2960" s="76">
        <v>1.8100000000000001E-4</v>
      </c>
      <c r="H2960" s="76">
        <v>2.3000000000000001E-4</v>
      </c>
      <c r="I2960" s="76">
        <v>2.5500000000000002E-4</v>
      </c>
      <c r="J2960" s="76">
        <v>3.6699999999999998E-4</v>
      </c>
      <c r="K2960" s="76">
        <v>3.3100000000000002E-4</v>
      </c>
      <c r="L2960" s="76">
        <v>3.1399999999999999E-4</v>
      </c>
      <c r="M2960" s="76">
        <v>4.44E-4</v>
      </c>
    </row>
    <row r="2961" spans="3:13" x14ac:dyDescent="0.15">
      <c r="C2961" s="76">
        <v>626</v>
      </c>
      <c r="D2961" s="76">
        <v>4.0399999999999999E-5</v>
      </c>
      <c r="E2961" s="76">
        <v>8.2100000000000003E-5</v>
      </c>
      <c r="F2961" s="76">
        <v>1.18E-4</v>
      </c>
      <c r="G2961" s="76">
        <v>1.66E-4</v>
      </c>
      <c r="H2961" s="76">
        <v>2.4600000000000002E-4</v>
      </c>
      <c r="I2961" s="76">
        <v>2.61E-4</v>
      </c>
      <c r="J2961" s="76">
        <v>3.5E-4</v>
      </c>
      <c r="K2961" s="76">
        <v>2.9300000000000002E-4</v>
      </c>
      <c r="L2961" s="76">
        <v>3.1399999999999999E-4</v>
      </c>
      <c r="M2961" s="76">
        <v>4.0700000000000003E-4</v>
      </c>
    </row>
    <row r="2962" spans="3:13" x14ac:dyDescent="0.15">
      <c r="C2962" s="76">
        <v>628</v>
      </c>
      <c r="D2962" s="76">
        <v>3.9499999999999998E-5</v>
      </c>
      <c r="E2962" s="76">
        <v>8.9699999999999998E-5</v>
      </c>
      <c r="F2962" s="76">
        <v>9.9699999999999998E-5</v>
      </c>
      <c r="G2962" s="76">
        <v>1.9100000000000001E-4</v>
      </c>
      <c r="H2962" s="76">
        <v>2.1699999999999999E-4</v>
      </c>
      <c r="I2962" s="76">
        <v>2.22E-4</v>
      </c>
      <c r="J2962" s="76">
        <v>2.99E-4</v>
      </c>
      <c r="K2962" s="76">
        <v>2.8400000000000002E-4</v>
      </c>
      <c r="L2962" s="76">
        <v>2.7799999999999998E-4</v>
      </c>
      <c r="M2962" s="76">
        <v>4.6700000000000002E-4</v>
      </c>
    </row>
    <row r="2963" spans="3:13" x14ac:dyDescent="0.15">
      <c r="C2963" s="76">
        <v>630</v>
      </c>
      <c r="D2963" s="76">
        <v>3.54E-5</v>
      </c>
      <c r="E2963" s="76">
        <v>8.0799999999999999E-5</v>
      </c>
      <c r="F2963" s="76">
        <v>7.7600000000000002E-5</v>
      </c>
      <c r="G2963" s="76">
        <v>1.54E-4</v>
      </c>
      <c r="H2963" s="76">
        <v>2.05E-4</v>
      </c>
      <c r="I2963" s="76">
        <v>2.03E-4</v>
      </c>
      <c r="J2963" s="76">
        <v>3.1700000000000001E-4</v>
      </c>
      <c r="K2963" s="76">
        <v>3.7399999999999998E-4</v>
      </c>
      <c r="L2963" s="76">
        <v>2.9599999999999998E-4</v>
      </c>
      <c r="M2963" s="76">
        <v>3.9899999999999999E-4</v>
      </c>
    </row>
    <row r="2964" spans="3:13" x14ac:dyDescent="0.15">
      <c r="C2964" s="76">
        <v>632</v>
      </c>
      <c r="D2964" s="76">
        <v>3.0599999999999998E-5</v>
      </c>
      <c r="E2964" s="76">
        <v>8.6600000000000004E-5</v>
      </c>
      <c r="F2964" s="76">
        <v>8.0199999999999998E-5</v>
      </c>
      <c r="G2964" s="76">
        <v>1.4200000000000001E-4</v>
      </c>
      <c r="H2964" s="76">
        <v>1.9699999999999999E-4</v>
      </c>
      <c r="I2964" s="76">
        <v>1.64E-4</v>
      </c>
      <c r="J2964" s="76">
        <v>2.6200000000000003E-4</v>
      </c>
      <c r="K2964" s="76">
        <v>2.7E-4</v>
      </c>
      <c r="L2964" s="76">
        <v>2.6400000000000002E-4</v>
      </c>
      <c r="M2964" s="76">
        <v>3.3500000000000001E-4</v>
      </c>
    </row>
    <row r="2965" spans="3:13" x14ac:dyDescent="0.15">
      <c r="C2965" s="76">
        <v>634</v>
      </c>
      <c r="D2965" s="76">
        <v>2.5599999999999999E-5</v>
      </c>
      <c r="E2965" s="76">
        <v>1.08E-4</v>
      </c>
      <c r="F2965" s="76">
        <v>8.6799999999999996E-5</v>
      </c>
      <c r="G2965" s="76">
        <v>1.44E-4</v>
      </c>
      <c r="H2965" s="76">
        <v>1.63E-4</v>
      </c>
      <c r="I2965" s="76">
        <v>1.4799999999999999E-4</v>
      </c>
      <c r="J2965" s="76">
        <v>3.7199999999999999E-4</v>
      </c>
      <c r="K2965" s="76">
        <v>2.34E-4</v>
      </c>
      <c r="L2965" s="76">
        <v>3.0299999999999999E-4</v>
      </c>
      <c r="M2965" s="76">
        <v>3.01E-4</v>
      </c>
    </row>
    <row r="2966" spans="3:13" x14ac:dyDescent="0.15">
      <c r="C2966" s="76">
        <v>636</v>
      </c>
      <c r="D2966" s="76">
        <v>2.41E-5</v>
      </c>
      <c r="E2966" s="76">
        <v>8.4699999999999999E-5</v>
      </c>
      <c r="F2966" s="76">
        <v>8.9400000000000005E-5</v>
      </c>
      <c r="G2966" s="76">
        <v>1.2999999999999999E-4</v>
      </c>
      <c r="H2966" s="76">
        <v>1.66E-4</v>
      </c>
      <c r="I2966" s="76">
        <v>1.6799999999999999E-4</v>
      </c>
      <c r="J2966" s="76">
        <v>2.8899999999999998E-4</v>
      </c>
      <c r="K2966" s="76">
        <v>2.5900000000000001E-4</v>
      </c>
      <c r="L2966" s="76">
        <v>3.1799999999999998E-4</v>
      </c>
      <c r="M2966" s="76">
        <v>3.0899999999999998E-4</v>
      </c>
    </row>
    <row r="2967" spans="3:13" x14ac:dyDescent="0.15">
      <c r="C2967" s="76">
        <v>638</v>
      </c>
      <c r="D2967" s="76">
        <v>3.1999999999999999E-5</v>
      </c>
      <c r="E2967" s="76">
        <v>5.6499999999999998E-5</v>
      </c>
      <c r="F2967" s="76">
        <v>7.8300000000000006E-5</v>
      </c>
      <c r="G2967" s="76">
        <v>1.06E-4</v>
      </c>
      <c r="H2967" s="76">
        <v>1.76E-4</v>
      </c>
      <c r="I2967" s="76">
        <v>1.4799999999999999E-4</v>
      </c>
      <c r="J2967" s="76">
        <v>2.7999999999999998E-4</v>
      </c>
      <c r="K2967" s="76">
        <v>1.74E-4</v>
      </c>
      <c r="L2967" s="76">
        <v>1.94E-4</v>
      </c>
      <c r="M2967" s="76">
        <v>2.7599999999999999E-4</v>
      </c>
    </row>
    <row r="2968" spans="3:13" x14ac:dyDescent="0.15">
      <c r="C2968" s="76">
        <v>640</v>
      </c>
      <c r="D2968" s="76">
        <v>3.0700000000000001E-5</v>
      </c>
      <c r="E2968" s="76">
        <v>7.25E-5</v>
      </c>
      <c r="F2968" s="76">
        <v>7.2600000000000003E-5</v>
      </c>
      <c r="G2968" s="76">
        <v>9.6799999999999995E-5</v>
      </c>
      <c r="H2968" s="76">
        <v>1.5799999999999999E-4</v>
      </c>
      <c r="I2968" s="76">
        <v>1.08E-4</v>
      </c>
      <c r="J2968" s="76">
        <v>2.5900000000000001E-4</v>
      </c>
      <c r="K2968" s="76">
        <v>1.73E-4</v>
      </c>
      <c r="L2968" s="76">
        <v>2.92E-4</v>
      </c>
      <c r="M2968" s="76">
        <v>2.4499999999999999E-4</v>
      </c>
    </row>
    <row r="2969" spans="3:13" x14ac:dyDescent="0.15">
      <c r="C2969" s="76">
        <v>642</v>
      </c>
      <c r="D2969" s="76">
        <v>2.6999999999999999E-5</v>
      </c>
      <c r="E2969" s="76">
        <v>6.7700000000000006E-5</v>
      </c>
      <c r="F2969" s="76">
        <v>8.7600000000000002E-5</v>
      </c>
      <c r="G2969" s="76">
        <v>7.47E-5</v>
      </c>
      <c r="H2969" s="76">
        <v>1.4300000000000001E-4</v>
      </c>
      <c r="I2969" s="76">
        <v>1.1E-4</v>
      </c>
      <c r="J2969" s="76">
        <v>2.1499999999999999E-4</v>
      </c>
      <c r="K2969" s="76">
        <v>2.3900000000000001E-4</v>
      </c>
      <c r="L2969" s="76">
        <v>2.6499999999999999E-4</v>
      </c>
      <c r="M2969" s="76">
        <v>2.3499999999999999E-4</v>
      </c>
    </row>
    <row r="2970" spans="3:13" x14ac:dyDescent="0.15">
      <c r="C2970" s="76">
        <v>644</v>
      </c>
      <c r="D2970" s="76">
        <v>2.26E-5</v>
      </c>
      <c r="E2970" s="76">
        <v>6.7199999999999994E-5</v>
      </c>
      <c r="F2970" s="76">
        <v>4.3300000000000002E-5</v>
      </c>
      <c r="G2970" s="76">
        <v>1.22E-4</v>
      </c>
      <c r="H2970" s="76">
        <v>1.55E-4</v>
      </c>
      <c r="I2970" s="76">
        <v>1.3300000000000001E-4</v>
      </c>
      <c r="J2970" s="76">
        <v>1.6699999999999999E-4</v>
      </c>
      <c r="K2970" s="76">
        <v>1.9000000000000001E-4</v>
      </c>
      <c r="L2970" s="76">
        <v>2.5900000000000001E-4</v>
      </c>
      <c r="M2970" s="76">
        <v>2.1100000000000001E-4</v>
      </c>
    </row>
    <row r="2971" spans="3:13" x14ac:dyDescent="0.15">
      <c r="C2971" s="76">
        <v>646</v>
      </c>
      <c r="D2971" s="76">
        <v>1.66E-5</v>
      </c>
      <c r="E2971" s="76">
        <v>7.25E-5</v>
      </c>
      <c r="F2971" s="76">
        <v>6.1600000000000007E-5</v>
      </c>
      <c r="G2971" s="76">
        <v>9.5199999999999997E-5</v>
      </c>
      <c r="H2971" s="76">
        <v>1.6799999999999999E-4</v>
      </c>
      <c r="I2971" s="76">
        <v>1.12E-4</v>
      </c>
      <c r="J2971" s="76">
        <v>2.13E-4</v>
      </c>
      <c r="K2971" s="76">
        <v>1.8699999999999999E-4</v>
      </c>
      <c r="L2971" s="76">
        <v>1.7100000000000001E-4</v>
      </c>
      <c r="M2971" s="76">
        <v>2.2100000000000001E-4</v>
      </c>
    </row>
    <row r="2972" spans="3:13" x14ac:dyDescent="0.15">
      <c r="C2972" s="76">
        <v>648</v>
      </c>
      <c r="D2972" s="76">
        <v>2.2900000000000001E-5</v>
      </c>
      <c r="E2972" s="76">
        <v>7.9099999999999998E-5</v>
      </c>
      <c r="F2972" s="76">
        <v>6.6500000000000004E-5</v>
      </c>
      <c r="G2972" s="76">
        <v>1.2999999999999999E-4</v>
      </c>
      <c r="H2972" s="76">
        <v>1.5899999999999999E-4</v>
      </c>
      <c r="I2972" s="76">
        <v>1.1900000000000001E-4</v>
      </c>
      <c r="J2972" s="76">
        <v>1.5200000000000001E-4</v>
      </c>
      <c r="K2972" s="76">
        <v>1.4999999999999999E-4</v>
      </c>
      <c r="L2972" s="76">
        <v>2.5099999999999998E-4</v>
      </c>
      <c r="M2972" s="76">
        <v>2.4600000000000002E-4</v>
      </c>
    </row>
    <row r="2973" spans="3:13" x14ac:dyDescent="0.15">
      <c r="C2973" s="76">
        <v>650</v>
      </c>
      <c r="D2973" s="76">
        <v>1.84E-5</v>
      </c>
      <c r="E2973" s="76">
        <v>6.19E-5</v>
      </c>
      <c r="F2973" s="76">
        <v>8.4599999999999996E-5</v>
      </c>
      <c r="G2973" s="76">
        <v>1.16E-4</v>
      </c>
      <c r="H2973" s="76">
        <v>1.4999999999999999E-4</v>
      </c>
      <c r="I2973" s="76">
        <v>1.37E-4</v>
      </c>
      <c r="J2973" s="76">
        <v>1.4300000000000001E-4</v>
      </c>
      <c r="K2973" s="76">
        <v>2.3800000000000001E-4</v>
      </c>
      <c r="L2973" s="76">
        <v>2.8699999999999998E-4</v>
      </c>
      <c r="M2973" s="76">
        <v>1.73E-4</v>
      </c>
    </row>
    <row r="2974" spans="3:13" x14ac:dyDescent="0.15">
      <c r="C2974" s="76">
        <v>652</v>
      </c>
      <c r="D2974" s="76">
        <v>1.3200000000000001E-5</v>
      </c>
      <c r="E2974" s="76">
        <v>7.75E-5</v>
      </c>
      <c r="F2974" s="76">
        <v>7.0699999999999997E-5</v>
      </c>
      <c r="G2974" s="76">
        <v>9.3499999999999996E-5</v>
      </c>
      <c r="H2974" s="76">
        <v>1.02E-4</v>
      </c>
      <c r="I2974" s="76">
        <v>1.37E-4</v>
      </c>
      <c r="J2974" s="76">
        <v>1.2899999999999999E-4</v>
      </c>
      <c r="K2974" s="76">
        <v>2.0599999999999999E-4</v>
      </c>
      <c r="L2974" s="76">
        <v>2.2699999999999999E-4</v>
      </c>
      <c r="M2974" s="76">
        <v>1.4899999999999999E-4</v>
      </c>
    </row>
    <row r="2975" spans="3:13" x14ac:dyDescent="0.15">
      <c r="C2975" s="76">
        <v>654</v>
      </c>
      <c r="D2975" s="76">
        <v>2.16E-5</v>
      </c>
      <c r="E2975" s="76">
        <v>4.0200000000000001E-5</v>
      </c>
      <c r="F2975" s="76">
        <v>8.4099999999999998E-5</v>
      </c>
      <c r="G2975" s="76">
        <v>1.11E-4</v>
      </c>
      <c r="H2975" s="76">
        <v>9.3300000000000005E-5</v>
      </c>
      <c r="I2975" s="76">
        <v>1.3799999999999999E-4</v>
      </c>
      <c r="J2975" s="76">
        <v>1.73E-4</v>
      </c>
      <c r="K2975" s="76">
        <v>2.1699999999999999E-4</v>
      </c>
      <c r="L2975" s="76">
        <v>2.6400000000000002E-4</v>
      </c>
      <c r="M2975" s="76">
        <v>1E-4</v>
      </c>
    </row>
    <row r="2976" spans="3:13" x14ac:dyDescent="0.15">
      <c r="C2976" s="76">
        <v>656</v>
      </c>
      <c r="D2976" s="76">
        <v>2.12E-5</v>
      </c>
      <c r="E2976" s="76">
        <v>8.8300000000000005E-5</v>
      </c>
      <c r="F2976" s="76">
        <v>4.1100000000000003E-5</v>
      </c>
      <c r="G2976" s="76">
        <v>1.2E-4</v>
      </c>
      <c r="H2976" s="76">
        <v>9.1100000000000005E-5</v>
      </c>
      <c r="I2976" s="76">
        <v>1.8200000000000001E-4</v>
      </c>
      <c r="J2976" s="76">
        <v>6.6400000000000001E-5</v>
      </c>
      <c r="K2976" s="76">
        <v>2.4899999999999998E-4</v>
      </c>
      <c r="L2976" s="76">
        <v>2.61E-4</v>
      </c>
      <c r="M2976" s="76">
        <v>6.7600000000000003E-5</v>
      </c>
    </row>
    <row r="2977" spans="3:13" x14ac:dyDescent="0.15">
      <c r="C2977" s="76">
        <v>658</v>
      </c>
      <c r="D2977" s="76">
        <v>2.1500000000000001E-5</v>
      </c>
      <c r="E2977" s="76">
        <v>6.3100000000000002E-5</v>
      </c>
      <c r="F2977" s="76">
        <v>3.8800000000000001E-5</v>
      </c>
      <c r="G2977" s="76">
        <v>1.26E-4</v>
      </c>
      <c r="H2977" s="76">
        <v>9.5199999999999997E-5</v>
      </c>
      <c r="I2977" s="76">
        <v>1.3799999999999999E-4</v>
      </c>
      <c r="J2977" s="76">
        <v>1.27E-4</v>
      </c>
      <c r="K2977" s="76">
        <v>1.83E-4</v>
      </c>
      <c r="L2977" s="76">
        <v>1.7200000000000001E-4</v>
      </c>
      <c r="M2977" s="76">
        <v>1.2E-4</v>
      </c>
    </row>
    <row r="2978" spans="3:13" x14ac:dyDescent="0.15">
      <c r="C2978" s="76">
        <v>660</v>
      </c>
      <c r="D2978" s="76">
        <v>1.8E-5</v>
      </c>
      <c r="E2978" s="76">
        <v>6.4900000000000005E-5</v>
      </c>
      <c r="F2978" s="76">
        <v>4.2599999999999999E-5</v>
      </c>
      <c r="G2978" s="76">
        <v>9.6100000000000005E-5</v>
      </c>
      <c r="H2978" s="76">
        <v>1.0399999999999999E-4</v>
      </c>
      <c r="I2978" s="76">
        <v>1.47E-4</v>
      </c>
      <c r="J2978" s="76">
        <v>8.7999999999999998E-5</v>
      </c>
      <c r="K2978" s="76">
        <v>1.4799999999999999E-4</v>
      </c>
      <c r="L2978" s="76">
        <v>1.6899999999999999E-4</v>
      </c>
      <c r="M2978" s="76">
        <v>1.47E-4</v>
      </c>
    </row>
    <row r="2979" spans="3:13" x14ac:dyDescent="0.15">
      <c r="C2979" s="76">
        <v>662</v>
      </c>
      <c r="D2979" s="76">
        <v>1.5099999999999999E-5</v>
      </c>
      <c r="E2979" s="76">
        <v>6.6000000000000005E-5</v>
      </c>
      <c r="F2979" s="76">
        <v>8.7299999999999994E-5</v>
      </c>
      <c r="G2979" s="76">
        <v>9.6000000000000002E-5</v>
      </c>
      <c r="H2979" s="76">
        <v>1.27E-4</v>
      </c>
      <c r="I2979" s="76">
        <v>1.5699999999999999E-4</v>
      </c>
      <c r="J2979" s="76">
        <v>1.2300000000000001E-4</v>
      </c>
      <c r="K2979" s="76">
        <v>1.8599999999999999E-4</v>
      </c>
      <c r="L2979" s="76">
        <v>2.42E-4</v>
      </c>
      <c r="M2979" s="76">
        <v>1.2300000000000001E-4</v>
      </c>
    </row>
    <row r="2980" spans="3:13" x14ac:dyDescent="0.15">
      <c r="C2980" s="76">
        <v>664</v>
      </c>
      <c r="D2980" s="76">
        <v>1.63E-5</v>
      </c>
      <c r="E2980" s="76">
        <v>5.5399999999999998E-5</v>
      </c>
      <c r="F2980" s="76">
        <v>6.86E-5</v>
      </c>
      <c r="G2980" s="76">
        <v>1.11E-4</v>
      </c>
      <c r="H2980" s="76">
        <v>1.4799999999999999E-4</v>
      </c>
      <c r="I2980" s="76">
        <v>1.4300000000000001E-4</v>
      </c>
      <c r="J2980" s="76">
        <v>1.8599999999999999E-4</v>
      </c>
      <c r="K2980" s="76">
        <v>2.2499999999999999E-4</v>
      </c>
      <c r="L2980" s="76">
        <v>1.8599999999999999E-4</v>
      </c>
      <c r="M2980" s="76">
        <v>2.2499999999999999E-4</v>
      </c>
    </row>
    <row r="2981" spans="3:13" x14ac:dyDescent="0.15">
      <c r="C2981" s="76">
        <v>666</v>
      </c>
      <c r="D2981" s="76">
        <v>3.5099999999999999E-5</v>
      </c>
      <c r="E2981" s="76">
        <v>5.6199999999999997E-5</v>
      </c>
      <c r="F2981" s="76">
        <v>7.9200000000000001E-5</v>
      </c>
      <c r="G2981" s="76">
        <v>7.9300000000000003E-5</v>
      </c>
      <c r="H2981" s="76">
        <v>1.1E-4</v>
      </c>
      <c r="I2981" s="76">
        <v>1.35E-4</v>
      </c>
      <c r="J2981" s="76">
        <v>1.3300000000000001E-4</v>
      </c>
      <c r="K2981" s="76">
        <v>2.13E-4</v>
      </c>
      <c r="L2981" s="76">
        <v>1.9100000000000001E-4</v>
      </c>
      <c r="M2981" s="76">
        <v>1.85E-4</v>
      </c>
    </row>
    <row r="2982" spans="3:13" x14ac:dyDescent="0.15">
      <c r="C2982" s="76">
        <v>668</v>
      </c>
      <c r="D2982" s="76">
        <v>2.55E-5</v>
      </c>
      <c r="E2982" s="76">
        <v>5.2800000000000003E-5</v>
      </c>
      <c r="F2982" s="76">
        <v>5.4400000000000001E-5</v>
      </c>
      <c r="G2982" s="76">
        <v>8.6000000000000003E-5</v>
      </c>
      <c r="H2982" s="76">
        <v>8.8900000000000006E-5</v>
      </c>
      <c r="I2982" s="76">
        <v>1.2300000000000001E-4</v>
      </c>
      <c r="J2982" s="76">
        <v>1.16E-4</v>
      </c>
      <c r="K2982" s="76">
        <v>1E-4</v>
      </c>
      <c r="L2982" s="76">
        <v>2.5099999999999998E-4</v>
      </c>
      <c r="M2982" s="76">
        <v>2.2900000000000001E-4</v>
      </c>
    </row>
    <row r="2983" spans="3:13" x14ac:dyDescent="0.15">
      <c r="C2983" s="76">
        <v>670</v>
      </c>
      <c r="D2983" s="76">
        <v>2.1500000000000001E-5</v>
      </c>
      <c r="E2983" s="76">
        <v>4.6199999999999998E-5</v>
      </c>
      <c r="F2983" s="76">
        <v>8.4099999999999998E-5</v>
      </c>
      <c r="G2983" s="76">
        <v>8.9300000000000002E-5</v>
      </c>
      <c r="H2983" s="76">
        <v>1.16E-4</v>
      </c>
      <c r="I2983" s="76">
        <v>9.4400000000000004E-5</v>
      </c>
      <c r="J2983" s="76">
        <v>1.66E-4</v>
      </c>
      <c r="K2983" s="76">
        <v>1.17E-4</v>
      </c>
      <c r="L2983" s="76">
        <v>2.14E-4</v>
      </c>
      <c r="M2983" s="76">
        <v>2.3900000000000001E-4</v>
      </c>
    </row>
    <row r="2984" spans="3:13" x14ac:dyDescent="0.15">
      <c r="C2984" s="76">
        <v>672</v>
      </c>
      <c r="D2984" s="76">
        <v>1.88E-5</v>
      </c>
      <c r="E2984" s="76">
        <v>5.0399999999999999E-5</v>
      </c>
      <c r="F2984" s="76">
        <v>7.9599999999999997E-5</v>
      </c>
      <c r="G2984" s="76">
        <v>9.2899999999999995E-5</v>
      </c>
      <c r="H2984" s="76">
        <v>8.6000000000000003E-5</v>
      </c>
      <c r="I2984" s="76">
        <v>1.4899999999999999E-4</v>
      </c>
      <c r="J2984" s="76">
        <v>1.55E-4</v>
      </c>
      <c r="K2984" s="76">
        <v>1.8000000000000001E-4</v>
      </c>
      <c r="L2984" s="76">
        <v>2.2499999999999999E-4</v>
      </c>
      <c r="M2984" s="76">
        <v>2.2000000000000001E-4</v>
      </c>
    </row>
    <row r="2985" spans="3:13" x14ac:dyDescent="0.15">
      <c r="C2985" s="76">
        <v>674</v>
      </c>
      <c r="D2985" s="76">
        <v>2.05E-5</v>
      </c>
      <c r="E2985" s="76">
        <v>5.9799999999999997E-5</v>
      </c>
      <c r="F2985" s="76">
        <v>6.7999999999999999E-5</v>
      </c>
      <c r="G2985" s="76">
        <v>8.8300000000000005E-5</v>
      </c>
      <c r="H2985" s="76">
        <v>8.7700000000000004E-5</v>
      </c>
      <c r="I2985" s="76">
        <v>1.02E-4</v>
      </c>
      <c r="J2985" s="76">
        <v>1.66E-4</v>
      </c>
      <c r="K2985" s="76">
        <v>1.8000000000000001E-4</v>
      </c>
      <c r="L2985" s="76">
        <v>2.0000000000000001E-4</v>
      </c>
      <c r="M2985" s="76">
        <v>2.4699999999999999E-4</v>
      </c>
    </row>
    <row r="2986" spans="3:13" x14ac:dyDescent="0.15">
      <c r="C2986" s="76">
        <v>676</v>
      </c>
      <c r="D2986" s="76">
        <v>2.1500000000000001E-5</v>
      </c>
      <c r="E2986" s="76">
        <v>7.0300000000000001E-5</v>
      </c>
      <c r="F2986" s="76">
        <v>7.75E-5</v>
      </c>
      <c r="G2986" s="76">
        <v>9.0199999999999997E-5</v>
      </c>
      <c r="H2986" s="76">
        <v>8.9300000000000002E-5</v>
      </c>
      <c r="I2986" s="76">
        <v>9.4699999999999998E-5</v>
      </c>
      <c r="J2986" s="76">
        <v>1.9100000000000001E-4</v>
      </c>
      <c r="K2986" s="76">
        <v>1.9699999999999999E-4</v>
      </c>
      <c r="L2986" s="76">
        <v>1.5699999999999999E-4</v>
      </c>
      <c r="M2986" s="76">
        <v>2.5599999999999999E-4</v>
      </c>
    </row>
    <row r="2987" spans="3:13" x14ac:dyDescent="0.15">
      <c r="C2987" s="76">
        <v>678</v>
      </c>
      <c r="D2987" s="76">
        <v>3.0499999999999999E-5</v>
      </c>
      <c r="E2987" s="76">
        <v>3.7400000000000001E-5</v>
      </c>
      <c r="F2987" s="76">
        <v>5.9700000000000001E-5</v>
      </c>
      <c r="G2987" s="76">
        <v>7.7299999999999995E-5</v>
      </c>
      <c r="H2987" s="76">
        <v>8.7700000000000004E-5</v>
      </c>
      <c r="I2987" s="76">
        <v>1.27E-4</v>
      </c>
      <c r="J2987" s="76">
        <v>1.7200000000000001E-4</v>
      </c>
      <c r="K2987" s="76">
        <v>1.8799999999999999E-4</v>
      </c>
      <c r="L2987" s="76">
        <v>5.13E-5</v>
      </c>
      <c r="M2987" s="76">
        <v>2.7599999999999999E-4</v>
      </c>
    </row>
    <row r="2988" spans="3:13" x14ac:dyDescent="0.15">
      <c r="C2988" s="76">
        <v>680</v>
      </c>
      <c r="D2988" s="76">
        <v>2.2200000000000001E-5</v>
      </c>
      <c r="E2988" s="76">
        <v>3.6999999999999998E-5</v>
      </c>
      <c r="F2988" s="76">
        <v>5.2800000000000003E-5</v>
      </c>
      <c r="G2988" s="76">
        <v>5.8400000000000003E-5</v>
      </c>
      <c r="H2988" s="76">
        <v>1.1400000000000001E-4</v>
      </c>
      <c r="I2988" s="76">
        <v>1.34E-4</v>
      </c>
      <c r="J2988" s="76">
        <v>1.93E-4</v>
      </c>
      <c r="K2988" s="76">
        <v>1.8599999999999999E-4</v>
      </c>
      <c r="L2988" s="76">
        <v>2.1699999999999999E-4</v>
      </c>
      <c r="M2988" s="76">
        <v>2.7900000000000001E-4</v>
      </c>
    </row>
    <row r="2989" spans="3:13" x14ac:dyDescent="0.15">
      <c r="C2989" s="76">
        <v>682</v>
      </c>
      <c r="D2989" s="76">
        <v>2.4300000000000001E-5</v>
      </c>
      <c r="E2989" s="76">
        <v>3.8000000000000002E-5</v>
      </c>
      <c r="F2989" s="76">
        <v>6.1099999999999994E-5</v>
      </c>
      <c r="G2989" s="76">
        <v>6.2100000000000005E-5</v>
      </c>
      <c r="H2989" s="76">
        <v>8.7700000000000004E-5</v>
      </c>
      <c r="I2989" s="76">
        <v>1.3899999999999999E-4</v>
      </c>
      <c r="J2989" s="76">
        <v>1.12E-4</v>
      </c>
      <c r="K2989" s="76">
        <v>1.26E-4</v>
      </c>
      <c r="L2989" s="76">
        <v>2.3699999999999999E-4</v>
      </c>
      <c r="M2989" s="76">
        <v>3.1300000000000002E-4</v>
      </c>
    </row>
    <row r="2990" spans="3:13" x14ac:dyDescent="0.15">
      <c r="C2990" s="76">
        <v>684</v>
      </c>
      <c r="D2990" s="76">
        <v>3.1000000000000001E-5</v>
      </c>
      <c r="E2990" s="76">
        <v>3.5200000000000002E-5</v>
      </c>
      <c r="F2990" s="76">
        <v>6.9800000000000003E-5</v>
      </c>
      <c r="G2990" s="76">
        <v>5.24E-5</v>
      </c>
      <c r="H2990" s="76">
        <v>9.1500000000000001E-5</v>
      </c>
      <c r="I2990" s="76">
        <v>1.22E-4</v>
      </c>
      <c r="J2990" s="76">
        <v>1.6699999999999999E-4</v>
      </c>
      <c r="K2990" s="76">
        <v>8.5699999999999996E-5</v>
      </c>
      <c r="L2990" s="76">
        <v>1.4899999999999999E-4</v>
      </c>
      <c r="M2990" s="76">
        <v>3.0699999999999998E-4</v>
      </c>
    </row>
    <row r="2991" spans="3:13" x14ac:dyDescent="0.15">
      <c r="C2991" s="76">
        <v>686</v>
      </c>
      <c r="D2991" s="76">
        <v>3.2700000000000002E-5</v>
      </c>
      <c r="E2991" s="76">
        <v>2.09E-5</v>
      </c>
      <c r="F2991" s="76">
        <v>6.3200000000000005E-5</v>
      </c>
      <c r="G2991" s="76">
        <v>4.2799999999999997E-5</v>
      </c>
      <c r="H2991" s="76">
        <v>1.2400000000000001E-4</v>
      </c>
      <c r="I2991" s="76">
        <v>1.26E-4</v>
      </c>
      <c r="J2991" s="76">
        <v>1.5200000000000001E-4</v>
      </c>
      <c r="K2991" s="76">
        <v>1.05E-4</v>
      </c>
      <c r="L2991" s="76">
        <v>1.5699999999999999E-4</v>
      </c>
      <c r="M2991" s="76">
        <v>2.3699999999999999E-4</v>
      </c>
    </row>
    <row r="2992" spans="3:13" x14ac:dyDescent="0.15">
      <c r="C2992" s="76">
        <v>688</v>
      </c>
      <c r="D2992" s="76">
        <v>2.37E-5</v>
      </c>
      <c r="E2992" s="76">
        <v>1.2099999999999999E-5</v>
      </c>
      <c r="F2992" s="76">
        <v>6.8100000000000002E-5</v>
      </c>
      <c r="G2992" s="76">
        <v>7.6299999999999998E-5</v>
      </c>
      <c r="H2992" s="76">
        <v>7.9800000000000002E-5</v>
      </c>
      <c r="I2992" s="76">
        <v>1.4799999999999999E-4</v>
      </c>
      <c r="J2992" s="76">
        <v>1.44E-4</v>
      </c>
      <c r="K2992" s="76">
        <v>8.0199999999999998E-5</v>
      </c>
      <c r="L2992" s="76">
        <v>1.5200000000000001E-4</v>
      </c>
      <c r="M2992" s="76">
        <v>2.24E-4</v>
      </c>
    </row>
    <row r="2993" spans="3:13" x14ac:dyDescent="0.15">
      <c r="C2993" s="76">
        <v>690</v>
      </c>
      <c r="D2993" s="76">
        <v>2.0800000000000001E-5</v>
      </c>
      <c r="E2993" s="76">
        <v>1.3900000000000001E-5</v>
      </c>
      <c r="F2993" s="76">
        <v>6.9099999999999999E-5</v>
      </c>
      <c r="G2993" s="76">
        <v>4.4100000000000001E-5</v>
      </c>
      <c r="H2993" s="76">
        <v>1.3799999999999999E-4</v>
      </c>
      <c r="I2993" s="76">
        <v>1.11E-4</v>
      </c>
      <c r="J2993" s="76">
        <v>1.7699999999999999E-4</v>
      </c>
      <c r="K2993" s="76">
        <v>8.42E-5</v>
      </c>
      <c r="L2993" s="76">
        <v>1.6200000000000001E-4</v>
      </c>
      <c r="M2993" s="76">
        <v>2.5799999999999998E-4</v>
      </c>
    </row>
    <row r="2994" spans="3:13" x14ac:dyDescent="0.15">
      <c r="C2994" s="76">
        <v>692</v>
      </c>
      <c r="D2994" s="76">
        <v>2.4300000000000001E-5</v>
      </c>
      <c r="E2994" s="76">
        <v>6.28E-6</v>
      </c>
      <c r="F2994" s="76">
        <v>6.2899999999999997E-5</v>
      </c>
      <c r="G2994" s="76">
        <v>6.4499999999999996E-5</v>
      </c>
      <c r="H2994" s="76">
        <v>1.15E-4</v>
      </c>
      <c r="I2994" s="76">
        <v>1.2300000000000001E-4</v>
      </c>
      <c r="J2994" s="76">
        <v>1.9699999999999999E-4</v>
      </c>
      <c r="K2994" s="76">
        <v>8.1699999999999994E-5</v>
      </c>
      <c r="L2994" s="76">
        <v>1.2400000000000001E-4</v>
      </c>
      <c r="M2994" s="76">
        <v>3.0699999999999998E-4</v>
      </c>
    </row>
    <row r="2995" spans="3:13" x14ac:dyDescent="0.15">
      <c r="C2995" s="76">
        <v>694</v>
      </c>
      <c r="D2995" s="76">
        <v>2.2799999999999999E-5</v>
      </c>
      <c r="E2995" s="76">
        <v>1.5E-5</v>
      </c>
      <c r="F2995" s="76">
        <v>2.7800000000000001E-5</v>
      </c>
      <c r="G2995" s="76">
        <v>5.7299999999999997E-5</v>
      </c>
      <c r="H2995" s="76">
        <v>9.3999999999999994E-5</v>
      </c>
      <c r="I2995" s="76">
        <v>1.08E-4</v>
      </c>
      <c r="J2995" s="76">
        <v>1.9900000000000001E-4</v>
      </c>
      <c r="K2995" s="76">
        <v>8.3499999999999997E-5</v>
      </c>
      <c r="L2995" s="76">
        <v>1.11E-4</v>
      </c>
      <c r="M2995" s="76">
        <v>2.43E-4</v>
      </c>
    </row>
    <row r="2996" spans="3:13" x14ac:dyDescent="0.15">
      <c r="C2996" s="76">
        <v>696</v>
      </c>
      <c r="D2996" s="76">
        <v>2.4000000000000001E-5</v>
      </c>
      <c r="E2996" s="76">
        <v>2.9900000000000002E-6</v>
      </c>
      <c r="F2996" s="76">
        <v>5.1499999999999998E-5</v>
      </c>
      <c r="G2996" s="76">
        <v>4.2500000000000003E-5</v>
      </c>
      <c r="H2996" s="76">
        <v>7.7399999999999998E-5</v>
      </c>
      <c r="I2996" s="76">
        <v>1.03E-4</v>
      </c>
      <c r="J2996" s="76">
        <v>1.9900000000000001E-4</v>
      </c>
      <c r="K2996" s="76">
        <v>1.9700000000000001E-5</v>
      </c>
      <c r="L2996" s="76">
        <v>1.5699999999999999E-4</v>
      </c>
      <c r="M2996" s="76">
        <v>2.2900000000000001E-4</v>
      </c>
    </row>
    <row r="2997" spans="3:13" x14ac:dyDescent="0.15">
      <c r="C2997" s="76">
        <v>698</v>
      </c>
      <c r="D2997" s="76">
        <v>2.0800000000000001E-5</v>
      </c>
      <c r="E2997" s="76">
        <v>3.5300000000000001E-6</v>
      </c>
      <c r="F2997" s="76">
        <v>5.6400000000000002E-5</v>
      </c>
      <c r="G2997" s="76">
        <v>2.41E-5</v>
      </c>
      <c r="H2997" s="76">
        <v>7.9599999999999997E-5</v>
      </c>
      <c r="I2997" s="76">
        <v>1.01E-4</v>
      </c>
      <c r="J2997" s="76">
        <v>1.6000000000000001E-4</v>
      </c>
      <c r="K2997" s="76">
        <v>3.4400000000000003E-5</v>
      </c>
      <c r="L2997" s="76">
        <v>1.46E-4</v>
      </c>
      <c r="M2997" s="76">
        <v>1.21E-4</v>
      </c>
    </row>
    <row r="2998" spans="3:13" x14ac:dyDescent="0.15">
      <c r="C2998" s="76">
        <v>700</v>
      </c>
      <c r="D2998" s="76">
        <v>1.8E-5</v>
      </c>
      <c r="E2998" s="76">
        <v>2.4200000000000001E-6</v>
      </c>
      <c r="F2998" s="76">
        <v>5.2299999999999997E-5</v>
      </c>
      <c r="G2998" s="76">
        <v>5.8E-5</v>
      </c>
      <c r="H2998" s="76">
        <v>9.3300000000000005E-5</v>
      </c>
      <c r="I2998" s="76">
        <v>6.2799999999999995E-5</v>
      </c>
      <c r="J2998" s="76">
        <v>1.45E-4</v>
      </c>
      <c r="K2998" s="76">
        <v>8.7700000000000004E-5</v>
      </c>
      <c r="L2998" s="76">
        <v>1.66E-4</v>
      </c>
      <c r="M2998" s="76">
        <v>2.3599999999999999E-4</v>
      </c>
    </row>
    <row r="2999" spans="3:13" x14ac:dyDescent="0.15">
      <c r="C2999" s="76">
        <v>702</v>
      </c>
      <c r="D2999" s="76">
        <v>2.1299999999999999E-5</v>
      </c>
      <c r="E2999" s="76">
        <v>1.5600000000000001E-6</v>
      </c>
      <c r="F2999" s="76">
        <v>4.88E-5</v>
      </c>
      <c r="G2999" s="76">
        <v>4.1499999999999999E-5</v>
      </c>
      <c r="H2999" s="76">
        <v>6.1400000000000002E-5</v>
      </c>
      <c r="I2999" s="76">
        <v>9.5099999999999994E-5</v>
      </c>
      <c r="J2999" s="76">
        <v>1.6100000000000001E-4</v>
      </c>
      <c r="K2999" s="76">
        <v>7.1500000000000003E-5</v>
      </c>
      <c r="L2999" s="76">
        <v>1.6899999999999999E-4</v>
      </c>
      <c r="M2999" s="76">
        <v>2.1100000000000001E-4</v>
      </c>
    </row>
    <row r="3000" spans="3:13" x14ac:dyDescent="0.15">
      <c r="C3000" s="76">
        <v>704</v>
      </c>
      <c r="D3000" s="76">
        <v>1.43E-5</v>
      </c>
      <c r="E3000" s="76">
        <v>0</v>
      </c>
      <c r="F3000" s="76">
        <v>3.2700000000000002E-5</v>
      </c>
      <c r="G3000" s="76">
        <v>5.5899999999999997E-5</v>
      </c>
      <c r="H3000" s="76">
        <v>5.8600000000000001E-5</v>
      </c>
      <c r="I3000" s="76">
        <v>6.8300000000000007E-5</v>
      </c>
      <c r="J3000" s="76">
        <v>1.26E-4</v>
      </c>
      <c r="K3000" s="76">
        <v>7.4900000000000005E-5</v>
      </c>
      <c r="L3000" s="76">
        <v>1.5100000000000001E-4</v>
      </c>
      <c r="M3000" s="76">
        <v>1.7200000000000001E-4</v>
      </c>
    </row>
    <row r="3001" spans="3:13" x14ac:dyDescent="0.15">
      <c r="C3001" s="76">
        <v>706</v>
      </c>
      <c r="D3001" s="76">
        <v>1.2999999999999999E-5</v>
      </c>
      <c r="E3001" s="76">
        <v>1.5099999999999999E-6</v>
      </c>
      <c r="F3001" s="76">
        <v>3.5899999999999998E-5</v>
      </c>
      <c r="G3001" s="76">
        <v>4.8999999999999998E-5</v>
      </c>
      <c r="H3001" s="76">
        <v>6.2700000000000006E-5</v>
      </c>
      <c r="I3001" s="76">
        <v>1.7900000000000001E-5</v>
      </c>
      <c r="J3001" s="76">
        <v>1.2400000000000001E-4</v>
      </c>
      <c r="K3001" s="76">
        <v>5.2500000000000002E-5</v>
      </c>
      <c r="L3001" s="76">
        <v>1.3999999999999999E-4</v>
      </c>
      <c r="M3001" s="76">
        <v>1.6000000000000001E-4</v>
      </c>
    </row>
    <row r="3002" spans="3:13" x14ac:dyDescent="0.15">
      <c r="C3002" s="76">
        <v>708</v>
      </c>
      <c r="D3002" s="76">
        <v>1.9000000000000001E-5</v>
      </c>
      <c r="E3002" s="76">
        <v>3.8E-6</v>
      </c>
      <c r="F3002" s="76">
        <v>3.26E-5</v>
      </c>
      <c r="G3002" s="76">
        <v>5.5000000000000002E-5</v>
      </c>
      <c r="H3002" s="76">
        <v>6.1600000000000007E-5</v>
      </c>
      <c r="I3002" s="76">
        <v>1.13E-5</v>
      </c>
      <c r="J3002" s="76">
        <v>1.3999999999999999E-4</v>
      </c>
      <c r="K3002" s="76">
        <v>7.9800000000000002E-5</v>
      </c>
      <c r="L3002" s="76">
        <v>2.1699999999999999E-4</v>
      </c>
      <c r="M3002" s="76">
        <v>2.1000000000000001E-4</v>
      </c>
    </row>
    <row r="3003" spans="3:13" x14ac:dyDescent="0.15">
      <c r="C3003" s="76">
        <v>710</v>
      </c>
      <c r="D3003" s="76">
        <v>8.9900000000000003E-6</v>
      </c>
      <c r="E3003" s="76">
        <v>7.9899999999999997E-6</v>
      </c>
      <c r="F3003" s="76">
        <v>1.8300000000000001E-5</v>
      </c>
      <c r="G3003" s="76">
        <v>8.8599999999999999E-5</v>
      </c>
      <c r="H3003" s="76">
        <v>1.26E-5</v>
      </c>
      <c r="I3003" s="76">
        <v>9.7399999999999999E-6</v>
      </c>
      <c r="J3003" s="76">
        <v>8.7000000000000001E-5</v>
      </c>
      <c r="K3003" s="76">
        <v>8.5799999999999998E-5</v>
      </c>
      <c r="L3003" s="76">
        <v>1.9799999999999999E-4</v>
      </c>
      <c r="M3003" s="76">
        <v>1.9100000000000001E-4</v>
      </c>
    </row>
    <row r="3004" spans="3:13" x14ac:dyDescent="0.15">
      <c r="C3004" s="76">
        <v>712</v>
      </c>
      <c r="D3004" s="76">
        <v>1.8099999999999999E-5</v>
      </c>
      <c r="E3004" s="76">
        <v>8.6700000000000002E-7</v>
      </c>
      <c r="F3004" s="76">
        <v>3.9499999999999998E-5</v>
      </c>
      <c r="G3004" s="76">
        <v>9.7E-5</v>
      </c>
      <c r="H3004" s="76">
        <v>8.7399999999999993E-6</v>
      </c>
      <c r="I3004" s="76">
        <v>4.4499999999999997E-5</v>
      </c>
      <c r="J3004" s="76">
        <v>8.7999999999999998E-5</v>
      </c>
      <c r="K3004" s="76">
        <v>1.0399999999999999E-4</v>
      </c>
      <c r="L3004" s="76">
        <v>1.74E-4</v>
      </c>
      <c r="M3004" s="76">
        <v>1.2799999999999999E-4</v>
      </c>
    </row>
    <row r="3005" spans="3:13" x14ac:dyDescent="0.15">
      <c r="C3005" s="76">
        <v>714</v>
      </c>
      <c r="D3005" s="76">
        <v>2.0999999999999999E-5</v>
      </c>
      <c r="E3005" s="76">
        <v>1.7799999999999999E-5</v>
      </c>
      <c r="F3005" s="76">
        <v>3.3699999999999999E-5</v>
      </c>
      <c r="G3005" s="76">
        <v>1.26E-4</v>
      </c>
      <c r="H3005" s="76">
        <v>2.3E-5</v>
      </c>
      <c r="I3005" s="76">
        <v>7.64E-5</v>
      </c>
      <c r="J3005" s="76">
        <v>7.9800000000000002E-5</v>
      </c>
      <c r="K3005" s="76">
        <v>1.75E-4</v>
      </c>
      <c r="L3005" s="76">
        <v>1.6100000000000001E-4</v>
      </c>
      <c r="M3005" s="76">
        <v>8.7600000000000002E-5</v>
      </c>
    </row>
    <row r="3006" spans="3:13" x14ac:dyDescent="0.15">
      <c r="C3006" s="76">
        <v>716</v>
      </c>
      <c r="D3006" s="76">
        <v>1.8899999999999999E-5</v>
      </c>
      <c r="E3006" s="76">
        <v>3.3300000000000003E-5</v>
      </c>
      <c r="F3006" s="76">
        <v>4.21E-5</v>
      </c>
      <c r="G3006" s="76">
        <v>6.6699999999999995E-5</v>
      </c>
      <c r="H3006" s="76">
        <v>2.3099999999999999E-5</v>
      </c>
      <c r="I3006" s="76">
        <v>0</v>
      </c>
      <c r="J3006" s="76">
        <v>3.6100000000000003E-5</v>
      </c>
      <c r="K3006" s="76">
        <v>9.5400000000000001E-5</v>
      </c>
      <c r="L3006" s="76">
        <v>2.41E-4</v>
      </c>
      <c r="M3006" s="76">
        <v>8.9499999999999994E-5</v>
      </c>
    </row>
    <row r="3007" spans="3:13" x14ac:dyDescent="0.15">
      <c r="C3007" s="76">
        <v>718</v>
      </c>
      <c r="D3007" s="76">
        <v>1.8E-5</v>
      </c>
      <c r="E3007" s="76">
        <v>1.7399999999999999E-5</v>
      </c>
      <c r="F3007" s="76">
        <v>3.8099999999999998E-5</v>
      </c>
      <c r="G3007" s="76">
        <v>5.8E-5</v>
      </c>
      <c r="H3007" s="76">
        <v>5.63E-5</v>
      </c>
      <c r="I3007" s="76">
        <v>5.6799999999999998E-6</v>
      </c>
      <c r="J3007" s="76">
        <v>3.1099999999999997E-5</v>
      </c>
      <c r="K3007" s="76">
        <v>8.3300000000000005E-5</v>
      </c>
      <c r="L3007" s="76">
        <v>1.02E-4</v>
      </c>
      <c r="M3007" s="76">
        <v>7.5400000000000003E-5</v>
      </c>
    </row>
    <row r="3008" spans="3:13" x14ac:dyDescent="0.15">
      <c r="C3008" s="76">
        <v>720</v>
      </c>
      <c r="D3008" s="76">
        <v>1.9599999999999999E-5</v>
      </c>
      <c r="E3008" s="76">
        <v>2.2500000000000001E-5</v>
      </c>
      <c r="F3008" s="76">
        <v>3.0000000000000001E-5</v>
      </c>
      <c r="G3008" s="76">
        <v>6.1400000000000002E-5</v>
      </c>
      <c r="H3008" s="76">
        <v>1.9700000000000001E-5</v>
      </c>
      <c r="I3008" s="76">
        <v>4.6499999999999999E-5</v>
      </c>
      <c r="J3008" s="76">
        <v>9.98E-5</v>
      </c>
      <c r="K3008" s="76">
        <v>1.3999999999999999E-4</v>
      </c>
      <c r="L3008" s="76">
        <v>1.47E-4</v>
      </c>
      <c r="M3008" s="76">
        <v>1.1E-4</v>
      </c>
    </row>
    <row r="3009" spans="3:13" x14ac:dyDescent="0.15">
      <c r="C3009" s="76">
        <v>722</v>
      </c>
      <c r="D3009" s="76">
        <v>2.27E-5</v>
      </c>
      <c r="E3009" s="76">
        <v>1.9599999999999999E-5</v>
      </c>
      <c r="F3009" s="76">
        <v>3.9799999999999998E-5</v>
      </c>
      <c r="G3009" s="76">
        <v>6.9300000000000004E-5</v>
      </c>
      <c r="H3009" s="76">
        <v>1.9599999999999999E-5</v>
      </c>
      <c r="I3009" s="76">
        <v>5.5099999999999998E-5</v>
      </c>
      <c r="J3009" s="76">
        <v>5.8600000000000001E-5</v>
      </c>
      <c r="K3009" s="76">
        <v>1.44E-4</v>
      </c>
      <c r="L3009" s="76">
        <v>1.9699999999999999E-4</v>
      </c>
      <c r="M3009" s="76">
        <v>8.7600000000000002E-5</v>
      </c>
    </row>
    <row r="3010" spans="3:13" x14ac:dyDescent="0.15">
      <c r="C3010" s="76">
        <v>724</v>
      </c>
      <c r="D3010" s="76">
        <v>1.9199999999999999E-5</v>
      </c>
      <c r="E3010" s="76">
        <v>2.8600000000000001E-5</v>
      </c>
      <c r="F3010" s="76">
        <v>3.7200000000000003E-5</v>
      </c>
      <c r="G3010" s="76">
        <v>7.8499999999999997E-5</v>
      </c>
      <c r="H3010" s="76">
        <v>6.0600000000000003E-5</v>
      </c>
      <c r="I3010" s="76">
        <v>2.3300000000000001E-5</v>
      </c>
      <c r="J3010" s="76">
        <v>2.44E-5</v>
      </c>
      <c r="K3010" s="76">
        <v>1.1900000000000001E-4</v>
      </c>
      <c r="L3010" s="76">
        <v>2.05E-4</v>
      </c>
      <c r="M3010" s="76">
        <v>9.87E-5</v>
      </c>
    </row>
    <row r="3011" spans="3:13" x14ac:dyDescent="0.15">
      <c r="C3011" s="76">
        <v>726</v>
      </c>
      <c r="D3011" s="76">
        <v>1.9700000000000001E-5</v>
      </c>
      <c r="E3011" s="76">
        <v>3.79E-5</v>
      </c>
      <c r="F3011" s="76">
        <v>2.3300000000000001E-5</v>
      </c>
      <c r="G3011" s="76">
        <v>3.65E-5</v>
      </c>
      <c r="H3011" s="76">
        <v>1.16E-4</v>
      </c>
      <c r="I3011" s="76">
        <v>8.5400000000000002E-5</v>
      </c>
      <c r="J3011" s="76">
        <v>2.1399999999999998E-5</v>
      </c>
      <c r="K3011" s="76">
        <v>1.1900000000000001E-4</v>
      </c>
      <c r="L3011" s="76">
        <v>2.3499999999999999E-4</v>
      </c>
      <c r="M3011" s="76">
        <v>1.3200000000000001E-4</v>
      </c>
    </row>
    <row r="3012" spans="3:13" x14ac:dyDescent="0.15">
      <c r="C3012" s="76">
        <v>728</v>
      </c>
      <c r="D3012" s="76">
        <v>1.2099999999999999E-5</v>
      </c>
      <c r="E3012" s="76">
        <v>3.1399999999999998E-5</v>
      </c>
      <c r="F3012" s="76">
        <v>1.8099999999999999E-5</v>
      </c>
      <c r="G3012" s="76">
        <v>4.6300000000000001E-5</v>
      </c>
      <c r="H3012" s="76">
        <v>6.6500000000000004E-5</v>
      </c>
      <c r="I3012" s="76">
        <v>2.6999999999999999E-5</v>
      </c>
      <c r="J3012" s="76">
        <v>4.1199999999999999E-5</v>
      </c>
      <c r="K3012" s="76">
        <v>1.8100000000000001E-4</v>
      </c>
      <c r="L3012" s="76">
        <v>2.5799999999999998E-4</v>
      </c>
      <c r="M3012" s="76">
        <v>1.1900000000000001E-4</v>
      </c>
    </row>
    <row r="3013" spans="3:13" x14ac:dyDescent="0.15">
      <c r="C3013" s="76">
        <v>730</v>
      </c>
      <c r="D3013" s="76">
        <v>6.81E-6</v>
      </c>
      <c r="E3013" s="76">
        <v>3.5599999999999998E-5</v>
      </c>
      <c r="F3013" s="76">
        <v>2.1999999999999999E-5</v>
      </c>
      <c r="G3013" s="76">
        <v>4.5800000000000002E-5</v>
      </c>
      <c r="H3013" s="76">
        <v>5.9200000000000002E-5</v>
      </c>
      <c r="I3013" s="76">
        <v>7.4800000000000002E-5</v>
      </c>
      <c r="J3013" s="76">
        <v>3.4799999999999999E-5</v>
      </c>
      <c r="K3013" s="76">
        <v>1.9000000000000001E-4</v>
      </c>
      <c r="L3013" s="76">
        <v>2.3800000000000001E-4</v>
      </c>
      <c r="M3013" s="76">
        <v>7.25E-5</v>
      </c>
    </row>
    <row r="3014" spans="3:13" x14ac:dyDescent="0.15">
      <c r="C3014" s="76">
        <v>732</v>
      </c>
      <c r="D3014" s="76">
        <v>3.9700000000000001E-6</v>
      </c>
      <c r="E3014" s="76">
        <v>3.0199999999999999E-5</v>
      </c>
      <c r="F3014" s="76">
        <v>5.4099999999999999E-6</v>
      </c>
      <c r="G3014" s="76">
        <v>6.3100000000000002E-5</v>
      </c>
      <c r="H3014" s="76">
        <v>7.9200000000000001E-5</v>
      </c>
      <c r="I3014" s="76">
        <v>7.3499999999999998E-5</v>
      </c>
      <c r="J3014" s="76">
        <v>2.3E-5</v>
      </c>
      <c r="K3014" s="76">
        <v>1.4200000000000001E-4</v>
      </c>
      <c r="L3014" s="76">
        <v>2.3599999999999999E-4</v>
      </c>
      <c r="M3014" s="76">
        <v>1.1900000000000001E-4</v>
      </c>
    </row>
    <row r="3015" spans="3:13" x14ac:dyDescent="0.15">
      <c r="C3015" s="76">
        <v>734</v>
      </c>
      <c r="D3015" s="76">
        <v>5.7400000000000001E-6</v>
      </c>
      <c r="E3015" s="76">
        <v>4.7200000000000002E-5</v>
      </c>
      <c r="F3015" s="76">
        <v>7.0099999999999996E-5</v>
      </c>
      <c r="G3015" s="76">
        <v>6.1199999999999997E-5</v>
      </c>
      <c r="H3015" s="76">
        <v>4.74E-5</v>
      </c>
      <c r="I3015" s="76">
        <v>1.2799999999999999E-4</v>
      </c>
      <c r="J3015" s="76">
        <v>1.5500000000000001E-5</v>
      </c>
      <c r="K3015" s="76">
        <v>1.9900000000000001E-4</v>
      </c>
      <c r="L3015" s="76">
        <v>2.1699999999999999E-4</v>
      </c>
      <c r="M3015" s="76">
        <v>1.6000000000000001E-4</v>
      </c>
    </row>
    <row r="3016" spans="3:13" x14ac:dyDescent="0.15">
      <c r="C3016" s="76">
        <v>736</v>
      </c>
      <c r="D3016" s="76">
        <v>7.61E-6</v>
      </c>
      <c r="E3016" s="76">
        <v>4.4400000000000002E-5</v>
      </c>
      <c r="F3016" s="76">
        <v>5.8100000000000003E-6</v>
      </c>
      <c r="G3016" s="76">
        <v>5.1499999999999998E-5</v>
      </c>
      <c r="H3016" s="76">
        <v>3.3899999999999997E-5</v>
      </c>
      <c r="I3016" s="76">
        <v>1.2799999999999999E-4</v>
      </c>
      <c r="J3016" s="76">
        <v>1.17E-4</v>
      </c>
      <c r="K3016" s="76">
        <v>1.9799999999999999E-4</v>
      </c>
      <c r="L3016" s="76">
        <v>2.5000000000000001E-4</v>
      </c>
      <c r="M3016" s="76">
        <v>1.25E-4</v>
      </c>
    </row>
    <row r="3017" spans="3:13" x14ac:dyDescent="0.15">
      <c r="C3017" s="76">
        <v>738</v>
      </c>
      <c r="D3017" s="76">
        <v>5.0499999999999999E-6</v>
      </c>
      <c r="E3017" s="76">
        <v>5.1999999999999997E-5</v>
      </c>
      <c r="F3017" s="76">
        <v>9.5200000000000003E-6</v>
      </c>
      <c r="G3017" s="76">
        <v>4.7800000000000003E-5</v>
      </c>
      <c r="H3017" s="76">
        <v>5.4500000000000003E-5</v>
      </c>
      <c r="I3017" s="76">
        <v>1.27E-4</v>
      </c>
      <c r="J3017" s="76">
        <v>8.0400000000000003E-5</v>
      </c>
      <c r="K3017" s="76">
        <v>1.37E-4</v>
      </c>
      <c r="L3017" s="76">
        <v>2.5399999999999999E-4</v>
      </c>
      <c r="M3017" s="76">
        <v>1.46E-4</v>
      </c>
    </row>
    <row r="3018" spans="3:13" x14ac:dyDescent="0.15">
      <c r="C3018" s="76">
        <v>740</v>
      </c>
      <c r="D3018" s="76">
        <v>0</v>
      </c>
      <c r="E3018" s="76">
        <v>4.0800000000000002E-5</v>
      </c>
      <c r="F3018" s="76">
        <v>1.7399999999999999E-5</v>
      </c>
      <c r="G3018" s="76">
        <v>2.6999999999999999E-5</v>
      </c>
      <c r="H3018" s="76">
        <v>5.4700000000000001E-5</v>
      </c>
      <c r="I3018" s="76">
        <v>1.2400000000000001E-4</v>
      </c>
      <c r="J3018" s="76">
        <v>8.1000000000000004E-5</v>
      </c>
      <c r="K3018" s="76">
        <v>1.11E-4</v>
      </c>
      <c r="L3018" s="76">
        <v>1.03E-4</v>
      </c>
      <c r="M3018" s="76">
        <v>1.75E-4</v>
      </c>
    </row>
    <row r="3019" spans="3:13" x14ac:dyDescent="0.15">
      <c r="C3019" s="76">
        <v>742</v>
      </c>
      <c r="D3019" s="76">
        <v>1.13E-5</v>
      </c>
      <c r="E3019" s="76">
        <v>4.85E-5</v>
      </c>
      <c r="F3019" s="76">
        <v>1.43E-5</v>
      </c>
      <c r="G3019" s="76">
        <v>7.8200000000000003E-5</v>
      </c>
      <c r="H3019" s="76">
        <v>5.0000000000000002E-5</v>
      </c>
      <c r="I3019" s="76">
        <v>1.02E-4</v>
      </c>
      <c r="J3019" s="76">
        <v>1.2300000000000001E-4</v>
      </c>
      <c r="K3019" s="76">
        <v>1.06E-4</v>
      </c>
      <c r="L3019" s="76">
        <v>2.43E-4</v>
      </c>
      <c r="M3019" s="76">
        <v>1.0900000000000001E-4</v>
      </c>
    </row>
    <row r="3020" spans="3:13" x14ac:dyDescent="0.15">
      <c r="C3020" s="76">
        <v>744</v>
      </c>
      <c r="D3020" s="76">
        <v>1.2099999999999999E-5</v>
      </c>
      <c r="E3020" s="76">
        <v>5.1999999999999997E-5</v>
      </c>
      <c r="F3020" s="76">
        <v>1.19E-5</v>
      </c>
      <c r="G3020" s="76">
        <v>1.0200000000000001E-5</v>
      </c>
      <c r="H3020" s="76">
        <v>5.5699999999999999E-5</v>
      </c>
      <c r="I3020" s="76">
        <v>1.47E-4</v>
      </c>
      <c r="J3020" s="76">
        <v>1.2400000000000001E-4</v>
      </c>
      <c r="K3020" s="76">
        <v>1.1400000000000001E-4</v>
      </c>
      <c r="L3020" s="76">
        <v>2.72E-4</v>
      </c>
      <c r="M3020" s="76">
        <v>1.22E-4</v>
      </c>
    </row>
    <row r="3021" spans="3:13" x14ac:dyDescent="0.15">
      <c r="C3021" s="76">
        <v>746</v>
      </c>
      <c r="D3021" s="76">
        <v>1.22E-5</v>
      </c>
      <c r="E3021" s="76">
        <v>5.9299999999999998E-5</v>
      </c>
      <c r="F3021" s="76">
        <v>2.7100000000000001E-5</v>
      </c>
      <c r="G3021" s="76">
        <v>2.0100000000000001E-5</v>
      </c>
      <c r="H3021" s="76">
        <v>8.4599999999999996E-5</v>
      </c>
      <c r="I3021" s="76">
        <v>2.12E-4</v>
      </c>
      <c r="J3021" s="76">
        <v>1.6000000000000001E-4</v>
      </c>
      <c r="K3021" s="76">
        <v>1.16E-4</v>
      </c>
      <c r="L3021" s="76">
        <v>2.1800000000000001E-4</v>
      </c>
      <c r="M3021" s="76">
        <v>1.64E-4</v>
      </c>
    </row>
    <row r="3022" spans="3:13" x14ac:dyDescent="0.15">
      <c r="C3022" s="76">
        <v>748</v>
      </c>
      <c r="D3022" s="76">
        <v>2.4600000000000002E-6</v>
      </c>
      <c r="E3022" s="76">
        <v>4.6699999999999997E-5</v>
      </c>
      <c r="F3022" s="76">
        <v>1.8499999999999999E-5</v>
      </c>
      <c r="G3022" s="76">
        <v>9.09E-5</v>
      </c>
      <c r="H3022" s="76">
        <v>3.8500000000000001E-5</v>
      </c>
      <c r="I3022" s="76">
        <v>1.84E-4</v>
      </c>
      <c r="J3022" s="76">
        <v>7.2100000000000004E-5</v>
      </c>
      <c r="K3022" s="76">
        <v>2.2799999999999999E-5</v>
      </c>
      <c r="L3022" s="76">
        <v>2.63E-4</v>
      </c>
      <c r="M3022" s="76">
        <v>2.4899999999999998E-4</v>
      </c>
    </row>
    <row r="3023" spans="3:13" x14ac:dyDescent="0.15">
      <c r="C3023" s="76">
        <v>750</v>
      </c>
      <c r="D3023" s="76">
        <v>5.48E-6</v>
      </c>
      <c r="E3023" s="76">
        <v>4.5300000000000003E-5</v>
      </c>
      <c r="F3023" s="76">
        <v>1.6200000000000001E-5</v>
      </c>
      <c r="G3023" s="76">
        <v>9.02E-6</v>
      </c>
      <c r="H3023" s="76">
        <v>4.8999999999999998E-5</v>
      </c>
      <c r="I3023" s="76">
        <v>1.7899999999999999E-4</v>
      </c>
      <c r="J3023" s="76">
        <v>1.01E-4</v>
      </c>
      <c r="K3023" s="76">
        <v>1.64E-4</v>
      </c>
      <c r="L3023" s="76">
        <v>2.3699999999999999E-4</v>
      </c>
      <c r="M3023" s="76">
        <v>2.03E-4</v>
      </c>
    </row>
    <row r="3024" spans="3:13" x14ac:dyDescent="0.15">
      <c r="C3024" s="76">
        <v>752</v>
      </c>
      <c r="D3024" s="76">
        <v>7.1800000000000005E-7</v>
      </c>
      <c r="E3024" s="76">
        <v>3.6999999999999998E-5</v>
      </c>
      <c r="F3024" s="76">
        <v>1.9400000000000001E-5</v>
      </c>
      <c r="G3024" s="76">
        <v>1.6900000000000001E-5</v>
      </c>
      <c r="H3024" s="76">
        <v>8.3300000000000005E-5</v>
      </c>
      <c r="I3024" s="76">
        <v>1.73E-4</v>
      </c>
      <c r="J3024" s="76">
        <v>5.8999999999999998E-5</v>
      </c>
      <c r="K3024" s="76">
        <v>1.06E-4</v>
      </c>
      <c r="L3024" s="76">
        <v>2.4899999999999998E-4</v>
      </c>
      <c r="M3024" s="76">
        <v>1.8799999999999999E-4</v>
      </c>
    </row>
    <row r="3025" spans="2:13" x14ac:dyDescent="0.15">
      <c r="C3025" s="76">
        <v>754</v>
      </c>
      <c r="D3025" s="76">
        <v>4.1899999999999997E-6</v>
      </c>
      <c r="E3025" s="76">
        <v>7.4900000000000005E-5</v>
      </c>
      <c r="F3025" s="76">
        <v>1.0000000000000001E-5</v>
      </c>
      <c r="G3025" s="76">
        <v>2.05E-5</v>
      </c>
      <c r="H3025" s="76">
        <v>7.2600000000000003E-5</v>
      </c>
      <c r="I3025" s="76">
        <v>1.9799999999999999E-4</v>
      </c>
      <c r="J3025" s="76">
        <v>1.0900000000000001E-4</v>
      </c>
      <c r="K3025" s="76">
        <v>9.5600000000000006E-5</v>
      </c>
      <c r="L3025" s="76">
        <v>1.9699999999999999E-4</v>
      </c>
      <c r="M3025" s="76">
        <v>1.8000000000000001E-4</v>
      </c>
    </row>
    <row r="3026" spans="2:13" x14ac:dyDescent="0.15">
      <c r="C3026" s="76">
        <v>756</v>
      </c>
      <c r="D3026" s="76">
        <v>3.7799999999999998E-6</v>
      </c>
      <c r="E3026" s="76">
        <v>4.3399999999999998E-5</v>
      </c>
      <c r="F3026" s="76">
        <v>2.83E-5</v>
      </c>
      <c r="G3026" s="76">
        <v>1.9599999999999999E-5</v>
      </c>
      <c r="H3026" s="76">
        <v>6.6000000000000005E-5</v>
      </c>
      <c r="I3026" s="76">
        <v>1.66E-4</v>
      </c>
      <c r="J3026" s="76">
        <v>1.5799999999999999E-4</v>
      </c>
      <c r="K3026" s="76">
        <v>7.7399999999999998E-5</v>
      </c>
      <c r="L3026" s="76">
        <v>1.6699999999999999E-4</v>
      </c>
      <c r="M3026" s="76">
        <v>2.0900000000000001E-4</v>
      </c>
    </row>
    <row r="3027" spans="2:13" x14ac:dyDescent="0.15">
      <c r="C3027" s="76">
        <v>758</v>
      </c>
      <c r="D3027" s="76">
        <v>1.7999999999999999E-6</v>
      </c>
      <c r="E3027" s="76">
        <v>3.5800000000000003E-5</v>
      </c>
      <c r="F3027" s="76">
        <v>5.4199999999999998E-6</v>
      </c>
      <c r="G3027" s="76">
        <v>4.69E-6</v>
      </c>
      <c r="H3027" s="76">
        <v>6.0099999999999997E-5</v>
      </c>
      <c r="I3027" s="76">
        <v>1.34E-4</v>
      </c>
      <c r="J3027" s="76">
        <v>1.35E-4</v>
      </c>
      <c r="K3027" s="76">
        <v>8.7399999999999997E-5</v>
      </c>
      <c r="L3027" s="76">
        <v>1.45E-4</v>
      </c>
      <c r="M3027" s="76">
        <v>1.7699999999999999E-4</v>
      </c>
    </row>
    <row r="3028" spans="2:13" x14ac:dyDescent="0.15">
      <c r="C3028" s="76">
        <v>760</v>
      </c>
      <c r="D3028" s="76">
        <v>1.75E-6</v>
      </c>
      <c r="E3028" s="76">
        <v>3.0800000000000003E-5</v>
      </c>
      <c r="F3028" s="76">
        <v>4.2899999999999999E-5</v>
      </c>
      <c r="G3028" s="76">
        <v>1.5800000000000001E-5</v>
      </c>
      <c r="H3028" s="76">
        <v>1.12E-4</v>
      </c>
      <c r="I3028" s="76">
        <v>9.2299999999999994E-5</v>
      </c>
      <c r="J3028" s="76">
        <v>1.95E-4</v>
      </c>
      <c r="K3028" s="76">
        <v>1.03E-4</v>
      </c>
      <c r="L3028" s="76">
        <v>2.2900000000000001E-4</v>
      </c>
      <c r="M3028" s="76">
        <v>1.2400000000000001E-4</v>
      </c>
    </row>
    <row r="3029" spans="2:13" x14ac:dyDescent="0.15">
      <c r="C3029" s="76">
        <v>762</v>
      </c>
      <c r="D3029" s="76">
        <v>9.0899999999999994E-6</v>
      </c>
      <c r="E3029" s="76">
        <v>2.7800000000000001E-5</v>
      </c>
      <c r="F3029" s="76">
        <v>3.5299999999999997E-5</v>
      </c>
      <c r="G3029" s="76">
        <v>6.5300000000000002E-6</v>
      </c>
      <c r="H3029" s="76">
        <v>9.4400000000000004E-5</v>
      </c>
      <c r="I3029" s="76">
        <v>1.44E-4</v>
      </c>
      <c r="J3029" s="76">
        <v>1.2400000000000001E-4</v>
      </c>
      <c r="K3029" s="76">
        <v>1.2400000000000001E-4</v>
      </c>
      <c r="L3029" s="76">
        <v>1.7200000000000001E-4</v>
      </c>
      <c r="M3029" s="76">
        <v>1.55E-4</v>
      </c>
    </row>
    <row r="3030" spans="2:13" x14ac:dyDescent="0.15">
      <c r="C3030" s="76">
        <v>764</v>
      </c>
      <c r="D3030" s="76">
        <v>9.9199999999999999E-6</v>
      </c>
      <c r="E3030" s="76">
        <v>1.8899999999999999E-5</v>
      </c>
      <c r="F3030" s="76">
        <v>1.0699999999999999E-5</v>
      </c>
      <c r="G3030" s="76">
        <v>4.6100000000000002E-5</v>
      </c>
      <c r="H3030" s="76">
        <v>8.3900000000000006E-5</v>
      </c>
      <c r="I3030" s="76">
        <v>1.08E-4</v>
      </c>
      <c r="J3030" s="76">
        <v>1.2999999999999999E-4</v>
      </c>
      <c r="K3030" s="76">
        <v>2.0900000000000001E-4</v>
      </c>
      <c r="L3030" s="76">
        <v>2.6600000000000001E-4</v>
      </c>
      <c r="M3030" s="76">
        <v>1.46E-4</v>
      </c>
    </row>
    <row r="3031" spans="2:13" x14ac:dyDescent="0.15">
      <c r="C3031" s="76">
        <v>766</v>
      </c>
      <c r="D3031" s="76">
        <v>1.63E-5</v>
      </c>
      <c r="E3031" s="76">
        <v>2.2399999999999999E-5</v>
      </c>
      <c r="F3031" s="76">
        <v>2.44E-5</v>
      </c>
      <c r="G3031" s="76">
        <v>3.1199999999999999E-5</v>
      </c>
      <c r="H3031" s="76">
        <v>1.35E-4</v>
      </c>
      <c r="I3031" s="76">
        <v>6.1099999999999994E-5</v>
      </c>
      <c r="J3031" s="76">
        <v>8.3700000000000002E-5</v>
      </c>
      <c r="K3031" s="76">
        <v>1.4200000000000001E-4</v>
      </c>
      <c r="L3031" s="76">
        <v>2.1000000000000001E-4</v>
      </c>
      <c r="M3031" s="76">
        <v>1.0900000000000001E-4</v>
      </c>
    </row>
    <row r="3032" spans="2:13" x14ac:dyDescent="0.15">
      <c r="C3032" s="76">
        <v>768</v>
      </c>
      <c r="D3032" s="76">
        <v>1.5500000000000001E-5</v>
      </c>
      <c r="E3032" s="76">
        <v>1.9599999999999999E-5</v>
      </c>
      <c r="F3032" s="76">
        <v>2.4700000000000001E-5</v>
      </c>
      <c r="G3032" s="76">
        <v>5.0000000000000002E-5</v>
      </c>
      <c r="H3032" s="76">
        <v>1.8699999999999999E-4</v>
      </c>
      <c r="I3032" s="76">
        <v>5.5600000000000003E-5</v>
      </c>
      <c r="J3032" s="76">
        <v>1.2400000000000001E-4</v>
      </c>
      <c r="K3032" s="76">
        <v>1.1900000000000001E-4</v>
      </c>
      <c r="L3032" s="76">
        <v>2.4000000000000001E-4</v>
      </c>
      <c r="M3032" s="76">
        <v>9.5299999999999999E-5</v>
      </c>
    </row>
    <row r="3033" spans="2:13" x14ac:dyDescent="0.15">
      <c r="C3033" s="76">
        <v>770</v>
      </c>
      <c r="D3033" s="76">
        <v>1.1600000000000001E-5</v>
      </c>
      <c r="E3033" s="76">
        <v>3.5200000000000002E-5</v>
      </c>
      <c r="F3033" s="76">
        <v>9.1400000000000006E-6</v>
      </c>
      <c r="G3033" s="76">
        <v>5.2099999999999999E-5</v>
      </c>
      <c r="H3033" s="76">
        <v>1.9900000000000001E-4</v>
      </c>
      <c r="I3033" s="76">
        <v>2.23E-5</v>
      </c>
      <c r="J3033" s="76">
        <v>1.5100000000000001E-4</v>
      </c>
      <c r="K3033" s="76">
        <v>1.08E-4</v>
      </c>
      <c r="L3033" s="76">
        <v>1.8100000000000001E-4</v>
      </c>
      <c r="M3033" s="76">
        <v>8.7700000000000004E-5</v>
      </c>
    </row>
    <row r="3034" spans="2:13" x14ac:dyDescent="0.15">
      <c r="C3034" s="76">
        <v>772</v>
      </c>
      <c r="D3034" s="76">
        <v>1.7799999999999999E-5</v>
      </c>
      <c r="E3034" s="76">
        <v>2.97E-5</v>
      </c>
      <c r="F3034" s="76">
        <v>5.1799999999999999E-5</v>
      </c>
      <c r="G3034" s="76">
        <v>5.3199999999999999E-5</v>
      </c>
      <c r="H3034" s="76">
        <v>1.65E-4</v>
      </c>
      <c r="I3034" s="76">
        <v>5.3499999999999999E-5</v>
      </c>
      <c r="J3034" s="76">
        <v>1E-4</v>
      </c>
      <c r="K3034" s="76">
        <v>9.0299999999999999E-5</v>
      </c>
      <c r="L3034" s="76">
        <v>1.3999999999999999E-4</v>
      </c>
      <c r="M3034" s="76">
        <v>1.4300000000000001E-4</v>
      </c>
    </row>
    <row r="3035" spans="2:13" x14ac:dyDescent="0.15">
      <c r="C3035" s="76">
        <v>774</v>
      </c>
      <c r="D3035" s="76">
        <v>1.95E-5</v>
      </c>
      <c r="E3035" s="76">
        <v>2.51E-5</v>
      </c>
      <c r="F3035" s="76">
        <v>5.91E-5</v>
      </c>
      <c r="G3035" s="76">
        <v>3.6399999999999997E-5</v>
      </c>
      <c r="H3035" s="76">
        <v>1.4200000000000001E-4</v>
      </c>
      <c r="I3035" s="76">
        <v>0</v>
      </c>
      <c r="J3035" s="76">
        <v>1.17E-4</v>
      </c>
      <c r="K3035" s="76">
        <v>9.6399999999999999E-5</v>
      </c>
      <c r="L3035" s="76">
        <v>1.7799999999999999E-4</v>
      </c>
      <c r="M3035" s="76">
        <v>1.12E-4</v>
      </c>
    </row>
    <row r="3036" spans="2:13" x14ac:dyDescent="0.15">
      <c r="C3036" s="76">
        <v>776</v>
      </c>
      <c r="D3036" s="76">
        <v>2.02E-5</v>
      </c>
      <c r="E3036" s="76">
        <v>2.8600000000000001E-5</v>
      </c>
      <c r="F3036" s="76">
        <v>4.7800000000000003E-5</v>
      </c>
      <c r="G3036" s="76">
        <v>5.3399999999999997E-5</v>
      </c>
      <c r="H3036" s="76">
        <v>1.25E-4</v>
      </c>
      <c r="I3036" s="76">
        <v>1.4E-5</v>
      </c>
      <c r="J3036" s="76">
        <v>1.4999999999999999E-4</v>
      </c>
      <c r="K3036" s="76">
        <v>1.84E-4</v>
      </c>
      <c r="L3036" s="76">
        <v>7.36E-5</v>
      </c>
      <c r="M3036" s="76">
        <v>8.8399999999999994E-5</v>
      </c>
    </row>
    <row r="3037" spans="2:13" x14ac:dyDescent="0.15">
      <c r="C3037" s="76">
        <v>778</v>
      </c>
      <c r="D3037" s="76">
        <v>1.7399999999999999E-5</v>
      </c>
      <c r="E3037" s="76">
        <v>2.7900000000000001E-5</v>
      </c>
      <c r="F3037" s="76">
        <v>1.84E-5</v>
      </c>
      <c r="G3037" s="76">
        <v>5.1600000000000001E-5</v>
      </c>
      <c r="H3037" s="76">
        <v>1.47E-4</v>
      </c>
      <c r="I3037" s="76">
        <v>2.4899999999999999E-5</v>
      </c>
      <c r="J3037" s="76">
        <v>1.2899999999999999E-4</v>
      </c>
      <c r="K3037" s="76">
        <v>1.8000000000000001E-4</v>
      </c>
      <c r="L3037" s="76">
        <v>9.2E-5</v>
      </c>
      <c r="M3037" s="76">
        <v>1.2300000000000001E-4</v>
      </c>
    </row>
    <row r="3038" spans="2:13" x14ac:dyDescent="0.15">
      <c r="C3038" s="76">
        <v>780</v>
      </c>
      <c r="D3038" s="76">
        <v>1.9000000000000001E-5</v>
      </c>
      <c r="E3038" s="120">
        <v>8.8200000000000003E-6</v>
      </c>
      <c r="F3038" s="76">
        <v>3.1300000000000002E-5</v>
      </c>
      <c r="G3038" s="76">
        <v>3.5500000000000002E-5</v>
      </c>
      <c r="H3038" s="76">
        <v>1.45E-4</v>
      </c>
      <c r="I3038" s="76">
        <v>0</v>
      </c>
      <c r="J3038" s="76">
        <v>1.7799999999999999E-4</v>
      </c>
      <c r="K3038" s="76">
        <v>9.8599999999999998E-5</v>
      </c>
      <c r="L3038" s="76">
        <v>4.8399999999999997E-5</v>
      </c>
      <c r="M3038" s="76">
        <v>4.3099999999999997E-5</v>
      </c>
    </row>
    <row r="3039" spans="2:13" x14ac:dyDescent="0.15">
      <c r="B3039" s="76">
        <v>35</v>
      </c>
      <c r="C3039" s="76" t="s">
        <v>561</v>
      </c>
      <c r="D3039" s="76">
        <v>1</v>
      </c>
      <c r="E3039" s="76">
        <v>2</v>
      </c>
      <c r="F3039" s="76">
        <v>3</v>
      </c>
      <c r="G3039" s="76">
        <v>4</v>
      </c>
      <c r="H3039" s="76">
        <v>5</v>
      </c>
      <c r="I3039" s="76">
        <v>6</v>
      </c>
      <c r="J3039" s="76">
        <v>7</v>
      </c>
      <c r="K3039" s="76">
        <v>8</v>
      </c>
      <c r="L3039" s="76">
        <v>9</v>
      </c>
      <c r="M3039" s="76">
        <v>10</v>
      </c>
    </row>
    <row r="3040" spans="2:13" x14ac:dyDescent="0.15">
      <c r="C3040" s="76" t="s">
        <v>556</v>
      </c>
      <c r="D3040" s="76">
        <v>3.5659999999999998</v>
      </c>
      <c r="E3040" s="76">
        <v>3.702</v>
      </c>
      <c r="F3040" s="76">
        <v>3.7970000000000002</v>
      </c>
      <c r="G3040" s="76">
        <v>3.875</v>
      </c>
      <c r="H3040" s="76">
        <v>3.9430000000000001</v>
      </c>
      <c r="I3040" s="76">
        <v>4.0030000000000001</v>
      </c>
      <c r="J3040" s="76">
        <v>4.0579999999999998</v>
      </c>
      <c r="K3040" s="76">
        <v>4.1079999999999997</v>
      </c>
      <c r="L3040" s="76">
        <v>4.1550000000000002</v>
      </c>
      <c r="M3040" s="76">
        <v>4.1989999999999998</v>
      </c>
    </row>
    <row r="3041" spans="3:13" x14ac:dyDescent="0.15">
      <c r="C3041" s="76" t="s">
        <v>562</v>
      </c>
      <c r="D3041" s="76">
        <v>0.08</v>
      </c>
      <c r="E3041" s="76">
        <v>0.16</v>
      </c>
      <c r="F3041" s="76">
        <v>0.24</v>
      </c>
      <c r="G3041" s="76">
        <v>0.32</v>
      </c>
      <c r="H3041" s="76">
        <v>0.4</v>
      </c>
      <c r="I3041" s="76">
        <v>0.48</v>
      </c>
      <c r="J3041" s="76">
        <v>0.56000000000000005</v>
      </c>
      <c r="K3041" s="76">
        <v>0.64</v>
      </c>
      <c r="L3041" s="76">
        <v>0.72</v>
      </c>
      <c r="M3041" s="76">
        <v>0.8</v>
      </c>
    </row>
    <row r="3042" spans="3:13" x14ac:dyDescent="0.15">
      <c r="C3042" s="76" t="s">
        <v>557</v>
      </c>
      <c r="D3042" s="76">
        <v>2</v>
      </c>
      <c r="E3042" s="76">
        <v>4</v>
      </c>
      <c r="F3042" s="76">
        <v>6</v>
      </c>
      <c r="G3042" s="76">
        <v>8</v>
      </c>
      <c r="H3042" s="76">
        <v>10</v>
      </c>
      <c r="I3042" s="76">
        <v>12</v>
      </c>
      <c r="J3042" s="76">
        <v>14</v>
      </c>
      <c r="K3042" s="76">
        <v>16</v>
      </c>
      <c r="L3042" s="76">
        <v>18</v>
      </c>
      <c r="M3042" s="76">
        <v>20</v>
      </c>
    </row>
    <row r="3043" spans="3:13" x14ac:dyDescent="0.15">
      <c r="C3043" s="76" t="s">
        <v>560</v>
      </c>
      <c r="D3043" s="76">
        <v>8.2799999999999994</v>
      </c>
      <c r="E3043" s="76">
        <v>8.4670000000000005</v>
      </c>
      <c r="F3043" s="76">
        <v>8.4909999999999997</v>
      </c>
      <c r="G3043" s="76">
        <v>8.484</v>
      </c>
      <c r="H3043" s="76">
        <v>8.4719999999999995</v>
      </c>
      <c r="I3043" s="76">
        <v>8.4659999999999993</v>
      </c>
      <c r="J3043" s="76">
        <v>8.4420000000000002</v>
      </c>
      <c r="K3043" s="76">
        <v>8.4369999999999994</v>
      </c>
      <c r="L3043" s="76">
        <v>8.4169999999999998</v>
      </c>
      <c r="M3043" s="76">
        <v>8.4</v>
      </c>
    </row>
    <row r="3044" spans="3:13" x14ac:dyDescent="0.15">
      <c r="C3044" s="76" t="s">
        <v>563</v>
      </c>
      <c r="D3044" s="76">
        <v>7.2937950000000003</v>
      </c>
      <c r="E3044" s="76">
        <v>7.1855390000000003</v>
      </c>
      <c r="F3044" s="76">
        <v>7.0249839999999999</v>
      </c>
      <c r="G3044" s="76">
        <v>6.8783690000000002</v>
      </c>
      <c r="H3044" s="76">
        <v>6.7509480000000002</v>
      </c>
      <c r="I3044" s="76">
        <v>6.6448510000000001</v>
      </c>
      <c r="J3044" s="76">
        <v>6.5365729999999997</v>
      </c>
      <c r="K3044" s="76">
        <v>6.452305</v>
      </c>
      <c r="L3044" s="76">
        <v>6.363683</v>
      </c>
      <c r="M3044" s="76">
        <v>6.28505</v>
      </c>
    </row>
    <row r="3045" spans="3:13" x14ac:dyDescent="0.15">
      <c r="C3045" s="76" t="s">
        <v>564</v>
      </c>
      <c r="D3045" s="76">
        <v>165.6</v>
      </c>
      <c r="E3045" s="120">
        <v>338.7</v>
      </c>
      <c r="F3045" s="76">
        <v>509.5</v>
      </c>
      <c r="G3045" s="76">
        <v>678.8</v>
      </c>
      <c r="H3045" s="76">
        <v>847.3</v>
      </c>
      <c r="I3045" s="76">
        <v>1016</v>
      </c>
      <c r="J3045" s="76">
        <v>1182</v>
      </c>
      <c r="K3045" s="76">
        <v>1350</v>
      </c>
      <c r="L3045" s="120">
        <v>1515</v>
      </c>
      <c r="M3045" s="76">
        <v>1680</v>
      </c>
    </row>
    <row r="3046" spans="3:13" x14ac:dyDescent="0.15">
      <c r="C3046" s="76" t="s">
        <v>565</v>
      </c>
      <c r="D3046" s="76">
        <v>165.6</v>
      </c>
      <c r="E3046" s="120">
        <v>338.7</v>
      </c>
      <c r="F3046" s="76">
        <v>509.5</v>
      </c>
      <c r="G3046" s="76">
        <v>678.8</v>
      </c>
      <c r="H3046" s="76">
        <v>847.3</v>
      </c>
      <c r="I3046" s="76">
        <v>1016</v>
      </c>
      <c r="J3046" s="76">
        <v>1182</v>
      </c>
      <c r="K3046" s="76">
        <v>1350</v>
      </c>
      <c r="L3046" s="120">
        <v>1515</v>
      </c>
      <c r="M3046" s="76">
        <v>1680</v>
      </c>
    </row>
    <row r="3047" spans="3:13" x14ac:dyDescent="0.15">
      <c r="C3047" s="76" t="s">
        <v>566</v>
      </c>
      <c r="D3047" s="76">
        <v>0.1356</v>
      </c>
      <c r="E3047" s="76">
        <v>0.13539999999999999</v>
      </c>
      <c r="F3047" s="76">
        <v>0.13539999999999999</v>
      </c>
      <c r="G3047" s="76">
        <v>0.13550000000000001</v>
      </c>
      <c r="H3047" s="76">
        <v>0.13550000000000001</v>
      </c>
      <c r="I3047" s="76">
        <v>0.13550000000000001</v>
      </c>
      <c r="J3047" s="76">
        <v>0.13550000000000001</v>
      </c>
      <c r="K3047" s="76">
        <v>0.13550000000000001</v>
      </c>
      <c r="L3047" s="120">
        <v>0.13550000000000001</v>
      </c>
      <c r="M3047" s="76">
        <v>0.13550000000000001</v>
      </c>
    </row>
    <row r="3048" spans="3:13" x14ac:dyDescent="0.15">
      <c r="C3048" s="76" t="s">
        <v>567</v>
      </c>
      <c r="D3048" s="76">
        <v>0.11749999999999999</v>
      </c>
      <c r="E3048" s="76">
        <v>0.11749999999999999</v>
      </c>
      <c r="F3048" s="76">
        <v>0.1174</v>
      </c>
      <c r="G3048" s="76">
        <v>0.1172</v>
      </c>
      <c r="H3048" s="76">
        <v>0.1172</v>
      </c>
      <c r="I3048" s="76">
        <v>0.1172</v>
      </c>
      <c r="J3048" s="76">
        <v>0.1171</v>
      </c>
      <c r="K3048" s="76">
        <v>0.1172</v>
      </c>
      <c r="L3048" s="120">
        <v>0.1171</v>
      </c>
      <c r="M3048" s="76">
        <v>0.1171</v>
      </c>
    </row>
    <row r="3049" spans="3:13" x14ac:dyDescent="0.15">
      <c r="C3049" s="76" t="s">
        <v>568</v>
      </c>
      <c r="D3049" s="76">
        <v>9.1844999999999999</v>
      </c>
      <c r="E3049" s="76">
        <v>9.3873999999999995</v>
      </c>
      <c r="F3049" s="76">
        <v>9.4184000000000001</v>
      </c>
      <c r="G3049" s="76">
        <v>9.4305000000000003</v>
      </c>
      <c r="H3049" s="76">
        <v>9.4145000000000003</v>
      </c>
      <c r="I3049" s="76">
        <v>9.4162999999999997</v>
      </c>
      <c r="J3049" s="76">
        <v>9.3889999999999993</v>
      </c>
      <c r="K3049" s="76">
        <v>9.3858999999999995</v>
      </c>
      <c r="L3049" s="76">
        <v>9.3579000000000008</v>
      </c>
      <c r="M3049" s="76">
        <v>9.3437000000000001</v>
      </c>
    </row>
    <row r="3050" spans="3:13" x14ac:dyDescent="0.15">
      <c r="C3050" s="76" t="s">
        <v>569</v>
      </c>
    </row>
    <row r="3051" spans="3:13" x14ac:dyDescent="0.15">
      <c r="C3051" s="76" t="s">
        <v>570</v>
      </c>
      <c r="D3051" s="76">
        <v>4</v>
      </c>
      <c r="E3051" s="76">
        <v>4</v>
      </c>
      <c r="F3051" s="76">
        <v>4</v>
      </c>
      <c r="G3051" s="76">
        <v>4</v>
      </c>
      <c r="H3051" s="76">
        <v>4</v>
      </c>
      <c r="I3051" s="76">
        <v>4</v>
      </c>
      <c r="J3051" s="76">
        <v>4</v>
      </c>
      <c r="K3051" s="76">
        <v>4</v>
      </c>
      <c r="L3051" s="76">
        <v>4</v>
      </c>
      <c r="M3051" s="76">
        <v>4</v>
      </c>
    </row>
    <row r="3052" spans="3:13" x14ac:dyDescent="0.15">
      <c r="C3052" s="76" t="s">
        <v>571</v>
      </c>
      <c r="D3052" s="76">
        <v>100</v>
      </c>
      <c r="E3052" s="76">
        <v>100</v>
      </c>
      <c r="F3052" s="76">
        <v>100</v>
      </c>
      <c r="G3052" s="76">
        <v>100</v>
      </c>
      <c r="H3052" s="76">
        <v>100</v>
      </c>
      <c r="I3052" s="76">
        <v>100</v>
      </c>
      <c r="J3052" s="76">
        <v>100</v>
      </c>
      <c r="K3052" s="76">
        <v>100</v>
      </c>
      <c r="L3052" s="76">
        <v>100</v>
      </c>
      <c r="M3052" s="76">
        <v>100</v>
      </c>
    </row>
    <row r="3053" spans="3:13" x14ac:dyDescent="0.15">
      <c r="C3053" s="76" t="s">
        <v>572</v>
      </c>
      <c r="D3053" s="76" t="s">
        <v>574</v>
      </c>
      <c r="E3053" s="76" t="s">
        <v>574</v>
      </c>
      <c r="F3053" s="76" t="s">
        <v>574</v>
      </c>
      <c r="G3053" s="76" t="s">
        <v>574</v>
      </c>
      <c r="H3053" s="76" t="s">
        <v>574</v>
      </c>
      <c r="I3053" s="76" t="s">
        <v>574</v>
      </c>
      <c r="J3053" s="76" t="s">
        <v>574</v>
      </c>
      <c r="K3053" s="76" t="s">
        <v>574</v>
      </c>
      <c r="L3053" s="76" t="s">
        <v>574</v>
      </c>
      <c r="M3053" s="76" t="s">
        <v>574</v>
      </c>
    </row>
    <row r="3054" spans="3:13" x14ac:dyDescent="0.15">
      <c r="C3054" s="76" t="s">
        <v>573</v>
      </c>
      <c r="D3054" s="76">
        <v>1</v>
      </c>
      <c r="E3054" s="76">
        <v>2</v>
      </c>
      <c r="F3054" s="76">
        <v>3</v>
      </c>
      <c r="G3054" s="76">
        <v>4</v>
      </c>
      <c r="H3054" s="76">
        <v>5</v>
      </c>
      <c r="I3054" s="76">
        <v>6</v>
      </c>
      <c r="J3054" s="76">
        <v>7</v>
      </c>
      <c r="K3054" s="76">
        <v>8</v>
      </c>
      <c r="L3054" s="76">
        <v>9</v>
      </c>
      <c r="M3054" s="76">
        <v>10</v>
      </c>
    </row>
    <row r="3055" spans="3:13" x14ac:dyDescent="0.15">
      <c r="C3055" s="76">
        <v>380</v>
      </c>
      <c r="D3055" s="76">
        <v>1.7899999999999999E-4</v>
      </c>
      <c r="E3055" s="76">
        <v>3.6299999999999999E-4</v>
      </c>
      <c r="F3055" s="76">
        <v>1.2799999999999999E-4</v>
      </c>
      <c r="G3055" s="76">
        <v>7.9100000000000004E-4</v>
      </c>
      <c r="H3055" s="76">
        <v>7.0699999999999995E-4</v>
      </c>
      <c r="I3055" s="76">
        <v>7.7800000000000005E-4</v>
      </c>
      <c r="J3055" s="76">
        <v>8.2100000000000001E-4</v>
      </c>
      <c r="K3055" s="76">
        <v>1.2899999999999999E-3</v>
      </c>
      <c r="L3055" s="76">
        <v>7.8600000000000002E-4</v>
      </c>
      <c r="M3055" s="76">
        <v>2.14E-3</v>
      </c>
    </row>
    <row r="3056" spans="3:13" x14ac:dyDescent="0.15">
      <c r="C3056" s="76">
        <v>382</v>
      </c>
      <c r="D3056" s="76">
        <v>1.74E-4</v>
      </c>
      <c r="E3056" s="76">
        <v>3.5300000000000002E-4</v>
      </c>
      <c r="F3056" s="76">
        <v>1.6699999999999999E-4</v>
      </c>
      <c r="G3056" s="76">
        <v>7.4200000000000004E-4</v>
      </c>
      <c r="H3056" s="76">
        <v>6.2600000000000004E-4</v>
      </c>
      <c r="I3056" s="76">
        <v>1E-3</v>
      </c>
      <c r="J3056" s="76">
        <v>8.5899999999999995E-4</v>
      </c>
      <c r="K3056" s="76">
        <v>1.23E-3</v>
      </c>
      <c r="L3056" s="76">
        <v>1.2899999999999999E-3</v>
      </c>
      <c r="M3056" s="76">
        <v>1.81E-3</v>
      </c>
    </row>
    <row r="3057" spans="3:13" x14ac:dyDescent="0.15">
      <c r="C3057" s="76">
        <v>384</v>
      </c>
      <c r="D3057" s="76">
        <v>1.6799999999999999E-4</v>
      </c>
      <c r="E3057" s="76">
        <v>2.8499999999999999E-4</v>
      </c>
      <c r="F3057" s="76">
        <v>1.02E-4</v>
      </c>
      <c r="G3057" s="76">
        <v>6.5499999999999998E-4</v>
      </c>
      <c r="H3057" s="76">
        <v>6.69E-4</v>
      </c>
      <c r="I3057" s="76">
        <v>9.1799999999999998E-4</v>
      </c>
      <c r="J3057" s="76">
        <v>6.2E-4</v>
      </c>
      <c r="K3057" s="76">
        <v>1.1199999999999999E-3</v>
      </c>
      <c r="L3057" s="76">
        <v>1.1000000000000001E-3</v>
      </c>
      <c r="M3057" s="76">
        <v>1.6900000000000001E-3</v>
      </c>
    </row>
    <row r="3058" spans="3:13" x14ac:dyDescent="0.15">
      <c r="C3058" s="76">
        <v>386</v>
      </c>
      <c r="D3058" s="76">
        <v>1.56E-4</v>
      </c>
      <c r="E3058" s="76">
        <v>2.6200000000000003E-4</v>
      </c>
      <c r="F3058" s="76">
        <v>2.14E-4</v>
      </c>
      <c r="G3058" s="76">
        <v>6.2100000000000002E-4</v>
      </c>
      <c r="H3058" s="76">
        <v>7.0200000000000004E-4</v>
      </c>
      <c r="I3058" s="76">
        <v>8.6399999999999997E-4</v>
      </c>
      <c r="J3058" s="76">
        <v>5.2099999999999998E-4</v>
      </c>
      <c r="K3058" s="76">
        <v>1.25E-3</v>
      </c>
      <c r="L3058" s="76">
        <v>1.08E-3</v>
      </c>
      <c r="M3058" s="76">
        <v>1.74E-3</v>
      </c>
    </row>
    <row r="3059" spans="3:13" x14ac:dyDescent="0.15">
      <c r="C3059" s="76">
        <v>388</v>
      </c>
      <c r="D3059" s="76">
        <v>1.3100000000000001E-4</v>
      </c>
      <c r="E3059" s="76">
        <v>2.3699999999999999E-4</v>
      </c>
      <c r="F3059" s="76">
        <v>2.0599999999999999E-4</v>
      </c>
      <c r="G3059" s="76">
        <v>5.5599999999999996E-4</v>
      </c>
      <c r="H3059" s="76">
        <v>6.3100000000000005E-4</v>
      </c>
      <c r="I3059" s="76">
        <v>7.6300000000000001E-4</v>
      </c>
      <c r="J3059" s="76">
        <v>5.7499999999999999E-4</v>
      </c>
      <c r="K3059" s="76">
        <v>1.17E-3</v>
      </c>
      <c r="L3059" s="76">
        <v>9.1100000000000003E-4</v>
      </c>
      <c r="M3059" s="76">
        <v>1.41E-3</v>
      </c>
    </row>
    <row r="3060" spans="3:13" x14ac:dyDescent="0.15">
      <c r="C3060" s="76">
        <v>390</v>
      </c>
      <c r="D3060" s="76">
        <v>1.02E-4</v>
      </c>
      <c r="E3060" s="76">
        <v>2.1800000000000001E-4</v>
      </c>
      <c r="F3060" s="76">
        <v>2.31E-4</v>
      </c>
      <c r="G3060" s="76">
        <v>4.9899999999999999E-4</v>
      </c>
      <c r="H3060" s="76">
        <v>6.0400000000000004E-4</v>
      </c>
      <c r="I3060" s="76">
        <v>8.7000000000000001E-4</v>
      </c>
      <c r="J3060" s="76">
        <v>1.0200000000000001E-3</v>
      </c>
      <c r="K3060" s="76">
        <v>1.01E-3</v>
      </c>
      <c r="L3060" s="76">
        <v>1.0200000000000001E-3</v>
      </c>
      <c r="M3060" s="76">
        <v>1.17E-3</v>
      </c>
    </row>
    <row r="3061" spans="3:13" x14ac:dyDescent="0.15">
      <c r="C3061" s="76">
        <v>392</v>
      </c>
      <c r="D3061" s="76">
        <v>1.3999999999999999E-4</v>
      </c>
      <c r="E3061" s="76">
        <v>2.4899999999999998E-4</v>
      </c>
      <c r="F3061" s="76">
        <v>2.5099999999999998E-4</v>
      </c>
      <c r="G3061" s="76">
        <v>5.6499999999999996E-4</v>
      </c>
      <c r="H3061" s="76">
        <v>6.7400000000000001E-4</v>
      </c>
      <c r="I3061" s="76">
        <v>8.4999999999999995E-4</v>
      </c>
      <c r="J3061" s="76">
        <v>5.7499999999999999E-4</v>
      </c>
      <c r="K3061" s="76">
        <v>1.1800000000000001E-3</v>
      </c>
      <c r="L3061" s="76">
        <v>8.1999999999999998E-4</v>
      </c>
      <c r="M3061" s="76">
        <v>1.09E-3</v>
      </c>
    </row>
    <row r="3062" spans="3:13" x14ac:dyDescent="0.15">
      <c r="C3062" s="76">
        <v>394</v>
      </c>
      <c r="D3062" s="76">
        <v>1.1E-4</v>
      </c>
      <c r="E3062" s="76">
        <v>1.65E-4</v>
      </c>
      <c r="F3062" s="76">
        <v>2.5999999999999998E-4</v>
      </c>
      <c r="G3062" s="76">
        <v>4.73E-4</v>
      </c>
      <c r="H3062" s="76">
        <v>6.4000000000000005E-4</v>
      </c>
      <c r="I3062" s="76">
        <v>8.3799999999999999E-4</v>
      </c>
      <c r="J3062" s="76">
        <v>8.2399999999999997E-4</v>
      </c>
      <c r="K3062" s="76">
        <v>1.0200000000000001E-3</v>
      </c>
      <c r="L3062" s="76">
        <v>9.5100000000000002E-4</v>
      </c>
      <c r="M3062" s="76">
        <v>1.1100000000000001E-3</v>
      </c>
    </row>
    <row r="3063" spans="3:13" x14ac:dyDescent="0.15">
      <c r="C3063" s="76">
        <v>396</v>
      </c>
      <c r="D3063" s="76">
        <v>1.01E-4</v>
      </c>
      <c r="E3063" s="76">
        <v>1.9100000000000001E-4</v>
      </c>
      <c r="F3063" s="76">
        <v>2.33E-4</v>
      </c>
      <c r="G3063" s="76">
        <v>4.7100000000000001E-4</v>
      </c>
      <c r="H3063" s="76">
        <v>7.8899999999999999E-4</v>
      </c>
      <c r="I3063" s="76">
        <v>8.4000000000000003E-4</v>
      </c>
      <c r="J3063" s="76">
        <v>8.0500000000000005E-4</v>
      </c>
      <c r="K3063" s="76">
        <v>1.2099999999999999E-3</v>
      </c>
      <c r="L3063" s="76">
        <v>1.0300000000000001E-3</v>
      </c>
      <c r="M3063" s="76">
        <v>9.5399999999999999E-4</v>
      </c>
    </row>
    <row r="3064" spans="3:13" x14ac:dyDescent="0.15">
      <c r="C3064" s="76">
        <v>398</v>
      </c>
      <c r="D3064" s="76">
        <v>8.9099999999999997E-5</v>
      </c>
      <c r="E3064" s="76">
        <v>1.84E-4</v>
      </c>
      <c r="F3064" s="76">
        <v>2.4899999999999998E-4</v>
      </c>
      <c r="G3064" s="76">
        <v>5.7799999999999995E-4</v>
      </c>
      <c r="H3064" s="76">
        <v>6.8499999999999995E-4</v>
      </c>
      <c r="I3064" s="76">
        <v>9.3400000000000004E-4</v>
      </c>
      <c r="J3064" s="76">
        <v>8.9999999999999998E-4</v>
      </c>
      <c r="K3064" s="76">
        <v>1.24E-3</v>
      </c>
      <c r="L3064" s="76">
        <v>1.1000000000000001E-3</v>
      </c>
      <c r="M3064" s="76">
        <v>7.6900000000000004E-4</v>
      </c>
    </row>
    <row r="3065" spans="3:13" x14ac:dyDescent="0.15">
      <c r="C3065" s="76">
        <v>400</v>
      </c>
      <c r="D3065" s="76">
        <v>1.1E-4</v>
      </c>
      <c r="E3065" s="76">
        <v>2.0000000000000001E-4</v>
      </c>
      <c r="F3065" s="76">
        <v>2.6699999999999998E-4</v>
      </c>
      <c r="G3065" s="76">
        <v>5.9500000000000004E-4</v>
      </c>
      <c r="H3065" s="76">
        <v>6.4099999999999997E-4</v>
      </c>
      <c r="I3065" s="76">
        <v>1.0200000000000001E-3</v>
      </c>
      <c r="J3065" s="76">
        <v>9.1299999999999997E-4</v>
      </c>
      <c r="K3065" s="76">
        <v>1.0499999999999999E-3</v>
      </c>
      <c r="L3065" s="76">
        <v>9.7599999999999998E-4</v>
      </c>
      <c r="M3065" s="76">
        <v>1.01E-3</v>
      </c>
    </row>
    <row r="3066" spans="3:13" x14ac:dyDescent="0.15">
      <c r="C3066" s="76">
        <v>402</v>
      </c>
      <c r="D3066" s="76">
        <v>1.2E-4</v>
      </c>
      <c r="E3066" s="76">
        <v>2.31E-4</v>
      </c>
      <c r="F3066" s="76">
        <v>3.5199999999999999E-4</v>
      </c>
      <c r="G3066" s="76">
        <v>5.0699999999999996E-4</v>
      </c>
      <c r="H3066" s="76">
        <v>5.8200000000000005E-4</v>
      </c>
      <c r="I3066" s="76">
        <v>9.7400000000000004E-4</v>
      </c>
      <c r="J3066" s="76">
        <v>9.990000000000001E-4</v>
      </c>
      <c r="K3066" s="76">
        <v>1.1000000000000001E-3</v>
      </c>
      <c r="L3066" s="76">
        <v>1.1000000000000001E-3</v>
      </c>
      <c r="M3066" s="76">
        <v>1.01E-3</v>
      </c>
    </row>
    <row r="3067" spans="3:13" x14ac:dyDescent="0.15">
      <c r="C3067" s="76">
        <v>404</v>
      </c>
      <c r="D3067" s="76">
        <v>1.35E-4</v>
      </c>
      <c r="E3067" s="76">
        <v>2.4699999999999999E-4</v>
      </c>
      <c r="F3067" s="76">
        <v>3.6400000000000001E-4</v>
      </c>
      <c r="G3067" s="76">
        <v>5.5699999999999999E-4</v>
      </c>
      <c r="H3067" s="76">
        <v>6.8800000000000003E-4</v>
      </c>
      <c r="I3067" s="76">
        <v>9.2699999999999998E-4</v>
      </c>
      <c r="J3067" s="76">
        <v>1.0499999999999999E-3</v>
      </c>
      <c r="K3067" s="76">
        <v>1.1800000000000001E-3</v>
      </c>
      <c r="L3067" s="76">
        <v>1.2899999999999999E-3</v>
      </c>
      <c r="M3067" s="76">
        <v>1.17E-3</v>
      </c>
    </row>
    <row r="3068" spans="3:13" x14ac:dyDescent="0.15">
      <c r="C3068" s="76">
        <v>406</v>
      </c>
      <c r="D3068" s="76">
        <v>1.35E-4</v>
      </c>
      <c r="E3068" s="76">
        <v>2.6899999999999998E-4</v>
      </c>
      <c r="F3068" s="76">
        <v>3.86E-4</v>
      </c>
      <c r="G3068" s="76">
        <v>5.7799999999999995E-4</v>
      </c>
      <c r="H3068" s="76">
        <v>6.8499999999999995E-4</v>
      </c>
      <c r="I3068" s="76">
        <v>1.0499999999999999E-3</v>
      </c>
      <c r="J3068" s="76">
        <v>1.0399999999999999E-3</v>
      </c>
      <c r="K3068" s="76">
        <v>1.2899999999999999E-3</v>
      </c>
      <c r="L3068" s="76">
        <v>1.1999999999999999E-3</v>
      </c>
      <c r="M3068" s="76">
        <v>9.5500000000000001E-4</v>
      </c>
    </row>
    <row r="3069" spans="3:13" x14ac:dyDescent="0.15">
      <c r="C3069" s="76">
        <v>408</v>
      </c>
      <c r="D3069" s="76">
        <v>1.3300000000000001E-4</v>
      </c>
      <c r="E3069" s="76">
        <v>3.1799999999999998E-4</v>
      </c>
      <c r="F3069" s="76">
        <v>4.9799999999999996E-4</v>
      </c>
      <c r="G3069" s="76">
        <v>5.8399999999999999E-4</v>
      </c>
      <c r="H3069" s="76">
        <v>8.4599999999999996E-4</v>
      </c>
      <c r="I3069" s="76">
        <v>1.07E-3</v>
      </c>
      <c r="J3069" s="76">
        <v>1.1900000000000001E-3</v>
      </c>
      <c r="K3069" s="76">
        <v>1.3600000000000001E-3</v>
      </c>
      <c r="L3069" s="76">
        <v>1.4499999999999999E-3</v>
      </c>
      <c r="M3069" s="76">
        <v>1.34E-3</v>
      </c>
    </row>
    <row r="3070" spans="3:13" x14ac:dyDescent="0.15">
      <c r="C3070" s="76">
        <v>410</v>
      </c>
      <c r="D3070" s="76">
        <v>1.56E-4</v>
      </c>
      <c r="E3070" s="76">
        <v>3.1700000000000001E-4</v>
      </c>
      <c r="F3070" s="76">
        <v>5.4699999999999996E-4</v>
      </c>
      <c r="G3070" s="76">
        <v>5.8699999999999996E-4</v>
      </c>
      <c r="H3070" s="76">
        <v>7.7800000000000005E-4</v>
      </c>
      <c r="I3070" s="76">
        <v>1.1900000000000001E-3</v>
      </c>
      <c r="J3070" s="76">
        <v>1.1999999999999999E-3</v>
      </c>
      <c r="K3070" s="76">
        <v>1.3799999999999999E-3</v>
      </c>
      <c r="L3070" s="76">
        <v>1.57E-3</v>
      </c>
      <c r="M3070" s="76">
        <v>1.5200000000000001E-3</v>
      </c>
    </row>
    <row r="3071" spans="3:13" x14ac:dyDescent="0.15">
      <c r="C3071" s="76">
        <v>412</v>
      </c>
      <c r="D3071" s="76">
        <v>1.85E-4</v>
      </c>
      <c r="E3071" s="76">
        <v>3.5399999999999999E-4</v>
      </c>
      <c r="F3071" s="76">
        <v>6.0999999999999997E-4</v>
      </c>
      <c r="G3071" s="76">
        <v>7.2900000000000005E-4</v>
      </c>
      <c r="H3071" s="76">
        <v>9.2500000000000004E-4</v>
      </c>
      <c r="I3071" s="76">
        <v>1.2800000000000001E-3</v>
      </c>
      <c r="J3071" s="76">
        <v>1.32E-3</v>
      </c>
      <c r="K3071" s="76">
        <v>1.72E-3</v>
      </c>
      <c r="L3071" s="76">
        <v>1.8400000000000001E-3</v>
      </c>
      <c r="M3071" s="76">
        <v>1.8500000000000001E-3</v>
      </c>
    </row>
    <row r="3072" spans="3:13" x14ac:dyDescent="0.15">
      <c r="C3072" s="76">
        <v>414</v>
      </c>
      <c r="D3072" s="76">
        <v>2.1599999999999999E-4</v>
      </c>
      <c r="E3072" s="76">
        <v>4.2900000000000002E-4</v>
      </c>
      <c r="F3072" s="76">
        <v>7.4700000000000005E-4</v>
      </c>
      <c r="G3072" s="76">
        <v>8.7600000000000004E-4</v>
      </c>
      <c r="H3072" s="76">
        <v>1.1000000000000001E-3</v>
      </c>
      <c r="I3072" s="76">
        <v>1.5499999999999999E-3</v>
      </c>
      <c r="J3072" s="76">
        <v>1.58E-3</v>
      </c>
      <c r="K3072" s="76">
        <v>2E-3</v>
      </c>
      <c r="L3072" s="76">
        <v>2.2300000000000002E-3</v>
      </c>
      <c r="M3072" s="76">
        <v>2.2599999999999999E-3</v>
      </c>
    </row>
    <row r="3073" spans="3:13" x14ac:dyDescent="0.15">
      <c r="C3073" s="76">
        <v>416</v>
      </c>
      <c r="D3073" s="76">
        <v>2.4899999999999998E-4</v>
      </c>
      <c r="E3073" s="76">
        <v>5.2700000000000002E-4</v>
      </c>
      <c r="F3073" s="76">
        <v>8.6300000000000005E-4</v>
      </c>
      <c r="G3073" s="76">
        <v>1.1100000000000001E-3</v>
      </c>
      <c r="H3073" s="76">
        <v>1.2800000000000001E-3</v>
      </c>
      <c r="I3073" s="76">
        <v>1.8500000000000001E-3</v>
      </c>
      <c r="J3073" s="76">
        <v>2.0400000000000001E-3</v>
      </c>
      <c r="K3073" s="76">
        <v>2.2699999999999999E-3</v>
      </c>
      <c r="L3073" s="76">
        <v>2.66E-3</v>
      </c>
      <c r="M3073" s="76">
        <v>2.8300000000000001E-3</v>
      </c>
    </row>
    <row r="3074" spans="3:13" x14ac:dyDescent="0.15">
      <c r="C3074" s="76">
        <v>418</v>
      </c>
      <c r="D3074" s="76">
        <v>2.9500000000000001E-4</v>
      </c>
      <c r="E3074" s="76">
        <v>6.2299999999999996E-4</v>
      </c>
      <c r="F3074" s="76">
        <v>9.9200000000000004E-4</v>
      </c>
      <c r="G3074" s="76">
        <v>1.2700000000000001E-3</v>
      </c>
      <c r="H3074" s="76">
        <v>1.6100000000000001E-3</v>
      </c>
      <c r="I3074" s="76">
        <v>2.0799999999999998E-3</v>
      </c>
      <c r="J3074" s="76">
        <v>2.3500000000000001E-3</v>
      </c>
      <c r="K3074" s="76">
        <v>2.7699999999999999E-3</v>
      </c>
      <c r="L3074" s="76">
        <v>2.99E-3</v>
      </c>
      <c r="M3074" s="76">
        <v>3.32E-3</v>
      </c>
    </row>
    <row r="3075" spans="3:13" x14ac:dyDescent="0.15">
      <c r="C3075" s="76">
        <v>420</v>
      </c>
      <c r="D3075" s="76">
        <v>3.7300000000000001E-4</v>
      </c>
      <c r="E3075" s="76">
        <v>7.5500000000000003E-4</v>
      </c>
      <c r="F3075" s="76">
        <v>1.1900000000000001E-3</v>
      </c>
      <c r="G3075" s="76">
        <v>1.5100000000000001E-3</v>
      </c>
      <c r="H3075" s="76">
        <v>1.91E-3</v>
      </c>
      <c r="I3075" s="76">
        <v>2.4299999999999999E-3</v>
      </c>
      <c r="J3075" s="76">
        <v>2.7699999999999999E-3</v>
      </c>
      <c r="K3075" s="76">
        <v>3.2299999999999998E-3</v>
      </c>
      <c r="L3075" s="76">
        <v>3.5699999999999998E-3</v>
      </c>
      <c r="M3075" s="76">
        <v>3.98E-3</v>
      </c>
    </row>
    <row r="3076" spans="3:13" x14ac:dyDescent="0.15">
      <c r="C3076" s="76">
        <v>422</v>
      </c>
      <c r="D3076" s="76">
        <v>4.5800000000000002E-4</v>
      </c>
      <c r="E3076" s="76">
        <v>9.3999999999999997E-4</v>
      </c>
      <c r="F3076" s="76">
        <v>1.42E-3</v>
      </c>
      <c r="G3076" s="76">
        <v>1.8400000000000001E-3</v>
      </c>
      <c r="H3076" s="76">
        <v>2.32E-3</v>
      </c>
      <c r="I3076" s="76">
        <v>2.9299999999999999E-3</v>
      </c>
      <c r="J3076" s="76">
        <v>3.46E-3</v>
      </c>
      <c r="K3076" s="76">
        <v>3.8700000000000002E-3</v>
      </c>
      <c r="L3076" s="76">
        <v>4.3800000000000002E-3</v>
      </c>
      <c r="M3076" s="76">
        <v>4.8399999999999997E-3</v>
      </c>
    </row>
    <row r="3077" spans="3:13" x14ac:dyDescent="0.15">
      <c r="C3077" s="76">
        <v>424</v>
      </c>
      <c r="D3077" s="76">
        <v>5.7200000000000003E-4</v>
      </c>
      <c r="E3077" s="76">
        <v>1.16E-3</v>
      </c>
      <c r="F3077" s="76">
        <v>1.7700000000000001E-3</v>
      </c>
      <c r="G3077" s="76">
        <v>2.3700000000000001E-3</v>
      </c>
      <c r="H3077" s="76">
        <v>3.0200000000000001E-3</v>
      </c>
      <c r="I3077" s="76">
        <v>3.64E-3</v>
      </c>
      <c r="J3077" s="76">
        <v>4.2599999999999999E-3</v>
      </c>
      <c r="K3077" s="76">
        <v>4.8500000000000001E-3</v>
      </c>
      <c r="L3077" s="76">
        <v>5.4900000000000001E-3</v>
      </c>
      <c r="M3077" s="76">
        <v>6.0200000000000002E-3</v>
      </c>
    </row>
    <row r="3078" spans="3:13" x14ac:dyDescent="0.15">
      <c r="C3078" s="76">
        <v>426</v>
      </c>
      <c r="D3078" s="76">
        <v>7.3099999999999999E-4</v>
      </c>
      <c r="E3078" s="76">
        <v>1.5E-3</v>
      </c>
      <c r="F3078" s="76">
        <v>2.31E-3</v>
      </c>
      <c r="G3078" s="76">
        <v>2.99E-3</v>
      </c>
      <c r="H3078" s="76">
        <v>3.81E-3</v>
      </c>
      <c r="I3078" s="76">
        <v>4.6800000000000001E-3</v>
      </c>
      <c r="J3078" s="76">
        <v>5.4099999999999999E-3</v>
      </c>
      <c r="K3078" s="76">
        <v>6.2599999999999999E-3</v>
      </c>
      <c r="L3078" s="76">
        <v>6.9800000000000001E-3</v>
      </c>
      <c r="M3078" s="76">
        <v>7.79E-3</v>
      </c>
    </row>
    <row r="3079" spans="3:13" x14ac:dyDescent="0.15">
      <c r="C3079" s="76">
        <v>428</v>
      </c>
      <c r="D3079" s="76">
        <v>9.4399999999999996E-4</v>
      </c>
      <c r="E3079" s="76">
        <v>1.9499999999999999E-3</v>
      </c>
      <c r="F3079" s="76">
        <v>2.9299999999999999E-3</v>
      </c>
      <c r="G3079" s="76">
        <v>3.8999999999999998E-3</v>
      </c>
      <c r="H3079" s="76">
        <v>4.9500000000000004E-3</v>
      </c>
      <c r="I3079" s="76">
        <v>6.0699999999999999E-3</v>
      </c>
      <c r="J3079" s="76">
        <v>7.0299999999999998E-3</v>
      </c>
      <c r="K3079" s="76">
        <v>8.0999999999999996E-3</v>
      </c>
      <c r="L3079" s="76">
        <v>9.1500000000000001E-3</v>
      </c>
      <c r="M3079" s="76">
        <v>1.01E-2</v>
      </c>
    </row>
    <row r="3080" spans="3:13" x14ac:dyDescent="0.15">
      <c r="C3080" s="76">
        <v>430</v>
      </c>
      <c r="D3080" s="76">
        <v>1.2700000000000001E-3</v>
      </c>
      <c r="E3080" s="76">
        <v>2.6199999999999999E-3</v>
      </c>
      <c r="F3080" s="76">
        <v>3.96E-3</v>
      </c>
      <c r="G3080" s="76">
        <v>5.3099999999999996E-3</v>
      </c>
      <c r="H3080" s="76">
        <v>6.6600000000000001E-3</v>
      </c>
      <c r="I3080" s="76">
        <v>8.0199999999999994E-3</v>
      </c>
      <c r="J3080" s="76">
        <v>9.4500000000000001E-3</v>
      </c>
      <c r="K3080" s="76">
        <v>1.0699999999999999E-2</v>
      </c>
      <c r="L3080" s="76">
        <v>1.2200000000000001E-2</v>
      </c>
      <c r="M3080" s="76">
        <v>1.3599999999999999E-2</v>
      </c>
    </row>
    <row r="3081" spans="3:13" x14ac:dyDescent="0.15">
      <c r="C3081" s="76">
        <v>432</v>
      </c>
      <c r="D3081" s="76">
        <v>1.74E-3</v>
      </c>
      <c r="E3081" s="76">
        <v>3.5999999999999999E-3</v>
      </c>
      <c r="F3081" s="76">
        <v>5.4299999999999999E-3</v>
      </c>
      <c r="G3081" s="76">
        <v>7.28E-3</v>
      </c>
      <c r="H3081" s="76">
        <v>9.1400000000000006E-3</v>
      </c>
      <c r="I3081" s="76">
        <v>1.0999999999999999E-2</v>
      </c>
      <c r="J3081" s="76">
        <v>1.29E-2</v>
      </c>
      <c r="K3081" s="76">
        <v>1.47E-2</v>
      </c>
      <c r="L3081" s="76">
        <v>1.67E-2</v>
      </c>
      <c r="M3081" s="76">
        <v>1.8599999999999998E-2</v>
      </c>
    </row>
    <row r="3082" spans="3:13" x14ac:dyDescent="0.15">
      <c r="C3082" s="76">
        <v>434</v>
      </c>
      <c r="D3082" s="76">
        <v>2.4199999999999998E-3</v>
      </c>
      <c r="E3082" s="76">
        <v>5.0000000000000001E-3</v>
      </c>
      <c r="F3082" s="76">
        <v>7.5199999999999998E-3</v>
      </c>
      <c r="G3082" s="76">
        <v>1.01E-2</v>
      </c>
      <c r="H3082" s="76">
        <v>1.2699999999999999E-2</v>
      </c>
      <c r="I3082" s="76">
        <v>1.52E-2</v>
      </c>
      <c r="J3082" s="76">
        <v>1.7899999999999999E-2</v>
      </c>
      <c r="K3082" s="76">
        <v>2.0299999999999999E-2</v>
      </c>
      <c r="L3082" s="76">
        <v>2.3E-2</v>
      </c>
      <c r="M3082" s="76">
        <v>2.5600000000000001E-2</v>
      </c>
    </row>
    <row r="3083" spans="3:13" x14ac:dyDescent="0.15">
      <c r="C3083" s="76">
        <v>436</v>
      </c>
      <c r="D3083" s="76">
        <v>3.48E-3</v>
      </c>
      <c r="E3083" s="76">
        <v>7.1900000000000002E-3</v>
      </c>
      <c r="F3083" s="76">
        <v>1.0800000000000001E-2</v>
      </c>
      <c r="G3083" s="76">
        <v>1.44E-2</v>
      </c>
      <c r="H3083" s="76">
        <v>1.7999999999999999E-2</v>
      </c>
      <c r="I3083" s="76">
        <v>2.1700000000000001E-2</v>
      </c>
      <c r="J3083" s="76">
        <v>2.5600000000000001E-2</v>
      </c>
      <c r="K3083" s="76">
        <v>2.9100000000000001E-2</v>
      </c>
      <c r="L3083" s="76">
        <v>3.2800000000000003E-2</v>
      </c>
      <c r="M3083" s="76">
        <v>3.6400000000000002E-2</v>
      </c>
    </row>
    <row r="3084" spans="3:13" x14ac:dyDescent="0.15">
      <c r="C3084" s="76">
        <v>438</v>
      </c>
      <c r="D3084" s="76">
        <v>4.9699999999999996E-3</v>
      </c>
      <c r="E3084" s="76">
        <v>1.0200000000000001E-2</v>
      </c>
      <c r="F3084" s="76">
        <v>1.54E-2</v>
      </c>
      <c r="G3084" s="76">
        <v>2.0500000000000001E-2</v>
      </c>
      <c r="H3084" s="76">
        <v>2.5700000000000001E-2</v>
      </c>
      <c r="I3084" s="76">
        <v>3.09E-2</v>
      </c>
      <c r="J3084" s="76">
        <v>3.61E-2</v>
      </c>
      <c r="K3084" s="76">
        <v>4.1200000000000001E-2</v>
      </c>
      <c r="L3084" s="76">
        <v>4.6600000000000003E-2</v>
      </c>
      <c r="M3084" s="76">
        <v>5.1799999999999999E-2</v>
      </c>
    </row>
    <row r="3085" spans="3:13" x14ac:dyDescent="0.15">
      <c r="C3085" s="76">
        <v>440</v>
      </c>
      <c r="D3085" s="76">
        <v>6.8399999999999997E-3</v>
      </c>
      <c r="E3085" s="76">
        <v>1.4E-2</v>
      </c>
      <c r="F3085" s="76">
        <v>2.1100000000000001E-2</v>
      </c>
      <c r="G3085" s="76">
        <v>2.8299999999999999E-2</v>
      </c>
      <c r="H3085" s="76">
        <v>3.5400000000000001E-2</v>
      </c>
      <c r="I3085" s="76">
        <v>4.2500000000000003E-2</v>
      </c>
      <c r="J3085" s="76">
        <v>4.9599999999999998E-2</v>
      </c>
      <c r="K3085" s="76">
        <v>5.67E-2</v>
      </c>
      <c r="L3085" s="76">
        <v>6.3799999999999996E-2</v>
      </c>
      <c r="M3085" s="76">
        <v>7.0900000000000005E-2</v>
      </c>
    </row>
    <row r="3086" spans="3:13" x14ac:dyDescent="0.15">
      <c r="C3086" s="76">
        <v>442</v>
      </c>
      <c r="D3086" s="76">
        <v>9.1599999999999997E-3</v>
      </c>
      <c r="E3086" s="76">
        <v>1.8700000000000001E-2</v>
      </c>
      <c r="F3086" s="76">
        <v>2.8199999999999999E-2</v>
      </c>
      <c r="G3086" s="76">
        <v>3.7699999999999997E-2</v>
      </c>
      <c r="H3086" s="76">
        <v>4.7300000000000002E-2</v>
      </c>
      <c r="I3086" s="76">
        <v>5.6599999999999998E-2</v>
      </c>
      <c r="J3086" s="76">
        <v>6.6199999999999995E-2</v>
      </c>
      <c r="K3086" s="76">
        <v>7.5600000000000001E-2</v>
      </c>
      <c r="L3086" s="76">
        <v>8.5099999999999995E-2</v>
      </c>
      <c r="M3086" s="76">
        <v>9.4500000000000001E-2</v>
      </c>
    </row>
    <row r="3087" spans="3:13" x14ac:dyDescent="0.15">
      <c r="C3087" s="76">
        <v>444</v>
      </c>
      <c r="D3087" s="76">
        <v>1.1900000000000001E-2</v>
      </c>
      <c r="E3087" s="76">
        <v>2.4299999999999999E-2</v>
      </c>
      <c r="F3087" s="76">
        <v>3.6700000000000003E-2</v>
      </c>
      <c r="G3087" s="76">
        <v>4.9000000000000002E-2</v>
      </c>
      <c r="H3087" s="76">
        <v>6.13E-2</v>
      </c>
      <c r="I3087" s="76">
        <v>7.3499999999999996E-2</v>
      </c>
      <c r="J3087" s="76">
        <v>8.5800000000000001E-2</v>
      </c>
      <c r="K3087" s="76">
        <v>9.7900000000000001E-2</v>
      </c>
      <c r="L3087" s="76">
        <v>0.11</v>
      </c>
      <c r="M3087" s="76">
        <v>0.122</v>
      </c>
    </row>
    <row r="3088" spans="3:13" x14ac:dyDescent="0.15">
      <c r="C3088" s="76">
        <v>446</v>
      </c>
      <c r="D3088" s="76">
        <v>1.4999999999999999E-2</v>
      </c>
      <c r="E3088" s="76">
        <v>3.0599999999999999E-2</v>
      </c>
      <c r="F3088" s="76">
        <v>4.6100000000000002E-2</v>
      </c>
      <c r="G3088" s="76">
        <v>6.1699999999999998E-2</v>
      </c>
      <c r="H3088" s="76">
        <v>7.6999999999999999E-2</v>
      </c>
      <c r="I3088" s="76">
        <v>9.2399999999999996E-2</v>
      </c>
      <c r="J3088" s="76">
        <v>0.108</v>
      </c>
      <c r="K3088" s="76">
        <v>0.123</v>
      </c>
      <c r="L3088" s="76">
        <v>0.13800000000000001</v>
      </c>
      <c r="M3088" s="76">
        <v>0.153</v>
      </c>
    </row>
    <row r="3089" spans="3:13" x14ac:dyDescent="0.15">
      <c r="C3089" s="76">
        <v>448</v>
      </c>
      <c r="D3089" s="76">
        <v>1.8200000000000001E-2</v>
      </c>
      <c r="E3089" s="76">
        <v>3.73E-2</v>
      </c>
      <c r="F3089" s="76">
        <v>5.6099999999999997E-2</v>
      </c>
      <c r="G3089" s="76">
        <v>7.4999999999999997E-2</v>
      </c>
      <c r="H3089" s="76">
        <v>9.3799999999999994E-2</v>
      </c>
      <c r="I3089" s="76">
        <v>0.112</v>
      </c>
      <c r="J3089" s="76">
        <v>0.13100000000000001</v>
      </c>
      <c r="K3089" s="76">
        <v>0.14899999999999999</v>
      </c>
      <c r="L3089" s="76">
        <v>0.16800000000000001</v>
      </c>
      <c r="M3089" s="76">
        <v>0.186</v>
      </c>
    </row>
    <row r="3090" spans="3:13" x14ac:dyDescent="0.15">
      <c r="C3090" s="76">
        <v>450</v>
      </c>
      <c r="D3090" s="76">
        <v>2.1700000000000001E-2</v>
      </c>
      <c r="E3090" s="76">
        <v>4.4299999999999999E-2</v>
      </c>
      <c r="F3090" s="76">
        <v>6.6699999999999995E-2</v>
      </c>
      <c r="G3090" s="76">
        <v>8.9099999999999999E-2</v>
      </c>
      <c r="H3090" s="76">
        <v>0.111</v>
      </c>
      <c r="I3090" s="76">
        <v>0.13300000000000001</v>
      </c>
      <c r="J3090" s="76">
        <v>0.155</v>
      </c>
      <c r="K3090" s="76">
        <v>0.17699999999999999</v>
      </c>
      <c r="L3090" s="76">
        <v>0.19900000000000001</v>
      </c>
      <c r="M3090" s="76">
        <v>0.221</v>
      </c>
    </row>
    <row r="3091" spans="3:13" x14ac:dyDescent="0.15">
      <c r="C3091" s="76">
        <v>452</v>
      </c>
      <c r="D3091" s="76">
        <v>2.46E-2</v>
      </c>
      <c r="E3091" s="76">
        <v>5.0299999999999997E-2</v>
      </c>
      <c r="F3091" s="76">
        <v>7.5700000000000003E-2</v>
      </c>
      <c r="G3091" s="76">
        <v>0.10100000000000001</v>
      </c>
      <c r="H3091" s="76">
        <v>0.126</v>
      </c>
      <c r="I3091" s="76">
        <v>0.151</v>
      </c>
      <c r="J3091" s="76">
        <v>0.17599999999999999</v>
      </c>
      <c r="K3091" s="76">
        <v>0.20100000000000001</v>
      </c>
      <c r="L3091" s="76">
        <v>0.22600000000000001</v>
      </c>
      <c r="M3091" s="76">
        <v>0.25</v>
      </c>
    </row>
    <row r="3092" spans="3:13" x14ac:dyDescent="0.15">
      <c r="C3092" s="76">
        <v>454</v>
      </c>
      <c r="D3092" s="76">
        <v>2.69E-2</v>
      </c>
      <c r="E3092" s="76">
        <v>5.4899999999999997E-2</v>
      </c>
      <c r="F3092" s="76">
        <v>8.2699999999999996E-2</v>
      </c>
      <c r="G3092" s="76">
        <v>0.11</v>
      </c>
      <c r="H3092" s="76">
        <v>0.13800000000000001</v>
      </c>
      <c r="I3092" s="76">
        <v>0.16500000000000001</v>
      </c>
      <c r="J3092" s="76">
        <v>0.192</v>
      </c>
      <c r="K3092" s="76">
        <v>0.219</v>
      </c>
      <c r="L3092" s="76">
        <v>0.246</v>
      </c>
      <c r="M3092" s="76">
        <v>0.27300000000000002</v>
      </c>
    </row>
    <row r="3093" spans="3:13" x14ac:dyDescent="0.15">
      <c r="C3093" s="76">
        <v>456</v>
      </c>
      <c r="D3093" s="76">
        <v>2.8400000000000002E-2</v>
      </c>
      <c r="E3093" s="76">
        <v>5.8200000000000002E-2</v>
      </c>
      <c r="F3093" s="76">
        <v>8.7499999999999994E-2</v>
      </c>
      <c r="G3093" s="76">
        <v>0.11700000000000001</v>
      </c>
      <c r="H3093" s="76">
        <v>0.14599999999999999</v>
      </c>
      <c r="I3093" s="76">
        <v>0.17499999999999999</v>
      </c>
      <c r="J3093" s="76">
        <v>0.20300000000000001</v>
      </c>
      <c r="K3093" s="76">
        <v>0.23200000000000001</v>
      </c>
      <c r="L3093" s="76">
        <v>0.26100000000000001</v>
      </c>
      <c r="M3093" s="76">
        <v>0.28899999999999998</v>
      </c>
    </row>
    <row r="3094" spans="3:13" x14ac:dyDescent="0.15">
      <c r="C3094" s="76">
        <v>458</v>
      </c>
      <c r="D3094" s="76">
        <v>2.92E-2</v>
      </c>
      <c r="E3094" s="76">
        <v>5.9700000000000003E-2</v>
      </c>
      <c r="F3094" s="76">
        <v>8.9899999999999994E-2</v>
      </c>
      <c r="G3094" s="76">
        <v>0.12</v>
      </c>
      <c r="H3094" s="76">
        <v>0.15</v>
      </c>
      <c r="I3094" s="76">
        <v>0.17899999999999999</v>
      </c>
      <c r="J3094" s="76">
        <v>0.20899999999999999</v>
      </c>
      <c r="K3094" s="76">
        <v>0.23799999999999999</v>
      </c>
      <c r="L3094" s="76">
        <v>0.26700000000000002</v>
      </c>
      <c r="M3094" s="76">
        <v>0.29599999999999999</v>
      </c>
    </row>
    <row r="3095" spans="3:13" x14ac:dyDescent="0.15">
      <c r="C3095" s="76">
        <v>460</v>
      </c>
      <c r="D3095" s="76">
        <v>2.93E-2</v>
      </c>
      <c r="E3095" s="76">
        <v>5.9799999999999999E-2</v>
      </c>
      <c r="F3095" s="76">
        <v>9.01E-2</v>
      </c>
      <c r="G3095" s="76">
        <v>0.12</v>
      </c>
      <c r="H3095" s="76">
        <v>0.15</v>
      </c>
      <c r="I3095" s="76">
        <v>0.18</v>
      </c>
      <c r="J3095" s="76">
        <v>0.20899999999999999</v>
      </c>
      <c r="K3095" s="76">
        <v>0.23799999999999999</v>
      </c>
      <c r="L3095" s="76">
        <v>0.26800000000000002</v>
      </c>
      <c r="M3095" s="76">
        <v>0.29699999999999999</v>
      </c>
    </row>
    <row r="3096" spans="3:13" x14ac:dyDescent="0.15">
      <c r="C3096" s="76">
        <v>462</v>
      </c>
      <c r="D3096" s="76">
        <v>2.8500000000000001E-2</v>
      </c>
      <c r="E3096" s="76">
        <v>5.8400000000000001E-2</v>
      </c>
      <c r="F3096" s="76">
        <v>8.7900000000000006E-2</v>
      </c>
      <c r="G3096" s="76">
        <v>0.11700000000000001</v>
      </c>
      <c r="H3096" s="76">
        <v>0.14599999999999999</v>
      </c>
      <c r="I3096" s="76">
        <v>0.17499999999999999</v>
      </c>
      <c r="J3096" s="76">
        <v>0.20399999999999999</v>
      </c>
      <c r="K3096" s="76">
        <v>0.23300000000000001</v>
      </c>
      <c r="L3096" s="76">
        <v>0.26100000000000001</v>
      </c>
      <c r="M3096" s="76">
        <v>0.28999999999999998</v>
      </c>
    </row>
    <row r="3097" spans="3:13" x14ac:dyDescent="0.15">
      <c r="C3097" s="76">
        <v>464</v>
      </c>
      <c r="D3097" s="76">
        <v>2.7199999999999998E-2</v>
      </c>
      <c r="E3097" s="76">
        <v>5.5599999999999997E-2</v>
      </c>
      <c r="F3097" s="76">
        <v>8.3599999999999994E-2</v>
      </c>
      <c r="G3097" s="76">
        <v>0.112</v>
      </c>
      <c r="H3097" s="76">
        <v>0.13900000000000001</v>
      </c>
      <c r="I3097" s="76">
        <v>0.16700000000000001</v>
      </c>
      <c r="J3097" s="76">
        <v>0.19400000000000001</v>
      </c>
      <c r="K3097" s="76">
        <v>0.222</v>
      </c>
      <c r="L3097" s="76">
        <v>0.249</v>
      </c>
      <c r="M3097" s="76">
        <v>0.27600000000000002</v>
      </c>
    </row>
    <row r="3098" spans="3:13" x14ac:dyDescent="0.15">
      <c r="C3098" s="76">
        <v>466</v>
      </c>
      <c r="D3098" s="76">
        <v>2.5600000000000001E-2</v>
      </c>
      <c r="E3098" s="76">
        <v>5.2400000000000002E-2</v>
      </c>
      <c r="F3098" s="76">
        <v>7.9000000000000001E-2</v>
      </c>
      <c r="G3098" s="76">
        <v>0.105</v>
      </c>
      <c r="H3098" s="76">
        <v>0.13200000000000001</v>
      </c>
      <c r="I3098" s="76">
        <v>0.158</v>
      </c>
      <c r="J3098" s="76">
        <v>0.183</v>
      </c>
      <c r="K3098" s="76">
        <v>0.20899999999999999</v>
      </c>
      <c r="L3098" s="76">
        <v>0.23499999999999999</v>
      </c>
      <c r="M3098" s="76">
        <v>0.26</v>
      </c>
    </row>
    <row r="3099" spans="3:13" x14ac:dyDescent="0.15">
      <c r="C3099" s="76">
        <v>468</v>
      </c>
      <c r="D3099" s="76">
        <v>2.41E-2</v>
      </c>
      <c r="E3099" s="76">
        <v>4.9200000000000001E-2</v>
      </c>
      <c r="F3099" s="76">
        <v>7.4099999999999999E-2</v>
      </c>
      <c r="G3099" s="76">
        <v>9.8900000000000002E-2</v>
      </c>
      <c r="H3099" s="76">
        <v>0.124</v>
      </c>
      <c r="I3099" s="76">
        <v>0.14799999999999999</v>
      </c>
      <c r="J3099" s="76">
        <v>0.17199999999999999</v>
      </c>
      <c r="K3099" s="76">
        <v>0.19600000000000001</v>
      </c>
      <c r="L3099" s="76">
        <v>0.22</v>
      </c>
      <c r="M3099" s="76">
        <v>0.24399999999999999</v>
      </c>
    </row>
    <row r="3100" spans="3:13" x14ac:dyDescent="0.15">
      <c r="C3100" s="76">
        <v>470</v>
      </c>
      <c r="D3100" s="76">
        <v>2.2499999999999999E-2</v>
      </c>
      <c r="E3100" s="76">
        <v>4.5999999999999999E-2</v>
      </c>
      <c r="F3100" s="76">
        <v>6.9400000000000003E-2</v>
      </c>
      <c r="G3100" s="76">
        <v>9.2399999999999996E-2</v>
      </c>
      <c r="H3100" s="76">
        <v>0.115</v>
      </c>
      <c r="I3100" s="76">
        <v>0.13800000000000001</v>
      </c>
      <c r="J3100" s="76">
        <v>0.161</v>
      </c>
      <c r="K3100" s="76">
        <v>0.184</v>
      </c>
      <c r="L3100" s="76">
        <v>0.20599999999999999</v>
      </c>
      <c r="M3100" s="76">
        <v>0.22800000000000001</v>
      </c>
    </row>
    <row r="3101" spans="3:13" x14ac:dyDescent="0.15">
      <c r="C3101" s="76">
        <v>472</v>
      </c>
      <c r="D3101" s="76">
        <v>2.1000000000000001E-2</v>
      </c>
      <c r="E3101" s="76">
        <v>4.3099999999999999E-2</v>
      </c>
      <c r="F3101" s="76">
        <v>6.4899999999999999E-2</v>
      </c>
      <c r="G3101" s="76">
        <v>8.6499999999999994E-2</v>
      </c>
      <c r="H3101" s="76">
        <v>0.108</v>
      </c>
      <c r="I3101" s="76">
        <v>0.129</v>
      </c>
      <c r="J3101" s="76">
        <v>0.151</v>
      </c>
      <c r="K3101" s="76">
        <v>0.17199999999999999</v>
      </c>
      <c r="L3101" s="76">
        <v>0.193</v>
      </c>
      <c r="M3101" s="76">
        <v>0.214</v>
      </c>
    </row>
    <row r="3102" spans="3:13" x14ac:dyDescent="0.15">
      <c r="C3102" s="76">
        <v>474</v>
      </c>
      <c r="D3102" s="76">
        <v>1.9800000000000002E-2</v>
      </c>
      <c r="E3102" s="76">
        <v>4.0599999999999997E-2</v>
      </c>
      <c r="F3102" s="76">
        <v>6.1100000000000002E-2</v>
      </c>
      <c r="G3102" s="76">
        <v>8.1500000000000003E-2</v>
      </c>
      <c r="H3102" s="76">
        <v>0.10199999999999999</v>
      </c>
      <c r="I3102" s="76">
        <v>0.122</v>
      </c>
      <c r="J3102" s="76">
        <v>0.14199999999999999</v>
      </c>
      <c r="K3102" s="76">
        <v>0.16200000000000001</v>
      </c>
      <c r="L3102" s="76">
        <v>0.182</v>
      </c>
      <c r="M3102" s="76">
        <v>0.20200000000000001</v>
      </c>
    </row>
    <row r="3103" spans="3:13" x14ac:dyDescent="0.15">
      <c r="C3103" s="76">
        <v>476</v>
      </c>
      <c r="D3103" s="76">
        <v>1.8700000000000001E-2</v>
      </c>
      <c r="E3103" s="76">
        <v>3.8199999999999998E-2</v>
      </c>
      <c r="F3103" s="76">
        <v>5.7500000000000002E-2</v>
      </c>
      <c r="G3103" s="76">
        <v>7.6600000000000001E-2</v>
      </c>
      <c r="H3103" s="76">
        <v>9.5699999999999993E-2</v>
      </c>
      <c r="I3103" s="76">
        <v>0.115</v>
      </c>
      <c r="J3103" s="76">
        <v>0.13400000000000001</v>
      </c>
      <c r="K3103" s="76">
        <v>0.152</v>
      </c>
      <c r="L3103" s="76">
        <v>0.17100000000000001</v>
      </c>
      <c r="M3103" s="76">
        <v>0.19</v>
      </c>
    </row>
    <row r="3104" spans="3:13" x14ac:dyDescent="0.15">
      <c r="C3104" s="76">
        <v>478</v>
      </c>
      <c r="D3104" s="76">
        <v>1.78E-2</v>
      </c>
      <c r="E3104" s="76">
        <v>3.6499999999999998E-2</v>
      </c>
      <c r="F3104" s="76">
        <v>5.4899999999999997E-2</v>
      </c>
      <c r="G3104" s="76">
        <v>7.3200000000000001E-2</v>
      </c>
      <c r="H3104" s="76">
        <v>9.1399999999999995E-2</v>
      </c>
      <c r="I3104" s="76">
        <v>0.11</v>
      </c>
      <c r="J3104" s="76">
        <v>0.128</v>
      </c>
      <c r="K3104" s="76">
        <v>0.14599999999999999</v>
      </c>
      <c r="L3104" s="76">
        <v>0.16300000000000001</v>
      </c>
      <c r="M3104" s="76">
        <v>0.18099999999999999</v>
      </c>
    </row>
    <row r="3105" spans="3:13" x14ac:dyDescent="0.15">
      <c r="C3105" s="76">
        <v>480</v>
      </c>
      <c r="D3105" s="76">
        <v>1.7100000000000001E-2</v>
      </c>
      <c r="E3105" s="76">
        <v>3.5099999999999999E-2</v>
      </c>
      <c r="F3105" s="76">
        <v>5.28E-2</v>
      </c>
      <c r="G3105" s="76">
        <v>7.0300000000000001E-2</v>
      </c>
      <c r="H3105" s="76">
        <v>8.7800000000000003E-2</v>
      </c>
      <c r="I3105" s="76">
        <v>0.105</v>
      </c>
      <c r="J3105" s="76">
        <v>0.123</v>
      </c>
      <c r="K3105" s="76">
        <v>0.14000000000000001</v>
      </c>
      <c r="L3105" s="76">
        <v>0.157</v>
      </c>
      <c r="M3105" s="76">
        <v>0.17399999999999999</v>
      </c>
    </row>
    <row r="3106" spans="3:13" x14ac:dyDescent="0.15">
      <c r="C3106" s="76">
        <v>482</v>
      </c>
      <c r="D3106" s="76">
        <v>1.6500000000000001E-2</v>
      </c>
      <c r="E3106" s="76">
        <v>3.3799999999999997E-2</v>
      </c>
      <c r="F3106" s="76">
        <v>5.0900000000000001E-2</v>
      </c>
      <c r="G3106" s="76">
        <v>6.7900000000000002E-2</v>
      </c>
      <c r="H3106" s="76">
        <v>8.4699999999999998E-2</v>
      </c>
      <c r="I3106" s="76">
        <v>0.10199999999999999</v>
      </c>
      <c r="J3106" s="76">
        <v>0.11799999999999999</v>
      </c>
      <c r="K3106" s="76">
        <v>0.13500000000000001</v>
      </c>
      <c r="L3106" s="76">
        <v>0.151</v>
      </c>
      <c r="M3106" s="76">
        <v>0.16800000000000001</v>
      </c>
    </row>
    <row r="3107" spans="3:13" x14ac:dyDescent="0.15">
      <c r="C3107" s="76">
        <v>484</v>
      </c>
      <c r="D3107" s="76">
        <v>1.5900000000000001E-2</v>
      </c>
      <c r="E3107" s="76">
        <v>3.2500000000000001E-2</v>
      </c>
      <c r="F3107" s="76">
        <v>4.9000000000000002E-2</v>
      </c>
      <c r="G3107" s="76">
        <v>6.5299999999999997E-2</v>
      </c>
      <c r="H3107" s="76">
        <v>8.14E-2</v>
      </c>
      <c r="I3107" s="76">
        <v>9.7600000000000006E-2</v>
      </c>
      <c r="J3107" s="76">
        <v>0.114</v>
      </c>
      <c r="K3107" s="76">
        <v>0.13</v>
      </c>
      <c r="L3107" s="76">
        <v>0.14599999999999999</v>
      </c>
      <c r="M3107" s="76">
        <v>0.161</v>
      </c>
    </row>
    <row r="3108" spans="3:13" x14ac:dyDescent="0.15">
      <c r="C3108" s="76">
        <v>486</v>
      </c>
      <c r="D3108" s="76">
        <v>1.5299999999999999E-2</v>
      </c>
      <c r="E3108" s="76">
        <v>3.1199999999999999E-2</v>
      </c>
      <c r="F3108" s="76">
        <v>4.7E-2</v>
      </c>
      <c r="G3108" s="76">
        <v>6.2600000000000003E-2</v>
      </c>
      <c r="H3108" s="76">
        <v>7.8200000000000006E-2</v>
      </c>
      <c r="I3108" s="76">
        <v>9.3700000000000006E-2</v>
      </c>
      <c r="J3108" s="76">
        <v>0.109</v>
      </c>
      <c r="K3108" s="76">
        <v>0.124</v>
      </c>
      <c r="L3108" s="76">
        <v>0.14000000000000001</v>
      </c>
      <c r="M3108" s="76">
        <v>0.155</v>
      </c>
    </row>
    <row r="3109" spans="3:13" x14ac:dyDescent="0.15">
      <c r="C3109" s="76">
        <v>488</v>
      </c>
      <c r="D3109" s="76">
        <v>1.44E-2</v>
      </c>
      <c r="E3109" s="76">
        <v>2.9600000000000001E-2</v>
      </c>
      <c r="F3109" s="76">
        <v>4.4400000000000002E-2</v>
      </c>
      <c r="G3109" s="76">
        <v>5.9200000000000003E-2</v>
      </c>
      <c r="H3109" s="76">
        <v>7.3899999999999993E-2</v>
      </c>
      <c r="I3109" s="76">
        <v>8.8599999999999998E-2</v>
      </c>
      <c r="J3109" s="76">
        <v>0.10299999999999999</v>
      </c>
      <c r="K3109" s="76">
        <v>0.11799999999999999</v>
      </c>
      <c r="L3109" s="76">
        <v>0.13200000000000001</v>
      </c>
      <c r="M3109" s="76">
        <v>0.14599999999999999</v>
      </c>
    </row>
    <row r="3110" spans="3:13" x14ac:dyDescent="0.15">
      <c r="C3110" s="76">
        <v>490</v>
      </c>
      <c r="D3110" s="76">
        <v>1.3599999999999999E-2</v>
      </c>
      <c r="E3110" s="76">
        <v>2.7900000000000001E-2</v>
      </c>
      <c r="F3110" s="76">
        <v>4.19E-2</v>
      </c>
      <c r="G3110" s="76">
        <v>5.5899999999999998E-2</v>
      </c>
      <c r="H3110" s="76">
        <v>6.9699999999999998E-2</v>
      </c>
      <c r="I3110" s="76">
        <v>8.3599999999999994E-2</v>
      </c>
      <c r="J3110" s="76">
        <v>9.7299999999999998E-2</v>
      </c>
      <c r="K3110" s="76">
        <v>0.111</v>
      </c>
      <c r="L3110" s="76">
        <v>0.125</v>
      </c>
      <c r="M3110" s="76">
        <v>0.13800000000000001</v>
      </c>
    </row>
    <row r="3111" spans="3:13" x14ac:dyDescent="0.15">
      <c r="C3111" s="76">
        <v>492</v>
      </c>
      <c r="D3111" s="76">
        <v>1.2800000000000001E-2</v>
      </c>
      <c r="E3111" s="76">
        <v>2.6100000000000002E-2</v>
      </c>
      <c r="F3111" s="76">
        <v>3.9300000000000002E-2</v>
      </c>
      <c r="G3111" s="76">
        <v>5.2299999999999999E-2</v>
      </c>
      <c r="H3111" s="76">
        <v>6.54E-2</v>
      </c>
      <c r="I3111" s="76">
        <v>7.8399999999999997E-2</v>
      </c>
      <c r="J3111" s="76">
        <v>9.1300000000000006E-2</v>
      </c>
      <c r="K3111" s="76">
        <v>0.104</v>
      </c>
      <c r="L3111" s="76">
        <v>0.11700000000000001</v>
      </c>
      <c r="M3111" s="76">
        <v>0.13</v>
      </c>
    </row>
    <row r="3112" spans="3:13" x14ac:dyDescent="0.15">
      <c r="C3112" s="76">
        <v>494</v>
      </c>
      <c r="D3112" s="76">
        <v>1.1900000000000001E-2</v>
      </c>
      <c r="E3112" s="76">
        <v>2.4299999999999999E-2</v>
      </c>
      <c r="F3112" s="76">
        <v>3.6499999999999998E-2</v>
      </c>
      <c r="G3112" s="76">
        <v>4.87E-2</v>
      </c>
      <c r="H3112" s="76">
        <v>6.08E-2</v>
      </c>
      <c r="I3112" s="76">
        <v>7.2900000000000006E-2</v>
      </c>
      <c r="J3112" s="76">
        <v>8.48E-2</v>
      </c>
      <c r="K3112" s="76">
        <v>9.6799999999999997E-2</v>
      </c>
      <c r="L3112" s="76">
        <v>0.109</v>
      </c>
      <c r="M3112" s="76">
        <v>0.121</v>
      </c>
    </row>
    <row r="3113" spans="3:13" x14ac:dyDescent="0.15">
      <c r="C3113" s="76">
        <v>496</v>
      </c>
      <c r="D3113" s="76">
        <v>1.0999999999999999E-2</v>
      </c>
      <c r="E3113" s="76">
        <v>2.2499999999999999E-2</v>
      </c>
      <c r="F3113" s="76">
        <v>3.39E-2</v>
      </c>
      <c r="G3113" s="76">
        <v>4.5100000000000001E-2</v>
      </c>
      <c r="H3113" s="76">
        <v>5.6300000000000003E-2</v>
      </c>
      <c r="I3113" s="76">
        <v>6.7500000000000004E-2</v>
      </c>
      <c r="J3113" s="76">
        <v>7.8600000000000003E-2</v>
      </c>
      <c r="K3113" s="76">
        <v>8.9700000000000002E-2</v>
      </c>
      <c r="L3113" s="76">
        <v>0.10100000000000001</v>
      </c>
      <c r="M3113" s="76">
        <v>0.112</v>
      </c>
    </row>
    <row r="3114" spans="3:13" x14ac:dyDescent="0.15">
      <c r="C3114" s="76">
        <v>498</v>
      </c>
      <c r="D3114" s="76">
        <v>1.01E-2</v>
      </c>
      <c r="E3114" s="76">
        <v>2.07E-2</v>
      </c>
      <c r="F3114" s="76">
        <v>3.1099999999999999E-2</v>
      </c>
      <c r="G3114" s="76">
        <v>4.1399999999999999E-2</v>
      </c>
      <c r="H3114" s="76">
        <v>5.1700000000000003E-2</v>
      </c>
      <c r="I3114" s="76">
        <v>6.2100000000000002E-2</v>
      </c>
      <c r="J3114" s="76">
        <v>7.22E-2</v>
      </c>
      <c r="K3114" s="76">
        <v>8.2400000000000001E-2</v>
      </c>
      <c r="L3114" s="76">
        <v>9.2499999999999999E-2</v>
      </c>
      <c r="M3114" s="76">
        <v>0.10199999999999999</v>
      </c>
    </row>
    <row r="3115" spans="3:13" x14ac:dyDescent="0.15">
      <c r="C3115" s="76">
        <v>500</v>
      </c>
      <c r="D3115" s="76">
        <v>9.1500000000000001E-3</v>
      </c>
      <c r="E3115" s="76">
        <v>1.8700000000000001E-2</v>
      </c>
      <c r="F3115" s="76">
        <v>2.8199999999999999E-2</v>
      </c>
      <c r="G3115" s="76">
        <v>3.7600000000000001E-2</v>
      </c>
      <c r="H3115" s="76">
        <v>4.6899999999999997E-2</v>
      </c>
      <c r="I3115" s="76">
        <v>5.6300000000000003E-2</v>
      </c>
      <c r="J3115" s="76">
        <v>6.5500000000000003E-2</v>
      </c>
      <c r="K3115" s="76">
        <v>7.4700000000000003E-2</v>
      </c>
      <c r="L3115" s="76">
        <v>8.3799999999999999E-2</v>
      </c>
      <c r="M3115" s="76">
        <v>9.2999999999999999E-2</v>
      </c>
    </row>
    <row r="3116" spans="3:13" x14ac:dyDescent="0.15">
      <c r="C3116" s="76">
        <v>502</v>
      </c>
      <c r="D3116" s="76">
        <v>8.26E-3</v>
      </c>
      <c r="E3116" s="76">
        <v>1.6899999999999998E-2</v>
      </c>
      <c r="F3116" s="76">
        <v>2.5499999999999998E-2</v>
      </c>
      <c r="G3116" s="76">
        <v>3.39E-2</v>
      </c>
      <c r="H3116" s="76">
        <v>4.2299999999999997E-2</v>
      </c>
      <c r="I3116" s="76">
        <v>5.0700000000000002E-2</v>
      </c>
      <c r="J3116" s="76">
        <v>5.91E-2</v>
      </c>
      <c r="K3116" s="76">
        <v>6.7500000000000004E-2</v>
      </c>
      <c r="L3116" s="76">
        <v>7.5600000000000001E-2</v>
      </c>
      <c r="M3116" s="76">
        <v>8.4000000000000005E-2</v>
      </c>
    </row>
    <row r="3117" spans="3:13" x14ac:dyDescent="0.15">
      <c r="C3117" s="76">
        <v>504</v>
      </c>
      <c r="D3117" s="76">
        <v>7.4799999999999997E-3</v>
      </c>
      <c r="E3117" s="76">
        <v>1.54E-2</v>
      </c>
      <c r="F3117" s="76">
        <v>2.3099999999999999E-2</v>
      </c>
      <c r="G3117" s="76">
        <v>3.0700000000000002E-2</v>
      </c>
      <c r="H3117" s="76">
        <v>3.8399999999999997E-2</v>
      </c>
      <c r="I3117" s="76">
        <v>4.5900000000000003E-2</v>
      </c>
      <c r="J3117" s="76">
        <v>5.3499999999999999E-2</v>
      </c>
      <c r="K3117" s="76">
        <v>6.1199999999999997E-2</v>
      </c>
      <c r="L3117" s="76">
        <v>6.8500000000000005E-2</v>
      </c>
      <c r="M3117" s="76">
        <v>7.6100000000000001E-2</v>
      </c>
    </row>
    <row r="3118" spans="3:13" x14ac:dyDescent="0.15">
      <c r="C3118" s="76">
        <v>506</v>
      </c>
      <c r="D3118" s="76">
        <v>6.7799999999999996E-3</v>
      </c>
      <c r="E3118" s="76">
        <v>1.3899999999999999E-2</v>
      </c>
      <c r="F3118" s="76">
        <v>2.0899999999999998E-2</v>
      </c>
      <c r="G3118" s="76">
        <v>2.7799999999999998E-2</v>
      </c>
      <c r="H3118" s="76">
        <v>3.4700000000000002E-2</v>
      </c>
      <c r="I3118" s="76">
        <v>4.1700000000000001E-2</v>
      </c>
      <c r="J3118" s="76">
        <v>4.8500000000000001E-2</v>
      </c>
      <c r="K3118" s="76">
        <v>5.5500000000000001E-2</v>
      </c>
      <c r="L3118" s="76">
        <v>6.2E-2</v>
      </c>
      <c r="M3118" s="76">
        <v>6.8900000000000003E-2</v>
      </c>
    </row>
    <row r="3119" spans="3:13" x14ac:dyDescent="0.15">
      <c r="C3119" s="76">
        <v>508</v>
      </c>
      <c r="D3119" s="76">
        <v>6.1399999999999996E-3</v>
      </c>
      <c r="E3119" s="76">
        <v>1.26E-2</v>
      </c>
      <c r="F3119" s="76">
        <v>1.89E-2</v>
      </c>
      <c r="G3119" s="76">
        <v>2.52E-2</v>
      </c>
      <c r="H3119" s="76">
        <v>3.1399999999999997E-2</v>
      </c>
      <c r="I3119" s="76">
        <v>3.7699999999999997E-2</v>
      </c>
      <c r="J3119" s="76">
        <v>4.3900000000000002E-2</v>
      </c>
      <c r="K3119" s="76">
        <v>5.0299999999999997E-2</v>
      </c>
      <c r="L3119" s="76">
        <v>5.6300000000000003E-2</v>
      </c>
      <c r="M3119" s="76">
        <v>6.2399999999999997E-2</v>
      </c>
    </row>
    <row r="3120" spans="3:13" x14ac:dyDescent="0.15">
      <c r="C3120" s="76">
        <v>510</v>
      </c>
      <c r="D3120" s="76">
        <v>5.5799999999999999E-3</v>
      </c>
      <c r="E3120" s="76">
        <v>1.14E-2</v>
      </c>
      <c r="F3120" s="76">
        <v>1.72E-2</v>
      </c>
      <c r="G3120" s="76">
        <v>2.2800000000000001E-2</v>
      </c>
      <c r="H3120" s="76">
        <v>2.8500000000000001E-2</v>
      </c>
      <c r="I3120" s="76">
        <v>3.4299999999999997E-2</v>
      </c>
      <c r="J3120" s="76">
        <v>3.9800000000000002E-2</v>
      </c>
      <c r="K3120" s="76">
        <v>4.5600000000000002E-2</v>
      </c>
      <c r="L3120" s="76">
        <v>5.0999999999999997E-2</v>
      </c>
      <c r="M3120" s="76">
        <v>5.6800000000000003E-2</v>
      </c>
    </row>
    <row r="3121" spans="3:13" x14ac:dyDescent="0.15">
      <c r="C3121" s="76">
        <v>512</v>
      </c>
      <c r="D3121" s="76">
        <v>5.0299999999999997E-3</v>
      </c>
      <c r="E3121" s="76">
        <v>1.03E-2</v>
      </c>
      <c r="F3121" s="76">
        <v>1.55E-2</v>
      </c>
      <c r="G3121" s="76">
        <v>2.06E-2</v>
      </c>
      <c r="H3121" s="76">
        <v>2.5700000000000001E-2</v>
      </c>
      <c r="I3121" s="76">
        <v>3.0800000000000001E-2</v>
      </c>
      <c r="J3121" s="76">
        <v>3.5999999999999997E-2</v>
      </c>
      <c r="K3121" s="76">
        <v>4.1099999999999998E-2</v>
      </c>
      <c r="L3121" s="76">
        <v>4.5999999999999999E-2</v>
      </c>
      <c r="M3121" s="76">
        <v>5.1200000000000002E-2</v>
      </c>
    </row>
    <row r="3122" spans="3:13" x14ac:dyDescent="0.15">
      <c r="C3122" s="76">
        <v>514</v>
      </c>
      <c r="D3122" s="76">
        <v>4.5799999999999999E-3</v>
      </c>
      <c r="E3122" s="76">
        <v>9.3900000000000008E-3</v>
      </c>
      <c r="F3122" s="76">
        <v>1.4200000000000001E-2</v>
      </c>
      <c r="G3122" s="76">
        <v>1.8800000000000001E-2</v>
      </c>
      <c r="H3122" s="76">
        <v>2.35E-2</v>
      </c>
      <c r="I3122" s="76">
        <v>2.8199999999999999E-2</v>
      </c>
      <c r="J3122" s="76">
        <v>3.2800000000000003E-2</v>
      </c>
      <c r="K3122" s="76">
        <v>3.7499999999999999E-2</v>
      </c>
      <c r="L3122" s="76">
        <v>4.2000000000000003E-2</v>
      </c>
      <c r="M3122" s="76">
        <v>4.6699999999999998E-2</v>
      </c>
    </row>
    <row r="3123" spans="3:13" x14ac:dyDescent="0.15">
      <c r="C3123" s="76">
        <v>516</v>
      </c>
      <c r="D3123" s="76">
        <v>4.2199999999999998E-3</v>
      </c>
      <c r="E3123" s="76">
        <v>8.6599999999999993E-3</v>
      </c>
      <c r="F3123" s="76">
        <v>1.2999999999999999E-2</v>
      </c>
      <c r="G3123" s="76">
        <v>1.7299999999999999E-2</v>
      </c>
      <c r="H3123" s="76">
        <v>2.1600000000000001E-2</v>
      </c>
      <c r="I3123" s="76">
        <v>2.5899999999999999E-2</v>
      </c>
      <c r="J3123" s="76">
        <v>3.0200000000000001E-2</v>
      </c>
      <c r="K3123" s="76">
        <v>3.4500000000000003E-2</v>
      </c>
      <c r="L3123" s="76">
        <v>3.8699999999999998E-2</v>
      </c>
      <c r="M3123" s="76">
        <v>4.2999999999999997E-2</v>
      </c>
    </row>
    <row r="3124" spans="3:13" x14ac:dyDescent="0.15">
      <c r="C3124" s="76">
        <v>518</v>
      </c>
      <c r="D3124" s="76">
        <v>3.8999999999999998E-3</v>
      </c>
      <c r="E3124" s="76">
        <v>8.0000000000000002E-3</v>
      </c>
      <c r="F3124" s="76">
        <v>1.2E-2</v>
      </c>
      <c r="G3124" s="76">
        <v>1.6E-2</v>
      </c>
      <c r="H3124" s="76">
        <v>0.02</v>
      </c>
      <c r="I3124" s="76">
        <v>2.3900000000000001E-2</v>
      </c>
      <c r="J3124" s="76">
        <v>2.7900000000000001E-2</v>
      </c>
      <c r="K3124" s="76">
        <v>3.1899999999999998E-2</v>
      </c>
      <c r="L3124" s="76">
        <v>3.5700000000000003E-2</v>
      </c>
      <c r="M3124" s="76">
        <v>3.9699999999999999E-2</v>
      </c>
    </row>
    <row r="3125" spans="3:13" x14ac:dyDescent="0.15">
      <c r="C3125" s="76">
        <v>520</v>
      </c>
      <c r="D3125" s="76">
        <v>3.6099999999999999E-3</v>
      </c>
      <c r="E3125" s="76">
        <v>7.4000000000000003E-3</v>
      </c>
      <c r="F3125" s="76">
        <v>1.11E-2</v>
      </c>
      <c r="G3125" s="76">
        <v>1.4800000000000001E-2</v>
      </c>
      <c r="H3125" s="76">
        <v>1.8499999999999999E-2</v>
      </c>
      <c r="I3125" s="76">
        <v>2.2200000000000001E-2</v>
      </c>
      <c r="J3125" s="76">
        <v>2.5700000000000001E-2</v>
      </c>
      <c r="K3125" s="76">
        <v>2.9600000000000001E-2</v>
      </c>
      <c r="L3125" s="76">
        <v>3.3099999999999997E-2</v>
      </c>
      <c r="M3125" s="76">
        <v>3.6799999999999999E-2</v>
      </c>
    </row>
    <row r="3126" spans="3:13" x14ac:dyDescent="0.15">
      <c r="C3126" s="76">
        <v>522</v>
      </c>
      <c r="D3126" s="76">
        <v>3.3400000000000001E-3</v>
      </c>
      <c r="E3126" s="76">
        <v>6.9100000000000003E-3</v>
      </c>
      <c r="F3126" s="76">
        <v>1.03E-2</v>
      </c>
      <c r="G3126" s="76">
        <v>1.37E-2</v>
      </c>
      <c r="H3126" s="76">
        <v>1.7100000000000001E-2</v>
      </c>
      <c r="I3126" s="76">
        <v>2.06E-2</v>
      </c>
      <c r="J3126" s="76">
        <v>2.4E-2</v>
      </c>
      <c r="K3126" s="76">
        <v>2.7300000000000001E-2</v>
      </c>
      <c r="L3126" s="76">
        <v>3.0599999999999999E-2</v>
      </c>
      <c r="M3126" s="76">
        <v>3.4000000000000002E-2</v>
      </c>
    </row>
    <row r="3127" spans="3:13" x14ac:dyDescent="0.15">
      <c r="C3127" s="76">
        <v>524</v>
      </c>
      <c r="D3127" s="76">
        <v>3.0599999999999998E-3</v>
      </c>
      <c r="E3127" s="76">
        <v>6.2700000000000004E-3</v>
      </c>
      <c r="F3127" s="76">
        <v>9.4500000000000001E-3</v>
      </c>
      <c r="G3127" s="76">
        <v>1.26E-2</v>
      </c>
      <c r="H3127" s="76">
        <v>1.5699999999999999E-2</v>
      </c>
      <c r="I3127" s="76">
        <v>1.8800000000000001E-2</v>
      </c>
      <c r="J3127" s="76">
        <v>2.1999999999999999E-2</v>
      </c>
      <c r="K3127" s="76">
        <v>2.5000000000000001E-2</v>
      </c>
      <c r="L3127" s="76">
        <v>2.8000000000000001E-2</v>
      </c>
      <c r="M3127" s="76">
        <v>3.1199999999999999E-2</v>
      </c>
    </row>
    <row r="3128" spans="3:13" x14ac:dyDescent="0.15">
      <c r="C3128" s="76">
        <v>526</v>
      </c>
      <c r="D3128" s="76">
        <v>2.8300000000000001E-3</v>
      </c>
      <c r="E3128" s="76">
        <v>5.7999999999999996E-3</v>
      </c>
      <c r="F3128" s="76">
        <v>8.7399999999999995E-3</v>
      </c>
      <c r="G3128" s="76">
        <v>1.1599999999999999E-2</v>
      </c>
      <c r="H3128" s="76">
        <v>1.4500000000000001E-2</v>
      </c>
      <c r="I3128" s="76">
        <v>1.7399999999999999E-2</v>
      </c>
      <c r="J3128" s="76">
        <v>2.0299999999999999E-2</v>
      </c>
      <c r="K3128" s="76">
        <v>2.3099999999999999E-2</v>
      </c>
      <c r="L3128" s="76">
        <v>2.5999999999999999E-2</v>
      </c>
      <c r="M3128" s="76">
        <v>2.8799999999999999E-2</v>
      </c>
    </row>
    <row r="3129" spans="3:13" x14ac:dyDescent="0.15">
      <c r="C3129" s="76">
        <v>528</v>
      </c>
      <c r="D3129" s="76">
        <v>2.6199999999999999E-3</v>
      </c>
      <c r="E3129" s="76">
        <v>5.3600000000000002E-3</v>
      </c>
      <c r="F3129" s="76">
        <v>8.09E-3</v>
      </c>
      <c r="G3129" s="76">
        <v>1.0800000000000001E-2</v>
      </c>
      <c r="H3129" s="76">
        <v>1.34E-2</v>
      </c>
      <c r="I3129" s="76">
        <v>1.61E-2</v>
      </c>
      <c r="J3129" s="76">
        <v>1.8700000000000001E-2</v>
      </c>
      <c r="K3129" s="76">
        <v>2.1399999999999999E-2</v>
      </c>
      <c r="L3129" s="76">
        <v>2.4E-2</v>
      </c>
      <c r="M3129" s="76">
        <v>2.6499999999999999E-2</v>
      </c>
    </row>
    <row r="3130" spans="3:13" x14ac:dyDescent="0.15">
      <c r="C3130" s="76">
        <v>530</v>
      </c>
      <c r="D3130" s="76">
        <v>2.4199999999999998E-3</v>
      </c>
      <c r="E3130" s="76">
        <v>4.9399999999999999E-3</v>
      </c>
      <c r="F3130" s="76">
        <v>7.45E-3</v>
      </c>
      <c r="G3130" s="76">
        <v>9.9100000000000004E-3</v>
      </c>
      <c r="H3130" s="76">
        <v>1.24E-2</v>
      </c>
      <c r="I3130" s="76">
        <v>1.47E-2</v>
      </c>
      <c r="J3130" s="76">
        <v>1.72E-2</v>
      </c>
      <c r="K3130" s="76">
        <v>1.9599999999999999E-2</v>
      </c>
      <c r="L3130" s="76">
        <v>2.2100000000000002E-2</v>
      </c>
      <c r="M3130" s="76">
        <v>2.4400000000000002E-2</v>
      </c>
    </row>
    <row r="3131" spans="3:13" x14ac:dyDescent="0.15">
      <c r="C3131" s="76">
        <v>532</v>
      </c>
      <c r="D3131" s="76">
        <v>2.2200000000000002E-3</v>
      </c>
      <c r="E3131" s="76">
        <v>4.5300000000000002E-3</v>
      </c>
      <c r="F3131" s="76">
        <v>6.8300000000000001E-3</v>
      </c>
      <c r="G3131" s="76">
        <v>9.0699999999999999E-3</v>
      </c>
      <c r="H3131" s="76">
        <v>1.14E-2</v>
      </c>
      <c r="I3131" s="76">
        <v>1.3599999999999999E-2</v>
      </c>
      <c r="J3131" s="76">
        <v>1.5800000000000002E-2</v>
      </c>
      <c r="K3131" s="76">
        <v>1.7999999999999999E-2</v>
      </c>
      <c r="L3131" s="76">
        <v>2.0199999999999999E-2</v>
      </c>
      <c r="M3131" s="76">
        <v>2.23E-2</v>
      </c>
    </row>
    <row r="3132" spans="3:13" x14ac:dyDescent="0.15">
      <c r="C3132" s="76">
        <v>534</v>
      </c>
      <c r="D3132" s="76">
        <v>2.0300000000000001E-3</v>
      </c>
      <c r="E3132" s="76">
        <v>4.1399999999999996E-3</v>
      </c>
      <c r="F3132" s="76">
        <v>6.2399999999999999E-3</v>
      </c>
      <c r="G3132" s="76">
        <v>8.2900000000000005E-3</v>
      </c>
      <c r="H3132" s="76">
        <v>1.03E-2</v>
      </c>
      <c r="I3132" s="76">
        <v>1.24E-2</v>
      </c>
      <c r="J3132" s="76">
        <v>1.4500000000000001E-2</v>
      </c>
      <c r="K3132" s="76">
        <v>1.6500000000000001E-2</v>
      </c>
      <c r="L3132" s="76">
        <v>1.8499999999999999E-2</v>
      </c>
      <c r="M3132" s="76">
        <v>2.0400000000000001E-2</v>
      </c>
    </row>
    <row r="3133" spans="3:13" x14ac:dyDescent="0.15">
      <c r="C3133" s="76">
        <v>536</v>
      </c>
      <c r="D3133" s="76">
        <v>1.82E-3</v>
      </c>
      <c r="E3133" s="76">
        <v>3.7299999999999998E-3</v>
      </c>
      <c r="F3133" s="76">
        <v>5.62E-3</v>
      </c>
      <c r="G3133" s="76">
        <v>7.45E-3</v>
      </c>
      <c r="H3133" s="76">
        <v>9.3200000000000002E-3</v>
      </c>
      <c r="I3133" s="76">
        <v>1.11E-2</v>
      </c>
      <c r="J3133" s="76">
        <v>1.2999999999999999E-2</v>
      </c>
      <c r="K3133" s="76">
        <v>1.4800000000000001E-2</v>
      </c>
      <c r="L3133" s="76">
        <v>1.66E-2</v>
      </c>
      <c r="M3133" s="76">
        <v>1.84E-2</v>
      </c>
    </row>
    <row r="3134" spans="3:13" x14ac:dyDescent="0.15">
      <c r="C3134" s="76">
        <v>538</v>
      </c>
      <c r="D3134" s="76">
        <v>1.66E-3</v>
      </c>
      <c r="E3134" s="76">
        <v>3.3899999999999998E-3</v>
      </c>
      <c r="F3134" s="76">
        <v>5.1200000000000004E-3</v>
      </c>
      <c r="G3134" s="76">
        <v>6.7999999999999996E-3</v>
      </c>
      <c r="H3134" s="76">
        <v>8.4700000000000001E-3</v>
      </c>
      <c r="I3134" s="76">
        <v>1.01E-2</v>
      </c>
      <c r="J3134" s="76">
        <v>1.1900000000000001E-2</v>
      </c>
      <c r="K3134" s="76">
        <v>1.34E-2</v>
      </c>
      <c r="L3134" s="76">
        <v>1.5100000000000001E-2</v>
      </c>
      <c r="M3134" s="76">
        <v>1.67E-2</v>
      </c>
    </row>
    <row r="3135" spans="3:13" x14ac:dyDescent="0.15">
      <c r="C3135" s="76">
        <v>540</v>
      </c>
      <c r="D3135" s="76">
        <v>1.5100000000000001E-3</v>
      </c>
      <c r="E3135" s="76">
        <v>3.0799999999999998E-3</v>
      </c>
      <c r="F3135" s="76">
        <v>4.6600000000000001E-3</v>
      </c>
      <c r="G3135" s="76">
        <v>6.1799999999999997E-3</v>
      </c>
      <c r="H3135" s="76">
        <v>7.7200000000000003E-3</v>
      </c>
      <c r="I3135" s="76">
        <v>9.2300000000000004E-3</v>
      </c>
      <c r="J3135" s="76">
        <v>1.0800000000000001E-2</v>
      </c>
      <c r="K3135" s="76">
        <v>1.2200000000000001E-2</v>
      </c>
      <c r="L3135" s="76">
        <v>1.38E-2</v>
      </c>
      <c r="M3135" s="76">
        <v>1.5299999999999999E-2</v>
      </c>
    </row>
    <row r="3136" spans="3:13" x14ac:dyDescent="0.15">
      <c r="C3136" s="76">
        <v>542</v>
      </c>
      <c r="D3136" s="76">
        <v>1.3799999999999999E-3</v>
      </c>
      <c r="E3136" s="76">
        <v>2.8E-3</v>
      </c>
      <c r="F3136" s="76">
        <v>4.2399999999999998E-3</v>
      </c>
      <c r="G3136" s="76">
        <v>5.64E-3</v>
      </c>
      <c r="H3136" s="76">
        <v>7.0499999999999998E-3</v>
      </c>
      <c r="I3136" s="76">
        <v>8.4200000000000004E-3</v>
      </c>
      <c r="J3136" s="76">
        <v>9.7800000000000005E-3</v>
      </c>
      <c r="K3136" s="76">
        <v>1.12E-2</v>
      </c>
      <c r="L3136" s="76">
        <v>1.26E-2</v>
      </c>
      <c r="M3136" s="76">
        <v>1.38E-2</v>
      </c>
    </row>
    <row r="3137" spans="3:13" x14ac:dyDescent="0.15">
      <c r="C3137" s="76">
        <v>544</v>
      </c>
      <c r="D3137" s="76">
        <v>1.2600000000000001E-3</v>
      </c>
      <c r="E3137" s="76">
        <v>2.5600000000000002E-3</v>
      </c>
      <c r="F3137" s="76">
        <v>3.8700000000000002E-3</v>
      </c>
      <c r="G3137" s="76">
        <v>5.11E-3</v>
      </c>
      <c r="H3137" s="76">
        <v>6.4200000000000004E-3</v>
      </c>
      <c r="I3137" s="76">
        <v>7.6299999999999996E-3</v>
      </c>
      <c r="J3137" s="76">
        <v>8.8800000000000007E-3</v>
      </c>
      <c r="K3137" s="76">
        <v>1.01E-2</v>
      </c>
      <c r="L3137" s="76">
        <v>1.14E-2</v>
      </c>
      <c r="M3137" s="76">
        <v>1.26E-2</v>
      </c>
    </row>
    <row r="3138" spans="3:13" x14ac:dyDescent="0.15">
      <c r="C3138" s="76">
        <v>546</v>
      </c>
      <c r="D3138" s="76">
        <v>1.1299999999999999E-3</v>
      </c>
      <c r="E3138" s="76">
        <v>2.31E-3</v>
      </c>
      <c r="F3138" s="76">
        <v>3.5000000000000001E-3</v>
      </c>
      <c r="G3138" s="76">
        <v>4.6499999999999996E-3</v>
      </c>
      <c r="H3138" s="76">
        <v>5.8100000000000001E-3</v>
      </c>
      <c r="I3138" s="76">
        <v>6.9800000000000001E-3</v>
      </c>
      <c r="J3138" s="76">
        <v>8.0499999999999999E-3</v>
      </c>
      <c r="K3138" s="76">
        <v>9.1800000000000007E-3</v>
      </c>
      <c r="L3138" s="76">
        <v>1.04E-2</v>
      </c>
      <c r="M3138" s="76">
        <v>1.14E-2</v>
      </c>
    </row>
    <row r="3139" spans="3:13" x14ac:dyDescent="0.15">
      <c r="C3139" s="76">
        <v>548</v>
      </c>
      <c r="D3139" s="76">
        <v>1.0300000000000001E-3</v>
      </c>
      <c r="E3139" s="76">
        <v>2.0799999999999998E-3</v>
      </c>
      <c r="F3139" s="76">
        <v>3.16E-3</v>
      </c>
      <c r="G3139" s="76">
        <v>4.1999999999999997E-3</v>
      </c>
      <c r="H3139" s="76">
        <v>5.28E-3</v>
      </c>
      <c r="I3139" s="76">
        <v>6.2899999999999996E-3</v>
      </c>
      <c r="J3139" s="76">
        <v>7.3499999999999998E-3</v>
      </c>
      <c r="K3139" s="76">
        <v>8.3099999999999997E-3</v>
      </c>
      <c r="L3139" s="76">
        <v>9.3699999999999999E-3</v>
      </c>
      <c r="M3139" s="76">
        <v>1.03E-2</v>
      </c>
    </row>
    <row r="3140" spans="3:13" x14ac:dyDescent="0.15">
      <c r="C3140" s="76">
        <v>550</v>
      </c>
      <c r="D3140" s="76">
        <v>9.3400000000000004E-4</v>
      </c>
      <c r="E3140" s="76">
        <v>1.92E-3</v>
      </c>
      <c r="F3140" s="76">
        <v>2.8900000000000002E-3</v>
      </c>
      <c r="G3140" s="76">
        <v>3.82E-3</v>
      </c>
      <c r="H3140" s="76">
        <v>4.7999999999999996E-3</v>
      </c>
      <c r="I3140" s="76">
        <v>5.7400000000000003E-3</v>
      </c>
      <c r="J3140" s="76">
        <v>6.6800000000000002E-3</v>
      </c>
      <c r="K3140" s="76">
        <v>7.5300000000000002E-3</v>
      </c>
      <c r="L3140" s="76">
        <v>8.5299999999999994E-3</v>
      </c>
      <c r="M3140" s="76">
        <v>9.3900000000000008E-3</v>
      </c>
    </row>
    <row r="3141" spans="3:13" x14ac:dyDescent="0.15">
      <c r="C3141" s="76">
        <v>552</v>
      </c>
      <c r="D3141" s="76">
        <v>8.5099999999999998E-4</v>
      </c>
      <c r="E3141" s="76">
        <v>1.75E-3</v>
      </c>
      <c r="F3141" s="76">
        <v>2.6199999999999999E-3</v>
      </c>
      <c r="G3141" s="76">
        <v>3.49E-3</v>
      </c>
      <c r="H3141" s="76">
        <v>4.3899999999999998E-3</v>
      </c>
      <c r="I3141" s="76">
        <v>5.2399999999999999E-3</v>
      </c>
      <c r="J3141" s="76">
        <v>6.0200000000000002E-3</v>
      </c>
      <c r="K3141" s="76">
        <v>6.8999999999999999E-3</v>
      </c>
      <c r="L3141" s="76">
        <v>7.7999999999999996E-3</v>
      </c>
      <c r="M3141" s="76">
        <v>8.5299999999999994E-3</v>
      </c>
    </row>
    <row r="3142" spans="3:13" x14ac:dyDescent="0.15">
      <c r="C3142" s="76">
        <v>554</v>
      </c>
      <c r="D3142" s="76">
        <v>7.7999999999999999E-4</v>
      </c>
      <c r="E3142" s="76">
        <v>1.5900000000000001E-3</v>
      </c>
      <c r="F3142" s="76">
        <v>2.4199999999999998E-3</v>
      </c>
      <c r="G3142" s="76">
        <v>3.1700000000000001E-3</v>
      </c>
      <c r="H3142" s="76">
        <v>3.9899999999999996E-3</v>
      </c>
      <c r="I3142" s="76">
        <v>4.79E-3</v>
      </c>
      <c r="J3142" s="76">
        <v>5.4799999999999996E-3</v>
      </c>
      <c r="K3142" s="76">
        <v>6.3E-3</v>
      </c>
      <c r="L3142" s="76">
        <v>7.0699999999999999E-3</v>
      </c>
      <c r="M3142" s="76">
        <v>7.8200000000000006E-3</v>
      </c>
    </row>
    <row r="3143" spans="3:13" x14ac:dyDescent="0.15">
      <c r="C3143" s="76">
        <v>556</v>
      </c>
      <c r="D3143" s="76">
        <v>7.1500000000000003E-4</v>
      </c>
      <c r="E3143" s="76">
        <v>1.4499999999999999E-3</v>
      </c>
      <c r="F3143" s="76">
        <v>2.2000000000000001E-3</v>
      </c>
      <c r="G3143" s="76">
        <v>2.8999999999999998E-3</v>
      </c>
      <c r="H3143" s="76">
        <v>3.63E-3</v>
      </c>
      <c r="I3143" s="76">
        <v>4.3699999999999998E-3</v>
      </c>
      <c r="J3143" s="76">
        <v>5.0400000000000002E-3</v>
      </c>
      <c r="K3143" s="76">
        <v>5.7499999999999999E-3</v>
      </c>
      <c r="L3143" s="76">
        <v>6.4900000000000001E-3</v>
      </c>
      <c r="M3143" s="76">
        <v>7.1599999999999997E-3</v>
      </c>
    </row>
    <row r="3144" spans="3:13" x14ac:dyDescent="0.15">
      <c r="C3144" s="76">
        <v>558</v>
      </c>
      <c r="D3144" s="76">
        <v>6.4800000000000003E-4</v>
      </c>
      <c r="E3144" s="76">
        <v>1.31E-3</v>
      </c>
      <c r="F3144" s="76">
        <v>1.98E-3</v>
      </c>
      <c r="G3144" s="76">
        <v>2.6199999999999999E-3</v>
      </c>
      <c r="H3144" s="76">
        <v>3.29E-3</v>
      </c>
      <c r="I3144" s="76">
        <v>3.9199999999999999E-3</v>
      </c>
      <c r="J3144" s="76">
        <v>4.5500000000000002E-3</v>
      </c>
      <c r="K3144" s="76">
        <v>5.1799999999999997E-3</v>
      </c>
      <c r="L3144" s="76">
        <v>5.8199999999999997E-3</v>
      </c>
      <c r="M3144" s="76">
        <v>6.4900000000000001E-3</v>
      </c>
    </row>
    <row r="3145" spans="3:13" x14ac:dyDescent="0.15">
      <c r="C3145" s="76">
        <v>560</v>
      </c>
      <c r="D3145" s="76">
        <v>5.9599999999999996E-4</v>
      </c>
      <c r="E3145" s="76">
        <v>1.2099999999999999E-3</v>
      </c>
      <c r="F3145" s="76">
        <v>1.81E-3</v>
      </c>
      <c r="G3145" s="76">
        <v>2.4099999999999998E-3</v>
      </c>
      <c r="H3145" s="76">
        <v>3.0200000000000001E-3</v>
      </c>
      <c r="I3145" s="76">
        <v>3.5699999999999998E-3</v>
      </c>
      <c r="J3145" s="76">
        <v>4.1700000000000001E-3</v>
      </c>
      <c r="K3145" s="76">
        <v>4.7499999999999999E-3</v>
      </c>
      <c r="L3145" s="76">
        <v>5.3899999999999998E-3</v>
      </c>
      <c r="M3145" s="76">
        <v>5.8999999999999999E-3</v>
      </c>
    </row>
    <row r="3146" spans="3:13" x14ac:dyDescent="0.15">
      <c r="C3146" s="76">
        <v>562</v>
      </c>
      <c r="D3146" s="76">
        <v>5.44E-4</v>
      </c>
      <c r="E3146" s="76">
        <v>1.1100000000000001E-3</v>
      </c>
      <c r="F3146" s="76">
        <v>1.66E-3</v>
      </c>
      <c r="G3146" s="76">
        <v>2.2300000000000002E-3</v>
      </c>
      <c r="H3146" s="76">
        <v>2.7499999999999998E-3</v>
      </c>
      <c r="I3146" s="76">
        <v>3.2799999999999999E-3</v>
      </c>
      <c r="J3146" s="76">
        <v>3.8700000000000002E-3</v>
      </c>
      <c r="K3146" s="76">
        <v>4.3800000000000002E-3</v>
      </c>
      <c r="L3146" s="76">
        <v>4.9500000000000004E-3</v>
      </c>
      <c r="M3146" s="76">
        <v>5.4799999999999996E-3</v>
      </c>
    </row>
    <row r="3147" spans="3:13" x14ac:dyDescent="0.15">
      <c r="C3147" s="76">
        <v>564</v>
      </c>
      <c r="D3147" s="76">
        <v>4.9899999999999999E-4</v>
      </c>
      <c r="E3147" s="76">
        <v>1.01E-3</v>
      </c>
      <c r="F3147" s="76">
        <v>1.5200000000000001E-3</v>
      </c>
      <c r="G3147" s="76">
        <v>2.0100000000000001E-3</v>
      </c>
      <c r="H3147" s="76">
        <v>2.5100000000000001E-3</v>
      </c>
      <c r="I3147" s="76">
        <v>3.0200000000000001E-3</v>
      </c>
      <c r="J3147" s="76">
        <v>3.49E-3</v>
      </c>
      <c r="K3147" s="76">
        <v>4.0099999999999997E-3</v>
      </c>
      <c r="L3147" s="76">
        <v>4.5599999999999998E-3</v>
      </c>
      <c r="M3147" s="76">
        <v>5.0200000000000002E-3</v>
      </c>
    </row>
    <row r="3148" spans="3:13" x14ac:dyDescent="0.15">
      <c r="C3148" s="76">
        <v>566</v>
      </c>
      <c r="D3148" s="76">
        <v>4.6099999999999998E-4</v>
      </c>
      <c r="E3148" s="76">
        <v>9.41E-4</v>
      </c>
      <c r="F3148" s="76">
        <v>1.39E-3</v>
      </c>
      <c r="G3148" s="76">
        <v>1.8400000000000001E-3</v>
      </c>
      <c r="H3148" s="76">
        <v>2.33E-3</v>
      </c>
      <c r="I3148" s="76">
        <v>2.81E-3</v>
      </c>
      <c r="J3148" s="76">
        <v>3.2599999999999999E-3</v>
      </c>
      <c r="K3148" s="76">
        <v>3.7000000000000002E-3</v>
      </c>
      <c r="L3148" s="76">
        <v>4.2199999999999998E-3</v>
      </c>
      <c r="M3148" s="76">
        <v>4.6100000000000004E-3</v>
      </c>
    </row>
    <row r="3149" spans="3:13" x14ac:dyDescent="0.15">
      <c r="C3149" s="76">
        <v>568</v>
      </c>
      <c r="D3149" s="76">
        <v>4.2000000000000002E-4</v>
      </c>
      <c r="E3149" s="76">
        <v>8.7100000000000003E-4</v>
      </c>
      <c r="F3149" s="76">
        <v>1.2700000000000001E-3</v>
      </c>
      <c r="G3149" s="76">
        <v>1.7099999999999999E-3</v>
      </c>
      <c r="H3149" s="76">
        <v>2.14E-3</v>
      </c>
      <c r="I3149" s="76">
        <v>2.5699999999999998E-3</v>
      </c>
      <c r="J3149" s="76">
        <v>2.97E-3</v>
      </c>
      <c r="K3149" s="76">
        <v>3.3899999999999998E-3</v>
      </c>
      <c r="L3149" s="76">
        <v>3.8300000000000001E-3</v>
      </c>
      <c r="M3149" s="76">
        <v>4.1900000000000001E-3</v>
      </c>
    </row>
    <row r="3150" spans="3:13" x14ac:dyDescent="0.15">
      <c r="C3150" s="76">
        <v>570</v>
      </c>
      <c r="D3150" s="76">
        <v>3.8999999999999999E-4</v>
      </c>
      <c r="E3150" s="76">
        <v>8.12E-4</v>
      </c>
      <c r="F3150" s="76">
        <v>1.1800000000000001E-3</v>
      </c>
      <c r="G3150" s="76">
        <v>1.56E-3</v>
      </c>
      <c r="H3150" s="76">
        <v>1.9400000000000001E-3</v>
      </c>
      <c r="I3150" s="76">
        <v>2.3999999999999998E-3</v>
      </c>
      <c r="J3150" s="76">
        <v>2.7599999999999999E-3</v>
      </c>
      <c r="K3150" s="76">
        <v>3.16E-3</v>
      </c>
      <c r="L3150" s="76">
        <v>3.5899999999999999E-3</v>
      </c>
      <c r="M3150" s="76">
        <v>3.9100000000000003E-3</v>
      </c>
    </row>
    <row r="3151" spans="3:13" x14ac:dyDescent="0.15">
      <c r="C3151" s="76">
        <v>572</v>
      </c>
      <c r="D3151" s="76">
        <v>3.6900000000000002E-4</v>
      </c>
      <c r="E3151" s="76">
        <v>7.4299999999999995E-4</v>
      </c>
      <c r="F3151" s="76">
        <v>1.1000000000000001E-3</v>
      </c>
      <c r="G3151" s="76">
        <v>1.4499999999999999E-3</v>
      </c>
      <c r="H3151" s="76">
        <v>1.8500000000000001E-3</v>
      </c>
      <c r="I3151" s="76">
        <v>2.2100000000000002E-3</v>
      </c>
      <c r="J3151" s="76">
        <v>2.5899999999999999E-3</v>
      </c>
      <c r="K3151" s="76">
        <v>2.9199999999999999E-3</v>
      </c>
      <c r="L3151" s="76">
        <v>3.3300000000000001E-3</v>
      </c>
      <c r="M3151" s="76">
        <v>3.6900000000000001E-3</v>
      </c>
    </row>
    <row r="3152" spans="3:13" x14ac:dyDescent="0.15">
      <c r="C3152" s="76">
        <v>574</v>
      </c>
      <c r="D3152" s="76">
        <v>3.4200000000000002E-4</v>
      </c>
      <c r="E3152" s="76">
        <v>6.9800000000000005E-4</v>
      </c>
      <c r="F3152" s="76">
        <v>1.01E-3</v>
      </c>
      <c r="G3152" s="76">
        <v>1.3500000000000001E-3</v>
      </c>
      <c r="H3152" s="76">
        <v>1.6900000000000001E-3</v>
      </c>
      <c r="I3152" s="76">
        <v>2.0300000000000001E-3</v>
      </c>
      <c r="J3152" s="76">
        <v>2.3700000000000001E-3</v>
      </c>
      <c r="K3152" s="76">
        <v>2.7100000000000002E-3</v>
      </c>
      <c r="L3152" s="76">
        <v>3.1099999999999999E-3</v>
      </c>
      <c r="M3152" s="76">
        <v>3.4399999999999999E-3</v>
      </c>
    </row>
    <row r="3153" spans="3:13" x14ac:dyDescent="0.15">
      <c r="C3153" s="76">
        <v>576</v>
      </c>
      <c r="D3153" s="76">
        <v>3.1399999999999999E-4</v>
      </c>
      <c r="E3153" s="76">
        <v>6.6600000000000003E-4</v>
      </c>
      <c r="F3153" s="76">
        <v>9.3999999999999997E-4</v>
      </c>
      <c r="G3153" s="76">
        <v>1.24E-3</v>
      </c>
      <c r="H3153" s="76">
        <v>1.56E-3</v>
      </c>
      <c r="I3153" s="76">
        <v>1.8500000000000001E-3</v>
      </c>
      <c r="J3153" s="76">
        <v>2.2100000000000002E-3</v>
      </c>
      <c r="K3153" s="76">
        <v>2.5400000000000002E-3</v>
      </c>
      <c r="L3153" s="76">
        <v>2.8500000000000001E-3</v>
      </c>
      <c r="M3153" s="76">
        <v>3.1199999999999999E-3</v>
      </c>
    </row>
    <row r="3154" spans="3:13" x14ac:dyDescent="0.15">
      <c r="C3154" s="76">
        <v>578</v>
      </c>
      <c r="D3154" s="76">
        <v>2.8699999999999998E-4</v>
      </c>
      <c r="E3154" s="76">
        <v>5.9999999999999995E-4</v>
      </c>
      <c r="F3154" s="76">
        <v>8.4999999999999995E-4</v>
      </c>
      <c r="G3154" s="76">
        <v>1.1299999999999999E-3</v>
      </c>
      <c r="H3154" s="76">
        <v>1.4599999999999999E-3</v>
      </c>
      <c r="I3154" s="76">
        <v>1.6900000000000001E-3</v>
      </c>
      <c r="J3154" s="76">
        <v>2.0100000000000001E-3</v>
      </c>
      <c r="K3154" s="76">
        <v>2.3600000000000001E-3</v>
      </c>
      <c r="L3154" s="76">
        <v>2.5899999999999999E-3</v>
      </c>
      <c r="M3154" s="76">
        <v>2.9099999999999998E-3</v>
      </c>
    </row>
    <row r="3155" spans="3:13" x14ac:dyDescent="0.15">
      <c r="C3155" s="76">
        <v>580</v>
      </c>
      <c r="D3155" s="76">
        <v>2.7099999999999997E-4</v>
      </c>
      <c r="E3155" s="76">
        <v>5.53E-4</v>
      </c>
      <c r="F3155" s="76">
        <v>7.6900000000000004E-4</v>
      </c>
      <c r="G3155" s="76">
        <v>1.06E-3</v>
      </c>
      <c r="H3155" s="76">
        <v>1.31E-3</v>
      </c>
      <c r="I3155" s="76">
        <v>1.56E-3</v>
      </c>
      <c r="J3155" s="76">
        <v>1.8500000000000001E-3</v>
      </c>
      <c r="K3155" s="76">
        <v>2.16E-3</v>
      </c>
      <c r="L3155" s="76">
        <v>2.49E-3</v>
      </c>
      <c r="M3155" s="76">
        <v>2.7000000000000001E-3</v>
      </c>
    </row>
    <row r="3156" spans="3:13" x14ac:dyDescent="0.15">
      <c r="C3156" s="76">
        <v>582</v>
      </c>
      <c r="D3156" s="76">
        <v>2.4499999999999999E-4</v>
      </c>
      <c r="E3156" s="76">
        <v>5.1000000000000004E-4</v>
      </c>
      <c r="F3156" s="76">
        <v>7.2000000000000005E-4</v>
      </c>
      <c r="G3156" s="76">
        <v>9.990000000000001E-4</v>
      </c>
      <c r="H3156" s="76">
        <v>1.2099999999999999E-3</v>
      </c>
      <c r="I3156" s="76">
        <v>1.4599999999999999E-3</v>
      </c>
      <c r="J3156" s="76">
        <v>1.6900000000000001E-3</v>
      </c>
      <c r="K3156" s="76">
        <v>1.97E-3</v>
      </c>
      <c r="L3156" s="76">
        <v>2.1900000000000001E-3</v>
      </c>
      <c r="M3156" s="76">
        <v>2.48E-3</v>
      </c>
    </row>
    <row r="3157" spans="3:13" x14ac:dyDescent="0.15">
      <c r="C3157" s="76">
        <v>584</v>
      </c>
      <c r="D3157" s="76">
        <v>2.22E-4</v>
      </c>
      <c r="E3157" s="76">
        <v>4.6700000000000002E-4</v>
      </c>
      <c r="F3157" s="76">
        <v>6.6399999999999999E-4</v>
      </c>
      <c r="G3157" s="76">
        <v>8.9599999999999999E-4</v>
      </c>
      <c r="H3157" s="76">
        <v>1.1000000000000001E-3</v>
      </c>
      <c r="I3157" s="76">
        <v>1.34E-3</v>
      </c>
      <c r="J3157" s="76">
        <v>1.57E-3</v>
      </c>
      <c r="K3157" s="76">
        <v>1.83E-3</v>
      </c>
      <c r="L3157" s="76">
        <v>2.0200000000000001E-3</v>
      </c>
      <c r="M3157" s="76">
        <v>2.32E-3</v>
      </c>
    </row>
    <row r="3158" spans="3:13" x14ac:dyDescent="0.15">
      <c r="C3158" s="76">
        <v>586</v>
      </c>
      <c r="D3158" s="76">
        <v>2.0799999999999999E-4</v>
      </c>
      <c r="E3158" s="76">
        <v>4.2999999999999999E-4</v>
      </c>
      <c r="F3158" s="76">
        <v>6.0300000000000002E-4</v>
      </c>
      <c r="G3158" s="76">
        <v>8.1499999999999997E-4</v>
      </c>
      <c r="H3158" s="76">
        <v>1.0200000000000001E-3</v>
      </c>
      <c r="I3158" s="76">
        <v>1.2199999999999999E-3</v>
      </c>
      <c r="J3158" s="76">
        <v>1.41E-3</v>
      </c>
      <c r="K3158" s="76">
        <v>1.6900000000000001E-3</v>
      </c>
      <c r="L3158" s="76">
        <v>1.89E-3</v>
      </c>
      <c r="M3158" s="76">
        <v>2.1099999999999999E-3</v>
      </c>
    </row>
    <row r="3159" spans="3:13" x14ac:dyDescent="0.15">
      <c r="C3159" s="76">
        <v>588</v>
      </c>
      <c r="D3159" s="76">
        <v>1.9000000000000001E-4</v>
      </c>
      <c r="E3159" s="76">
        <v>3.86E-4</v>
      </c>
      <c r="F3159" s="76">
        <v>5.4699999999999996E-4</v>
      </c>
      <c r="G3159" s="76">
        <v>7.6499999999999995E-4</v>
      </c>
      <c r="H3159" s="76">
        <v>9.3099999999999997E-4</v>
      </c>
      <c r="I3159" s="76">
        <v>1.24E-3</v>
      </c>
      <c r="J3159" s="76">
        <v>1.2999999999999999E-3</v>
      </c>
      <c r="K3159" s="76">
        <v>1.56E-3</v>
      </c>
      <c r="L3159" s="76">
        <v>1.6299999999999999E-3</v>
      </c>
      <c r="M3159" s="76">
        <v>1.91E-3</v>
      </c>
    </row>
    <row r="3160" spans="3:13" x14ac:dyDescent="0.15">
      <c r="C3160" s="76">
        <v>590</v>
      </c>
      <c r="D3160" s="76">
        <v>1.6899999999999999E-4</v>
      </c>
      <c r="E3160" s="76">
        <v>3.4900000000000003E-4</v>
      </c>
      <c r="F3160" s="76">
        <v>4.95E-4</v>
      </c>
      <c r="G3160" s="76">
        <v>6.6699999999999995E-4</v>
      </c>
      <c r="H3160" s="76">
        <v>8.3699999999999996E-4</v>
      </c>
      <c r="I3160" s="76">
        <v>1E-3</v>
      </c>
      <c r="J3160" s="76">
        <v>1.17E-3</v>
      </c>
      <c r="K3160" s="76">
        <v>1.5100000000000001E-3</v>
      </c>
      <c r="L3160" s="76">
        <v>1.4E-3</v>
      </c>
      <c r="M3160" s="76">
        <v>1.83E-3</v>
      </c>
    </row>
    <row r="3161" spans="3:13" x14ac:dyDescent="0.15">
      <c r="C3161" s="76">
        <v>592</v>
      </c>
      <c r="D3161" s="76">
        <v>1.5699999999999999E-4</v>
      </c>
      <c r="E3161" s="76">
        <v>3.1599999999999998E-4</v>
      </c>
      <c r="F3161" s="76">
        <v>4.3800000000000002E-4</v>
      </c>
      <c r="G3161" s="76">
        <v>6.1499999999999999E-4</v>
      </c>
      <c r="H3161" s="76">
        <v>7.5799999999999999E-4</v>
      </c>
      <c r="I3161" s="76">
        <v>9.0200000000000002E-4</v>
      </c>
      <c r="J3161" s="76">
        <v>1.07E-3</v>
      </c>
      <c r="K3161" s="76">
        <v>1.33E-3</v>
      </c>
      <c r="L3161" s="76">
        <v>1.39E-3</v>
      </c>
      <c r="M3161" s="76">
        <v>1.6100000000000001E-3</v>
      </c>
    </row>
    <row r="3162" spans="3:13" x14ac:dyDescent="0.15">
      <c r="C3162" s="76">
        <v>594</v>
      </c>
      <c r="D3162" s="76">
        <v>1.44E-4</v>
      </c>
      <c r="E3162" s="76">
        <v>2.7900000000000001E-4</v>
      </c>
      <c r="F3162" s="76">
        <v>4.0000000000000002E-4</v>
      </c>
      <c r="G3162" s="76">
        <v>5.7200000000000003E-4</v>
      </c>
      <c r="H3162" s="76">
        <v>6.9700000000000003E-4</v>
      </c>
      <c r="I3162" s="76">
        <v>8.25E-4</v>
      </c>
      <c r="J3162" s="76">
        <v>9.8900000000000008E-4</v>
      </c>
      <c r="K3162" s="76">
        <v>1.24E-3</v>
      </c>
      <c r="L3162" s="76">
        <v>1.24E-3</v>
      </c>
      <c r="M3162" s="76">
        <v>1.49E-3</v>
      </c>
    </row>
    <row r="3163" spans="3:13" x14ac:dyDescent="0.15">
      <c r="C3163" s="76">
        <v>596</v>
      </c>
      <c r="D3163" s="76">
        <v>1.35E-4</v>
      </c>
      <c r="E3163" s="76">
        <v>2.5099999999999998E-4</v>
      </c>
      <c r="F3163" s="76">
        <v>3.6200000000000002E-4</v>
      </c>
      <c r="G3163" s="76">
        <v>5.31E-4</v>
      </c>
      <c r="H3163" s="76">
        <v>6.3500000000000004E-4</v>
      </c>
      <c r="I3163" s="76">
        <v>7.8200000000000003E-4</v>
      </c>
      <c r="J3163" s="76">
        <v>8.9599999999999999E-4</v>
      </c>
      <c r="K3163" s="76">
        <v>1.1299999999999999E-3</v>
      </c>
      <c r="L3163" s="76">
        <v>1.1800000000000001E-3</v>
      </c>
      <c r="M3163" s="76">
        <v>1.3699999999999999E-3</v>
      </c>
    </row>
    <row r="3164" spans="3:13" x14ac:dyDescent="0.15">
      <c r="C3164" s="76">
        <v>598</v>
      </c>
      <c r="D3164" s="76">
        <v>1.2300000000000001E-4</v>
      </c>
      <c r="E3164" s="76">
        <v>2.2800000000000001E-4</v>
      </c>
      <c r="F3164" s="76">
        <v>4.0400000000000001E-4</v>
      </c>
      <c r="G3164" s="76">
        <v>4.8299999999999998E-4</v>
      </c>
      <c r="H3164" s="76">
        <v>5.8100000000000003E-4</v>
      </c>
      <c r="I3164" s="76">
        <v>7.0200000000000004E-4</v>
      </c>
      <c r="J3164" s="76">
        <v>8.3100000000000003E-4</v>
      </c>
      <c r="K3164" s="76">
        <v>1.0499999999999999E-3</v>
      </c>
      <c r="L3164" s="76">
        <v>1.01E-3</v>
      </c>
      <c r="M3164" s="76">
        <v>1.23E-3</v>
      </c>
    </row>
    <row r="3165" spans="3:13" x14ac:dyDescent="0.15">
      <c r="C3165" s="76">
        <v>600</v>
      </c>
      <c r="D3165" s="76">
        <v>1.07E-4</v>
      </c>
      <c r="E3165" s="76">
        <v>2.1599999999999999E-4</v>
      </c>
      <c r="F3165" s="76">
        <v>3.1E-4</v>
      </c>
      <c r="G3165" s="76">
        <v>4.28E-4</v>
      </c>
      <c r="H3165" s="76">
        <v>5.3399999999999997E-4</v>
      </c>
      <c r="I3165" s="76">
        <v>6.7100000000000005E-4</v>
      </c>
      <c r="J3165" s="76">
        <v>7.5199999999999996E-4</v>
      </c>
      <c r="K3165" s="76">
        <v>9.2400000000000002E-4</v>
      </c>
      <c r="L3165" s="76">
        <v>9.19E-4</v>
      </c>
      <c r="M3165" s="76">
        <v>1.16E-3</v>
      </c>
    </row>
    <row r="3166" spans="3:13" x14ac:dyDescent="0.15">
      <c r="C3166" s="76">
        <v>602</v>
      </c>
      <c r="D3166" s="76">
        <v>1.02E-4</v>
      </c>
      <c r="E3166" s="76">
        <v>1.9599999999999999E-4</v>
      </c>
      <c r="F3166" s="76">
        <v>2.8899999999999998E-4</v>
      </c>
      <c r="G3166" s="76">
        <v>4.2700000000000002E-4</v>
      </c>
      <c r="H3166" s="76">
        <v>4.9299999999999995E-4</v>
      </c>
      <c r="I3166" s="76">
        <v>6.02E-4</v>
      </c>
      <c r="J3166" s="76">
        <v>7.1599999999999995E-4</v>
      </c>
      <c r="K3166" s="76">
        <v>8.7100000000000003E-4</v>
      </c>
      <c r="L3166" s="76">
        <v>9.19E-4</v>
      </c>
      <c r="M3166" s="76">
        <v>1.06E-3</v>
      </c>
    </row>
    <row r="3167" spans="3:13" x14ac:dyDescent="0.15">
      <c r="C3167" s="76">
        <v>604</v>
      </c>
      <c r="D3167" s="76">
        <v>8.9400000000000005E-5</v>
      </c>
      <c r="E3167" s="76">
        <v>1.85E-4</v>
      </c>
      <c r="F3167" s="76">
        <v>2.7099999999999997E-4</v>
      </c>
      <c r="G3167" s="76">
        <v>4.2999999999999999E-4</v>
      </c>
      <c r="H3167" s="76">
        <v>4.6299999999999998E-4</v>
      </c>
      <c r="I3167" s="76">
        <v>5.6599999999999999E-4</v>
      </c>
      <c r="J3167" s="76">
        <v>7.2599999999999997E-4</v>
      </c>
      <c r="K3167" s="76">
        <v>8.2600000000000002E-4</v>
      </c>
      <c r="L3167" s="76">
        <v>7.7899999999999996E-4</v>
      </c>
      <c r="M3167" s="76">
        <v>9.5100000000000002E-4</v>
      </c>
    </row>
    <row r="3168" spans="3:13" x14ac:dyDescent="0.15">
      <c r="C3168" s="76">
        <v>606</v>
      </c>
      <c r="D3168" s="76">
        <v>8.14E-5</v>
      </c>
      <c r="E3168" s="76">
        <v>1.5200000000000001E-4</v>
      </c>
      <c r="F3168" s="76">
        <v>2.43E-4</v>
      </c>
      <c r="G3168" s="76">
        <v>3.7599999999999998E-4</v>
      </c>
      <c r="H3168" s="76">
        <v>4.2700000000000002E-4</v>
      </c>
      <c r="I3168" s="76">
        <v>5.3399999999999997E-4</v>
      </c>
      <c r="J3168" s="76">
        <v>6.11E-4</v>
      </c>
      <c r="K3168" s="76">
        <v>6.9300000000000004E-4</v>
      </c>
      <c r="L3168" s="76">
        <v>7.5100000000000004E-4</v>
      </c>
      <c r="M3168" s="76">
        <v>8.8900000000000003E-4</v>
      </c>
    </row>
    <row r="3169" spans="3:13" x14ac:dyDescent="0.15">
      <c r="C3169" s="76">
        <v>608</v>
      </c>
      <c r="D3169" s="76">
        <v>8.5000000000000006E-5</v>
      </c>
      <c r="E3169" s="76">
        <v>1.4200000000000001E-4</v>
      </c>
      <c r="F3169" s="76">
        <v>2.2800000000000001E-4</v>
      </c>
      <c r="G3169" s="76">
        <v>3.5500000000000001E-4</v>
      </c>
      <c r="H3169" s="76">
        <v>4.2299999999999998E-4</v>
      </c>
      <c r="I3169" s="76">
        <v>4.7399999999999997E-4</v>
      </c>
      <c r="J3169" s="76">
        <v>5.5500000000000005E-4</v>
      </c>
      <c r="K3169" s="76">
        <v>5.9800000000000001E-4</v>
      </c>
      <c r="L3169" s="76">
        <v>6.87E-4</v>
      </c>
      <c r="M3169" s="76">
        <v>7.45E-4</v>
      </c>
    </row>
    <row r="3170" spans="3:13" x14ac:dyDescent="0.15">
      <c r="C3170" s="76">
        <v>610</v>
      </c>
      <c r="D3170" s="76">
        <v>7.5900000000000002E-5</v>
      </c>
      <c r="E3170" s="76">
        <v>1.27E-4</v>
      </c>
      <c r="F3170" s="76">
        <v>2.22E-4</v>
      </c>
      <c r="G3170" s="76">
        <v>3.2899999999999997E-4</v>
      </c>
      <c r="H3170" s="76">
        <v>3.9500000000000001E-4</v>
      </c>
      <c r="I3170" s="76">
        <v>4.6799999999999999E-4</v>
      </c>
      <c r="J3170" s="76">
        <v>5.62E-4</v>
      </c>
      <c r="K3170" s="76">
        <v>6.4400000000000004E-4</v>
      </c>
      <c r="L3170" s="76">
        <v>6.4700000000000001E-4</v>
      </c>
      <c r="M3170" s="76">
        <v>7.8899999999999999E-4</v>
      </c>
    </row>
    <row r="3171" spans="3:13" x14ac:dyDescent="0.15">
      <c r="C3171" s="76">
        <v>612</v>
      </c>
      <c r="D3171" s="76">
        <v>7.2999999999999999E-5</v>
      </c>
      <c r="E3171" s="76">
        <v>1.17E-4</v>
      </c>
      <c r="F3171" s="76">
        <v>2.2000000000000001E-4</v>
      </c>
      <c r="G3171" s="76">
        <v>2.92E-4</v>
      </c>
      <c r="H3171" s="76">
        <v>3.9599999999999998E-4</v>
      </c>
      <c r="I3171" s="76">
        <v>4.4900000000000002E-4</v>
      </c>
      <c r="J3171" s="76">
        <v>5.1599999999999997E-4</v>
      </c>
      <c r="K3171" s="76">
        <v>5.5000000000000003E-4</v>
      </c>
      <c r="L3171" s="76">
        <v>5.8900000000000001E-4</v>
      </c>
      <c r="M3171" s="76">
        <v>7.5600000000000005E-4</v>
      </c>
    </row>
    <row r="3172" spans="3:13" x14ac:dyDescent="0.15">
      <c r="C3172" s="76">
        <v>614</v>
      </c>
      <c r="D3172" s="76">
        <v>6.6400000000000001E-5</v>
      </c>
      <c r="E3172" s="76">
        <v>1.11E-4</v>
      </c>
      <c r="F3172" s="76">
        <v>1.9599999999999999E-4</v>
      </c>
      <c r="G3172" s="76">
        <v>3.0499999999999999E-4</v>
      </c>
      <c r="H3172" s="76">
        <v>3.2000000000000003E-4</v>
      </c>
      <c r="I3172" s="76">
        <v>4.1599999999999997E-4</v>
      </c>
      <c r="J3172" s="76">
        <v>4.6000000000000001E-4</v>
      </c>
      <c r="K3172" s="76">
        <v>4.7699999999999999E-4</v>
      </c>
      <c r="L3172" s="76">
        <v>5.5400000000000002E-4</v>
      </c>
      <c r="M3172" s="76">
        <v>5.8200000000000005E-4</v>
      </c>
    </row>
    <row r="3173" spans="3:13" x14ac:dyDescent="0.15">
      <c r="C3173" s="76">
        <v>616</v>
      </c>
      <c r="D3173" s="76">
        <v>6.2899999999999997E-5</v>
      </c>
      <c r="E3173" s="76">
        <v>1.07E-4</v>
      </c>
      <c r="F3173" s="76">
        <v>1.94E-4</v>
      </c>
      <c r="G3173" s="76">
        <v>2.9500000000000001E-4</v>
      </c>
      <c r="H3173" s="76">
        <v>3.3599999999999998E-4</v>
      </c>
      <c r="I3173" s="76">
        <v>3.9800000000000002E-4</v>
      </c>
      <c r="J3173" s="76">
        <v>4.7899999999999999E-4</v>
      </c>
      <c r="K3173" s="76">
        <v>4.73E-4</v>
      </c>
      <c r="L3173" s="76">
        <v>5.0299999999999997E-4</v>
      </c>
      <c r="M3173" s="76">
        <v>5.4900000000000001E-4</v>
      </c>
    </row>
    <row r="3174" spans="3:13" x14ac:dyDescent="0.15">
      <c r="C3174" s="76">
        <v>618</v>
      </c>
      <c r="D3174" s="76">
        <v>5.8199999999999998E-5</v>
      </c>
      <c r="E3174" s="76">
        <v>1.02E-4</v>
      </c>
      <c r="F3174" s="76">
        <v>1.9599999999999999E-4</v>
      </c>
      <c r="G3174" s="76">
        <v>2.8200000000000002E-4</v>
      </c>
      <c r="H3174" s="76">
        <v>2.8499999999999999E-4</v>
      </c>
      <c r="I3174" s="76">
        <v>4.0499999999999998E-4</v>
      </c>
      <c r="J3174" s="76">
        <v>3.8900000000000002E-4</v>
      </c>
      <c r="K3174" s="76">
        <v>4.4999999999999999E-4</v>
      </c>
      <c r="L3174" s="76">
        <v>4.5399999999999998E-4</v>
      </c>
      <c r="M3174" s="76">
        <v>5.0500000000000002E-4</v>
      </c>
    </row>
    <row r="3175" spans="3:13" x14ac:dyDescent="0.15">
      <c r="C3175" s="76">
        <v>620</v>
      </c>
      <c r="D3175" s="76">
        <v>5.6700000000000003E-5</v>
      </c>
      <c r="E3175" s="76">
        <v>1.01E-4</v>
      </c>
      <c r="F3175" s="76">
        <v>1.83E-4</v>
      </c>
      <c r="G3175" s="76">
        <v>2.6400000000000002E-4</v>
      </c>
      <c r="H3175" s="76">
        <v>2.7999999999999998E-4</v>
      </c>
      <c r="I3175" s="76">
        <v>3.6000000000000002E-4</v>
      </c>
      <c r="J3175" s="76">
        <v>3.5E-4</v>
      </c>
      <c r="K3175" s="76">
        <v>4.2200000000000001E-4</v>
      </c>
      <c r="L3175" s="76">
        <v>3.9399999999999998E-4</v>
      </c>
      <c r="M3175" s="76">
        <v>4.9399999999999997E-4</v>
      </c>
    </row>
    <row r="3176" spans="3:13" x14ac:dyDescent="0.15">
      <c r="C3176" s="76">
        <v>622</v>
      </c>
      <c r="D3176" s="76">
        <v>5.9299999999999998E-5</v>
      </c>
      <c r="E3176" s="76">
        <v>8.1600000000000005E-5</v>
      </c>
      <c r="F3176" s="76">
        <v>1.75E-4</v>
      </c>
      <c r="G3176" s="76">
        <v>2.1800000000000001E-4</v>
      </c>
      <c r="H3176" s="76">
        <v>2.4699999999999999E-4</v>
      </c>
      <c r="I3176" s="76">
        <v>3.5300000000000002E-4</v>
      </c>
      <c r="J3176" s="76">
        <v>3.4200000000000002E-4</v>
      </c>
      <c r="K3176" s="76">
        <v>3.3700000000000001E-4</v>
      </c>
      <c r="L3176" s="76">
        <v>4.2499999999999998E-4</v>
      </c>
      <c r="M3176" s="76">
        <v>4.8500000000000003E-4</v>
      </c>
    </row>
    <row r="3177" spans="3:13" x14ac:dyDescent="0.15">
      <c r="C3177" s="76">
        <v>624</v>
      </c>
      <c r="D3177" s="76">
        <v>5.3600000000000002E-5</v>
      </c>
      <c r="E3177" s="76">
        <v>8.0699999999999996E-5</v>
      </c>
      <c r="F3177" s="76">
        <v>1.6100000000000001E-4</v>
      </c>
      <c r="G3177" s="76">
        <v>1.9000000000000001E-4</v>
      </c>
      <c r="H3177" s="76">
        <v>2.2900000000000001E-4</v>
      </c>
      <c r="I3177" s="76">
        <v>3.28E-4</v>
      </c>
      <c r="J3177" s="76">
        <v>3.1199999999999999E-4</v>
      </c>
      <c r="K3177" s="76">
        <v>2.92E-4</v>
      </c>
      <c r="L3177" s="76">
        <v>4.2200000000000001E-4</v>
      </c>
      <c r="M3177" s="76">
        <v>4.66E-4</v>
      </c>
    </row>
    <row r="3178" spans="3:13" x14ac:dyDescent="0.15">
      <c r="C3178" s="76">
        <v>626</v>
      </c>
      <c r="D3178" s="76">
        <v>4.8600000000000002E-5</v>
      </c>
      <c r="E3178" s="76">
        <v>8.8599999999999999E-5</v>
      </c>
      <c r="F3178" s="76">
        <v>1.8200000000000001E-4</v>
      </c>
      <c r="G3178" s="76">
        <v>1.8699999999999999E-4</v>
      </c>
      <c r="H3178" s="76">
        <v>2.3900000000000001E-4</v>
      </c>
      <c r="I3178" s="76">
        <v>3.2899999999999997E-4</v>
      </c>
      <c r="J3178" s="76">
        <v>2.7E-4</v>
      </c>
      <c r="K3178" s="76">
        <v>3.2600000000000001E-4</v>
      </c>
      <c r="L3178" s="76">
        <v>4.0499999999999998E-4</v>
      </c>
      <c r="M3178" s="76">
        <v>4.0900000000000002E-4</v>
      </c>
    </row>
    <row r="3179" spans="3:13" x14ac:dyDescent="0.15">
      <c r="C3179" s="76">
        <v>628</v>
      </c>
      <c r="D3179" s="76">
        <v>4.5899999999999998E-5</v>
      </c>
      <c r="E3179" s="76">
        <v>7.4599999999999997E-5</v>
      </c>
      <c r="F3179" s="76">
        <v>1.2899999999999999E-4</v>
      </c>
      <c r="G3179" s="76">
        <v>1.8599999999999999E-4</v>
      </c>
      <c r="H3179" s="76">
        <v>2.0699999999999999E-4</v>
      </c>
      <c r="I3179" s="76">
        <v>3.1500000000000001E-4</v>
      </c>
      <c r="J3179" s="76">
        <v>2.7700000000000001E-4</v>
      </c>
      <c r="K3179" s="76">
        <v>2.6899999999999998E-4</v>
      </c>
      <c r="L3179" s="76">
        <v>3.1300000000000002E-4</v>
      </c>
      <c r="M3179" s="76">
        <v>3.6900000000000002E-4</v>
      </c>
    </row>
    <row r="3180" spans="3:13" x14ac:dyDescent="0.15">
      <c r="C3180" s="76">
        <v>630</v>
      </c>
      <c r="D3180" s="76">
        <v>4.6600000000000001E-5</v>
      </c>
      <c r="E3180" s="76">
        <v>8.2899999999999996E-5</v>
      </c>
      <c r="F3180" s="76">
        <v>1.3300000000000001E-4</v>
      </c>
      <c r="G3180" s="76">
        <v>1.76E-4</v>
      </c>
      <c r="H3180" s="76">
        <v>1.7799999999999999E-4</v>
      </c>
      <c r="I3180" s="76">
        <v>2.9700000000000001E-4</v>
      </c>
      <c r="J3180" s="76">
        <v>2.9500000000000001E-4</v>
      </c>
      <c r="K3180" s="76">
        <v>2.6600000000000001E-4</v>
      </c>
      <c r="L3180" s="76">
        <v>3.57E-4</v>
      </c>
      <c r="M3180" s="76">
        <v>3.3300000000000002E-4</v>
      </c>
    </row>
    <row r="3181" spans="3:13" x14ac:dyDescent="0.15">
      <c r="C3181" s="76">
        <v>632</v>
      </c>
      <c r="D3181" s="76">
        <v>4.9700000000000002E-5</v>
      </c>
      <c r="E3181" s="76">
        <v>7.4300000000000004E-5</v>
      </c>
      <c r="F3181" s="76">
        <v>1.1900000000000001E-4</v>
      </c>
      <c r="G3181" s="76">
        <v>1.64E-4</v>
      </c>
      <c r="H3181" s="76">
        <v>1.83E-4</v>
      </c>
      <c r="I3181" s="76">
        <v>2.8400000000000002E-4</v>
      </c>
      <c r="J3181" s="76">
        <v>2.7500000000000002E-4</v>
      </c>
      <c r="K3181" s="76">
        <v>2.9300000000000002E-4</v>
      </c>
      <c r="L3181" s="76">
        <v>4.17E-4</v>
      </c>
      <c r="M3181" s="76">
        <v>3.2600000000000001E-4</v>
      </c>
    </row>
    <row r="3182" spans="3:13" x14ac:dyDescent="0.15">
      <c r="C3182" s="76">
        <v>634</v>
      </c>
      <c r="D3182" s="76">
        <v>5.3300000000000001E-5</v>
      </c>
      <c r="E3182" s="76">
        <v>6.4700000000000001E-5</v>
      </c>
      <c r="F3182" s="76">
        <v>1.13E-4</v>
      </c>
      <c r="G3182" s="76">
        <v>1.2899999999999999E-4</v>
      </c>
      <c r="H3182" s="76">
        <v>1.85E-4</v>
      </c>
      <c r="I3182" s="76">
        <v>2.61E-4</v>
      </c>
      <c r="J3182" s="76">
        <v>2.5999999999999998E-4</v>
      </c>
      <c r="K3182" s="76">
        <v>2.3599999999999999E-4</v>
      </c>
      <c r="L3182" s="76">
        <v>3.2000000000000003E-4</v>
      </c>
      <c r="M3182" s="76">
        <v>3.2499999999999999E-4</v>
      </c>
    </row>
    <row r="3183" spans="3:13" x14ac:dyDescent="0.15">
      <c r="C3183" s="76">
        <v>636</v>
      </c>
      <c r="D3183" s="76">
        <v>4.3999999999999999E-5</v>
      </c>
      <c r="E3183" s="76">
        <v>5.2200000000000002E-5</v>
      </c>
      <c r="F3183" s="76">
        <v>9.1299999999999997E-5</v>
      </c>
      <c r="G3183" s="76">
        <v>1.5899999999999999E-4</v>
      </c>
      <c r="H3183" s="76">
        <v>1.4999999999999999E-4</v>
      </c>
      <c r="I3183" s="76">
        <v>2.43E-4</v>
      </c>
      <c r="J3183" s="76">
        <v>2.32E-4</v>
      </c>
      <c r="K3183" s="76">
        <v>2.2900000000000001E-4</v>
      </c>
      <c r="L3183" s="76">
        <v>3.2499999999999999E-4</v>
      </c>
      <c r="M3183" s="76">
        <v>2.8299999999999999E-4</v>
      </c>
    </row>
    <row r="3184" spans="3:13" x14ac:dyDescent="0.15">
      <c r="C3184" s="76">
        <v>638</v>
      </c>
      <c r="D3184" s="76">
        <v>4.5800000000000002E-5</v>
      </c>
      <c r="E3184" s="76">
        <v>7.1699999999999995E-5</v>
      </c>
      <c r="F3184" s="76">
        <v>1.44E-4</v>
      </c>
      <c r="G3184" s="76">
        <v>1.01E-4</v>
      </c>
      <c r="H3184" s="76">
        <v>1.64E-4</v>
      </c>
      <c r="I3184" s="76">
        <v>2.4800000000000001E-4</v>
      </c>
      <c r="J3184" s="76">
        <v>2.4800000000000001E-4</v>
      </c>
      <c r="K3184" s="76">
        <v>2.1800000000000001E-4</v>
      </c>
      <c r="L3184" s="76">
        <v>3.2200000000000002E-4</v>
      </c>
      <c r="M3184" s="76">
        <v>2.5599999999999999E-4</v>
      </c>
    </row>
    <row r="3185" spans="3:13" x14ac:dyDescent="0.15">
      <c r="C3185" s="76">
        <v>640</v>
      </c>
      <c r="D3185" s="76">
        <v>4.57E-5</v>
      </c>
      <c r="E3185" s="76">
        <v>5.9500000000000003E-5</v>
      </c>
      <c r="F3185" s="76">
        <v>1.4999999999999999E-4</v>
      </c>
      <c r="G3185" s="76">
        <v>9.1299999999999997E-5</v>
      </c>
      <c r="H3185" s="76">
        <v>1.35E-4</v>
      </c>
      <c r="I3185" s="76">
        <v>2.2900000000000001E-4</v>
      </c>
      <c r="J3185" s="76">
        <v>2.7099999999999997E-4</v>
      </c>
      <c r="K3185" s="76">
        <v>1.8000000000000001E-4</v>
      </c>
      <c r="L3185" s="76">
        <v>3.6900000000000002E-4</v>
      </c>
      <c r="M3185" s="76">
        <v>2.8499999999999999E-4</v>
      </c>
    </row>
    <row r="3186" spans="3:13" x14ac:dyDescent="0.15">
      <c r="C3186" s="76">
        <v>642</v>
      </c>
      <c r="D3186" s="76">
        <v>4.2299999999999998E-5</v>
      </c>
      <c r="E3186" s="76">
        <v>6.9499999999999995E-5</v>
      </c>
      <c r="F3186" s="76">
        <v>1.18E-4</v>
      </c>
      <c r="G3186" s="76">
        <v>8.6600000000000004E-5</v>
      </c>
      <c r="H3186" s="76">
        <v>1.46E-4</v>
      </c>
      <c r="I3186" s="76">
        <v>2.5099999999999998E-4</v>
      </c>
      <c r="J3186" s="76">
        <v>2.3699999999999999E-4</v>
      </c>
      <c r="K3186" s="76">
        <v>1.9799999999999999E-4</v>
      </c>
      <c r="L3186" s="76">
        <v>3.7399999999999998E-4</v>
      </c>
      <c r="M3186" s="76">
        <v>2.7500000000000002E-4</v>
      </c>
    </row>
    <row r="3187" spans="3:13" x14ac:dyDescent="0.15">
      <c r="C3187" s="76">
        <v>644</v>
      </c>
      <c r="D3187" s="76">
        <v>3.6199999999999999E-5</v>
      </c>
      <c r="E3187" s="76">
        <v>6.0300000000000002E-5</v>
      </c>
      <c r="F3187" s="76">
        <v>1.26E-4</v>
      </c>
      <c r="G3187" s="76">
        <v>1.03E-4</v>
      </c>
      <c r="H3187" s="76">
        <v>1.3899999999999999E-4</v>
      </c>
      <c r="I3187" s="76">
        <v>2.0599999999999999E-4</v>
      </c>
      <c r="J3187" s="76">
        <v>1.6799999999999999E-4</v>
      </c>
      <c r="K3187" s="76">
        <v>2.5399999999999999E-4</v>
      </c>
      <c r="L3187" s="76">
        <v>3.2600000000000001E-4</v>
      </c>
      <c r="M3187" s="76">
        <v>2.5999999999999998E-4</v>
      </c>
    </row>
    <row r="3188" spans="3:13" x14ac:dyDescent="0.15">
      <c r="C3188" s="76">
        <v>646</v>
      </c>
      <c r="D3188" s="76">
        <v>3.6199999999999999E-5</v>
      </c>
      <c r="E3188" s="76">
        <v>5.1199999999999998E-5</v>
      </c>
      <c r="F3188" s="76">
        <v>1.03E-4</v>
      </c>
      <c r="G3188" s="76">
        <v>7.4400000000000006E-5</v>
      </c>
      <c r="H3188" s="76">
        <v>1.3100000000000001E-4</v>
      </c>
      <c r="I3188" s="76">
        <v>1.7699999999999999E-4</v>
      </c>
      <c r="J3188" s="76">
        <v>1.85E-4</v>
      </c>
      <c r="K3188" s="76">
        <v>2.2599999999999999E-4</v>
      </c>
      <c r="L3188" s="76">
        <v>3.8200000000000002E-4</v>
      </c>
      <c r="M3188" s="76">
        <v>3.4400000000000001E-4</v>
      </c>
    </row>
    <row r="3189" spans="3:13" x14ac:dyDescent="0.15">
      <c r="C3189" s="76">
        <v>648</v>
      </c>
      <c r="D3189" s="76">
        <v>3.2100000000000001E-5</v>
      </c>
      <c r="E3189" s="76">
        <v>3.1300000000000002E-5</v>
      </c>
      <c r="F3189" s="76">
        <v>1.06E-4</v>
      </c>
      <c r="G3189" s="76">
        <v>1.12E-4</v>
      </c>
      <c r="H3189" s="76">
        <v>1.0399999999999999E-4</v>
      </c>
      <c r="I3189" s="76">
        <v>1.7000000000000001E-4</v>
      </c>
      <c r="J3189" s="76">
        <v>3.0200000000000002E-4</v>
      </c>
      <c r="K3189" s="76">
        <v>2.0699999999999999E-4</v>
      </c>
      <c r="L3189" s="76">
        <v>2.9300000000000002E-4</v>
      </c>
      <c r="M3189" s="76">
        <v>2.9999999999999997E-4</v>
      </c>
    </row>
    <row r="3190" spans="3:13" x14ac:dyDescent="0.15">
      <c r="C3190" s="76">
        <v>650</v>
      </c>
      <c r="D3190" s="76">
        <v>2.9200000000000002E-5</v>
      </c>
      <c r="E3190" s="76">
        <v>6.5699999999999998E-5</v>
      </c>
      <c r="F3190" s="76">
        <v>9.6799999999999995E-5</v>
      </c>
      <c r="G3190" s="76">
        <v>1.12E-4</v>
      </c>
      <c r="H3190" s="76">
        <v>1.1900000000000001E-4</v>
      </c>
      <c r="I3190" s="76">
        <v>1.9699999999999999E-4</v>
      </c>
      <c r="J3190" s="76">
        <v>2.34E-4</v>
      </c>
      <c r="K3190" s="76">
        <v>2.1900000000000001E-4</v>
      </c>
      <c r="L3190" s="76">
        <v>2.9700000000000001E-4</v>
      </c>
      <c r="M3190" s="76">
        <v>2.72E-4</v>
      </c>
    </row>
    <row r="3191" spans="3:13" x14ac:dyDescent="0.15">
      <c r="C3191" s="76">
        <v>652</v>
      </c>
      <c r="D3191" s="76">
        <v>2.5299999999999998E-5</v>
      </c>
      <c r="E3191" s="76">
        <v>7.4400000000000006E-5</v>
      </c>
      <c r="F3191" s="76">
        <v>9.4500000000000007E-5</v>
      </c>
      <c r="G3191" s="76">
        <v>9.8499999999999995E-5</v>
      </c>
      <c r="H3191" s="76">
        <v>8.2799999999999993E-5</v>
      </c>
      <c r="I3191" s="76">
        <v>1.5200000000000001E-4</v>
      </c>
      <c r="J3191" s="76">
        <v>1.85E-4</v>
      </c>
      <c r="K3191" s="76">
        <v>1.6799999999999999E-4</v>
      </c>
      <c r="L3191" s="76">
        <v>3.5E-4</v>
      </c>
      <c r="M3191" s="76">
        <v>2.92E-4</v>
      </c>
    </row>
    <row r="3192" spans="3:13" x14ac:dyDescent="0.15">
      <c r="C3192" s="76">
        <v>654</v>
      </c>
      <c r="D3192" s="76">
        <v>1.9700000000000001E-5</v>
      </c>
      <c r="E3192" s="76">
        <v>6.7899999999999997E-5</v>
      </c>
      <c r="F3192" s="76">
        <v>6.4599999999999998E-5</v>
      </c>
      <c r="G3192" s="76">
        <v>1.2400000000000001E-4</v>
      </c>
      <c r="H3192" s="76">
        <v>7.9400000000000006E-5</v>
      </c>
      <c r="I3192" s="76">
        <v>1.44E-4</v>
      </c>
      <c r="J3192" s="76">
        <v>2.1599999999999999E-4</v>
      </c>
      <c r="K3192" s="76">
        <v>1.6799999999999999E-4</v>
      </c>
      <c r="L3192" s="76">
        <v>2.7799999999999998E-4</v>
      </c>
      <c r="M3192" s="76">
        <v>2.23E-4</v>
      </c>
    </row>
    <row r="3193" spans="3:13" x14ac:dyDescent="0.15">
      <c r="C3193" s="76">
        <v>656</v>
      </c>
      <c r="D3193" s="76">
        <v>2.19E-5</v>
      </c>
      <c r="E3193" s="76">
        <v>6.7100000000000005E-5</v>
      </c>
      <c r="F3193" s="76">
        <v>9.2E-5</v>
      </c>
      <c r="G3193" s="76">
        <v>1.08E-4</v>
      </c>
      <c r="H3193" s="76">
        <v>6.7600000000000003E-5</v>
      </c>
      <c r="I3193" s="76">
        <v>1.73E-4</v>
      </c>
      <c r="J3193" s="76">
        <v>2.2000000000000001E-4</v>
      </c>
      <c r="K3193" s="76">
        <v>1.7799999999999999E-4</v>
      </c>
      <c r="L3193" s="76">
        <v>2.8200000000000002E-4</v>
      </c>
      <c r="M3193" s="76">
        <v>2.2000000000000001E-4</v>
      </c>
    </row>
    <row r="3194" spans="3:13" x14ac:dyDescent="0.15">
      <c r="C3194" s="76">
        <v>658</v>
      </c>
      <c r="D3194" s="76">
        <v>2.12E-5</v>
      </c>
      <c r="E3194" s="76">
        <v>8.0000000000000007E-5</v>
      </c>
      <c r="F3194" s="76">
        <v>6.8300000000000007E-5</v>
      </c>
      <c r="G3194" s="76">
        <v>1.08E-4</v>
      </c>
      <c r="H3194" s="76">
        <v>6.4800000000000003E-5</v>
      </c>
      <c r="I3194" s="76">
        <v>1.45E-4</v>
      </c>
      <c r="J3194" s="76">
        <v>2.4499999999999999E-4</v>
      </c>
      <c r="K3194" s="76">
        <v>1.7100000000000001E-4</v>
      </c>
      <c r="L3194" s="76">
        <v>2.3900000000000001E-4</v>
      </c>
      <c r="M3194" s="76">
        <v>2.3800000000000001E-4</v>
      </c>
    </row>
    <row r="3195" spans="3:13" x14ac:dyDescent="0.15">
      <c r="C3195" s="76">
        <v>660</v>
      </c>
      <c r="D3195" s="76">
        <v>2.7100000000000001E-5</v>
      </c>
      <c r="E3195" s="76">
        <v>5.7000000000000003E-5</v>
      </c>
      <c r="F3195" s="76">
        <v>5.3600000000000002E-5</v>
      </c>
      <c r="G3195" s="76">
        <v>1.27E-4</v>
      </c>
      <c r="H3195" s="76">
        <v>7.8700000000000002E-5</v>
      </c>
      <c r="I3195" s="76">
        <v>1.2999999999999999E-4</v>
      </c>
      <c r="J3195" s="76">
        <v>2.7500000000000002E-4</v>
      </c>
      <c r="K3195" s="76">
        <v>1.93E-4</v>
      </c>
      <c r="L3195" s="76">
        <v>2.5000000000000001E-4</v>
      </c>
      <c r="M3195" s="76">
        <v>2.2800000000000001E-4</v>
      </c>
    </row>
    <row r="3196" spans="3:13" x14ac:dyDescent="0.15">
      <c r="C3196" s="76">
        <v>662</v>
      </c>
      <c r="D3196" s="76">
        <v>1.8300000000000001E-5</v>
      </c>
      <c r="E3196" s="76">
        <v>6.0800000000000001E-5</v>
      </c>
      <c r="F3196" s="76">
        <v>4.1999999999999998E-5</v>
      </c>
      <c r="G3196" s="76">
        <v>1.46E-4</v>
      </c>
      <c r="H3196" s="76">
        <v>7.8899999999999993E-5</v>
      </c>
      <c r="I3196" s="76">
        <v>3.6300000000000001E-5</v>
      </c>
      <c r="J3196" s="76">
        <v>2.24E-4</v>
      </c>
      <c r="K3196" s="76">
        <v>1.5200000000000001E-4</v>
      </c>
      <c r="L3196" s="76">
        <v>1.9100000000000001E-4</v>
      </c>
      <c r="M3196" s="76">
        <v>2.31E-4</v>
      </c>
    </row>
    <row r="3197" spans="3:13" x14ac:dyDescent="0.15">
      <c r="C3197" s="76">
        <v>664</v>
      </c>
      <c r="D3197" s="76">
        <v>2.1500000000000001E-5</v>
      </c>
      <c r="E3197" s="76">
        <v>5.4500000000000003E-5</v>
      </c>
      <c r="F3197" s="76">
        <v>5.5399999999999998E-5</v>
      </c>
      <c r="G3197" s="76">
        <v>1.2999999999999999E-4</v>
      </c>
      <c r="H3197" s="76">
        <v>6.2399999999999999E-5</v>
      </c>
      <c r="I3197" s="76">
        <v>1.4999999999999999E-4</v>
      </c>
      <c r="J3197" s="76">
        <v>1.46E-4</v>
      </c>
      <c r="K3197" s="76">
        <v>1.47E-4</v>
      </c>
      <c r="L3197" s="76">
        <v>2.6400000000000002E-4</v>
      </c>
      <c r="M3197" s="76">
        <v>4.7899999999999999E-5</v>
      </c>
    </row>
    <row r="3198" spans="3:13" x14ac:dyDescent="0.15">
      <c r="C3198" s="76">
        <v>666</v>
      </c>
      <c r="D3198" s="76">
        <v>2.69E-5</v>
      </c>
      <c r="E3198" s="76">
        <v>5.0399999999999999E-5</v>
      </c>
      <c r="F3198" s="76">
        <v>3.4499999999999998E-5</v>
      </c>
      <c r="G3198" s="76">
        <v>1.2999999999999999E-4</v>
      </c>
      <c r="H3198" s="76">
        <v>6.3399999999999996E-5</v>
      </c>
      <c r="I3198" s="76">
        <v>9.3399999999999993E-5</v>
      </c>
      <c r="J3198" s="76">
        <v>1.73E-4</v>
      </c>
      <c r="K3198" s="76">
        <v>9.1399999999999999E-5</v>
      </c>
      <c r="L3198" s="76">
        <v>2.0000000000000001E-4</v>
      </c>
      <c r="M3198" s="76">
        <v>1.85E-4</v>
      </c>
    </row>
    <row r="3199" spans="3:13" x14ac:dyDescent="0.15">
      <c r="C3199" s="76">
        <v>668</v>
      </c>
      <c r="D3199" s="76">
        <v>2.5000000000000001E-5</v>
      </c>
      <c r="E3199" s="76">
        <v>5.1E-5</v>
      </c>
      <c r="F3199" s="76">
        <v>1.8899999999999999E-5</v>
      </c>
      <c r="G3199" s="76">
        <v>1.46E-4</v>
      </c>
      <c r="H3199" s="76">
        <v>6.6600000000000006E-5</v>
      </c>
      <c r="I3199" s="76">
        <v>7.9200000000000001E-5</v>
      </c>
      <c r="J3199" s="76">
        <v>1.9000000000000001E-4</v>
      </c>
      <c r="K3199" s="76">
        <v>1.4300000000000001E-4</v>
      </c>
      <c r="L3199" s="76">
        <v>1.44E-4</v>
      </c>
      <c r="M3199" s="76">
        <v>1.8900000000000001E-4</v>
      </c>
    </row>
    <row r="3200" spans="3:13" x14ac:dyDescent="0.15">
      <c r="C3200" s="76">
        <v>670</v>
      </c>
      <c r="D3200" s="76">
        <v>1.8300000000000001E-5</v>
      </c>
      <c r="E3200" s="76">
        <v>3.9400000000000002E-5</v>
      </c>
      <c r="F3200" s="76">
        <v>3.8600000000000003E-5</v>
      </c>
      <c r="G3200" s="76">
        <v>1.22E-4</v>
      </c>
      <c r="H3200" s="76">
        <v>6.6000000000000005E-5</v>
      </c>
      <c r="I3200" s="76">
        <v>1.3300000000000001E-4</v>
      </c>
      <c r="J3200" s="76">
        <v>1.35E-4</v>
      </c>
      <c r="K3200" s="76">
        <v>1.64E-4</v>
      </c>
      <c r="L3200" s="76">
        <v>1.2400000000000001E-4</v>
      </c>
      <c r="M3200" s="76">
        <v>1.7899999999999999E-4</v>
      </c>
    </row>
    <row r="3201" spans="3:13" x14ac:dyDescent="0.15">
      <c r="C3201" s="76">
        <v>672</v>
      </c>
      <c r="D3201" s="76">
        <v>2.2099999999999998E-5</v>
      </c>
      <c r="E3201" s="76">
        <v>2.62E-5</v>
      </c>
      <c r="F3201" s="76">
        <v>3.1599999999999998E-6</v>
      </c>
      <c r="G3201" s="76">
        <v>1.2999999999999999E-4</v>
      </c>
      <c r="H3201" s="76">
        <v>5.38E-5</v>
      </c>
      <c r="I3201" s="76">
        <v>9.5099999999999994E-5</v>
      </c>
      <c r="J3201" s="76">
        <v>1.3799999999999999E-4</v>
      </c>
      <c r="K3201" s="76">
        <v>1.05E-4</v>
      </c>
      <c r="L3201" s="76">
        <v>4.0499999999999998E-4</v>
      </c>
      <c r="M3201" s="76">
        <v>1.8100000000000001E-4</v>
      </c>
    </row>
    <row r="3202" spans="3:13" x14ac:dyDescent="0.15">
      <c r="C3202" s="76">
        <v>674</v>
      </c>
      <c r="D3202" s="76">
        <v>2.4899999999999999E-5</v>
      </c>
      <c r="E3202" s="76">
        <v>2.05E-5</v>
      </c>
      <c r="F3202" s="76">
        <v>6.0399999999999998E-6</v>
      </c>
      <c r="G3202" s="76">
        <v>1.25E-4</v>
      </c>
      <c r="H3202" s="76">
        <v>1.06E-4</v>
      </c>
      <c r="I3202" s="76">
        <v>1.21E-4</v>
      </c>
      <c r="J3202" s="76">
        <v>1.07E-4</v>
      </c>
      <c r="K3202" s="76">
        <v>1.4100000000000001E-4</v>
      </c>
      <c r="L3202" s="76">
        <v>1.75E-4</v>
      </c>
      <c r="M3202" s="76">
        <v>1.83E-4</v>
      </c>
    </row>
    <row r="3203" spans="3:13" x14ac:dyDescent="0.15">
      <c r="C3203" s="76">
        <v>676</v>
      </c>
      <c r="D3203" s="76">
        <v>1.98E-5</v>
      </c>
      <c r="E3203" s="76">
        <v>2.9600000000000001E-5</v>
      </c>
      <c r="F3203" s="76">
        <v>1.66E-5</v>
      </c>
      <c r="G3203" s="76">
        <v>1.27E-4</v>
      </c>
      <c r="H3203" s="76">
        <v>9.1199999999999994E-5</v>
      </c>
      <c r="I3203" s="76">
        <v>8.1100000000000006E-5</v>
      </c>
      <c r="J3203" s="76">
        <v>9.6899999999999997E-5</v>
      </c>
      <c r="K3203" s="76">
        <v>1.6899999999999999E-4</v>
      </c>
      <c r="L3203" s="76">
        <v>1.3300000000000001E-4</v>
      </c>
      <c r="M3203" s="76">
        <v>1.92E-4</v>
      </c>
    </row>
    <row r="3204" spans="3:13" x14ac:dyDescent="0.15">
      <c r="C3204" s="76">
        <v>678</v>
      </c>
      <c r="D3204" s="76">
        <v>1.5400000000000002E-5</v>
      </c>
      <c r="E3204" s="76">
        <v>4.07E-5</v>
      </c>
      <c r="F3204" s="76">
        <v>2.69E-5</v>
      </c>
      <c r="G3204" s="76">
        <v>8.7899999999999995E-5</v>
      </c>
      <c r="H3204" s="76">
        <v>1.2E-4</v>
      </c>
      <c r="I3204" s="76">
        <v>7.7799999999999994E-5</v>
      </c>
      <c r="J3204" s="76">
        <v>8.0599999999999994E-5</v>
      </c>
      <c r="K3204" s="76">
        <v>1.6200000000000001E-4</v>
      </c>
      <c r="L3204" s="76">
        <v>8.3999999999999995E-5</v>
      </c>
      <c r="M3204" s="76">
        <v>1.7200000000000001E-4</v>
      </c>
    </row>
    <row r="3205" spans="3:13" x14ac:dyDescent="0.15">
      <c r="C3205" s="76">
        <v>680</v>
      </c>
      <c r="D3205" s="76">
        <v>1.4800000000000001E-5</v>
      </c>
      <c r="E3205" s="76">
        <v>2.1999999999999999E-5</v>
      </c>
      <c r="F3205" s="76">
        <v>3.3899999999999997E-5</v>
      </c>
      <c r="G3205" s="76">
        <v>1.1400000000000001E-4</v>
      </c>
      <c r="H3205" s="76">
        <v>1.01E-4</v>
      </c>
      <c r="I3205" s="76">
        <v>7.9200000000000001E-5</v>
      </c>
      <c r="J3205" s="76">
        <v>1.21E-4</v>
      </c>
      <c r="K3205" s="76">
        <v>1.12E-4</v>
      </c>
      <c r="L3205" s="76">
        <v>1.3300000000000001E-4</v>
      </c>
      <c r="M3205" s="76">
        <v>2.0000000000000001E-4</v>
      </c>
    </row>
    <row r="3206" spans="3:13" x14ac:dyDescent="0.15">
      <c r="C3206" s="76">
        <v>682</v>
      </c>
      <c r="D3206" s="76">
        <v>9.91E-6</v>
      </c>
      <c r="E3206" s="76">
        <v>2.6400000000000001E-5</v>
      </c>
      <c r="F3206" s="76">
        <v>1.84E-5</v>
      </c>
      <c r="G3206" s="76">
        <v>7.0699999999999997E-5</v>
      </c>
      <c r="H3206" s="76">
        <v>9.9300000000000001E-5</v>
      </c>
      <c r="I3206" s="76">
        <v>7.1299999999999998E-5</v>
      </c>
      <c r="J3206" s="76">
        <v>1.3999999999999999E-4</v>
      </c>
      <c r="K3206" s="76">
        <v>1.4999999999999999E-4</v>
      </c>
      <c r="L3206" s="76">
        <v>1.16E-4</v>
      </c>
      <c r="M3206" s="76">
        <v>2.1100000000000001E-4</v>
      </c>
    </row>
    <row r="3207" spans="3:13" x14ac:dyDescent="0.15">
      <c r="C3207" s="76">
        <v>684</v>
      </c>
      <c r="D3207" s="76">
        <v>1.13E-5</v>
      </c>
      <c r="E3207" s="76">
        <v>3.29E-5</v>
      </c>
      <c r="F3207" s="76">
        <v>8.9900000000000003E-6</v>
      </c>
      <c r="G3207" s="76">
        <v>9.7299999999999993E-5</v>
      </c>
      <c r="H3207" s="76">
        <v>1.03E-4</v>
      </c>
      <c r="I3207" s="76">
        <v>1.08E-4</v>
      </c>
      <c r="J3207" s="76">
        <v>1.5100000000000001E-4</v>
      </c>
      <c r="K3207" s="76">
        <v>1.76E-4</v>
      </c>
      <c r="L3207" s="76">
        <v>9.5299999999999999E-5</v>
      </c>
      <c r="M3207" s="76">
        <v>1.54E-4</v>
      </c>
    </row>
    <row r="3208" spans="3:13" x14ac:dyDescent="0.15">
      <c r="C3208" s="76">
        <v>686</v>
      </c>
      <c r="D3208" s="76">
        <v>1.03E-5</v>
      </c>
      <c r="E3208" s="76">
        <v>2.41E-5</v>
      </c>
      <c r="F3208" s="76">
        <v>1.22E-5</v>
      </c>
      <c r="G3208" s="76">
        <v>6.6500000000000004E-5</v>
      </c>
      <c r="H3208" s="76">
        <v>1.2300000000000001E-4</v>
      </c>
      <c r="I3208" s="76">
        <v>1.2899999999999999E-4</v>
      </c>
      <c r="J3208" s="76">
        <v>1.4899999999999999E-4</v>
      </c>
      <c r="K3208" s="76">
        <v>1.36E-4</v>
      </c>
      <c r="L3208" s="76">
        <v>1.7100000000000001E-4</v>
      </c>
      <c r="M3208" s="76">
        <v>1.54E-4</v>
      </c>
    </row>
    <row r="3209" spans="3:13" x14ac:dyDescent="0.15">
      <c r="C3209" s="76">
        <v>688</v>
      </c>
      <c r="D3209" s="76">
        <v>1.06E-5</v>
      </c>
      <c r="E3209" s="76">
        <v>6.41E-5</v>
      </c>
      <c r="F3209" s="76">
        <v>2.5199999999999999E-5</v>
      </c>
      <c r="G3209" s="76">
        <v>7.8800000000000004E-5</v>
      </c>
      <c r="H3209" s="76">
        <v>1.35E-4</v>
      </c>
      <c r="I3209" s="76">
        <v>1.2300000000000001E-4</v>
      </c>
      <c r="J3209" s="76">
        <v>1.0399999999999999E-4</v>
      </c>
      <c r="K3209" s="76">
        <v>1.3899999999999999E-4</v>
      </c>
      <c r="L3209" s="76">
        <v>1.2300000000000001E-4</v>
      </c>
      <c r="M3209" s="76">
        <v>1.06E-4</v>
      </c>
    </row>
    <row r="3210" spans="3:13" x14ac:dyDescent="0.15">
      <c r="C3210" s="76">
        <v>690</v>
      </c>
      <c r="D3210" s="76">
        <v>1.1399999999999999E-5</v>
      </c>
      <c r="E3210" s="76">
        <v>1.8E-5</v>
      </c>
      <c r="F3210" s="76">
        <v>3.7400000000000001E-5</v>
      </c>
      <c r="G3210" s="76">
        <v>7.2899999999999997E-5</v>
      </c>
      <c r="H3210" s="76">
        <v>1.16E-4</v>
      </c>
      <c r="I3210" s="76">
        <v>1.2300000000000001E-4</v>
      </c>
      <c r="J3210" s="76">
        <v>1.3999999999999999E-4</v>
      </c>
      <c r="K3210" s="76">
        <v>1.4100000000000001E-4</v>
      </c>
      <c r="L3210" s="76">
        <v>8.3200000000000003E-5</v>
      </c>
      <c r="M3210" s="76">
        <v>1.08E-4</v>
      </c>
    </row>
    <row r="3211" spans="3:13" x14ac:dyDescent="0.15">
      <c r="C3211" s="76">
        <v>692</v>
      </c>
      <c r="D3211" s="76">
        <v>1.5400000000000002E-5</v>
      </c>
      <c r="E3211" s="76">
        <v>2.3200000000000001E-5</v>
      </c>
      <c r="F3211" s="76">
        <v>3.5800000000000003E-5</v>
      </c>
      <c r="G3211" s="76">
        <v>4.8699999999999998E-5</v>
      </c>
      <c r="H3211" s="76">
        <v>8.5799999999999998E-5</v>
      </c>
      <c r="I3211" s="76">
        <v>1.25E-4</v>
      </c>
      <c r="J3211" s="76">
        <v>1.2999999999999999E-4</v>
      </c>
      <c r="K3211" s="76">
        <v>2.2800000000000001E-4</v>
      </c>
      <c r="L3211" s="76">
        <v>5.8199999999999998E-5</v>
      </c>
      <c r="M3211" s="76">
        <v>1.0399999999999999E-4</v>
      </c>
    </row>
    <row r="3212" spans="3:13" x14ac:dyDescent="0.15">
      <c r="C3212" s="76">
        <v>694</v>
      </c>
      <c r="D3212" s="76">
        <v>1.2999999999999999E-5</v>
      </c>
      <c r="E3212" s="76">
        <v>1.95E-5</v>
      </c>
      <c r="F3212" s="76">
        <v>4.46E-5</v>
      </c>
      <c r="G3212" s="76">
        <v>3.2100000000000001E-5</v>
      </c>
      <c r="H3212" s="76">
        <v>1.15E-4</v>
      </c>
      <c r="I3212" s="76">
        <v>1.5899999999999999E-4</v>
      </c>
      <c r="J3212" s="76">
        <v>1.1400000000000001E-4</v>
      </c>
      <c r="K3212" s="76">
        <v>2.42E-4</v>
      </c>
      <c r="L3212" s="76">
        <v>7.8399999999999995E-5</v>
      </c>
      <c r="M3212" s="76">
        <v>1.74E-4</v>
      </c>
    </row>
    <row r="3213" spans="3:13" x14ac:dyDescent="0.15">
      <c r="C3213" s="76">
        <v>696</v>
      </c>
      <c r="D3213" s="76">
        <v>1.36E-5</v>
      </c>
      <c r="E3213" s="76">
        <v>1.33E-5</v>
      </c>
      <c r="F3213" s="76">
        <v>4.8900000000000003E-5</v>
      </c>
      <c r="G3213" s="76">
        <v>1.7499999999999998E-5</v>
      </c>
      <c r="H3213" s="76">
        <v>1.16E-4</v>
      </c>
      <c r="I3213" s="76">
        <v>1.63E-4</v>
      </c>
      <c r="J3213" s="76">
        <v>1.27E-4</v>
      </c>
      <c r="K3213" s="76">
        <v>2.0000000000000001E-4</v>
      </c>
      <c r="L3213" s="76">
        <v>7.9300000000000003E-5</v>
      </c>
      <c r="M3213" s="76">
        <v>1.9900000000000001E-4</v>
      </c>
    </row>
    <row r="3214" spans="3:13" x14ac:dyDescent="0.15">
      <c r="C3214" s="76">
        <v>698</v>
      </c>
      <c r="D3214" s="76">
        <v>1.9300000000000002E-5</v>
      </c>
      <c r="E3214" s="76">
        <v>1.4800000000000001E-5</v>
      </c>
      <c r="F3214" s="76">
        <v>6.9200000000000002E-5</v>
      </c>
      <c r="G3214" s="76">
        <v>3.1699999999999998E-5</v>
      </c>
      <c r="H3214" s="76">
        <v>1.36E-4</v>
      </c>
      <c r="I3214" s="76">
        <v>1.7699999999999999E-4</v>
      </c>
      <c r="J3214" s="76">
        <v>1.63E-4</v>
      </c>
      <c r="K3214" s="76">
        <v>2.0599999999999999E-4</v>
      </c>
      <c r="L3214" s="76">
        <v>7.6899999999999992E-6</v>
      </c>
      <c r="M3214" s="76">
        <v>2.33E-4</v>
      </c>
    </row>
    <row r="3215" spans="3:13" x14ac:dyDescent="0.15">
      <c r="C3215" s="76">
        <v>700</v>
      </c>
      <c r="D3215" s="76">
        <v>1.22E-5</v>
      </c>
      <c r="E3215" s="76">
        <v>1.9700000000000001E-5</v>
      </c>
      <c r="F3215" s="76">
        <v>7.1400000000000001E-5</v>
      </c>
      <c r="G3215" s="76">
        <v>1.7600000000000001E-5</v>
      </c>
      <c r="H3215" s="76">
        <v>1.35E-4</v>
      </c>
      <c r="I3215" s="76">
        <v>1.6100000000000001E-4</v>
      </c>
      <c r="J3215" s="76">
        <v>1.8699999999999999E-4</v>
      </c>
      <c r="K3215" s="76">
        <v>1.7000000000000001E-4</v>
      </c>
      <c r="L3215" s="76">
        <v>0</v>
      </c>
      <c r="M3215" s="76">
        <v>2.13E-4</v>
      </c>
    </row>
    <row r="3216" spans="3:13" x14ac:dyDescent="0.15">
      <c r="C3216" s="76">
        <v>702</v>
      </c>
      <c r="D3216" s="76">
        <v>1.7799999999999999E-5</v>
      </c>
      <c r="E3216" s="76">
        <v>2.3300000000000001E-5</v>
      </c>
      <c r="F3216" s="76">
        <v>7.1299999999999998E-5</v>
      </c>
      <c r="G3216" s="76">
        <v>2.0299999999999999E-5</v>
      </c>
      <c r="H3216" s="76">
        <v>1.3999999999999999E-4</v>
      </c>
      <c r="I3216" s="76">
        <v>1.26E-4</v>
      </c>
      <c r="J3216" s="76">
        <v>1.5899999999999999E-4</v>
      </c>
      <c r="K3216" s="76">
        <v>2.3000000000000001E-4</v>
      </c>
      <c r="L3216" s="76">
        <v>1.5E-5</v>
      </c>
      <c r="M3216" s="76">
        <v>2.13E-4</v>
      </c>
    </row>
    <row r="3217" spans="3:13" x14ac:dyDescent="0.15">
      <c r="C3217" s="76">
        <v>704</v>
      </c>
      <c r="D3217" s="76">
        <v>1.5299999999999999E-5</v>
      </c>
      <c r="E3217" s="76">
        <v>7.4200000000000001E-6</v>
      </c>
      <c r="F3217" s="76">
        <v>7.2200000000000007E-5</v>
      </c>
      <c r="G3217" s="76">
        <v>3.57E-5</v>
      </c>
      <c r="H3217" s="76">
        <v>1.12E-4</v>
      </c>
      <c r="I3217" s="76">
        <v>1.74E-4</v>
      </c>
      <c r="J3217" s="76">
        <v>1.63E-4</v>
      </c>
      <c r="K3217" s="76">
        <v>2.1699999999999999E-4</v>
      </c>
      <c r="L3217" s="76">
        <v>6.2100000000000005E-5</v>
      </c>
      <c r="M3217" s="76">
        <v>1.1400000000000001E-4</v>
      </c>
    </row>
    <row r="3218" spans="3:13" x14ac:dyDescent="0.15">
      <c r="C3218" s="76">
        <v>706</v>
      </c>
      <c r="D3218" s="76">
        <v>1.0699999999999999E-5</v>
      </c>
      <c r="E3218" s="76">
        <v>1.1600000000000001E-5</v>
      </c>
      <c r="F3218" s="76">
        <v>1.08E-4</v>
      </c>
      <c r="G3218" s="76">
        <v>2.83E-5</v>
      </c>
      <c r="H3218" s="76">
        <v>1.3200000000000001E-4</v>
      </c>
      <c r="I3218" s="76">
        <v>1.5899999999999999E-4</v>
      </c>
      <c r="J3218" s="76">
        <v>1.7000000000000001E-4</v>
      </c>
      <c r="K3218" s="76">
        <v>2.2800000000000001E-4</v>
      </c>
      <c r="L3218" s="76">
        <v>8.0500000000000005E-5</v>
      </c>
      <c r="M3218" s="76">
        <v>2.13E-4</v>
      </c>
    </row>
    <row r="3219" spans="3:13" x14ac:dyDescent="0.15">
      <c r="C3219" s="76">
        <v>708</v>
      </c>
      <c r="D3219" s="76">
        <v>7.5000000000000002E-6</v>
      </c>
      <c r="E3219" s="76">
        <v>1.7799999999999999E-5</v>
      </c>
      <c r="F3219" s="76">
        <v>8.0699999999999996E-5</v>
      </c>
      <c r="G3219" s="76">
        <v>5.0699999999999999E-5</v>
      </c>
      <c r="H3219" s="76">
        <v>1.2300000000000001E-4</v>
      </c>
      <c r="I3219" s="76">
        <v>1.46E-4</v>
      </c>
      <c r="J3219" s="76">
        <v>1.5799999999999999E-4</v>
      </c>
      <c r="K3219" s="76">
        <v>1.34E-4</v>
      </c>
      <c r="L3219" s="76">
        <v>6.6400000000000001E-5</v>
      </c>
      <c r="M3219" s="76">
        <v>2.6600000000000001E-4</v>
      </c>
    </row>
    <row r="3220" spans="3:13" x14ac:dyDescent="0.15">
      <c r="C3220" s="76">
        <v>710</v>
      </c>
      <c r="D3220" s="76">
        <v>3.27E-6</v>
      </c>
      <c r="E3220" s="76">
        <v>1.6799999999999998E-5</v>
      </c>
      <c r="F3220" s="76">
        <v>9.5299999999999999E-5</v>
      </c>
      <c r="G3220" s="76">
        <v>2.6999999999999999E-5</v>
      </c>
      <c r="H3220" s="76">
        <v>1.37E-4</v>
      </c>
      <c r="I3220" s="76">
        <v>1.4999999999999999E-4</v>
      </c>
      <c r="J3220" s="76">
        <v>1.44E-4</v>
      </c>
      <c r="K3220" s="76">
        <v>1.5300000000000001E-4</v>
      </c>
      <c r="L3220" s="76">
        <v>4.46E-5</v>
      </c>
      <c r="M3220" s="76">
        <v>3.7199999999999999E-4</v>
      </c>
    </row>
    <row r="3221" spans="3:13" x14ac:dyDescent="0.15">
      <c r="C3221" s="76">
        <v>712</v>
      </c>
      <c r="D3221" s="76">
        <v>6.7399999999999998E-6</v>
      </c>
      <c r="E3221" s="76">
        <v>1.1800000000000001E-5</v>
      </c>
      <c r="F3221" s="76">
        <v>9.6700000000000006E-5</v>
      </c>
      <c r="G3221" s="76">
        <v>2.97E-5</v>
      </c>
      <c r="H3221" s="76">
        <v>1.45E-4</v>
      </c>
      <c r="I3221" s="76">
        <v>1.37E-4</v>
      </c>
      <c r="J3221" s="76">
        <v>1.8200000000000001E-4</v>
      </c>
      <c r="K3221" s="76">
        <v>1.7799999999999999E-4</v>
      </c>
      <c r="L3221" s="76">
        <v>2.7900000000000001E-4</v>
      </c>
      <c r="M3221" s="76">
        <v>2.1699999999999999E-4</v>
      </c>
    </row>
    <row r="3222" spans="3:13" x14ac:dyDescent="0.15">
      <c r="C3222" s="76">
        <v>714</v>
      </c>
      <c r="D3222" s="76">
        <v>4.6299999999999997E-6</v>
      </c>
      <c r="E3222" s="76">
        <v>2.9200000000000002E-5</v>
      </c>
      <c r="F3222" s="76">
        <v>1.01E-4</v>
      </c>
      <c r="G3222" s="76">
        <v>2.23E-5</v>
      </c>
      <c r="H3222" s="76">
        <v>1E-4</v>
      </c>
      <c r="I3222" s="76">
        <v>1.37E-4</v>
      </c>
      <c r="J3222" s="76">
        <v>1.6799999999999999E-4</v>
      </c>
      <c r="K3222" s="76">
        <v>2.1499999999999999E-4</v>
      </c>
      <c r="L3222" s="76">
        <v>1.4800000000000001E-5</v>
      </c>
      <c r="M3222" s="76">
        <v>3.0400000000000002E-4</v>
      </c>
    </row>
    <row r="3223" spans="3:13" x14ac:dyDescent="0.15">
      <c r="C3223" s="76">
        <v>716</v>
      </c>
      <c r="D3223" s="76">
        <v>5.8400000000000004E-7</v>
      </c>
      <c r="E3223" s="76">
        <v>8.5399999999999996E-6</v>
      </c>
      <c r="F3223" s="76">
        <v>9.1299999999999997E-5</v>
      </c>
      <c r="G3223" s="76">
        <v>3.4799999999999999E-5</v>
      </c>
      <c r="H3223" s="76">
        <v>1.12E-4</v>
      </c>
      <c r="I3223" s="76">
        <v>1.07E-4</v>
      </c>
      <c r="J3223" s="76">
        <v>1.8799999999999999E-4</v>
      </c>
      <c r="K3223" s="76">
        <v>1.9799999999999999E-4</v>
      </c>
      <c r="L3223" s="76">
        <v>6.3100000000000002E-5</v>
      </c>
      <c r="M3223" s="76">
        <v>3.0400000000000002E-4</v>
      </c>
    </row>
    <row r="3224" spans="3:13" x14ac:dyDescent="0.15">
      <c r="C3224" s="76">
        <v>718</v>
      </c>
      <c r="D3224" s="76">
        <v>9.4099999999999997E-7</v>
      </c>
      <c r="E3224" s="76">
        <v>1.8E-5</v>
      </c>
      <c r="F3224" s="76">
        <v>9.7100000000000002E-5</v>
      </c>
      <c r="G3224" s="76">
        <v>5.9299999999999998E-5</v>
      </c>
      <c r="H3224" s="76">
        <v>8.1799999999999996E-5</v>
      </c>
      <c r="I3224" s="76">
        <v>9.6899999999999997E-5</v>
      </c>
      <c r="J3224" s="76">
        <v>1.93E-4</v>
      </c>
      <c r="K3224" s="76">
        <v>1.44E-4</v>
      </c>
      <c r="L3224" s="76">
        <v>7.8700000000000002E-5</v>
      </c>
      <c r="M3224" s="76">
        <v>2.2900000000000001E-4</v>
      </c>
    </row>
    <row r="3225" spans="3:13" x14ac:dyDescent="0.15">
      <c r="C3225" s="76">
        <v>720</v>
      </c>
      <c r="D3225" s="76">
        <v>8.0800000000000006E-6</v>
      </c>
      <c r="E3225" s="76">
        <v>6.8199999999999999E-6</v>
      </c>
      <c r="F3225" s="76">
        <v>1.4999999999999999E-4</v>
      </c>
      <c r="G3225" s="76">
        <v>5.2899999999999998E-5</v>
      </c>
      <c r="H3225" s="76">
        <v>7.8399999999999995E-5</v>
      </c>
      <c r="I3225" s="76">
        <v>7.7799999999999994E-5</v>
      </c>
      <c r="J3225" s="76">
        <v>1.8200000000000001E-4</v>
      </c>
      <c r="K3225" s="76">
        <v>1.5300000000000001E-4</v>
      </c>
      <c r="L3225" s="76">
        <v>7.3499999999999998E-5</v>
      </c>
      <c r="M3225" s="76">
        <v>2.6699999999999998E-4</v>
      </c>
    </row>
    <row r="3226" spans="3:13" x14ac:dyDescent="0.15">
      <c r="C3226" s="76">
        <v>722</v>
      </c>
      <c r="D3226" s="76">
        <v>3.9400000000000004E-6</v>
      </c>
      <c r="E3226" s="76">
        <v>1.13E-5</v>
      </c>
      <c r="F3226" s="76">
        <v>1.08E-4</v>
      </c>
      <c r="G3226" s="76">
        <v>5.8600000000000001E-5</v>
      </c>
      <c r="H3226" s="76">
        <v>6.2399999999999999E-5</v>
      </c>
      <c r="I3226" s="76">
        <v>9.1299999999999997E-5</v>
      </c>
      <c r="J3226" s="76">
        <v>1.36E-4</v>
      </c>
      <c r="K3226" s="76">
        <v>1.2899999999999999E-4</v>
      </c>
      <c r="L3226" s="76">
        <v>1.1400000000000001E-4</v>
      </c>
      <c r="M3226" s="76">
        <v>2.2800000000000001E-4</v>
      </c>
    </row>
    <row r="3227" spans="3:13" x14ac:dyDescent="0.15">
      <c r="C3227" s="76">
        <v>724</v>
      </c>
      <c r="D3227" s="76">
        <v>6.64E-6</v>
      </c>
      <c r="E3227" s="76">
        <v>1.4399999999999999E-5</v>
      </c>
      <c r="F3227" s="76">
        <v>9.8800000000000003E-5</v>
      </c>
      <c r="G3227" s="76">
        <v>6.1699999999999995E-5</v>
      </c>
      <c r="H3227" s="76">
        <v>7.3999999999999996E-5</v>
      </c>
      <c r="I3227" s="76">
        <v>3.54E-5</v>
      </c>
      <c r="J3227" s="76">
        <v>1.13E-4</v>
      </c>
      <c r="K3227" s="76">
        <v>1.35E-4</v>
      </c>
      <c r="L3227" s="76">
        <v>1.4799999999999999E-4</v>
      </c>
      <c r="M3227" s="76">
        <v>2.2000000000000001E-4</v>
      </c>
    </row>
    <row r="3228" spans="3:13" x14ac:dyDescent="0.15">
      <c r="C3228" s="76">
        <v>726</v>
      </c>
      <c r="D3228" s="76">
        <v>5.2599999999999996E-6</v>
      </c>
      <c r="E3228" s="76">
        <v>2.8099999999999999E-5</v>
      </c>
      <c r="F3228" s="76">
        <v>7.7600000000000002E-5</v>
      </c>
      <c r="G3228" s="76">
        <v>8.9599999999999996E-5</v>
      </c>
      <c r="H3228" s="76">
        <v>7.5799999999999999E-5</v>
      </c>
      <c r="I3228" s="76">
        <v>5.13E-6</v>
      </c>
      <c r="J3228" s="76">
        <v>1.64E-4</v>
      </c>
      <c r="K3228" s="76">
        <v>1.46E-4</v>
      </c>
      <c r="L3228" s="76">
        <v>1.84E-4</v>
      </c>
      <c r="M3228" s="76">
        <v>2.4399999999999999E-4</v>
      </c>
    </row>
    <row r="3229" spans="3:13" x14ac:dyDescent="0.15">
      <c r="C3229" s="76">
        <v>728</v>
      </c>
      <c r="D3229" s="76">
        <v>1.1200000000000001E-6</v>
      </c>
      <c r="E3229" s="76">
        <v>5.9500000000000003E-5</v>
      </c>
      <c r="F3229" s="76">
        <v>8.6299999999999997E-5</v>
      </c>
      <c r="G3229" s="76">
        <v>4.5099999999999998E-5</v>
      </c>
      <c r="H3229" s="76">
        <v>1.2799999999999999E-5</v>
      </c>
      <c r="I3229" s="76">
        <v>4.46E-5</v>
      </c>
      <c r="J3229" s="76">
        <v>4.1199999999999999E-5</v>
      </c>
      <c r="K3229" s="76">
        <v>8.5900000000000001E-5</v>
      </c>
      <c r="L3229" s="76">
        <v>1.95E-4</v>
      </c>
      <c r="M3229" s="76">
        <v>1.55E-4</v>
      </c>
    </row>
    <row r="3230" spans="3:13" x14ac:dyDescent="0.15">
      <c r="C3230" s="76">
        <v>730</v>
      </c>
      <c r="D3230" s="76">
        <v>5.57E-6</v>
      </c>
      <c r="E3230" s="76">
        <v>3.01E-5</v>
      </c>
      <c r="F3230" s="76">
        <v>7.3399999999999995E-5</v>
      </c>
      <c r="G3230" s="76">
        <v>9.9400000000000004E-5</v>
      </c>
      <c r="H3230" s="76">
        <v>5.4599999999999999E-5</v>
      </c>
      <c r="I3230" s="76">
        <v>8.5299999999999996E-6</v>
      </c>
      <c r="J3230" s="76">
        <v>1.3100000000000001E-4</v>
      </c>
      <c r="K3230" s="76">
        <v>1.36E-4</v>
      </c>
      <c r="L3230" s="76">
        <v>2.03E-4</v>
      </c>
      <c r="M3230" s="76">
        <v>1.75E-4</v>
      </c>
    </row>
    <row r="3231" spans="3:13" x14ac:dyDescent="0.15">
      <c r="C3231" s="76">
        <v>732</v>
      </c>
      <c r="D3231" s="76">
        <v>8.7399999999999993E-6</v>
      </c>
      <c r="E3231" s="76">
        <v>2.26E-5</v>
      </c>
      <c r="F3231" s="76">
        <v>5.3300000000000001E-5</v>
      </c>
      <c r="G3231" s="76">
        <v>1.16E-4</v>
      </c>
      <c r="H3231" s="76">
        <v>9.6700000000000006E-5</v>
      </c>
      <c r="I3231" s="76">
        <v>1.98E-5</v>
      </c>
      <c r="J3231" s="76">
        <v>7.7999999999999999E-5</v>
      </c>
      <c r="K3231" s="76">
        <v>1.2999999999999999E-4</v>
      </c>
      <c r="L3231" s="76">
        <v>2.4899999999999998E-4</v>
      </c>
      <c r="M3231" s="76">
        <v>2.0699999999999999E-4</v>
      </c>
    </row>
    <row r="3232" spans="3:13" x14ac:dyDescent="0.15">
      <c r="C3232" s="76">
        <v>734</v>
      </c>
      <c r="D3232" s="76">
        <v>1.38E-5</v>
      </c>
      <c r="E3232" s="76">
        <v>1.95E-5</v>
      </c>
      <c r="F3232" s="76">
        <v>4.9400000000000001E-5</v>
      </c>
      <c r="G3232" s="76">
        <v>9.98E-5</v>
      </c>
      <c r="H3232" s="76">
        <v>3.04E-5</v>
      </c>
      <c r="I3232" s="76">
        <v>3.9799999999999998E-5</v>
      </c>
      <c r="J3232" s="76">
        <v>1.0399999999999999E-4</v>
      </c>
      <c r="K3232" s="76">
        <v>1.2999999999999999E-4</v>
      </c>
      <c r="L3232" s="76">
        <v>1.95E-4</v>
      </c>
      <c r="M3232" s="76">
        <v>1.9599999999999999E-4</v>
      </c>
    </row>
    <row r="3233" spans="3:13" x14ac:dyDescent="0.15">
      <c r="C3233" s="76">
        <v>736</v>
      </c>
      <c r="D3233" s="76">
        <v>1.17E-5</v>
      </c>
      <c r="E3233" s="76">
        <v>1.8600000000000001E-5</v>
      </c>
      <c r="F3233" s="76">
        <v>5.0699999999999999E-5</v>
      </c>
      <c r="G3233" s="76">
        <v>1.0900000000000001E-4</v>
      </c>
      <c r="H3233" s="76">
        <v>3.6000000000000001E-5</v>
      </c>
      <c r="I3233" s="76">
        <v>0</v>
      </c>
      <c r="J3233" s="76">
        <v>7.6500000000000003E-5</v>
      </c>
      <c r="K3233" s="76">
        <v>1.08E-4</v>
      </c>
      <c r="L3233" s="76">
        <v>2.0599999999999999E-4</v>
      </c>
      <c r="M3233" s="76">
        <v>1.85E-4</v>
      </c>
    </row>
    <row r="3234" spans="3:13" x14ac:dyDescent="0.15">
      <c r="C3234" s="76">
        <v>738</v>
      </c>
      <c r="D3234" s="76">
        <v>2.3600000000000001E-5</v>
      </c>
      <c r="E3234" s="76">
        <v>2.5999999999999998E-5</v>
      </c>
      <c r="F3234" s="76">
        <v>5.77E-5</v>
      </c>
      <c r="G3234" s="76">
        <v>9.3399999999999993E-5</v>
      </c>
      <c r="H3234" s="76">
        <v>9.9699999999999994E-6</v>
      </c>
      <c r="I3234" s="76">
        <v>0</v>
      </c>
      <c r="J3234" s="76">
        <v>5.4400000000000001E-5</v>
      </c>
      <c r="K3234" s="76">
        <v>6.5099999999999997E-5</v>
      </c>
      <c r="L3234" s="76">
        <v>1.92E-4</v>
      </c>
      <c r="M3234" s="76">
        <v>1.2799999999999999E-4</v>
      </c>
    </row>
    <row r="3235" spans="3:13" x14ac:dyDescent="0.15">
      <c r="C3235" s="76">
        <v>740</v>
      </c>
      <c r="D3235" s="76">
        <v>2.0000000000000002E-5</v>
      </c>
      <c r="E3235" s="76">
        <v>1.8499999999999999E-5</v>
      </c>
      <c r="F3235" s="76">
        <v>4.49E-5</v>
      </c>
      <c r="G3235" s="76">
        <v>8.1299999999999997E-5</v>
      </c>
      <c r="H3235" s="76">
        <v>4.3300000000000002E-5</v>
      </c>
      <c r="I3235" s="76">
        <v>2.27E-5</v>
      </c>
      <c r="J3235" s="76">
        <v>5.4599999999999999E-5</v>
      </c>
      <c r="K3235" s="76">
        <v>6.8300000000000007E-5</v>
      </c>
      <c r="L3235" s="76">
        <v>2.63E-4</v>
      </c>
      <c r="M3235" s="76">
        <v>1.56E-4</v>
      </c>
    </row>
    <row r="3236" spans="3:13" x14ac:dyDescent="0.15">
      <c r="C3236" s="76">
        <v>742</v>
      </c>
      <c r="D3236" s="76">
        <v>2.6100000000000001E-5</v>
      </c>
      <c r="E3236" s="76">
        <v>2.16E-5</v>
      </c>
      <c r="F3236" s="76">
        <v>2.3799999999999999E-5</v>
      </c>
      <c r="G3236" s="76">
        <v>8.3900000000000006E-5</v>
      </c>
      <c r="H3236" s="76">
        <v>9.2799999999999992E-6</v>
      </c>
      <c r="I3236" s="76">
        <v>1.5400000000000001E-6</v>
      </c>
      <c r="J3236" s="76">
        <v>1.03E-4</v>
      </c>
      <c r="K3236" s="76">
        <v>9.87E-5</v>
      </c>
      <c r="L3236" s="76">
        <v>2.6400000000000002E-4</v>
      </c>
      <c r="M3236" s="76">
        <v>1.5100000000000001E-4</v>
      </c>
    </row>
    <row r="3237" spans="3:13" x14ac:dyDescent="0.15">
      <c r="C3237" s="76">
        <v>744</v>
      </c>
      <c r="D3237" s="76">
        <v>2.26E-5</v>
      </c>
      <c r="E3237" s="76">
        <v>1.4399999999999999E-5</v>
      </c>
      <c r="F3237" s="76">
        <v>2.4199999999999999E-5</v>
      </c>
      <c r="G3237" s="76">
        <v>1.03E-4</v>
      </c>
      <c r="H3237" s="76">
        <v>2.44E-5</v>
      </c>
      <c r="I3237" s="76">
        <v>0</v>
      </c>
      <c r="J3237" s="76">
        <v>5.6199999999999997E-5</v>
      </c>
      <c r="K3237" s="76">
        <v>1.6200000000000001E-4</v>
      </c>
      <c r="L3237" s="76">
        <v>2.3499999999999999E-4</v>
      </c>
      <c r="M3237" s="76">
        <v>2.05E-4</v>
      </c>
    </row>
    <row r="3238" spans="3:13" x14ac:dyDescent="0.15">
      <c r="C3238" s="76">
        <v>746</v>
      </c>
      <c r="D3238" s="76">
        <v>2.69E-5</v>
      </c>
      <c r="E3238" s="76">
        <v>3.7799999999999997E-5</v>
      </c>
      <c r="F3238" s="76">
        <v>7.3200000000000002E-6</v>
      </c>
      <c r="G3238" s="76">
        <v>1.0399999999999999E-4</v>
      </c>
      <c r="H3238" s="76">
        <v>0</v>
      </c>
      <c r="I3238" s="76">
        <v>0</v>
      </c>
      <c r="J3238" s="76">
        <v>0</v>
      </c>
      <c r="K3238" s="76">
        <v>1.1900000000000001E-4</v>
      </c>
      <c r="L3238" s="76">
        <v>1.8100000000000001E-4</v>
      </c>
      <c r="M3238" s="76">
        <v>1.6799999999999999E-4</v>
      </c>
    </row>
    <row r="3239" spans="3:13" x14ac:dyDescent="0.15">
      <c r="C3239" s="76">
        <v>748</v>
      </c>
      <c r="D3239" s="76">
        <v>3.8699999999999999E-5</v>
      </c>
      <c r="E3239" s="76">
        <v>2.6299999999999999E-5</v>
      </c>
      <c r="F3239" s="76">
        <v>2.4899999999999999E-5</v>
      </c>
      <c r="G3239" s="76">
        <v>1.1E-4</v>
      </c>
      <c r="H3239" s="76">
        <v>7.0500000000000003E-7</v>
      </c>
      <c r="I3239" s="76">
        <v>1.2999999999999999E-5</v>
      </c>
      <c r="J3239" s="76">
        <v>5.1600000000000001E-5</v>
      </c>
      <c r="K3239" s="76">
        <v>1.2400000000000001E-4</v>
      </c>
      <c r="L3239" s="76">
        <v>1.5899999999999999E-4</v>
      </c>
      <c r="M3239" s="76">
        <v>1.8599999999999999E-4</v>
      </c>
    </row>
    <row r="3240" spans="3:13" x14ac:dyDescent="0.15">
      <c r="C3240" s="76">
        <v>750</v>
      </c>
      <c r="D3240" s="76">
        <v>3.96E-5</v>
      </c>
      <c r="E3240" s="76">
        <v>4.0000000000000003E-5</v>
      </c>
      <c r="F3240" s="76">
        <v>1.47E-5</v>
      </c>
      <c r="G3240" s="76">
        <v>1.2400000000000001E-4</v>
      </c>
      <c r="H3240" s="76">
        <v>1.01E-5</v>
      </c>
      <c r="I3240" s="76">
        <v>9.6199999999999994E-5</v>
      </c>
      <c r="J3240" s="76">
        <v>1.06E-5</v>
      </c>
      <c r="K3240" s="76">
        <v>1.74E-4</v>
      </c>
      <c r="L3240" s="76">
        <v>1.6100000000000001E-4</v>
      </c>
      <c r="M3240" s="76">
        <v>1.3999999999999999E-4</v>
      </c>
    </row>
    <row r="3241" spans="3:13" x14ac:dyDescent="0.15">
      <c r="C3241" s="76">
        <v>752</v>
      </c>
      <c r="D3241" s="76">
        <v>4.2599999999999999E-5</v>
      </c>
      <c r="E3241" s="76">
        <v>2.8500000000000002E-5</v>
      </c>
      <c r="F3241" s="76">
        <v>1.9000000000000001E-5</v>
      </c>
      <c r="G3241" s="76">
        <v>1.0900000000000001E-4</v>
      </c>
      <c r="H3241" s="76">
        <v>7.0400000000000004E-6</v>
      </c>
      <c r="I3241" s="76">
        <v>0</v>
      </c>
      <c r="J3241" s="76">
        <v>2.4600000000000002E-5</v>
      </c>
      <c r="K3241" s="76">
        <v>2.6899999999999998E-4</v>
      </c>
      <c r="L3241" s="76">
        <v>1.12E-4</v>
      </c>
      <c r="M3241" s="76">
        <v>7.6699999999999994E-5</v>
      </c>
    </row>
    <row r="3242" spans="3:13" x14ac:dyDescent="0.15">
      <c r="C3242" s="76">
        <v>754</v>
      </c>
      <c r="D3242" s="76">
        <v>4.2700000000000001E-5</v>
      </c>
      <c r="E3242" s="76">
        <v>4.6199999999999998E-5</v>
      </c>
      <c r="F3242" s="76">
        <v>4.7999999999999998E-6</v>
      </c>
      <c r="G3242" s="76">
        <v>8.8200000000000003E-5</v>
      </c>
      <c r="H3242" s="76">
        <v>3.5299999999999997E-5</v>
      </c>
      <c r="I3242" s="76">
        <v>2.4700000000000001E-5</v>
      </c>
      <c r="J3242" s="76">
        <v>2.44E-5</v>
      </c>
      <c r="K3242" s="76">
        <v>1.76E-4</v>
      </c>
      <c r="L3242" s="76">
        <v>1.17E-4</v>
      </c>
      <c r="M3242" s="76">
        <v>4.07E-5</v>
      </c>
    </row>
    <row r="3243" spans="3:13" x14ac:dyDescent="0.15">
      <c r="C3243" s="76">
        <v>756</v>
      </c>
      <c r="D3243" s="76">
        <v>3.3000000000000003E-5</v>
      </c>
      <c r="E3243" s="76">
        <v>4.0800000000000002E-5</v>
      </c>
      <c r="F3243" s="76">
        <v>3.72E-6</v>
      </c>
      <c r="G3243" s="76">
        <v>1.03E-4</v>
      </c>
      <c r="H3243" s="76">
        <v>8.6999999999999997E-6</v>
      </c>
      <c r="I3243" s="76">
        <v>4.0200000000000001E-5</v>
      </c>
      <c r="J3243" s="76">
        <v>4.3699999999999998E-5</v>
      </c>
      <c r="K3243" s="76">
        <v>2.0000000000000001E-4</v>
      </c>
      <c r="L3243" s="76">
        <v>2.8200000000000002E-4</v>
      </c>
      <c r="M3243" s="76">
        <v>1.63E-4</v>
      </c>
    </row>
    <row r="3244" spans="3:13" x14ac:dyDescent="0.15">
      <c r="C3244" s="76">
        <v>758</v>
      </c>
      <c r="D3244" s="76">
        <v>3.2299999999999999E-5</v>
      </c>
      <c r="E3244" s="76">
        <v>4.49E-5</v>
      </c>
      <c r="F3244" s="76">
        <v>1.3499999999999999E-5</v>
      </c>
      <c r="G3244" s="76">
        <v>8.8499999999999996E-5</v>
      </c>
      <c r="H3244" s="76">
        <v>4.3600000000000003E-5</v>
      </c>
      <c r="I3244" s="76">
        <v>1E-4</v>
      </c>
      <c r="J3244" s="76">
        <v>6.6600000000000006E-5</v>
      </c>
      <c r="K3244" s="76">
        <v>2.4499999999999999E-4</v>
      </c>
      <c r="L3244" s="76">
        <v>1.64E-4</v>
      </c>
      <c r="M3244" s="76">
        <v>1.12E-4</v>
      </c>
    </row>
    <row r="3245" spans="3:13" x14ac:dyDescent="0.15">
      <c r="C3245" s="76">
        <v>760</v>
      </c>
      <c r="D3245" s="76">
        <v>3.3599999999999997E-5</v>
      </c>
      <c r="E3245" s="76">
        <v>3.82E-5</v>
      </c>
      <c r="F3245" s="76">
        <v>1.42E-5</v>
      </c>
      <c r="G3245" s="76">
        <v>7.8700000000000002E-5</v>
      </c>
      <c r="H3245" s="76">
        <v>4.4100000000000001E-5</v>
      </c>
      <c r="I3245" s="76">
        <v>5.1499999999999998E-5</v>
      </c>
      <c r="J3245" s="76">
        <v>5.4500000000000003E-5</v>
      </c>
      <c r="K3245" s="76">
        <v>1.9000000000000001E-4</v>
      </c>
      <c r="L3245" s="76">
        <v>2.2499999999999999E-4</v>
      </c>
      <c r="M3245" s="76">
        <v>1.3100000000000001E-4</v>
      </c>
    </row>
    <row r="3246" spans="3:13" x14ac:dyDescent="0.15">
      <c r="C3246" s="76">
        <v>762</v>
      </c>
      <c r="D3246" s="76">
        <v>2.6299999999999999E-5</v>
      </c>
      <c r="E3246" s="76">
        <v>4.5200000000000001E-5</v>
      </c>
      <c r="F3246" s="76">
        <v>3.5099999999999999E-6</v>
      </c>
      <c r="G3246" s="76">
        <v>5.5099999999999998E-5</v>
      </c>
      <c r="H3246" s="76">
        <v>9.3700000000000001E-5</v>
      </c>
      <c r="I3246" s="76">
        <v>7.4999999999999993E-5</v>
      </c>
      <c r="J3246" s="76">
        <v>1.4100000000000001E-4</v>
      </c>
      <c r="K3246" s="76">
        <v>2.23E-4</v>
      </c>
      <c r="L3246" s="76">
        <v>2.22E-4</v>
      </c>
      <c r="M3246" s="76">
        <v>2.14E-4</v>
      </c>
    </row>
    <row r="3247" spans="3:13" x14ac:dyDescent="0.15">
      <c r="C3247" s="76">
        <v>764</v>
      </c>
      <c r="D3247" s="76">
        <v>3.3000000000000003E-5</v>
      </c>
      <c r="E3247" s="76">
        <v>3.6600000000000002E-5</v>
      </c>
      <c r="F3247" s="76">
        <v>0</v>
      </c>
      <c r="G3247" s="76">
        <v>1.5500000000000001E-5</v>
      </c>
      <c r="H3247" s="76">
        <v>1.07E-4</v>
      </c>
      <c r="I3247" s="76">
        <v>1.08E-4</v>
      </c>
      <c r="J3247" s="76">
        <v>9.1500000000000001E-5</v>
      </c>
      <c r="K3247" s="76">
        <v>2.9399999999999999E-4</v>
      </c>
      <c r="L3247" s="76">
        <v>1.55E-4</v>
      </c>
      <c r="M3247" s="76">
        <v>8.3599999999999999E-5</v>
      </c>
    </row>
    <row r="3248" spans="3:13" x14ac:dyDescent="0.15">
      <c r="C3248" s="76">
        <v>766</v>
      </c>
      <c r="D3248" s="76">
        <v>2.8600000000000001E-5</v>
      </c>
      <c r="E3248" s="76">
        <v>1.2099999999999999E-5</v>
      </c>
      <c r="F3248" s="76">
        <v>0</v>
      </c>
      <c r="G3248" s="76">
        <v>2.41E-5</v>
      </c>
      <c r="H3248" s="76">
        <v>8.9900000000000003E-5</v>
      </c>
      <c r="I3248" s="76">
        <v>1.5699999999999999E-4</v>
      </c>
      <c r="J3248" s="76">
        <v>2.1900000000000001E-4</v>
      </c>
      <c r="K3248" s="76">
        <v>1.5300000000000001E-4</v>
      </c>
      <c r="L3248" s="76">
        <v>9.1100000000000005E-5</v>
      </c>
      <c r="M3248" s="76">
        <v>1.3799999999999999E-4</v>
      </c>
    </row>
    <row r="3249" spans="2:14" x14ac:dyDescent="0.15">
      <c r="C3249" s="76">
        <v>768</v>
      </c>
      <c r="D3249" s="76">
        <v>2.7900000000000001E-5</v>
      </c>
      <c r="E3249" s="76">
        <v>4.2400000000000001E-5</v>
      </c>
      <c r="F3249" s="76">
        <v>7.3699999999999997E-6</v>
      </c>
      <c r="G3249" s="76">
        <v>4.9899999999999997E-6</v>
      </c>
      <c r="H3249" s="76">
        <v>1.07E-4</v>
      </c>
      <c r="I3249" s="76">
        <v>1.54E-4</v>
      </c>
      <c r="J3249" s="76">
        <v>2.1000000000000001E-4</v>
      </c>
      <c r="K3249" s="76">
        <v>1.9699999999999999E-4</v>
      </c>
      <c r="L3249" s="76">
        <v>1.6200000000000001E-4</v>
      </c>
      <c r="M3249" s="76">
        <v>1.94E-4</v>
      </c>
    </row>
    <row r="3250" spans="2:14" x14ac:dyDescent="0.15">
      <c r="C3250" s="76">
        <v>770</v>
      </c>
      <c r="D3250" s="76">
        <v>2.9600000000000001E-5</v>
      </c>
      <c r="E3250" s="76">
        <v>2.55E-5</v>
      </c>
      <c r="F3250" s="76">
        <v>2.26E-6</v>
      </c>
      <c r="G3250" s="76">
        <v>3.99E-8</v>
      </c>
      <c r="H3250" s="76">
        <v>7.1199999999999996E-5</v>
      </c>
      <c r="I3250" s="76">
        <v>1.17E-4</v>
      </c>
      <c r="J3250" s="76">
        <v>1.54E-4</v>
      </c>
      <c r="K3250" s="76">
        <v>2.24E-4</v>
      </c>
      <c r="L3250" s="76">
        <v>9.3700000000000001E-5</v>
      </c>
      <c r="M3250" s="76">
        <v>2.12E-4</v>
      </c>
    </row>
    <row r="3251" spans="2:14" x14ac:dyDescent="0.15">
      <c r="C3251" s="76">
        <v>772</v>
      </c>
      <c r="D3251" s="76">
        <v>2.6100000000000001E-5</v>
      </c>
      <c r="E3251" s="76">
        <v>1.7600000000000001E-5</v>
      </c>
      <c r="F3251" s="76">
        <v>2.34E-5</v>
      </c>
      <c r="G3251" s="76">
        <v>3.05E-6</v>
      </c>
      <c r="H3251" s="76">
        <v>5.2099999999999999E-5</v>
      </c>
      <c r="I3251" s="76">
        <v>1.7000000000000001E-4</v>
      </c>
      <c r="J3251" s="76">
        <v>1.3200000000000001E-4</v>
      </c>
      <c r="K3251" s="76">
        <v>1.9599999999999999E-4</v>
      </c>
      <c r="L3251" s="76">
        <v>7.6500000000000003E-5</v>
      </c>
      <c r="M3251" s="76">
        <v>2.42E-4</v>
      </c>
    </row>
    <row r="3252" spans="2:14" x14ac:dyDescent="0.15">
      <c r="C3252" s="76">
        <v>774</v>
      </c>
      <c r="D3252" s="76">
        <v>3.0899999999999999E-5</v>
      </c>
      <c r="E3252" s="76">
        <v>2.4600000000000002E-5</v>
      </c>
      <c r="F3252" s="76">
        <v>2.6100000000000001E-5</v>
      </c>
      <c r="G3252" s="76">
        <v>3.93E-5</v>
      </c>
      <c r="H3252" s="76">
        <v>1.1E-4</v>
      </c>
      <c r="I3252" s="76">
        <v>1.7200000000000001E-4</v>
      </c>
      <c r="J3252" s="76">
        <v>1.75E-4</v>
      </c>
      <c r="K3252" s="76">
        <v>2.1599999999999999E-4</v>
      </c>
      <c r="L3252" s="76">
        <v>1E-4</v>
      </c>
      <c r="M3252" s="76">
        <v>2.7300000000000002E-4</v>
      </c>
    </row>
    <row r="3253" spans="2:14" x14ac:dyDescent="0.15">
      <c r="C3253" s="76">
        <v>776</v>
      </c>
      <c r="D3253" s="76">
        <v>1.49E-5</v>
      </c>
      <c r="E3253" s="76">
        <v>4.5300000000000003E-5</v>
      </c>
      <c r="F3253" s="76">
        <v>3.3300000000000003E-5</v>
      </c>
      <c r="G3253" s="76">
        <v>4.2100000000000003E-6</v>
      </c>
      <c r="H3253" s="76">
        <v>9.3300000000000005E-5</v>
      </c>
      <c r="I3253" s="76">
        <v>1.6799999999999999E-4</v>
      </c>
      <c r="J3253" s="76">
        <v>2.7500000000000002E-4</v>
      </c>
      <c r="K3253" s="76">
        <v>1.9799999999999999E-4</v>
      </c>
      <c r="L3253" s="76">
        <v>1.63E-4</v>
      </c>
      <c r="M3253" s="76">
        <v>2.0799999999999999E-4</v>
      </c>
    </row>
    <row r="3254" spans="2:14" x14ac:dyDescent="0.15">
      <c r="C3254" s="76">
        <v>778</v>
      </c>
      <c r="D3254" s="76">
        <v>1.8099999999999999E-5</v>
      </c>
      <c r="E3254" s="76">
        <v>2.37E-5</v>
      </c>
      <c r="F3254" s="76">
        <v>4.6699999999999997E-5</v>
      </c>
      <c r="G3254" s="76">
        <v>0</v>
      </c>
      <c r="H3254" s="76">
        <v>1.1400000000000001E-4</v>
      </c>
      <c r="I3254" s="76">
        <v>2.4399999999999999E-4</v>
      </c>
      <c r="J3254" s="76">
        <v>2.3900000000000001E-4</v>
      </c>
      <c r="K3254" s="76">
        <v>2.4000000000000001E-4</v>
      </c>
      <c r="L3254" s="76">
        <v>3.0199999999999999E-5</v>
      </c>
      <c r="M3254" s="76">
        <v>2.4399999999999999E-4</v>
      </c>
    </row>
    <row r="3255" spans="2:14" x14ac:dyDescent="0.15">
      <c r="C3255" s="76">
        <v>780</v>
      </c>
      <c r="D3255" s="76">
        <v>1.3200000000000001E-5</v>
      </c>
      <c r="E3255" s="120">
        <v>2.4300000000000001E-5</v>
      </c>
      <c r="F3255" s="120">
        <v>5.3499999999999999E-5</v>
      </c>
      <c r="G3255" s="120">
        <v>4.88E-5</v>
      </c>
      <c r="H3255" s="76">
        <v>1.3300000000000001E-4</v>
      </c>
      <c r="I3255" s="76">
        <v>2.3000000000000001E-4</v>
      </c>
      <c r="J3255" s="76">
        <v>1.7799999999999999E-4</v>
      </c>
      <c r="K3255" s="76">
        <v>2.7700000000000001E-4</v>
      </c>
      <c r="L3255" s="76">
        <v>1.2799999999999999E-4</v>
      </c>
      <c r="M3255" s="120">
        <v>1.76E-4</v>
      </c>
      <c r="N3255" s="120"/>
    </row>
    <row r="3256" spans="2:14" x14ac:dyDescent="0.15">
      <c r="B3256" s="76">
        <v>41</v>
      </c>
      <c r="C3256" s="76" t="s">
        <v>561</v>
      </c>
      <c r="D3256" s="76">
        <v>1</v>
      </c>
      <c r="E3256" s="76">
        <v>2</v>
      </c>
      <c r="F3256" s="76">
        <v>3</v>
      </c>
      <c r="G3256" s="76">
        <v>4</v>
      </c>
      <c r="H3256" s="76">
        <v>5</v>
      </c>
      <c r="I3256" s="76">
        <v>6</v>
      </c>
      <c r="J3256" s="76">
        <v>7</v>
      </c>
      <c r="K3256" s="76">
        <v>8</v>
      </c>
      <c r="L3256" s="76">
        <v>9</v>
      </c>
      <c r="M3256" s="76">
        <v>10</v>
      </c>
    </row>
    <row r="3257" spans="2:14" x14ac:dyDescent="0.15">
      <c r="C3257" s="76" t="s">
        <v>556</v>
      </c>
      <c r="D3257" s="76">
        <v>3.5720000000000001</v>
      </c>
      <c r="E3257" s="76">
        <v>3.7109999999999999</v>
      </c>
      <c r="F3257" s="76">
        <v>3.81</v>
      </c>
      <c r="G3257" s="76">
        <v>3.8919999999999999</v>
      </c>
      <c r="H3257" s="76">
        <v>3.9630000000000001</v>
      </c>
      <c r="I3257" s="76">
        <v>4.0259999999999998</v>
      </c>
      <c r="J3257" s="76">
        <v>4.0839999999999996</v>
      </c>
      <c r="K3257" s="76">
        <v>4.1379999999999999</v>
      </c>
      <c r="L3257" s="76">
        <v>4.1879999999999997</v>
      </c>
      <c r="M3257" s="76">
        <v>4.234</v>
      </c>
    </row>
    <row r="3258" spans="2:14" x14ac:dyDescent="0.15">
      <c r="C3258" s="76" t="s">
        <v>562</v>
      </c>
      <c r="D3258" s="76">
        <v>0.08</v>
      </c>
      <c r="E3258" s="76">
        <v>0.16</v>
      </c>
      <c r="F3258" s="76">
        <v>0.24</v>
      </c>
      <c r="G3258" s="76">
        <v>0.32</v>
      </c>
      <c r="H3258" s="76">
        <v>0.4</v>
      </c>
      <c r="I3258" s="76">
        <v>0.48</v>
      </c>
      <c r="J3258" s="76">
        <v>0.56000000000000005</v>
      </c>
      <c r="K3258" s="76">
        <v>0.64</v>
      </c>
      <c r="L3258" s="76">
        <v>0.72</v>
      </c>
      <c r="M3258" s="76">
        <v>0.8</v>
      </c>
    </row>
    <row r="3259" spans="2:14" x14ac:dyDescent="0.15">
      <c r="C3259" s="76" t="s">
        <v>557</v>
      </c>
      <c r="D3259" s="76">
        <v>2</v>
      </c>
      <c r="E3259" s="76">
        <v>4</v>
      </c>
      <c r="F3259" s="76">
        <v>6</v>
      </c>
      <c r="G3259" s="76">
        <v>8</v>
      </c>
      <c r="H3259" s="76">
        <v>10</v>
      </c>
      <c r="I3259" s="76">
        <v>12</v>
      </c>
      <c r="J3259" s="76">
        <v>14</v>
      </c>
      <c r="K3259" s="76">
        <v>16</v>
      </c>
      <c r="L3259" s="76">
        <v>18</v>
      </c>
      <c r="M3259" s="76">
        <v>20</v>
      </c>
    </row>
    <row r="3260" spans="2:14" x14ac:dyDescent="0.15">
      <c r="C3260" s="76" t="s">
        <v>560</v>
      </c>
      <c r="D3260" s="76">
        <v>8.2550000000000008</v>
      </c>
      <c r="E3260" s="76">
        <v>8.4220000000000006</v>
      </c>
      <c r="F3260" s="76">
        <v>8.4450000000000003</v>
      </c>
      <c r="G3260" s="76">
        <v>8.4369999999999994</v>
      </c>
      <c r="H3260" s="76">
        <v>8.4139999999999997</v>
      </c>
      <c r="I3260" s="76">
        <v>8.4079999999999995</v>
      </c>
      <c r="J3260" s="76">
        <v>8.3919999999999995</v>
      </c>
      <c r="K3260" s="76">
        <v>8.3680000000000003</v>
      </c>
      <c r="L3260" s="76">
        <v>8.3550000000000004</v>
      </c>
      <c r="M3260" s="76">
        <v>8.32</v>
      </c>
    </row>
    <row r="3261" spans="2:14" x14ac:dyDescent="0.15">
      <c r="C3261" s="76" t="s">
        <v>563</v>
      </c>
      <c r="D3261" s="76">
        <v>7.2605079999999997</v>
      </c>
      <c r="E3261" s="76">
        <v>7.129823</v>
      </c>
      <c r="F3261" s="76">
        <v>6.9630929999999998</v>
      </c>
      <c r="G3261" s="76">
        <v>6.8111709999999999</v>
      </c>
      <c r="H3261" s="76">
        <v>6.6707280000000004</v>
      </c>
      <c r="I3261" s="76">
        <v>6.5603470000000002</v>
      </c>
      <c r="J3261" s="76">
        <v>6.4550970000000003</v>
      </c>
      <c r="K3261" s="76">
        <v>6.3533480000000004</v>
      </c>
      <c r="L3261" s="76">
        <v>6.2683619999999998</v>
      </c>
      <c r="M3261" s="76">
        <v>6.17272</v>
      </c>
    </row>
    <row r="3262" spans="2:14" x14ac:dyDescent="0.15">
      <c r="C3262" s="76" t="s">
        <v>564</v>
      </c>
      <c r="D3262" s="76">
        <v>165.1</v>
      </c>
      <c r="E3262" s="120">
        <v>336.9</v>
      </c>
      <c r="F3262" s="76">
        <v>506.7</v>
      </c>
      <c r="G3262" s="76">
        <v>675</v>
      </c>
      <c r="H3262" s="76">
        <v>841.5</v>
      </c>
      <c r="I3262" s="76">
        <v>1009</v>
      </c>
      <c r="J3262" s="76">
        <v>1175</v>
      </c>
      <c r="K3262" s="76">
        <v>1339</v>
      </c>
      <c r="L3262" s="76">
        <v>1504</v>
      </c>
      <c r="M3262" s="76">
        <v>1664</v>
      </c>
    </row>
    <row r="3263" spans="2:14" x14ac:dyDescent="0.15">
      <c r="C3263" s="76" t="s">
        <v>565</v>
      </c>
      <c r="D3263" s="76">
        <v>165.1</v>
      </c>
      <c r="E3263" s="120">
        <v>336.9</v>
      </c>
      <c r="F3263" s="76">
        <v>506.7</v>
      </c>
      <c r="G3263" s="76">
        <v>675</v>
      </c>
      <c r="H3263" s="76">
        <v>841.5</v>
      </c>
      <c r="I3263" s="76">
        <v>1009</v>
      </c>
      <c r="J3263" s="76">
        <v>1175</v>
      </c>
      <c r="K3263" s="76">
        <v>1339</v>
      </c>
      <c r="L3263" s="76">
        <v>1504</v>
      </c>
      <c r="M3263" s="76">
        <v>1664</v>
      </c>
    </row>
    <row r="3264" spans="2:14" x14ac:dyDescent="0.15">
      <c r="C3264" s="76" t="s">
        <v>566</v>
      </c>
      <c r="D3264" s="76">
        <v>0.13519999999999999</v>
      </c>
      <c r="E3264" s="76">
        <v>0.1351</v>
      </c>
      <c r="F3264" s="76">
        <v>0.1351</v>
      </c>
      <c r="G3264" s="76">
        <v>0.1351</v>
      </c>
      <c r="H3264" s="76">
        <v>0.1351</v>
      </c>
      <c r="I3264" s="76">
        <v>0.1351</v>
      </c>
      <c r="J3264" s="76">
        <v>0.13519999999999999</v>
      </c>
      <c r="K3264" s="76">
        <v>0.13519999999999999</v>
      </c>
      <c r="L3264" s="76">
        <v>0.13519999999999999</v>
      </c>
      <c r="M3264" s="76">
        <v>0.1351</v>
      </c>
    </row>
    <row r="3265" spans="3:13" x14ac:dyDescent="0.15">
      <c r="C3265" s="76" t="s">
        <v>567</v>
      </c>
      <c r="D3265" s="76">
        <v>0.1188</v>
      </c>
      <c r="E3265" s="76">
        <v>0.11849999999999999</v>
      </c>
      <c r="F3265" s="76">
        <v>0.11849999999999999</v>
      </c>
      <c r="G3265" s="76">
        <v>0.11849999999999999</v>
      </c>
      <c r="H3265" s="76">
        <v>0.1183</v>
      </c>
      <c r="I3265" s="76">
        <v>0.11840000000000001</v>
      </c>
      <c r="J3265" s="76">
        <v>0.11840000000000001</v>
      </c>
      <c r="K3265" s="76">
        <v>0.11840000000000001</v>
      </c>
      <c r="L3265" s="76">
        <v>0.11840000000000001</v>
      </c>
      <c r="M3265" s="76">
        <v>0.1182</v>
      </c>
    </row>
    <row r="3266" spans="3:13" x14ac:dyDescent="0.15">
      <c r="C3266" s="76" t="s">
        <v>568</v>
      </c>
      <c r="D3266" s="76">
        <v>9.1021000000000001</v>
      </c>
      <c r="E3266" s="76">
        <v>9.2963000000000005</v>
      </c>
      <c r="F3266" s="76">
        <v>9.3163</v>
      </c>
      <c r="G3266" s="76">
        <v>9.3216000000000001</v>
      </c>
      <c r="H3266" s="76">
        <v>9.3053000000000008</v>
      </c>
      <c r="I3266" s="76">
        <v>9.2882999999999996</v>
      </c>
      <c r="J3266" s="76">
        <v>9.2683</v>
      </c>
      <c r="K3266" s="76">
        <v>9.2543000000000006</v>
      </c>
      <c r="L3266" s="76">
        <v>9.2306000000000008</v>
      </c>
      <c r="M3266" s="76">
        <v>9.2116000000000007</v>
      </c>
    </row>
    <row r="3267" spans="3:13" x14ac:dyDescent="0.15">
      <c r="C3267" s="76" t="s">
        <v>569</v>
      </c>
    </row>
    <row r="3268" spans="3:13" x14ac:dyDescent="0.15">
      <c r="C3268" s="76" t="s">
        <v>570</v>
      </c>
      <c r="D3268" s="76">
        <v>4</v>
      </c>
      <c r="E3268" s="76">
        <v>4</v>
      </c>
      <c r="F3268" s="76">
        <v>4</v>
      </c>
      <c r="G3268" s="76">
        <v>4</v>
      </c>
      <c r="H3268" s="76">
        <v>4</v>
      </c>
      <c r="I3268" s="76">
        <v>4</v>
      </c>
      <c r="J3268" s="76">
        <v>4</v>
      </c>
      <c r="K3268" s="76">
        <v>4</v>
      </c>
      <c r="L3268" s="76">
        <v>4</v>
      </c>
      <c r="M3268" s="76">
        <v>4</v>
      </c>
    </row>
    <row r="3269" spans="3:13" x14ac:dyDescent="0.15">
      <c r="C3269" s="76" t="s">
        <v>571</v>
      </c>
      <c r="D3269" s="76">
        <v>100</v>
      </c>
      <c r="E3269" s="76">
        <v>100</v>
      </c>
      <c r="F3269" s="76">
        <v>100</v>
      </c>
      <c r="G3269" s="76">
        <v>100</v>
      </c>
      <c r="H3269" s="76">
        <v>100</v>
      </c>
      <c r="I3269" s="76">
        <v>100</v>
      </c>
      <c r="J3269" s="76">
        <v>100</v>
      </c>
      <c r="K3269" s="76">
        <v>100</v>
      </c>
      <c r="L3269" s="76">
        <v>100</v>
      </c>
      <c r="M3269" s="76">
        <v>100</v>
      </c>
    </row>
    <row r="3270" spans="3:13" x14ac:dyDescent="0.15">
      <c r="C3270" s="76" t="s">
        <v>572</v>
      </c>
      <c r="D3270" s="76" t="s">
        <v>574</v>
      </c>
      <c r="E3270" s="76" t="s">
        <v>574</v>
      </c>
      <c r="F3270" s="76" t="s">
        <v>574</v>
      </c>
      <c r="G3270" s="76" t="s">
        <v>574</v>
      </c>
      <c r="H3270" s="76" t="s">
        <v>574</v>
      </c>
      <c r="I3270" s="76" t="s">
        <v>574</v>
      </c>
      <c r="J3270" s="76" t="s">
        <v>574</v>
      </c>
      <c r="K3270" s="76" t="s">
        <v>574</v>
      </c>
      <c r="L3270" s="76" t="s">
        <v>574</v>
      </c>
      <c r="M3270" s="76" t="s">
        <v>574</v>
      </c>
    </row>
    <row r="3271" spans="3:13" x14ac:dyDescent="0.15">
      <c r="C3271" s="76" t="s">
        <v>573</v>
      </c>
      <c r="D3271" s="76">
        <v>1</v>
      </c>
      <c r="E3271" s="76">
        <v>2</v>
      </c>
      <c r="F3271" s="76">
        <v>3</v>
      </c>
      <c r="G3271" s="76">
        <v>4</v>
      </c>
      <c r="H3271" s="76">
        <v>5</v>
      </c>
      <c r="I3271" s="76">
        <v>6</v>
      </c>
      <c r="J3271" s="76">
        <v>7</v>
      </c>
      <c r="K3271" s="76">
        <v>8</v>
      </c>
      <c r="L3271" s="76">
        <v>9</v>
      </c>
      <c r="M3271" s="76">
        <v>10</v>
      </c>
    </row>
    <row r="3272" spans="3:13" x14ac:dyDescent="0.15">
      <c r="C3272" s="76">
        <v>380</v>
      </c>
      <c r="D3272" s="76">
        <v>1.4300000000000001E-4</v>
      </c>
      <c r="E3272" s="76">
        <v>2.8800000000000001E-4</v>
      </c>
      <c r="F3272" s="76">
        <v>1.9900000000000001E-4</v>
      </c>
      <c r="G3272" s="76">
        <v>1.01E-4</v>
      </c>
      <c r="H3272" s="76">
        <v>8.1599999999999999E-4</v>
      </c>
      <c r="I3272" s="76">
        <v>7.3099999999999999E-4</v>
      </c>
      <c r="J3272" s="76">
        <v>8.9300000000000002E-4</v>
      </c>
      <c r="K3272" s="76">
        <v>1.16E-3</v>
      </c>
      <c r="L3272" s="76">
        <v>1.1999999999999999E-3</v>
      </c>
      <c r="M3272" s="76">
        <v>1.74E-3</v>
      </c>
    </row>
    <row r="3273" spans="3:13" x14ac:dyDescent="0.15">
      <c r="C3273" s="76">
        <v>382</v>
      </c>
      <c r="D3273" s="76">
        <v>1.3200000000000001E-4</v>
      </c>
      <c r="E3273" s="76">
        <v>2.5000000000000001E-4</v>
      </c>
      <c r="F3273" s="76">
        <v>2.4000000000000001E-4</v>
      </c>
      <c r="G3273" s="76">
        <v>4.9700000000000005E-4</v>
      </c>
      <c r="H3273" s="76">
        <v>8.4099999999999995E-4</v>
      </c>
      <c r="I3273" s="76">
        <v>7.3399999999999995E-4</v>
      </c>
      <c r="J3273" s="76">
        <v>8.4699999999999999E-4</v>
      </c>
      <c r="K3273" s="76">
        <v>1.09E-3</v>
      </c>
      <c r="L3273" s="76">
        <v>1.1800000000000001E-3</v>
      </c>
      <c r="M3273" s="76">
        <v>1.8600000000000001E-3</v>
      </c>
    </row>
    <row r="3274" spans="3:13" x14ac:dyDescent="0.15">
      <c r="C3274" s="76">
        <v>384</v>
      </c>
      <c r="D3274" s="76">
        <v>1.3200000000000001E-4</v>
      </c>
      <c r="E3274" s="76">
        <v>2.5599999999999999E-4</v>
      </c>
      <c r="F3274" s="76">
        <v>3.3599999999999998E-4</v>
      </c>
      <c r="G3274" s="76">
        <v>5.2400000000000005E-4</v>
      </c>
      <c r="H3274" s="76">
        <v>5.5699999999999999E-4</v>
      </c>
      <c r="I3274" s="76">
        <v>5.9299999999999999E-4</v>
      </c>
      <c r="J3274" s="76">
        <v>6.0800000000000003E-4</v>
      </c>
      <c r="K3274" s="76">
        <v>1.15E-3</v>
      </c>
      <c r="L3274" s="76">
        <v>1.0399999999999999E-3</v>
      </c>
      <c r="M3274" s="76">
        <v>1.5399999999999999E-3</v>
      </c>
    </row>
    <row r="3275" spans="3:13" x14ac:dyDescent="0.15">
      <c r="C3275" s="76">
        <v>386</v>
      </c>
      <c r="D3275" s="76">
        <v>1.15E-4</v>
      </c>
      <c r="E3275" s="76">
        <v>2.8600000000000001E-4</v>
      </c>
      <c r="F3275" s="76">
        <v>3.1500000000000001E-4</v>
      </c>
      <c r="G3275" s="76">
        <v>5.1099999999999995E-4</v>
      </c>
      <c r="H3275" s="76">
        <v>6.6500000000000001E-4</v>
      </c>
      <c r="I3275" s="76">
        <v>5.71E-4</v>
      </c>
      <c r="J3275" s="76">
        <v>7.4899999999999999E-4</v>
      </c>
      <c r="K3275" s="76">
        <v>1.15E-3</v>
      </c>
      <c r="L3275" s="76">
        <v>1.0399999999999999E-3</v>
      </c>
      <c r="M3275" s="76">
        <v>1.5100000000000001E-3</v>
      </c>
    </row>
    <row r="3276" spans="3:13" x14ac:dyDescent="0.15">
      <c r="C3276" s="76">
        <v>388</v>
      </c>
      <c r="D3276" s="76">
        <v>1.0900000000000001E-4</v>
      </c>
      <c r="E3276" s="76">
        <v>2.22E-4</v>
      </c>
      <c r="F3276" s="76">
        <v>3.0699999999999998E-4</v>
      </c>
      <c r="G3276" s="76">
        <v>4.6900000000000002E-4</v>
      </c>
      <c r="H3276" s="76">
        <v>7.4899999999999999E-4</v>
      </c>
      <c r="I3276" s="76">
        <v>7.5699999999999997E-4</v>
      </c>
      <c r="J3276" s="76">
        <v>6.4000000000000005E-4</v>
      </c>
      <c r="K3276" s="76">
        <v>1.0399999999999999E-3</v>
      </c>
      <c r="L3276" s="76">
        <v>1.08E-3</v>
      </c>
      <c r="M3276" s="76">
        <v>1.41E-3</v>
      </c>
    </row>
    <row r="3277" spans="3:13" x14ac:dyDescent="0.15">
      <c r="C3277" s="76">
        <v>390</v>
      </c>
      <c r="D3277" s="76">
        <v>1.0900000000000001E-4</v>
      </c>
      <c r="E3277" s="76">
        <v>2.4600000000000002E-4</v>
      </c>
      <c r="F3277" s="76">
        <v>3.2400000000000001E-4</v>
      </c>
      <c r="G3277" s="76">
        <v>3.8699999999999997E-4</v>
      </c>
      <c r="H3277" s="76">
        <v>6.7699999999999998E-4</v>
      </c>
      <c r="I3277" s="76">
        <v>7.8899999999999999E-4</v>
      </c>
      <c r="J3277" s="76">
        <v>4.8099999999999998E-4</v>
      </c>
      <c r="K3277" s="76">
        <v>1.1100000000000001E-3</v>
      </c>
      <c r="L3277" s="76">
        <v>1.0200000000000001E-3</v>
      </c>
      <c r="M3277" s="76">
        <v>1.4499999999999999E-3</v>
      </c>
    </row>
    <row r="3278" spans="3:13" x14ac:dyDescent="0.15">
      <c r="C3278" s="76">
        <v>392</v>
      </c>
      <c r="D3278" s="76">
        <v>1.1900000000000001E-4</v>
      </c>
      <c r="E3278" s="76">
        <v>2.63E-4</v>
      </c>
      <c r="F3278" s="76">
        <v>3.0499999999999999E-4</v>
      </c>
      <c r="G3278" s="76">
        <v>4.3100000000000001E-4</v>
      </c>
      <c r="H3278" s="76">
        <v>6.4300000000000002E-4</v>
      </c>
      <c r="I3278" s="76">
        <v>8.8800000000000001E-4</v>
      </c>
      <c r="J3278" s="76">
        <v>6.0400000000000004E-4</v>
      </c>
      <c r="K3278" s="76">
        <v>1.1199999999999999E-3</v>
      </c>
      <c r="L3278" s="76">
        <v>9.9799999999999997E-4</v>
      </c>
      <c r="M3278" s="76">
        <v>1.6100000000000001E-3</v>
      </c>
    </row>
    <row r="3279" spans="3:13" x14ac:dyDescent="0.15">
      <c r="C3279" s="76">
        <v>394</v>
      </c>
      <c r="D3279" s="76">
        <v>1.3300000000000001E-4</v>
      </c>
      <c r="E3279" s="76">
        <v>1.8799999999999999E-4</v>
      </c>
      <c r="F3279" s="76">
        <v>3.0200000000000002E-4</v>
      </c>
      <c r="G3279" s="76">
        <v>4.0000000000000002E-4</v>
      </c>
      <c r="H3279" s="76">
        <v>7.0500000000000001E-4</v>
      </c>
      <c r="I3279" s="76">
        <v>6.7299999999999999E-4</v>
      </c>
      <c r="J3279" s="76">
        <v>6.4999999999999997E-4</v>
      </c>
      <c r="K3279" s="76">
        <v>1.17E-3</v>
      </c>
      <c r="L3279" s="76">
        <v>9.5399999999999999E-4</v>
      </c>
      <c r="M3279" s="76">
        <v>1.1900000000000001E-3</v>
      </c>
    </row>
    <row r="3280" spans="3:13" x14ac:dyDescent="0.15">
      <c r="C3280" s="76">
        <v>396</v>
      </c>
      <c r="D3280" s="76">
        <v>1.36E-4</v>
      </c>
      <c r="E3280" s="76">
        <v>1.95E-4</v>
      </c>
      <c r="F3280" s="76">
        <v>3.2600000000000001E-4</v>
      </c>
      <c r="G3280" s="76">
        <v>5.31E-4</v>
      </c>
      <c r="H3280" s="76">
        <v>6.5899999999999997E-4</v>
      </c>
      <c r="I3280" s="76">
        <v>7.6999999999999996E-4</v>
      </c>
      <c r="J3280" s="76">
        <v>7.4899999999999999E-4</v>
      </c>
      <c r="K3280" s="76">
        <v>1.24E-3</v>
      </c>
      <c r="L3280" s="76">
        <v>8.9700000000000001E-4</v>
      </c>
      <c r="M3280" s="76">
        <v>1.5100000000000001E-3</v>
      </c>
    </row>
    <row r="3281" spans="3:13" x14ac:dyDescent="0.15">
      <c r="C3281" s="76">
        <v>398</v>
      </c>
      <c r="D3281" s="76">
        <v>1.18E-4</v>
      </c>
      <c r="E3281" s="76">
        <v>2.8200000000000002E-4</v>
      </c>
      <c r="F3281" s="76">
        <v>2.6600000000000001E-4</v>
      </c>
      <c r="G3281" s="76">
        <v>4.4299999999999998E-4</v>
      </c>
      <c r="H3281" s="76">
        <v>6.3299999999999999E-4</v>
      </c>
      <c r="I3281" s="76">
        <v>7.9799999999999999E-4</v>
      </c>
      <c r="J3281" s="76">
        <v>7.3999999999999999E-4</v>
      </c>
      <c r="K3281" s="76">
        <v>1.1299999999999999E-3</v>
      </c>
      <c r="L3281" s="76">
        <v>1.1100000000000001E-3</v>
      </c>
      <c r="M3281" s="76">
        <v>1.32E-3</v>
      </c>
    </row>
    <row r="3282" spans="3:13" x14ac:dyDescent="0.15">
      <c r="C3282" s="76">
        <v>400</v>
      </c>
      <c r="D3282" s="76">
        <v>1.2799999999999999E-4</v>
      </c>
      <c r="E3282" s="76">
        <v>2.6699999999999998E-4</v>
      </c>
      <c r="F3282" s="76">
        <v>3.4600000000000001E-4</v>
      </c>
      <c r="G3282" s="76">
        <v>4.7100000000000001E-4</v>
      </c>
      <c r="H3282" s="76">
        <v>6.9099999999999999E-4</v>
      </c>
      <c r="I3282" s="76">
        <v>7.6499999999999995E-4</v>
      </c>
      <c r="J3282" s="76">
        <v>6.2699999999999995E-4</v>
      </c>
      <c r="K3282" s="76">
        <v>1.0399999999999999E-3</v>
      </c>
      <c r="L3282" s="76">
        <v>1.07E-3</v>
      </c>
      <c r="M3282" s="76">
        <v>1.3500000000000001E-3</v>
      </c>
    </row>
    <row r="3283" spans="3:13" x14ac:dyDescent="0.15">
      <c r="C3283" s="76">
        <v>402</v>
      </c>
      <c r="D3283" s="76">
        <v>1.2799999999999999E-4</v>
      </c>
      <c r="E3283" s="76">
        <v>2.24E-4</v>
      </c>
      <c r="F3283" s="76">
        <v>3.5199999999999999E-4</v>
      </c>
      <c r="G3283" s="76">
        <v>5.0199999999999995E-4</v>
      </c>
      <c r="H3283" s="76">
        <v>7.2800000000000002E-4</v>
      </c>
      <c r="I3283" s="76">
        <v>7.7999999999999999E-4</v>
      </c>
      <c r="J3283" s="76">
        <v>6.8900000000000005E-4</v>
      </c>
      <c r="K3283" s="76">
        <v>1.2600000000000001E-3</v>
      </c>
      <c r="L3283" s="76">
        <v>1.1999999999999999E-3</v>
      </c>
      <c r="M3283" s="76">
        <v>1.3799999999999999E-3</v>
      </c>
    </row>
    <row r="3284" spans="3:13" x14ac:dyDescent="0.15">
      <c r="C3284" s="76">
        <v>404</v>
      </c>
      <c r="D3284" s="76">
        <v>1.46E-4</v>
      </c>
      <c r="E3284" s="76">
        <v>2.4000000000000001E-4</v>
      </c>
      <c r="F3284" s="76">
        <v>3.6499999999999998E-4</v>
      </c>
      <c r="G3284" s="76">
        <v>5.1500000000000005E-4</v>
      </c>
      <c r="H3284" s="76">
        <v>7.6099999999999996E-4</v>
      </c>
      <c r="I3284" s="76">
        <v>8.6899999999999998E-4</v>
      </c>
      <c r="J3284" s="76">
        <v>8.6300000000000005E-4</v>
      </c>
      <c r="K3284" s="76">
        <v>1.2700000000000001E-3</v>
      </c>
      <c r="L3284" s="76">
        <v>1.15E-3</v>
      </c>
      <c r="M3284" s="76">
        <v>1.2999999999999999E-3</v>
      </c>
    </row>
    <row r="3285" spans="3:13" x14ac:dyDescent="0.15">
      <c r="C3285" s="76">
        <v>406</v>
      </c>
      <c r="D3285" s="76">
        <v>1.47E-4</v>
      </c>
      <c r="E3285" s="76">
        <v>2.61E-4</v>
      </c>
      <c r="F3285" s="76">
        <v>4.2900000000000002E-4</v>
      </c>
      <c r="G3285" s="76">
        <v>5.2999999999999998E-4</v>
      </c>
      <c r="H3285" s="76">
        <v>6.96E-4</v>
      </c>
      <c r="I3285" s="76">
        <v>1.0499999999999999E-3</v>
      </c>
      <c r="J3285" s="76">
        <v>9.1500000000000001E-4</v>
      </c>
      <c r="K3285" s="76">
        <v>1.4E-3</v>
      </c>
      <c r="L3285" s="76">
        <v>1.06E-3</v>
      </c>
      <c r="M3285" s="76">
        <v>1.3799999999999999E-3</v>
      </c>
    </row>
    <row r="3286" spans="3:13" x14ac:dyDescent="0.15">
      <c r="C3286" s="76">
        <v>408</v>
      </c>
      <c r="D3286" s="76">
        <v>1.6899999999999999E-4</v>
      </c>
      <c r="E3286" s="76">
        <v>3.0699999999999998E-4</v>
      </c>
      <c r="F3286" s="76">
        <v>5.2700000000000002E-4</v>
      </c>
      <c r="G3286" s="76">
        <v>6.7000000000000002E-4</v>
      </c>
      <c r="H3286" s="76">
        <v>8.5999999999999998E-4</v>
      </c>
      <c r="I3286" s="76">
        <v>1.0200000000000001E-3</v>
      </c>
      <c r="J3286" s="76">
        <v>1.09E-3</v>
      </c>
      <c r="K3286" s="76">
        <v>1.3500000000000001E-3</v>
      </c>
      <c r="L3286" s="76">
        <v>1.41E-3</v>
      </c>
      <c r="M3286" s="76">
        <v>1.64E-3</v>
      </c>
    </row>
    <row r="3287" spans="3:13" x14ac:dyDescent="0.15">
      <c r="C3287" s="76">
        <v>410</v>
      </c>
      <c r="D3287" s="76">
        <v>1.6699999999999999E-4</v>
      </c>
      <c r="E3287" s="76">
        <v>3.1E-4</v>
      </c>
      <c r="F3287" s="76">
        <v>5.71E-4</v>
      </c>
      <c r="G3287" s="76">
        <v>7.5100000000000004E-4</v>
      </c>
      <c r="H3287" s="76">
        <v>8.6700000000000004E-4</v>
      </c>
      <c r="I3287" s="76">
        <v>1.14E-3</v>
      </c>
      <c r="J3287" s="76">
        <v>1.1100000000000001E-3</v>
      </c>
      <c r="K3287" s="76">
        <v>1.47E-3</v>
      </c>
      <c r="L3287" s="76">
        <v>1.7700000000000001E-3</v>
      </c>
      <c r="M3287" s="76">
        <v>1.9E-3</v>
      </c>
    </row>
    <row r="3288" spans="3:13" x14ac:dyDescent="0.15">
      <c r="C3288" s="76">
        <v>412</v>
      </c>
      <c r="D3288" s="76">
        <v>1.94E-4</v>
      </c>
      <c r="E3288" s="76">
        <v>3.7599999999999998E-4</v>
      </c>
      <c r="F3288" s="76">
        <v>6.5499999999999998E-4</v>
      </c>
      <c r="G3288" s="76">
        <v>7.9600000000000005E-4</v>
      </c>
      <c r="H3288" s="76">
        <v>9.8299999999999993E-4</v>
      </c>
      <c r="I3288" s="76">
        <v>1.2800000000000001E-3</v>
      </c>
      <c r="J3288" s="76">
        <v>1.32E-3</v>
      </c>
      <c r="K3288" s="76">
        <v>1.74E-3</v>
      </c>
      <c r="L3288" s="76">
        <v>1.56E-3</v>
      </c>
      <c r="M3288" s="76">
        <v>1.92E-3</v>
      </c>
    </row>
    <row r="3289" spans="3:13" x14ac:dyDescent="0.15">
      <c r="C3289" s="76">
        <v>414</v>
      </c>
      <c r="D3289" s="76">
        <v>2.33E-4</v>
      </c>
      <c r="E3289" s="76">
        <v>4.4999999999999999E-4</v>
      </c>
      <c r="F3289" s="76">
        <v>7.2199999999999999E-4</v>
      </c>
      <c r="G3289" s="76">
        <v>9.41E-4</v>
      </c>
      <c r="H3289" s="76">
        <v>1.1100000000000001E-3</v>
      </c>
      <c r="I3289" s="76">
        <v>1.42E-3</v>
      </c>
      <c r="J3289" s="76">
        <v>1.6999999999999999E-3</v>
      </c>
      <c r="K3289" s="76">
        <v>1.91E-3</v>
      </c>
      <c r="L3289" s="76">
        <v>2.0300000000000001E-3</v>
      </c>
      <c r="M3289" s="76">
        <v>2.32E-3</v>
      </c>
    </row>
    <row r="3290" spans="3:13" x14ac:dyDescent="0.15">
      <c r="C3290" s="76">
        <v>416</v>
      </c>
      <c r="D3290" s="76">
        <v>2.6400000000000002E-4</v>
      </c>
      <c r="E3290" s="76">
        <v>5.3200000000000003E-4</v>
      </c>
      <c r="F3290" s="76">
        <v>8.25E-4</v>
      </c>
      <c r="G3290" s="76">
        <v>1.1000000000000001E-3</v>
      </c>
      <c r="H3290" s="76">
        <v>1.34E-3</v>
      </c>
      <c r="I3290" s="76">
        <v>1.66E-3</v>
      </c>
      <c r="J3290" s="76">
        <v>1.9400000000000001E-3</v>
      </c>
      <c r="K3290" s="76">
        <v>2.1299999999999999E-3</v>
      </c>
      <c r="L3290" s="76">
        <v>2.47E-3</v>
      </c>
      <c r="M3290" s="76">
        <v>2.8E-3</v>
      </c>
    </row>
    <row r="3291" spans="3:13" x14ac:dyDescent="0.15">
      <c r="C3291" s="76">
        <v>418</v>
      </c>
      <c r="D3291" s="76">
        <v>3.1300000000000002E-4</v>
      </c>
      <c r="E3291" s="76">
        <v>6.2200000000000005E-4</v>
      </c>
      <c r="F3291" s="76">
        <v>9.2500000000000004E-4</v>
      </c>
      <c r="G3291" s="76">
        <v>1.2800000000000001E-3</v>
      </c>
      <c r="H3291" s="76">
        <v>1.6199999999999999E-3</v>
      </c>
      <c r="I3291" s="76">
        <v>1.9400000000000001E-3</v>
      </c>
      <c r="J3291" s="76">
        <v>2.1900000000000001E-3</v>
      </c>
      <c r="K3291" s="76">
        <v>2.4599999999999999E-3</v>
      </c>
      <c r="L3291" s="76">
        <v>2.9199999999999999E-3</v>
      </c>
      <c r="M3291" s="76">
        <v>3.1800000000000001E-3</v>
      </c>
    </row>
    <row r="3292" spans="3:13" x14ac:dyDescent="0.15">
      <c r="C3292" s="76">
        <v>420</v>
      </c>
      <c r="D3292" s="76">
        <v>3.8200000000000002E-4</v>
      </c>
      <c r="E3292" s="76">
        <v>7.4399999999999998E-4</v>
      </c>
      <c r="F3292" s="76">
        <v>1.1299999999999999E-3</v>
      </c>
      <c r="G3292" s="76">
        <v>1.5399999999999999E-3</v>
      </c>
      <c r="H3292" s="76">
        <v>1.9E-3</v>
      </c>
      <c r="I3292" s="76">
        <v>2.31E-3</v>
      </c>
      <c r="J3292" s="76">
        <v>2.6099999999999999E-3</v>
      </c>
      <c r="K3292" s="76">
        <v>2.98E-3</v>
      </c>
      <c r="L3292" s="76">
        <v>3.3700000000000002E-3</v>
      </c>
      <c r="M3292" s="76">
        <v>3.7699999999999999E-3</v>
      </c>
    </row>
    <row r="3293" spans="3:13" x14ac:dyDescent="0.15">
      <c r="C3293" s="76">
        <v>422</v>
      </c>
      <c r="D3293" s="76">
        <v>4.5199999999999998E-4</v>
      </c>
      <c r="E3293" s="76">
        <v>9.2299999999999999E-4</v>
      </c>
      <c r="F3293" s="76">
        <v>1.3699999999999999E-3</v>
      </c>
      <c r="G3293" s="76">
        <v>1.92E-3</v>
      </c>
      <c r="H3293" s="76">
        <v>2.32E-3</v>
      </c>
      <c r="I3293" s="76">
        <v>2.8E-3</v>
      </c>
      <c r="J3293" s="76">
        <v>3.2100000000000002E-3</v>
      </c>
      <c r="K3293" s="76">
        <v>3.5999999999999999E-3</v>
      </c>
      <c r="L3293" s="76">
        <v>4.1200000000000004E-3</v>
      </c>
      <c r="M3293" s="76">
        <v>4.6600000000000001E-3</v>
      </c>
    </row>
    <row r="3294" spans="3:13" x14ac:dyDescent="0.15">
      <c r="C3294" s="76">
        <v>424</v>
      </c>
      <c r="D3294" s="76">
        <v>5.6700000000000001E-4</v>
      </c>
      <c r="E3294" s="76">
        <v>1.15E-3</v>
      </c>
      <c r="F3294" s="76">
        <v>1.72E-3</v>
      </c>
      <c r="G3294" s="76">
        <v>2.31E-3</v>
      </c>
      <c r="H3294" s="76">
        <v>2.8900000000000002E-3</v>
      </c>
      <c r="I3294" s="76">
        <v>3.4499999999999999E-3</v>
      </c>
      <c r="J3294" s="76">
        <v>4.0000000000000001E-3</v>
      </c>
      <c r="K3294" s="76">
        <v>4.6100000000000004E-3</v>
      </c>
      <c r="L3294" s="76">
        <v>5.1500000000000001E-3</v>
      </c>
      <c r="M3294" s="76">
        <v>5.7999999999999996E-3</v>
      </c>
    </row>
    <row r="3295" spans="3:13" x14ac:dyDescent="0.15">
      <c r="C3295" s="76">
        <v>426</v>
      </c>
      <c r="D3295" s="76">
        <v>7.0699999999999995E-4</v>
      </c>
      <c r="E3295" s="76">
        <v>1.4499999999999999E-3</v>
      </c>
      <c r="F3295" s="76">
        <v>2.1800000000000001E-3</v>
      </c>
      <c r="G3295" s="76">
        <v>2.99E-3</v>
      </c>
      <c r="H3295" s="76">
        <v>3.6600000000000001E-3</v>
      </c>
      <c r="I3295" s="76">
        <v>4.4600000000000004E-3</v>
      </c>
      <c r="J3295" s="76">
        <v>5.2199999999999998E-3</v>
      </c>
      <c r="K3295" s="76">
        <v>5.8100000000000001E-3</v>
      </c>
      <c r="L3295" s="76">
        <v>6.6E-3</v>
      </c>
      <c r="M3295" s="76">
        <v>7.3099999999999997E-3</v>
      </c>
    </row>
    <row r="3296" spans="3:13" x14ac:dyDescent="0.15">
      <c r="C3296" s="76">
        <v>428</v>
      </c>
      <c r="D3296" s="76">
        <v>9.2199999999999997E-4</v>
      </c>
      <c r="E3296" s="76">
        <v>1.89E-3</v>
      </c>
      <c r="F3296" s="76">
        <v>2.8400000000000001E-3</v>
      </c>
      <c r="G3296" s="76">
        <v>3.8700000000000002E-3</v>
      </c>
      <c r="H3296" s="76">
        <v>4.7699999999999999E-3</v>
      </c>
      <c r="I3296" s="76">
        <v>5.7800000000000004E-3</v>
      </c>
      <c r="J3296" s="76">
        <v>6.7400000000000003E-3</v>
      </c>
      <c r="K3296" s="76">
        <v>7.6099999999999996E-3</v>
      </c>
      <c r="L3296" s="76">
        <v>8.7299999999999999E-3</v>
      </c>
      <c r="M3296" s="76">
        <v>9.5600000000000008E-3</v>
      </c>
    </row>
    <row r="3297" spans="3:13" x14ac:dyDescent="0.15">
      <c r="C3297" s="76">
        <v>430</v>
      </c>
      <c r="D3297" s="76">
        <v>1.24E-3</v>
      </c>
      <c r="E3297" s="76">
        <v>2.5200000000000001E-3</v>
      </c>
      <c r="F3297" s="76">
        <v>3.82E-3</v>
      </c>
      <c r="G3297" s="76">
        <v>5.1399999999999996E-3</v>
      </c>
      <c r="H3297" s="76">
        <v>6.3899999999999998E-3</v>
      </c>
      <c r="I3297" s="76">
        <v>7.7200000000000003E-3</v>
      </c>
      <c r="J3297" s="76">
        <v>9.0600000000000003E-3</v>
      </c>
      <c r="K3297" s="76">
        <v>1.03E-2</v>
      </c>
      <c r="L3297" s="76">
        <v>1.1599999999999999E-2</v>
      </c>
      <c r="M3297" s="76">
        <v>1.29E-2</v>
      </c>
    </row>
    <row r="3298" spans="3:13" x14ac:dyDescent="0.15">
      <c r="C3298" s="76">
        <v>432</v>
      </c>
      <c r="D3298" s="76">
        <v>1.6900000000000001E-3</v>
      </c>
      <c r="E3298" s="76">
        <v>3.4499999999999999E-3</v>
      </c>
      <c r="F3298" s="76">
        <v>5.2300000000000003E-3</v>
      </c>
      <c r="G3298" s="76">
        <v>7.0400000000000003E-3</v>
      </c>
      <c r="H3298" s="76">
        <v>8.7799999999999996E-3</v>
      </c>
      <c r="I3298" s="76">
        <v>1.0500000000000001E-2</v>
      </c>
      <c r="J3298" s="76">
        <v>1.23E-2</v>
      </c>
      <c r="K3298" s="76">
        <v>1.41E-2</v>
      </c>
      <c r="L3298" s="76">
        <v>1.5900000000000001E-2</v>
      </c>
      <c r="M3298" s="76">
        <v>1.7600000000000001E-2</v>
      </c>
    </row>
    <row r="3299" spans="3:13" x14ac:dyDescent="0.15">
      <c r="C3299" s="76">
        <v>434</v>
      </c>
      <c r="D3299" s="76">
        <v>2.3400000000000001E-3</v>
      </c>
      <c r="E3299" s="76">
        <v>4.8199999999999996E-3</v>
      </c>
      <c r="F3299" s="76">
        <v>7.26E-3</v>
      </c>
      <c r="G3299" s="76">
        <v>9.7599999999999996E-3</v>
      </c>
      <c r="H3299" s="76">
        <v>1.21E-2</v>
      </c>
      <c r="I3299" s="76">
        <v>1.47E-2</v>
      </c>
      <c r="J3299" s="76">
        <v>1.7100000000000001E-2</v>
      </c>
      <c r="K3299" s="76">
        <v>1.95E-2</v>
      </c>
      <c r="L3299" s="76">
        <v>2.2100000000000002E-2</v>
      </c>
      <c r="M3299" s="76">
        <v>2.4299999999999999E-2</v>
      </c>
    </row>
    <row r="3300" spans="3:13" x14ac:dyDescent="0.15">
      <c r="C3300" s="76">
        <v>436</v>
      </c>
      <c r="D3300" s="76">
        <v>3.3700000000000002E-3</v>
      </c>
      <c r="E3300" s="76">
        <v>6.8799999999999998E-3</v>
      </c>
      <c r="F3300" s="76">
        <v>1.04E-2</v>
      </c>
      <c r="G3300" s="76">
        <v>1.3899999999999999E-2</v>
      </c>
      <c r="H3300" s="76">
        <v>1.7399999999999999E-2</v>
      </c>
      <c r="I3300" s="76">
        <v>2.0899999999999998E-2</v>
      </c>
      <c r="J3300" s="76">
        <v>2.4500000000000001E-2</v>
      </c>
      <c r="K3300" s="76">
        <v>2.7799999999999998E-2</v>
      </c>
      <c r="L3300" s="76">
        <v>3.1399999999999997E-2</v>
      </c>
      <c r="M3300" s="76">
        <v>3.49E-2</v>
      </c>
    </row>
    <row r="3301" spans="3:13" x14ac:dyDescent="0.15">
      <c r="C3301" s="76">
        <v>438</v>
      </c>
      <c r="D3301" s="76">
        <v>4.7999999999999996E-3</v>
      </c>
      <c r="E3301" s="76">
        <v>9.8200000000000006E-3</v>
      </c>
      <c r="F3301" s="76">
        <v>1.49E-2</v>
      </c>
      <c r="G3301" s="76">
        <v>1.9800000000000002E-2</v>
      </c>
      <c r="H3301" s="76">
        <v>2.4799999999999999E-2</v>
      </c>
      <c r="I3301" s="76">
        <v>2.98E-2</v>
      </c>
      <c r="J3301" s="76">
        <v>3.4799999999999998E-2</v>
      </c>
      <c r="K3301" s="76">
        <v>3.9600000000000003E-2</v>
      </c>
      <c r="L3301" s="76">
        <v>4.4600000000000001E-2</v>
      </c>
      <c r="M3301" s="76">
        <v>4.9500000000000002E-2</v>
      </c>
    </row>
    <row r="3302" spans="3:13" x14ac:dyDescent="0.15">
      <c r="C3302" s="76">
        <v>440</v>
      </c>
      <c r="D3302" s="76">
        <v>6.62E-3</v>
      </c>
      <c r="E3302" s="76">
        <v>1.3599999999999999E-2</v>
      </c>
      <c r="F3302" s="76">
        <v>2.0400000000000001E-2</v>
      </c>
      <c r="G3302" s="76">
        <v>2.7300000000000001E-2</v>
      </c>
      <c r="H3302" s="76">
        <v>3.4200000000000001E-2</v>
      </c>
      <c r="I3302" s="76">
        <v>4.1000000000000002E-2</v>
      </c>
      <c r="J3302" s="76">
        <v>4.7899999999999998E-2</v>
      </c>
      <c r="K3302" s="76">
        <v>5.45E-2</v>
      </c>
      <c r="L3302" s="76">
        <v>6.1400000000000003E-2</v>
      </c>
      <c r="M3302" s="76">
        <v>6.8000000000000005E-2</v>
      </c>
    </row>
    <row r="3303" spans="3:13" x14ac:dyDescent="0.15">
      <c r="C3303" s="76">
        <v>442</v>
      </c>
      <c r="D3303" s="76">
        <v>8.8599999999999998E-3</v>
      </c>
      <c r="E3303" s="76">
        <v>1.8100000000000002E-2</v>
      </c>
      <c r="F3303" s="76">
        <v>2.7400000000000001E-2</v>
      </c>
      <c r="G3303" s="76">
        <v>3.6499999999999998E-2</v>
      </c>
      <c r="H3303" s="76">
        <v>4.5600000000000002E-2</v>
      </c>
      <c r="I3303" s="76">
        <v>5.4800000000000001E-2</v>
      </c>
      <c r="J3303" s="76">
        <v>6.3899999999999998E-2</v>
      </c>
      <c r="K3303" s="76">
        <v>7.2900000000000006E-2</v>
      </c>
      <c r="L3303" s="76">
        <v>8.2000000000000003E-2</v>
      </c>
      <c r="M3303" s="76">
        <v>9.0899999999999995E-2</v>
      </c>
    </row>
    <row r="3304" spans="3:13" x14ac:dyDescent="0.15">
      <c r="C3304" s="76">
        <v>444</v>
      </c>
      <c r="D3304" s="76">
        <v>1.15E-2</v>
      </c>
      <c r="E3304" s="76">
        <v>2.3599999999999999E-2</v>
      </c>
      <c r="F3304" s="76">
        <v>3.56E-2</v>
      </c>
      <c r="G3304" s="76">
        <v>4.7399999999999998E-2</v>
      </c>
      <c r="H3304" s="76">
        <v>5.9299999999999999E-2</v>
      </c>
      <c r="I3304" s="76">
        <v>7.1099999999999997E-2</v>
      </c>
      <c r="J3304" s="76">
        <v>8.2900000000000001E-2</v>
      </c>
      <c r="K3304" s="76">
        <v>9.4600000000000004E-2</v>
      </c>
      <c r="L3304" s="76">
        <v>0.106</v>
      </c>
      <c r="M3304" s="76">
        <v>0.11799999999999999</v>
      </c>
    </row>
    <row r="3305" spans="3:13" x14ac:dyDescent="0.15">
      <c r="C3305" s="76">
        <v>446</v>
      </c>
      <c r="D3305" s="76">
        <v>1.46E-2</v>
      </c>
      <c r="E3305" s="76">
        <v>2.9700000000000001E-2</v>
      </c>
      <c r="F3305" s="76">
        <v>4.48E-2</v>
      </c>
      <c r="G3305" s="76">
        <v>5.9700000000000003E-2</v>
      </c>
      <c r="H3305" s="76">
        <v>7.4700000000000003E-2</v>
      </c>
      <c r="I3305" s="76">
        <v>8.9499999999999996E-2</v>
      </c>
      <c r="J3305" s="76">
        <v>0.104</v>
      </c>
      <c r="K3305" s="76">
        <v>0.11899999999999999</v>
      </c>
      <c r="L3305" s="76">
        <v>0.13400000000000001</v>
      </c>
      <c r="M3305" s="76">
        <v>0.14799999999999999</v>
      </c>
    </row>
    <row r="3306" spans="3:13" x14ac:dyDescent="0.15">
      <c r="C3306" s="76">
        <v>448</v>
      </c>
      <c r="D3306" s="76">
        <v>1.77E-2</v>
      </c>
      <c r="E3306" s="76">
        <v>3.6299999999999999E-2</v>
      </c>
      <c r="F3306" s="76">
        <v>5.4600000000000003E-2</v>
      </c>
      <c r="G3306" s="76">
        <v>7.2800000000000004E-2</v>
      </c>
      <c r="H3306" s="76">
        <v>9.0899999999999995E-2</v>
      </c>
      <c r="I3306" s="76">
        <v>0.109</v>
      </c>
      <c r="J3306" s="76">
        <v>0.127</v>
      </c>
      <c r="K3306" s="76">
        <v>0.14499999999999999</v>
      </c>
      <c r="L3306" s="76">
        <v>0.16300000000000001</v>
      </c>
      <c r="M3306" s="76">
        <v>0.18</v>
      </c>
    </row>
    <row r="3307" spans="3:13" x14ac:dyDescent="0.15">
      <c r="C3307" s="76">
        <v>450</v>
      </c>
      <c r="D3307" s="76">
        <v>2.1100000000000001E-2</v>
      </c>
      <c r="E3307" s="76">
        <v>4.3200000000000002E-2</v>
      </c>
      <c r="F3307" s="76">
        <v>6.5000000000000002E-2</v>
      </c>
      <c r="G3307" s="76">
        <v>8.6699999999999999E-2</v>
      </c>
      <c r="H3307" s="76">
        <v>0.108</v>
      </c>
      <c r="I3307" s="76">
        <v>0.13</v>
      </c>
      <c r="J3307" s="76">
        <v>0.151</v>
      </c>
      <c r="K3307" s="76">
        <v>0.17199999999999999</v>
      </c>
      <c r="L3307" s="76">
        <v>0.193</v>
      </c>
      <c r="M3307" s="76">
        <v>0.214</v>
      </c>
    </row>
    <row r="3308" spans="3:13" x14ac:dyDescent="0.15">
      <c r="C3308" s="76">
        <v>452</v>
      </c>
      <c r="D3308" s="76">
        <v>2.4E-2</v>
      </c>
      <c r="E3308" s="76">
        <v>4.9099999999999998E-2</v>
      </c>
      <c r="F3308" s="76">
        <v>7.3899999999999993E-2</v>
      </c>
      <c r="G3308" s="76">
        <v>9.8500000000000004E-2</v>
      </c>
      <c r="H3308" s="76">
        <v>0.123</v>
      </c>
      <c r="I3308" s="76">
        <v>0.14699999999999999</v>
      </c>
      <c r="J3308" s="76">
        <v>0.17199999999999999</v>
      </c>
      <c r="K3308" s="76">
        <v>0.19600000000000001</v>
      </c>
      <c r="L3308" s="76">
        <v>0.22</v>
      </c>
      <c r="M3308" s="76">
        <v>0.24299999999999999</v>
      </c>
    </row>
    <row r="3309" spans="3:13" x14ac:dyDescent="0.15">
      <c r="C3309" s="76">
        <v>454</v>
      </c>
      <c r="D3309" s="76">
        <v>2.63E-2</v>
      </c>
      <c r="E3309" s="76">
        <v>5.3800000000000001E-2</v>
      </c>
      <c r="F3309" s="76">
        <v>8.09E-2</v>
      </c>
      <c r="G3309" s="76">
        <v>0.108</v>
      </c>
      <c r="H3309" s="76">
        <v>0.13500000000000001</v>
      </c>
      <c r="I3309" s="76">
        <v>0.161</v>
      </c>
      <c r="J3309" s="76">
        <v>0.188</v>
      </c>
      <c r="K3309" s="76">
        <v>0.214</v>
      </c>
      <c r="L3309" s="76">
        <v>0.24</v>
      </c>
      <c r="M3309" s="76">
        <v>0.26600000000000001</v>
      </c>
    </row>
    <row r="3310" spans="3:13" x14ac:dyDescent="0.15">
      <c r="C3310" s="76">
        <v>456</v>
      </c>
      <c r="D3310" s="76">
        <v>2.7900000000000001E-2</v>
      </c>
      <c r="E3310" s="76">
        <v>5.7000000000000002E-2</v>
      </c>
      <c r="F3310" s="76">
        <v>8.5699999999999998E-2</v>
      </c>
      <c r="G3310" s="76">
        <v>0.114</v>
      </c>
      <c r="H3310" s="76">
        <v>0.14299999999999999</v>
      </c>
      <c r="I3310" s="76">
        <v>0.17100000000000001</v>
      </c>
      <c r="J3310" s="76">
        <v>0.19900000000000001</v>
      </c>
      <c r="K3310" s="76">
        <v>0.22700000000000001</v>
      </c>
      <c r="L3310" s="76">
        <v>0.255</v>
      </c>
      <c r="M3310" s="76">
        <v>0.28199999999999997</v>
      </c>
    </row>
    <row r="3311" spans="3:13" x14ac:dyDescent="0.15">
      <c r="C3311" s="76">
        <v>458</v>
      </c>
      <c r="D3311" s="76">
        <v>2.87E-2</v>
      </c>
      <c r="E3311" s="76">
        <v>5.8700000000000002E-2</v>
      </c>
      <c r="F3311" s="76">
        <v>8.8200000000000001E-2</v>
      </c>
      <c r="G3311" s="76">
        <v>0.11700000000000001</v>
      </c>
      <c r="H3311" s="76">
        <v>0.14699999999999999</v>
      </c>
      <c r="I3311" s="76">
        <v>0.17599999999999999</v>
      </c>
      <c r="J3311" s="76">
        <v>0.20399999999999999</v>
      </c>
      <c r="K3311" s="76">
        <v>0.23300000000000001</v>
      </c>
      <c r="L3311" s="76">
        <v>0.26200000000000001</v>
      </c>
      <c r="M3311" s="76">
        <v>0.28999999999999998</v>
      </c>
    </row>
    <row r="3312" spans="3:13" x14ac:dyDescent="0.15">
      <c r="C3312" s="76">
        <v>460</v>
      </c>
      <c r="D3312" s="76">
        <v>2.8799999999999999E-2</v>
      </c>
      <c r="E3312" s="76">
        <v>5.8900000000000001E-2</v>
      </c>
      <c r="F3312" s="76">
        <v>8.8499999999999995E-2</v>
      </c>
      <c r="G3312" s="76">
        <v>0.11799999999999999</v>
      </c>
      <c r="H3312" s="76">
        <v>0.14699999999999999</v>
      </c>
      <c r="I3312" s="76">
        <v>0.17599999999999999</v>
      </c>
      <c r="J3312" s="76">
        <v>0.20499999999999999</v>
      </c>
      <c r="K3312" s="76">
        <v>0.23400000000000001</v>
      </c>
      <c r="L3312" s="76">
        <v>0.26300000000000001</v>
      </c>
      <c r="M3312" s="76">
        <v>0.29099999999999998</v>
      </c>
    </row>
    <row r="3313" spans="3:13" x14ac:dyDescent="0.15">
      <c r="C3313" s="76">
        <v>462</v>
      </c>
      <c r="D3313" s="76">
        <v>2.8199999999999999E-2</v>
      </c>
      <c r="E3313" s="76">
        <v>5.7599999999999998E-2</v>
      </c>
      <c r="F3313" s="76">
        <v>8.6599999999999996E-2</v>
      </c>
      <c r="G3313" s="76">
        <v>0.115</v>
      </c>
      <c r="H3313" s="76">
        <v>0.14399999999999999</v>
      </c>
      <c r="I3313" s="76">
        <v>0.17199999999999999</v>
      </c>
      <c r="J3313" s="76">
        <v>0.20100000000000001</v>
      </c>
      <c r="K3313" s="76">
        <v>0.22900000000000001</v>
      </c>
      <c r="L3313" s="76">
        <v>0.25700000000000001</v>
      </c>
      <c r="M3313" s="76">
        <v>0.28399999999999997</v>
      </c>
    </row>
    <row r="3314" spans="3:13" x14ac:dyDescent="0.15">
      <c r="C3314" s="76">
        <v>464</v>
      </c>
      <c r="D3314" s="76">
        <v>2.6800000000000001E-2</v>
      </c>
      <c r="E3314" s="76">
        <v>5.4899999999999997E-2</v>
      </c>
      <c r="F3314" s="76">
        <v>8.2500000000000004E-2</v>
      </c>
      <c r="G3314" s="76">
        <v>0.11</v>
      </c>
      <c r="H3314" s="76">
        <v>0.13700000000000001</v>
      </c>
      <c r="I3314" s="76">
        <v>0.16400000000000001</v>
      </c>
      <c r="J3314" s="76">
        <v>0.191</v>
      </c>
      <c r="K3314" s="76">
        <v>0.218</v>
      </c>
      <c r="L3314" s="76">
        <v>0.245</v>
      </c>
      <c r="M3314" s="76">
        <v>0.27100000000000002</v>
      </c>
    </row>
    <row r="3315" spans="3:13" x14ac:dyDescent="0.15">
      <c r="C3315" s="76">
        <v>466</v>
      </c>
      <c r="D3315" s="76">
        <v>2.5399999999999999E-2</v>
      </c>
      <c r="E3315" s="76">
        <v>5.1999999999999998E-2</v>
      </c>
      <c r="F3315" s="76">
        <v>7.8E-2</v>
      </c>
      <c r="G3315" s="76">
        <v>0.104</v>
      </c>
      <c r="H3315" s="76">
        <v>0.13</v>
      </c>
      <c r="I3315" s="76">
        <v>0.156</v>
      </c>
      <c r="J3315" s="76">
        <v>0.18099999999999999</v>
      </c>
      <c r="K3315" s="76">
        <v>0.20599999999999999</v>
      </c>
      <c r="L3315" s="76">
        <v>0.23200000000000001</v>
      </c>
      <c r="M3315" s="76">
        <v>0.25700000000000001</v>
      </c>
    </row>
    <row r="3316" spans="3:13" x14ac:dyDescent="0.15">
      <c r="C3316" s="76">
        <v>468</v>
      </c>
      <c r="D3316" s="76">
        <v>2.3900000000000001E-2</v>
      </c>
      <c r="E3316" s="76">
        <v>4.8899999999999999E-2</v>
      </c>
      <c r="F3316" s="76">
        <v>7.3400000000000007E-2</v>
      </c>
      <c r="G3316" s="76">
        <v>9.7900000000000001E-2</v>
      </c>
      <c r="H3316" s="76">
        <v>0.122</v>
      </c>
      <c r="I3316" s="76">
        <v>0.14599999999999999</v>
      </c>
      <c r="J3316" s="76">
        <v>0.17</v>
      </c>
      <c r="K3316" s="76">
        <v>0.19400000000000001</v>
      </c>
      <c r="L3316" s="76">
        <v>0.218</v>
      </c>
      <c r="M3316" s="76">
        <v>0.24199999999999999</v>
      </c>
    </row>
    <row r="3317" spans="3:13" x14ac:dyDescent="0.15">
      <c r="C3317" s="76">
        <v>470</v>
      </c>
      <c r="D3317" s="76">
        <v>2.23E-2</v>
      </c>
      <c r="E3317" s="76">
        <v>4.5699999999999998E-2</v>
      </c>
      <c r="F3317" s="76">
        <v>6.8699999999999997E-2</v>
      </c>
      <c r="G3317" s="76">
        <v>9.1600000000000001E-2</v>
      </c>
      <c r="H3317" s="76">
        <v>0.114</v>
      </c>
      <c r="I3317" s="76">
        <v>0.13700000000000001</v>
      </c>
      <c r="J3317" s="76">
        <v>0.159</v>
      </c>
      <c r="K3317" s="76">
        <v>0.182</v>
      </c>
      <c r="L3317" s="76">
        <v>0.20399999999999999</v>
      </c>
      <c r="M3317" s="76">
        <v>0.22600000000000001</v>
      </c>
    </row>
    <row r="3318" spans="3:13" x14ac:dyDescent="0.15">
      <c r="C3318" s="76">
        <v>472</v>
      </c>
      <c r="D3318" s="76">
        <v>2.1000000000000001E-2</v>
      </c>
      <c r="E3318" s="76">
        <v>4.2900000000000001E-2</v>
      </c>
      <c r="F3318" s="76">
        <v>6.4399999999999999E-2</v>
      </c>
      <c r="G3318" s="76">
        <v>8.5900000000000004E-2</v>
      </c>
      <c r="H3318" s="76">
        <v>0.107</v>
      </c>
      <c r="I3318" s="76">
        <v>0.129</v>
      </c>
      <c r="J3318" s="76">
        <v>0.14899999999999999</v>
      </c>
      <c r="K3318" s="76">
        <v>0.17</v>
      </c>
      <c r="L3318" s="76">
        <v>0.191</v>
      </c>
      <c r="M3318" s="76">
        <v>0.21199999999999999</v>
      </c>
    </row>
    <row r="3319" spans="3:13" x14ac:dyDescent="0.15">
      <c r="C3319" s="76">
        <v>474</v>
      </c>
      <c r="D3319" s="76">
        <v>1.9800000000000002E-2</v>
      </c>
      <c r="E3319" s="76">
        <v>4.0500000000000001E-2</v>
      </c>
      <c r="F3319" s="76">
        <v>6.08E-2</v>
      </c>
      <c r="G3319" s="76">
        <v>8.1100000000000005E-2</v>
      </c>
      <c r="H3319" s="76">
        <v>0.10100000000000001</v>
      </c>
      <c r="I3319" s="76">
        <v>0.121</v>
      </c>
      <c r="J3319" s="76">
        <v>0.14099999999999999</v>
      </c>
      <c r="K3319" s="76">
        <v>0.161</v>
      </c>
      <c r="L3319" s="76">
        <v>0.18</v>
      </c>
      <c r="M3319" s="76">
        <v>0.2</v>
      </c>
    </row>
    <row r="3320" spans="3:13" x14ac:dyDescent="0.15">
      <c r="C3320" s="76">
        <v>476</v>
      </c>
      <c r="D3320" s="76">
        <v>1.8599999999999998E-2</v>
      </c>
      <c r="E3320" s="76">
        <v>3.8100000000000002E-2</v>
      </c>
      <c r="F3320" s="76">
        <v>5.7299999999999997E-2</v>
      </c>
      <c r="G3320" s="76">
        <v>7.6300000000000007E-2</v>
      </c>
      <c r="H3320" s="76">
        <v>9.5399999999999999E-2</v>
      </c>
      <c r="I3320" s="76">
        <v>0.114</v>
      </c>
      <c r="J3320" s="76">
        <v>0.13300000000000001</v>
      </c>
      <c r="K3320" s="76">
        <v>0.152</v>
      </c>
      <c r="L3320" s="76">
        <v>0.17</v>
      </c>
      <c r="M3320" s="76">
        <v>0.189</v>
      </c>
    </row>
    <row r="3321" spans="3:13" x14ac:dyDescent="0.15">
      <c r="C3321" s="76">
        <v>478</v>
      </c>
      <c r="D3321" s="76">
        <v>1.78E-2</v>
      </c>
      <c r="E3321" s="76">
        <v>3.6499999999999998E-2</v>
      </c>
      <c r="F3321" s="76">
        <v>5.4800000000000001E-2</v>
      </c>
      <c r="G3321" s="76">
        <v>7.2999999999999995E-2</v>
      </c>
      <c r="H3321" s="76">
        <v>9.1200000000000003E-2</v>
      </c>
      <c r="I3321" s="76">
        <v>0.109</v>
      </c>
      <c r="J3321" s="76">
        <v>0.127</v>
      </c>
      <c r="K3321" s="76">
        <v>0.14499999999999999</v>
      </c>
      <c r="L3321" s="76">
        <v>0.16300000000000001</v>
      </c>
      <c r="M3321" s="76">
        <v>0.18</v>
      </c>
    </row>
    <row r="3322" spans="3:13" x14ac:dyDescent="0.15">
      <c r="C3322" s="76">
        <v>480</v>
      </c>
      <c r="D3322" s="76">
        <v>1.7100000000000001E-2</v>
      </c>
      <c r="E3322" s="76">
        <v>3.5000000000000003E-2</v>
      </c>
      <c r="F3322" s="76">
        <v>5.2699999999999997E-2</v>
      </c>
      <c r="G3322" s="76">
        <v>7.0199999999999999E-2</v>
      </c>
      <c r="H3322" s="76">
        <v>8.77E-2</v>
      </c>
      <c r="I3322" s="76">
        <v>0.105</v>
      </c>
      <c r="J3322" s="76">
        <v>0.122</v>
      </c>
      <c r="K3322" s="76">
        <v>0.14000000000000001</v>
      </c>
      <c r="L3322" s="76">
        <v>0.157</v>
      </c>
      <c r="M3322" s="76">
        <v>0.17399999999999999</v>
      </c>
    </row>
    <row r="3323" spans="3:13" x14ac:dyDescent="0.15">
      <c r="C3323" s="76">
        <v>482</v>
      </c>
      <c r="D3323" s="76">
        <v>1.6500000000000001E-2</v>
      </c>
      <c r="E3323" s="76">
        <v>3.3799999999999997E-2</v>
      </c>
      <c r="F3323" s="76">
        <v>5.0900000000000001E-2</v>
      </c>
      <c r="G3323" s="76">
        <v>6.7799999999999999E-2</v>
      </c>
      <c r="H3323" s="76">
        <v>8.4599999999999995E-2</v>
      </c>
      <c r="I3323" s="76">
        <v>0.10100000000000001</v>
      </c>
      <c r="J3323" s="76">
        <v>0.11799999999999999</v>
      </c>
      <c r="K3323" s="76">
        <v>0.13500000000000001</v>
      </c>
      <c r="L3323" s="76">
        <v>0.151</v>
      </c>
      <c r="M3323" s="76">
        <v>0.16800000000000001</v>
      </c>
    </row>
    <row r="3324" spans="3:13" x14ac:dyDescent="0.15">
      <c r="C3324" s="76">
        <v>484</v>
      </c>
      <c r="D3324" s="76">
        <v>1.5900000000000001E-2</v>
      </c>
      <c r="E3324" s="76">
        <v>3.2599999999999997E-2</v>
      </c>
      <c r="F3324" s="76">
        <v>4.9000000000000002E-2</v>
      </c>
      <c r="G3324" s="76">
        <v>6.5299999999999997E-2</v>
      </c>
      <c r="H3324" s="76">
        <v>8.1500000000000003E-2</v>
      </c>
      <c r="I3324" s="76">
        <v>9.7600000000000006E-2</v>
      </c>
      <c r="J3324" s="76">
        <v>0.113</v>
      </c>
      <c r="K3324" s="76">
        <v>0.13</v>
      </c>
      <c r="L3324" s="76">
        <v>0.14499999999999999</v>
      </c>
      <c r="M3324" s="76">
        <v>0.161</v>
      </c>
    </row>
    <row r="3325" spans="3:13" x14ac:dyDescent="0.15">
      <c r="C3325" s="76">
        <v>486</v>
      </c>
      <c r="D3325" s="76">
        <v>1.5299999999999999E-2</v>
      </c>
      <c r="E3325" s="76">
        <v>3.1300000000000001E-2</v>
      </c>
      <c r="F3325" s="76">
        <v>4.7E-2</v>
      </c>
      <c r="G3325" s="76">
        <v>6.2700000000000006E-2</v>
      </c>
      <c r="H3325" s="76">
        <v>7.8200000000000006E-2</v>
      </c>
      <c r="I3325" s="76">
        <v>9.3600000000000003E-2</v>
      </c>
      <c r="J3325" s="76">
        <v>0.109</v>
      </c>
      <c r="K3325" s="76">
        <v>0.124</v>
      </c>
      <c r="L3325" s="76">
        <v>0.13900000000000001</v>
      </c>
      <c r="M3325" s="76">
        <v>0.155</v>
      </c>
    </row>
    <row r="3326" spans="3:13" x14ac:dyDescent="0.15">
      <c r="C3326" s="76">
        <v>488</v>
      </c>
      <c r="D3326" s="76">
        <v>1.4500000000000001E-2</v>
      </c>
      <c r="E3326" s="76">
        <v>2.9600000000000001E-2</v>
      </c>
      <c r="F3326" s="76">
        <v>4.4499999999999998E-2</v>
      </c>
      <c r="G3326" s="76">
        <v>5.9299999999999999E-2</v>
      </c>
      <c r="H3326" s="76">
        <v>7.4099999999999999E-2</v>
      </c>
      <c r="I3326" s="76">
        <v>8.8700000000000001E-2</v>
      </c>
      <c r="J3326" s="76">
        <v>0.10299999999999999</v>
      </c>
      <c r="K3326" s="76">
        <v>0.11700000000000001</v>
      </c>
      <c r="L3326" s="76">
        <v>0.13200000000000001</v>
      </c>
      <c r="M3326" s="76">
        <v>0.14599999999999999</v>
      </c>
    </row>
    <row r="3327" spans="3:13" x14ac:dyDescent="0.15">
      <c r="C3327" s="76">
        <v>490</v>
      </c>
      <c r="D3327" s="76">
        <v>1.37E-2</v>
      </c>
      <c r="E3327" s="76">
        <v>2.8000000000000001E-2</v>
      </c>
      <c r="F3327" s="76">
        <v>4.2000000000000003E-2</v>
      </c>
      <c r="G3327" s="76">
        <v>5.6000000000000001E-2</v>
      </c>
      <c r="H3327" s="76">
        <v>6.9900000000000004E-2</v>
      </c>
      <c r="I3327" s="76">
        <v>8.3699999999999997E-2</v>
      </c>
      <c r="J3327" s="76">
        <v>9.7299999999999998E-2</v>
      </c>
      <c r="K3327" s="76">
        <v>0.111</v>
      </c>
      <c r="L3327" s="76">
        <v>0.125</v>
      </c>
      <c r="M3327" s="76">
        <v>0.13800000000000001</v>
      </c>
    </row>
    <row r="3328" spans="3:13" x14ac:dyDescent="0.15">
      <c r="C3328" s="76">
        <v>492</v>
      </c>
      <c r="D3328" s="76">
        <v>1.2800000000000001E-2</v>
      </c>
      <c r="E3328" s="76">
        <v>2.6200000000000001E-2</v>
      </c>
      <c r="F3328" s="76">
        <v>3.9399999999999998E-2</v>
      </c>
      <c r="G3328" s="76">
        <v>5.2499999999999998E-2</v>
      </c>
      <c r="H3328" s="76">
        <v>6.5500000000000003E-2</v>
      </c>
      <c r="I3328" s="76">
        <v>7.85E-2</v>
      </c>
      <c r="J3328" s="76">
        <v>9.1300000000000006E-2</v>
      </c>
      <c r="K3328" s="76">
        <v>0.104</v>
      </c>
      <c r="L3328" s="76">
        <v>0.11700000000000001</v>
      </c>
      <c r="M3328" s="76">
        <v>0.129</v>
      </c>
    </row>
    <row r="3329" spans="3:13" x14ac:dyDescent="0.15">
      <c r="C3329" s="76">
        <v>494</v>
      </c>
      <c r="D3329" s="76">
        <v>1.1900000000000001E-2</v>
      </c>
      <c r="E3329" s="76">
        <v>2.4400000000000002E-2</v>
      </c>
      <c r="F3329" s="76">
        <v>3.6700000000000003E-2</v>
      </c>
      <c r="G3329" s="76">
        <v>4.8899999999999999E-2</v>
      </c>
      <c r="H3329" s="76">
        <v>6.0900000000000003E-2</v>
      </c>
      <c r="I3329" s="76">
        <v>7.2999999999999995E-2</v>
      </c>
      <c r="J3329" s="76">
        <v>8.5000000000000006E-2</v>
      </c>
      <c r="K3329" s="76">
        <v>9.69E-2</v>
      </c>
      <c r="L3329" s="76">
        <v>0.109</v>
      </c>
      <c r="M3329" s="76">
        <v>0.12</v>
      </c>
    </row>
    <row r="3330" spans="3:13" x14ac:dyDescent="0.15">
      <c r="C3330" s="76">
        <v>496</v>
      </c>
      <c r="D3330" s="76">
        <v>1.11E-2</v>
      </c>
      <c r="E3330" s="76">
        <v>2.2599999999999999E-2</v>
      </c>
      <c r="F3330" s="76">
        <v>3.4000000000000002E-2</v>
      </c>
      <c r="G3330" s="76">
        <v>4.53E-2</v>
      </c>
      <c r="H3330" s="76">
        <v>5.6500000000000002E-2</v>
      </c>
      <c r="I3330" s="76">
        <v>6.7699999999999996E-2</v>
      </c>
      <c r="J3330" s="76">
        <v>7.8700000000000006E-2</v>
      </c>
      <c r="K3330" s="76">
        <v>8.9800000000000005E-2</v>
      </c>
      <c r="L3330" s="76">
        <v>0.10100000000000001</v>
      </c>
      <c r="M3330" s="76">
        <v>0.112</v>
      </c>
    </row>
    <row r="3331" spans="3:13" x14ac:dyDescent="0.15">
      <c r="C3331" s="76">
        <v>498</v>
      </c>
      <c r="D3331" s="76">
        <v>1.0200000000000001E-2</v>
      </c>
      <c r="E3331" s="76">
        <v>2.0799999999999999E-2</v>
      </c>
      <c r="F3331" s="76">
        <v>3.1199999999999999E-2</v>
      </c>
      <c r="G3331" s="76">
        <v>4.1599999999999998E-2</v>
      </c>
      <c r="H3331" s="76">
        <v>5.1799999999999999E-2</v>
      </c>
      <c r="I3331" s="76">
        <v>6.2199999999999998E-2</v>
      </c>
      <c r="J3331" s="76">
        <v>7.22E-2</v>
      </c>
      <c r="K3331" s="76">
        <v>8.2400000000000001E-2</v>
      </c>
      <c r="L3331" s="76">
        <v>9.2399999999999996E-2</v>
      </c>
      <c r="M3331" s="76">
        <v>0.10199999999999999</v>
      </c>
    </row>
    <row r="3332" spans="3:13" x14ac:dyDescent="0.15">
      <c r="C3332" s="76">
        <v>500</v>
      </c>
      <c r="D3332" s="76">
        <v>9.2099999999999994E-3</v>
      </c>
      <c r="E3332" s="76">
        <v>1.8800000000000001E-2</v>
      </c>
      <c r="F3332" s="76">
        <v>2.8299999999999999E-2</v>
      </c>
      <c r="G3332" s="76">
        <v>3.7699999999999997E-2</v>
      </c>
      <c r="H3332" s="76">
        <v>4.7E-2</v>
      </c>
      <c r="I3332" s="76">
        <v>5.6300000000000003E-2</v>
      </c>
      <c r="J3332" s="76">
        <v>6.54E-2</v>
      </c>
      <c r="K3332" s="76">
        <v>7.4800000000000005E-2</v>
      </c>
      <c r="L3332" s="76">
        <v>8.3799999999999999E-2</v>
      </c>
      <c r="M3332" s="76">
        <v>9.2799999999999994E-2</v>
      </c>
    </row>
    <row r="3333" spans="3:13" x14ac:dyDescent="0.15">
      <c r="C3333" s="76">
        <v>502</v>
      </c>
      <c r="D3333" s="76">
        <v>8.3099999999999997E-3</v>
      </c>
      <c r="E3333" s="76">
        <v>1.7000000000000001E-2</v>
      </c>
      <c r="F3333" s="76">
        <v>2.5499999999999998E-2</v>
      </c>
      <c r="G3333" s="76">
        <v>3.4000000000000002E-2</v>
      </c>
      <c r="H3333" s="76">
        <v>4.24E-2</v>
      </c>
      <c r="I3333" s="76">
        <v>5.0900000000000001E-2</v>
      </c>
      <c r="J3333" s="76">
        <v>5.9200000000000003E-2</v>
      </c>
      <c r="K3333" s="76">
        <v>6.7400000000000002E-2</v>
      </c>
      <c r="L3333" s="76">
        <v>7.5600000000000001E-2</v>
      </c>
      <c r="M3333" s="76">
        <v>8.3799999999999999E-2</v>
      </c>
    </row>
    <row r="3334" spans="3:13" x14ac:dyDescent="0.15">
      <c r="C3334" s="76">
        <v>504</v>
      </c>
      <c r="D3334" s="76">
        <v>7.5300000000000002E-3</v>
      </c>
      <c r="E3334" s="76">
        <v>1.54E-2</v>
      </c>
      <c r="F3334" s="76">
        <v>2.3099999999999999E-2</v>
      </c>
      <c r="G3334" s="76">
        <v>3.0800000000000001E-2</v>
      </c>
      <c r="H3334" s="76">
        <v>3.8399999999999997E-2</v>
      </c>
      <c r="I3334" s="76">
        <v>4.6100000000000002E-2</v>
      </c>
      <c r="J3334" s="76">
        <v>5.3499999999999999E-2</v>
      </c>
      <c r="K3334" s="76">
        <v>6.0999999999999999E-2</v>
      </c>
      <c r="L3334" s="76">
        <v>6.8400000000000002E-2</v>
      </c>
      <c r="M3334" s="76">
        <v>7.5800000000000006E-2</v>
      </c>
    </row>
    <row r="3335" spans="3:13" x14ac:dyDescent="0.15">
      <c r="C3335" s="76">
        <v>506</v>
      </c>
      <c r="D3335" s="76">
        <v>6.8199999999999997E-3</v>
      </c>
      <c r="E3335" s="76">
        <v>1.3899999999999999E-2</v>
      </c>
      <c r="F3335" s="76">
        <v>2.0899999999999998E-2</v>
      </c>
      <c r="G3335" s="76">
        <v>2.7900000000000001E-2</v>
      </c>
      <c r="H3335" s="76">
        <v>3.4799999999999998E-2</v>
      </c>
      <c r="I3335" s="76">
        <v>4.1700000000000001E-2</v>
      </c>
      <c r="J3335" s="76">
        <v>4.8399999999999999E-2</v>
      </c>
      <c r="K3335" s="76">
        <v>5.5300000000000002E-2</v>
      </c>
      <c r="L3335" s="76">
        <v>6.2E-2</v>
      </c>
      <c r="M3335" s="76">
        <v>6.8599999999999994E-2</v>
      </c>
    </row>
    <row r="3336" spans="3:13" x14ac:dyDescent="0.15">
      <c r="C3336" s="76">
        <v>508</v>
      </c>
      <c r="D3336" s="76">
        <v>6.1700000000000001E-3</v>
      </c>
      <c r="E3336" s="76">
        <v>1.26E-2</v>
      </c>
      <c r="F3336" s="76">
        <v>1.89E-2</v>
      </c>
      <c r="G3336" s="76">
        <v>2.53E-2</v>
      </c>
      <c r="H3336" s="76">
        <v>3.1399999999999997E-2</v>
      </c>
      <c r="I3336" s="76">
        <v>3.78E-2</v>
      </c>
      <c r="J3336" s="76">
        <v>4.3900000000000002E-2</v>
      </c>
      <c r="K3336" s="76">
        <v>0.05</v>
      </c>
      <c r="L3336" s="76">
        <v>5.62E-2</v>
      </c>
      <c r="M3336" s="76">
        <v>6.2100000000000002E-2</v>
      </c>
    </row>
    <row r="3337" spans="3:13" x14ac:dyDescent="0.15">
      <c r="C3337" s="76">
        <v>510</v>
      </c>
      <c r="D3337" s="76">
        <v>5.6100000000000004E-3</v>
      </c>
      <c r="E3337" s="76">
        <v>1.14E-2</v>
      </c>
      <c r="F3337" s="76">
        <v>1.72E-2</v>
      </c>
      <c r="G3337" s="76">
        <v>2.29E-2</v>
      </c>
      <c r="H3337" s="76">
        <v>2.8500000000000001E-2</v>
      </c>
      <c r="I3337" s="76">
        <v>3.4299999999999997E-2</v>
      </c>
      <c r="J3337" s="76">
        <v>3.9800000000000002E-2</v>
      </c>
      <c r="K3337" s="76">
        <v>4.5400000000000003E-2</v>
      </c>
      <c r="L3337" s="76">
        <v>5.11E-2</v>
      </c>
      <c r="M3337" s="76">
        <v>5.6500000000000002E-2</v>
      </c>
    </row>
    <row r="3338" spans="3:13" x14ac:dyDescent="0.15">
      <c r="C3338" s="76">
        <v>512</v>
      </c>
      <c r="D3338" s="76">
        <v>5.0600000000000003E-3</v>
      </c>
      <c r="E3338" s="76">
        <v>1.03E-2</v>
      </c>
      <c r="F3338" s="76">
        <v>1.55E-2</v>
      </c>
      <c r="G3338" s="76">
        <v>2.07E-2</v>
      </c>
      <c r="H3338" s="76">
        <v>2.5700000000000001E-2</v>
      </c>
      <c r="I3338" s="76">
        <v>3.09E-2</v>
      </c>
      <c r="J3338" s="76">
        <v>3.5900000000000001E-2</v>
      </c>
      <c r="K3338" s="76">
        <v>4.0899999999999999E-2</v>
      </c>
      <c r="L3338" s="76">
        <v>4.5999999999999999E-2</v>
      </c>
      <c r="M3338" s="76">
        <v>5.0900000000000001E-2</v>
      </c>
    </row>
    <row r="3339" spans="3:13" x14ac:dyDescent="0.15">
      <c r="C3339" s="76">
        <v>514</v>
      </c>
      <c r="D3339" s="76">
        <v>4.6100000000000004E-3</v>
      </c>
      <c r="E3339" s="76">
        <v>9.4000000000000004E-3</v>
      </c>
      <c r="F3339" s="76">
        <v>1.41E-2</v>
      </c>
      <c r="G3339" s="76">
        <v>1.89E-2</v>
      </c>
      <c r="H3339" s="76">
        <v>2.35E-2</v>
      </c>
      <c r="I3339" s="76">
        <v>2.8199999999999999E-2</v>
      </c>
      <c r="J3339" s="76">
        <v>3.27E-2</v>
      </c>
      <c r="K3339" s="76">
        <v>3.7400000000000003E-2</v>
      </c>
      <c r="L3339" s="76">
        <v>4.2000000000000003E-2</v>
      </c>
      <c r="M3339" s="76">
        <v>4.65E-2</v>
      </c>
    </row>
    <row r="3340" spans="3:13" x14ac:dyDescent="0.15">
      <c r="C3340" s="76">
        <v>516</v>
      </c>
      <c r="D3340" s="76">
        <v>4.2399999999999998E-3</v>
      </c>
      <c r="E3340" s="76">
        <v>8.6599999999999993E-3</v>
      </c>
      <c r="F3340" s="76">
        <v>1.2999999999999999E-2</v>
      </c>
      <c r="G3340" s="76">
        <v>1.7399999999999999E-2</v>
      </c>
      <c r="H3340" s="76">
        <v>2.1600000000000001E-2</v>
      </c>
      <c r="I3340" s="76">
        <v>2.5899999999999999E-2</v>
      </c>
      <c r="J3340" s="76">
        <v>3.0099999999999998E-2</v>
      </c>
      <c r="K3340" s="76">
        <v>3.4299999999999997E-2</v>
      </c>
      <c r="L3340" s="76">
        <v>3.8600000000000002E-2</v>
      </c>
      <c r="M3340" s="76">
        <v>4.2700000000000002E-2</v>
      </c>
    </row>
    <row r="3341" spans="3:13" x14ac:dyDescent="0.15">
      <c r="C3341" s="76">
        <v>518</v>
      </c>
      <c r="D3341" s="76">
        <v>3.9199999999999999E-3</v>
      </c>
      <c r="E3341" s="76">
        <v>7.9799999999999992E-3</v>
      </c>
      <c r="F3341" s="76">
        <v>1.2E-2</v>
      </c>
      <c r="G3341" s="76">
        <v>1.6E-2</v>
      </c>
      <c r="H3341" s="76">
        <v>1.9900000000000001E-2</v>
      </c>
      <c r="I3341" s="76">
        <v>2.3900000000000001E-2</v>
      </c>
      <c r="J3341" s="76">
        <v>2.7799999999999998E-2</v>
      </c>
      <c r="K3341" s="76">
        <v>3.1699999999999999E-2</v>
      </c>
      <c r="L3341" s="76">
        <v>3.5700000000000003E-2</v>
      </c>
      <c r="M3341" s="76">
        <v>3.9399999999999998E-2</v>
      </c>
    </row>
    <row r="3342" spans="3:13" x14ac:dyDescent="0.15">
      <c r="C3342" s="76">
        <v>520</v>
      </c>
      <c r="D3342" s="76">
        <v>3.63E-3</v>
      </c>
      <c r="E3342" s="76">
        <v>7.3899999999999999E-3</v>
      </c>
      <c r="F3342" s="76">
        <v>1.11E-2</v>
      </c>
      <c r="G3342" s="76">
        <v>1.4800000000000001E-2</v>
      </c>
      <c r="H3342" s="76">
        <v>1.84E-2</v>
      </c>
      <c r="I3342" s="76">
        <v>2.2100000000000002E-2</v>
      </c>
      <c r="J3342" s="76">
        <v>2.5700000000000001E-2</v>
      </c>
      <c r="K3342" s="76">
        <v>2.93E-2</v>
      </c>
      <c r="L3342" s="76">
        <v>3.3000000000000002E-2</v>
      </c>
      <c r="M3342" s="76">
        <v>3.6400000000000002E-2</v>
      </c>
    </row>
    <row r="3343" spans="3:13" x14ac:dyDescent="0.15">
      <c r="C3343" s="76">
        <v>522</v>
      </c>
      <c r="D3343" s="76">
        <v>3.3500000000000001E-3</v>
      </c>
      <c r="E3343" s="76">
        <v>6.8399999999999997E-3</v>
      </c>
      <c r="F3343" s="76">
        <v>1.03E-2</v>
      </c>
      <c r="G3343" s="76">
        <v>1.37E-2</v>
      </c>
      <c r="H3343" s="76">
        <v>1.7100000000000001E-2</v>
      </c>
      <c r="I3343" s="76">
        <v>2.0500000000000001E-2</v>
      </c>
      <c r="J3343" s="76">
        <v>2.3900000000000001E-2</v>
      </c>
      <c r="K3343" s="76">
        <v>2.7099999999999999E-2</v>
      </c>
      <c r="L3343" s="76">
        <v>3.0499999999999999E-2</v>
      </c>
      <c r="M3343" s="76">
        <v>3.3599999999999998E-2</v>
      </c>
    </row>
    <row r="3344" spans="3:13" x14ac:dyDescent="0.15">
      <c r="C3344" s="76">
        <v>524</v>
      </c>
      <c r="D3344" s="76">
        <v>3.0799999999999998E-3</v>
      </c>
      <c r="E3344" s="76">
        <v>6.2700000000000004E-3</v>
      </c>
      <c r="F3344" s="76">
        <v>9.41E-3</v>
      </c>
      <c r="G3344" s="76">
        <v>1.2500000000000001E-2</v>
      </c>
      <c r="H3344" s="76">
        <v>1.5599999999999999E-2</v>
      </c>
      <c r="I3344" s="76">
        <v>1.8800000000000001E-2</v>
      </c>
      <c r="J3344" s="76">
        <v>2.18E-2</v>
      </c>
      <c r="K3344" s="76">
        <v>2.4899999999999999E-2</v>
      </c>
      <c r="L3344" s="76">
        <v>2.8000000000000001E-2</v>
      </c>
      <c r="M3344" s="76">
        <v>3.0800000000000001E-2</v>
      </c>
    </row>
    <row r="3345" spans="3:13" x14ac:dyDescent="0.15">
      <c r="C3345" s="76">
        <v>526</v>
      </c>
      <c r="D3345" s="76">
        <v>2.8400000000000001E-3</v>
      </c>
      <c r="E3345" s="76">
        <v>5.77E-3</v>
      </c>
      <c r="F3345" s="76">
        <v>8.6899999999999998E-3</v>
      </c>
      <c r="G3345" s="76">
        <v>1.1599999999999999E-2</v>
      </c>
      <c r="H3345" s="76">
        <v>1.44E-2</v>
      </c>
      <c r="I3345" s="76">
        <v>1.7299999999999999E-2</v>
      </c>
      <c r="J3345" s="76">
        <v>2.0199999999999999E-2</v>
      </c>
      <c r="K3345" s="76">
        <v>2.29E-2</v>
      </c>
      <c r="L3345" s="76">
        <v>2.58E-2</v>
      </c>
      <c r="M3345" s="76">
        <v>2.8500000000000001E-2</v>
      </c>
    </row>
    <row r="3346" spans="3:13" x14ac:dyDescent="0.15">
      <c r="C3346" s="76">
        <v>528</v>
      </c>
      <c r="D3346" s="76">
        <v>2.6199999999999999E-3</v>
      </c>
      <c r="E3346" s="76">
        <v>5.3200000000000001E-3</v>
      </c>
      <c r="F3346" s="76">
        <v>8.0300000000000007E-3</v>
      </c>
      <c r="G3346" s="76">
        <v>1.0699999999999999E-2</v>
      </c>
      <c r="H3346" s="76">
        <v>1.3299999999999999E-2</v>
      </c>
      <c r="I3346" s="76">
        <v>1.6E-2</v>
      </c>
      <c r="J3346" s="76">
        <v>1.8599999999999998E-2</v>
      </c>
      <c r="K3346" s="76">
        <v>2.1100000000000001E-2</v>
      </c>
      <c r="L3346" s="76">
        <v>2.3800000000000002E-2</v>
      </c>
      <c r="M3346" s="76">
        <v>2.63E-2</v>
      </c>
    </row>
    <row r="3347" spans="3:13" x14ac:dyDescent="0.15">
      <c r="C3347" s="76">
        <v>530</v>
      </c>
      <c r="D3347" s="76">
        <v>2.4099999999999998E-3</v>
      </c>
      <c r="E3347" s="76">
        <v>4.8999999999999998E-3</v>
      </c>
      <c r="F3347" s="76">
        <v>7.3699999999999998E-3</v>
      </c>
      <c r="G3347" s="76">
        <v>9.8300000000000002E-3</v>
      </c>
      <c r="H3347" s="76">
        <v>1.2200000000000001E-2</v>
      </c>
      <c r="I3347" s="76">
        <v>1.47E-2</v>
      </c>
      <c r="J3347" s="76">
        <v>1.7100000000000001E-2</v>
      </c>
      <c r="K3347" s="76">
        <v>1.9400000000000001E-2</v>
      </c>
      <c r="L3347" s="76">
        <v>2.1999999999999999E-2</v>
      </c>
      <c r="M3347" s="76">
        <v>2.4199999999999999E-2</v>
      </c>
    </row>
    <row r="3348" spans="3:13" x14ac:dyDescent="0.15">
      <c r="C3348" s="76">
        <v>532</v>
      </c>
      <c r="D3348" s="76">
        <v>2.2100000000000002E-3</v>
      </c>
      <c r="E3348" s="76">
        <v>4.4900000000000001E-3</v>
      </c>
      <c r="F3348" s="76">
        <v>6.7400000000000003E-3</v>
      </c>
      <c r="G3348" s="76">
        <v>9.0399999999999994E-3</v>
      </c>
      <c r="H3348" s="76">
        <v>1.12E-2</v>
      </c>
      <c r="I3348" s="76">
        <v>1.35E-2</v>
      </c>
      <c r="J3348" s="76">
        <v>1.5699999999999999E-2</v>
      </c>
      <c r="K3348" s="76">
        <v>1.78E-2</v>
      </c>
      <c r="L3348" s="76">
        <v>2.0199999999999999E-2</v>
      </c>
      <c r="M3348" s="76">
        <v>2.2200000000000001E-2</v>
      </c>
    </row>
    <row r="3349" spans="3:13" x14ac:dyDescent="0.15">
      <c r="C3349" s="76">
        <v>534</v>
      </c>
      <c r="D3349" s="76">
        <v>2.0200000000000001E-3</v>
      </c>
      <c r="E3349" s="76">
        <v>4.1000000000000003E-3</v>
      </c>
      <c r="F3349" s="76">
        <v>6.1700000000000001E-3</v>
      </c>
      <c r="G3349" s="76">
        <v>8.2400000000000008E-3</v>
      </c>
      <c r="H3349" s="76">
        <v>1.03E-2</v>
      </c>
      <c r="I3349" s="76">
        <v>1.23E-2</v>
      </c>
      <c r="J3349" s="76">
        <v>1.44E-2</v>
      </c>
      <c r="K3349" s="76">
        <v>1.6299999999999999E-2</v>
      </c>
      <c r="L3349" s="76">
        <v>1.84E-2</v>
      </c>
      <c r="M3349" s="76">
        <v>2.0199999999999999E-2</v>
      </c>
    </row>
    <row r="3350" spans="3:13" x14ac:dyDescent="0.15">
      <c r="C3350" s="76">
        <v>536</v>
      </c>
      <c r="D3350" s="76">
        <v>1.81E-3</v>
      </c>
      <c r="E3350" s="76">
        <v>3.6900000000000001E-3</v>
      </c>
      <c r="F3350" s="76">
        <v>5.5500000000000002E-3</v>
      </c>
      <c r="G3350" s="76">
        <v>7.3699999999999998E-3</v>
      </c>
      <c r="H3350" s="76">
        <v>9.1999999999999998E-3</v>
      </c>
      <c r="I3350" s="76">
        <v>1.11E-2</v>
      </c>
      <c r="J3350" s="76">
        <v>1.29E-2</v>
      </c>
      <c r="K3350" s="76">
        <v>1.46E-2</v>
      </c>
      <c r="L3350" s="76">
        <v>1.6500000000000001E-2</v>
      </c>
      <c r="M3350" s="76">
        <v>1.8200000000000001E-2</v>
      </c>
    </row>
    <row r="3351" spans="3:13" x14ac:dyDescent="0.15">
      <c r="C3351" s="76">
        <v>538</v>
      </c>
      <c r="D3351" s="76">
        <v>1.65E-3</v>
      </c>
      <c r="E3351" s="76">
        <v>3.3500000000000001E-3</v>
      </c>
      <c r="F3351" s="76">
        <v>5.0499999999999998E-3</v>
      </c>
      <c r="G3351" s="76">
        <v>6.7400000000000003E-3</v>
      </c>
      <c r="H3351" s="76">
        <v>8.3700000000000007E-3</v>
      </c>
      <c r="I3351" s="76">
        <v>1.01E-2</v>
      </c>
      <c r="J3351" s="76">
        <v>1.18E-2</v>
      </c>
      <c r="K3351" s="76">
        <v>1.3299999999999999E-2</v>
      </c>
      <c r="L3351" s="76">
        <v>1.4999999999999999E-2</v>
      </c>
      <c r="M3351" s="76">
        <v>1.6500000000000001E-2</v>
      </c>
    </row>
    <row r="3352" spans="3:13" x14ac:dyDescent="0.15">
      <c r="C3352" s="76">
        <v>540</v>
      </c>
      <c r="D3352" s="76">
        <v>1.49E-3</v>
      </c>
      <c r="E3352" s="76">
        <v>3.0300000000000001E-3</v>
      </c>
      <c r="F3352" s="76">
        <v>4.5900000000000003E-3</v>
      </c>
      <c r="G3352" s="76">
        <v>6.13E-3</v>
      </c>
      <c r="H3352" s="76">
        <v>7.6299999999999996E-3</v>
      </c>
      <c r="I3352" s="76">
        <v>9.1500000000000001E-3</v>
      </c>
      <c r="J3352" s="76">
        <v>1.0699999999999999E-2</v>
      </c>
      <c r="K3352" s="76">
        <v>1.21E-2</v>
      </c>
      <c r="L3352" s="76">
        <v>1.37E-2</v>
      </c>
      <c r="M3352" s="76">
        <v>1.4999999999999999E-2</v>
      </c>
    </row>
    <row r="3353" spans="3:13" x14ac:dyDescent="0.15">
      <c r="C3353" s="76">
        <v>542</v>
      </c>
      <c r="D3353" s="76">
        <v>1.3600000000000001E-3</v>
      </c>
      <c r="E3353" s="76">
        <v>2.7699999999999999E-3</v>
      </c>
      <c r="F3353" s="76">
        <v>4.1799999999999997E-3</v>
      </c>
      <c r="G3353" s="76">
        <v>5.5700000000000003E-3</v>
      </c>
      <c r="H3353" s="76">
        <v>6.9300000000000004E-3</v>
      </c>
      <c r="I3353" s="76">
        <v>8.3000000000000001E-3</v>
      </c>
      <c r="J3353" s="76">
        <v>9.7000000000000003E-3</v>
      </c>
      <c r="K3353" s="76">
        <v>1.0999999999999999E-2</v>
      </c>
      <c r="L3353" s="76">
        <v>1.24E-2</v>
      </c>
      <c r="M3353" s="76">
        <v>1.3599999999999999E-2</v>
      </c>
    </row>
    <row r="3354" spans="3:13" x14ac:dyDescent="0.15">
      <c r="C3354" s="76">
        <v>544</v>
      </c>
      <c r="D3354" s="76">
        <v>1.23E-3</v>
      </c>
      <c r="E3354" s="76">
        <v>2.5300000000000001E-3</v>
      </c>
      <c r="F3354" s="76">
        <v>3.8E-3</v>
      </c>
      <c r="G3354" s="76">
        <v>5.0299999999999997E-3</v>
      </c>
      <c r="H3354" s="76">
        <v>6.3E-3</v>
      </c>
      <c r="I3354" s="76">
        <v>7.5799999999999999E-3</v>
      </c>
      <c r="J3354" s="76">
        <v>8.9499999999999996E-3</v>
      </c>
      <c r="K3354" s="76">
        <v>9.9900000000000006E-3</v>
      </c>
      <c r="L3354" s="76">
        <v>1.1299999999999999E-2</v>
      </c>
      <c r="M3354" s="76">
        <v>1.2500000000000001E-2</v>
      </c>
    </row>
    <row r="3355" spans="3:13" x14ac:dyDescent="0.15">
      <c r="C3355" s="76">
        <v>546</v>
      </c>
      <c r="D3355" s="76">
        <v>1.1100000000000001E-3</v>
      </c>
      <c r="E3355" s="76">
        <v>2.2699999999999999E-3</v>
      </c>
      <c r="F3355" s="76">
        <v>3.4499999999999999E-3</v>
      </c>
      <c r="G3355" s="76">
        <v>4.5700000000000003E-3</v>
      </c>
      <c r="H3355" s="76">
        <v>5.7000000000000002E-3</v>
      </c>
      <c r="I3355" s="76">
        <v>6.8100000000000001E-3</v>
      </c>
      <c r="J3355" s="76">
        <v>7.9900000000000006E-3</v>
      </c>
      <c r="K3355" s="76">
        <v>9.0799999999999995E-3</v>
      </c>
      <c r="L3355" s="76">
        <v>1.0200000000000001E-2</v>
      </c>
      <c r="M3355" s="76">
        <v>1.1299999999999999E-2</v>
      </c>
    </row>
    <row r="3356" spans="3:13" x14ac:dyDescent="0.15">
      <c r="C3356" s="76">
        <v>548</v>
      </c>
      <c r="D3356" s="76">
        <v>1.01E-3</v>
      </c>
      <c r="E3356" s="76">
        <v>2.0600000000000002E-3</v>
      </c>
      <c r="F3356" s="76">
        <v>3.0999999999999999E-3</v>
      </c>
      <c r="G3356" s="76">
        <v>4.1099999999999999E-3</v>
      </c>
      <c r="H3356" s="76">
        <v>5.1500000000000001E-3</v>
      </c>
      <c r="I3356" s="76">
        <v>6.13E-3</v>
      </c>
      <c r="J3356" s="76">
        <v>7.2399999999999999E-3</v>
      </c>
      <c r="K3356" s="76">
        <v>8.1899999999999994E-3</v>
      </c>
      <c r="L3356" s="76">
        <v>9.2499999999999995E-3</v>
      </c>
      <c r="M3356" s="76">
        <v>1.0200000000000001E-2</v>
      </c>
    </row>
    <row r="3357" spans="3:13" x14ac:dyDescent="0.15">
      <c r="C3357" s="76">
        <v>550</v>
      </c>
      <c r="D3357" s="76">
        <v>9.1500000000000001E-4</v>
      </c>
      <c r="E3357" s="76">
        <v>1.8699999999999999E-3</v>
      </c>
      <c r="F3357" s="76">
        <v>2.8300000000000001E-3</v>
      </c>
      <c r="G3357" s="76">
        <v>3.7399999999999998E-3</v>
      </c>
      <c r="H3357" s="76">
        <v>4.7000000000000002E-3</v>
      </c>
      <c r="I3357" s="76">
        <v>5.6100000000000004E-3</v>
      </c>
      <c r="J3357" s="76">
        <v>6.5799999999999999E-3</v>
      </c>
      <c r="K3357" s="76">
        <v>7.4599999999999996E-3</v>
      </c>
      <c r="L3357" s="76">
        <v>8.43E-3</v>
      </c>
      <c r="M3357" s="76">
        <v>9.2800000000000001E-3</v>
      </c>
    </row>
    <row r="3358" spans="3:13" x14ac:dyDescent="0.15">
      <c r="C3358" s="76">
        <v>552</v>
      </c>
      <c r="D3358" s="76">
        <v>8.3500000000000002E-4</v>
      </c>
      <c r="E3358" s="76">
        <v>1.6999999999999999E-3</v>
      </c>
      <c r="F3358" s="76">
        <v>2.5699999999999998E-3</v>
      </c>
      <c r="G3358" s="76">
        <v>3.3800000000000002E-3</v>
      </c>
      <c r="H3358" s="76">
        <v>4.2900000000000004E-3</v>
      </c>
      <c r="I3358" s="76">
        <v>5.1000000000000004E-3</v>
      </c>
      <c r="J3358" s="76">
        <v>6.0000000000000001E-3</v>
      </c>
      <c r="K3358" s="76">
        <v>6.7799999999999996E-3</v>
      </c>
      <c r="L3358" s="76">
        <v>7.6400000000000001E-3</v>
      </c>
      <c r="M3358" s="76">
        <v>8.4200000000000004E-3</v>
      </c>
    </row>
    <row r="3359" spans="3:13" x14ac:dyDescent="0.15">
      <c r="C3359" s="76">
        <v>554</v>
      </c>
      <c r="D3359" s="76">
        <v>7.6000000000000004E-4</v>
      </c>
      <c r="E3359" s="76">
        <v>1.56E-3</v>
      </c>
      <c r="F3359" s="76">
        <v>2.3500000000000001E-3</v>
      </c>
      <c r="G3359" s="76">
        <v>3.0999999999999999E-3</v>
      </c>
      <c r="H3359" s="76">
        <v>3.9100000000000003E-3</v>
      </c>
      <c r="I3359" s="76">
        <v>4.6600000000000001E-3</v>
      </c>
      <c r="J3359" s="76">
        <v>5.5100000000000001E-3</v>
      </c>
      <c r="K3359" s="76">
        <v>6.2199999999999998E-3</v>
      </c>
      <c r="L3359" s="76">
        <v>6.9699999999999996E-3</v>
      </c>
      <c r="M3359" s="76">
        <v>7.7099999999999998E-3</v>
      </c>
    </row>
    <row r="3360" spans="3:13" x14ac:dyDescent="0.15">
      <c r="C3360" s="76">
        <v>556</v>
      </c>
      <c r="D3360" s="76">
        <v>6.9099999999999999E-4</v>
      </c>
      <c r="E3360" s="76">
        <v>1.42E-3</v>
      </c>
      <c r="F3360" s="76">
        <v>2.14E-3</v>
      </c>
      <c r="G3360" s="76">
        <v>2.8400000000000001E-3</v>
      </c>
      <c r="H3360" s="76">
        <v>3.5400000000000002E-3</v>
      </c>
      <c r="I3360" s="76">
        <v>4.2100000000000002E-3</v>
      </c>
      <c r="J3360" s="76">
        <v>4.9899999999999996E-3</v>
      </c>
      <c r="K3360" s="76">
        <v>5.6800000000000002E-3</v>
      </c>
      <c r="L3360" s="76">
        <v>6.3499999999999997E-3</v>
      </c>
      <c r="M3360" s="76">
        <v>7.0000000000000001E-3</v>
      </c>
    </row>
    <row r="3361" spans="3:13" x14ac:dyDescent="0.15">
      <c r="C3361" s="76">
        <v>558</v>
      </c>
      <c r="D3361" s="76">
        <v>6.2500000000000001E-4</v>
      </c>
      <c r="E3361" s="76">
        <v>1.2800000000000001E-3</v>
      </c>
      <c r="F3361" s="76">
        <v>1.91E-3</v>
      </c>
      <c r="G3361" s="76">
        <v>2.5500000000000002E-3</v>
      </c>
      <c r="H3361" s="76">
        <v>3.1700000000000001E-3</v>
      </c>
      <c r="I3361" s="76">
        <v>3.82E-3</v>
      </c>
      <c r="J3361" s="76">
        <v>4.5300000000000002E-3</v>
      </c>
      <c r="K3361" s="76">
        <v>5.1799999999999997E-3</v>
      </c>
      <c r="L3361" s="76">
        <v>5.77E-3</v>
      </c>
      <c r="M3361" s="76">
        <v>6.3499999999999997E-3</v>
      </c>
    </row>
    <row r="3362" spans="3:13" x14ac:dyDescent="0.15">
      <c r="C3362" s="76">
        <v>560</v>
      </c>
      <c r="D3362" s="76">
        <v>5.7499999999999999E-4</v>
      </c>
      <c r="E3362" s="76">
        <v>1.1800000000000001E-3</v>
      </c>
      <c r="F3362" s="76">
        <v>1.7799999999999999E-3</v>
      </c>
      <c r="G3362" s="76">
        <v>2.33E-3</v>
      </c>
      <c r="H3362" s="76">
        <v>2.9299999999999999E-3</v>
      </c>
      <c r="I3362" s="76">
        <v>3.5300000000000002E-3</v>
      </c>
      <c r="J3362" s="76">
        <v>4.1900000000000001E-3</v>
      </c>
      <c r="K3362" s="76">
        <v>4.7200000000000002E-3</v>
      </c>
      <c r="L3362" s="76">
        <v>5.2399999999999999E-3</v>
      </c>
      <c r="M3362" s="76">
        <v>5.8300000000000001E-3</v>
      </c>
    </row>
    <row r="3363" spans="3:13" x14ac:dyDescent="0.15">
      <c r="C3363" s="76">
        <v>562</v>
      </c>
      <c r="D3363" s="76">
        <v>5.2499999999999997E-4</v>
      </c>
      <c r="E3363" s="76">
        <v>1.08E-3</v>
      </c>
      <c r="F3363" s="76">
        <v>1.64E-3</v>
      </c>
      <c r="G3363" s="76">
        <v>2.1299999999999999E-3</v>
      </c>
      <c r="H3363" s="76">
        <v>2.6800000000000001E-3</v>
      </c>
      <c r="I3363" s="76">
        <v>3.2000000000000002E-3</v>
      </c>
      <c r="J3363" s="76">
        <v>3.79E-3</v>
      </c>
      <c r="K3363" s="76">
        <v>4.3E-3</v>
      </c>
      <c r="L3363" s="76">
        <v>4.7699999999999999E-3</v>
      </c>
      <c r="M3363" s="76">
        <v>5.3400000000000001E-3</v>
      </c>
    </row>
    <row r="3364" spans="3:13" x14ac:dyDescent="0.15">
      <c r="C3364" s="76">
        <v>564</v>
      </c>
      <c r="D3364" s="76">
        <v>4.8299999999999998E-4</v>
      </c>
      <c r="E3364" s="76">
        <v>9.9700000000000006E-4</v>
      </c>
      <c r="F3364" s="76">
        <v>1.48E-3</v>
      </c>
      <c r="G3364" s="76">
        <v>1.9599999999999999E-3</v>
      </c>
      <c r="H3364" s="76">
        <v>2.47E-3</v>
      </c>
      <c r="I3364" s="76">
        <v>2.97E-3</v>
      </c>
      <c r="J3364" s="76">
        <v>3.46E-3</v>
      </c>
      <c r="K3364" s="76">
        <v>3.9699999999999996E-3</v>
      </c>
      <c r="L3364" s="76">
        <v>4.3899999999999998E-3</v>
      </c>
      <c r="M3364" s="76">
        <v>4.9399999999999999E-3</v>
      </c>
    </row>
    <row r="3365" spans="3:13" x14ac:dyDescent="0.15">
      <c r="C3365" s="76">
        <v>566</v>
      </c>
      <c r="D3365" s="76">
        <v>4.44E-4</v>
      </c>
      <c r="E3365" s="76">
        <v>9.19E-4</v>
      </c>
      <c r="F3365" s="76">
        <v>1.3699999999999999E-3</v>
      </c>
      <c r="G3365" s="76">
        <v>1.7899999999999999E-3</v>
      </c>
      <c r="H3365" s="76">
        <v>2.2699999999999999E-3</v>
      </c>
      <c r="I3365" s="76">
        <v>2.7499999999999998E-3</v>
      </c>
      <c r="J3365" s="76">
        <v>3.2100000000000002E-3</v>
      </c>
      <c r="K3365" s="76">
        <v>3.65E-3</v>
      </c>
      <c r="L3365" s="76">
        <v>4.0499999999999998E-3</v>
      </c>
      <c r="M3365" s="76">
        <v>4.5199999999999997E-3</v>
      </c>
    </row>
    <row r="3366" spans="3:13" x14ac:dyDescent="0.15">
      <c r="C3366" s="76">
        <v>568</v>
      </c>
      <c r="D3366" s="76">
        <v>4.0400000000000001E-4</v>
      </c>
      <c r="E3366" s="76">
        <v>8.43E-4</v>
      </c>
      <c r="F3366" s="76">
        <v>1.25E-3</v>
      </c>
      <c r="G3366" s="76">
        <v>1.66E-3</v>
      </c>
      <c r="H3366" s="76">
        <v>2.0799999999999998E-3</v>
      </c>
      <c r="I3366" s="76">
        <v>2.5400000000000002E-3</v>
      </c>
      <c r="J3366" s="76">
        <v>2.9499999999999999E-3</v>
      </c>
      <c r="K3366" s="76">
        <v>3.3800000000000002E-3</v>
      </c>
      <c r="L3366" s="76">
        <v>3.6800000000000001E-3</v>
      </c>
      <c r="M3366" s="76">
        <v>4.1599999999999996E-3</v>
      </c>
    </row>
    <row r="3367" spans="3:13" x14ac:dyDescent="0.15">
      <c r="C3367" s="76">
        <v>570</v>
      </c>
      <c r="D3367" s="76">
        <v>3.77E-4</v>
      </c>
      <c r="E3367" s="76">
        <v>7.7700000000000002E-4</v>
      </c>
      <c r="F3367" s="76">
        <v>1.17E-3</v>
      </c>
      <c r="G3367" s="76">
        <v>1.5299999999999999E-3</v>
      </c>
      <c r="H3367" s="76">
        <v>1.9400000000000001E-3</v>
      </c>
      <c r="I3367" s="76">
        <v>2.33E-3</v>
      </c>
      <c r="J3367" s="76">
        <v>2.7399999999999998E-3</v>
      </c>
      <c r="K3367" s="76">
        <v>3.13E-3</v>
      </c>
      <c r="L3367" s="76">
        <v>3.4199999999999999E-3</v>
      </c>
      <c r="M3367" s="76">
        <v>3.8400000000000001E-3</v>
      </c>
    </row>
    <row r="3368" spans="3:13" x14ac:dyDescent="0.15">
      <c r="C3368" s="76">
        <v>572</v>
      </c>
      <c r="D3368" s="76">
        <v>3.5300000000000002E-4</v>
      </c>
      <c r="E3368" s="76">
        <v>7.2999999999999996E-4</v>
      </c>
      <c r="F3368" s="76">
        <v>1.08E-3</v>
      </c>
      <c r="G3368" s="76">
        <v>1.4400000000000001E-3</v>
      </c>
      <c r="H3368" s="76">
        <v>1.83E-3</v>
      </c>
      <c r="I3368" s="76">
        <v>2.1900000000000001E-3</v>
      </c>
      <c r="J3368" s="76">
        <v>2.5300000000000001E-3</v>
      </c>
      <c r="K3368" s="76">
        <v>2.9199999999999999E-3</v>
      </c>
      <c r="L3368" s="76">
        <v>3.16E-3</v>
      </c>
      <c r="M3368" s="76">
        <v>3.5999999999999999E-3</v>
      </c>
    </row>
    <row r="3369" spans="3:13" x14ac:dyDescent="0.15">
      <c r="C3369" s="76">
        <v>574</v>
      </c>
      <c r="D3369" s="76">
        <v>3.2899999999999997E-4</v>
      </c>
      <c r="E3369" s="76">
        <v>6.7500000000000004E-4</v>
      </c>
      <c r="F3369" s="76">
        <v>1.0200000000000001E-3</v>
      </c>
      <c r="G3369" s="76">
        <v>1.32E-3</v>
      </c>
      <c r="H3369" s="76">
        <v>1.6900000000000001E-3</v>
      </c>
      <c r="I3369" s="76">
        <v>2.0300000000000001E-3</v>
      </c>
      <c r="J3369" s="76">
        <v>2.32E-3</v>
      </c>
      <c r="K3369" s="76">
        <v>2.7000000000000001E-3</v>
      </c>
      <c r="L3369" s="76">
        <v>2.9299999999999999E-3</v>
      </c>
      <c r="M3369" s="76">
        <v>3.3400000000000001E-3</v>
      </c>
    </row>
    <row r="3370" spans="3:13" x14ac:dyDescent="0.15">
      <c r="C3370" s="76">
        <v>576</v>
      </c>
      <c r="D3370" s="76">
        <v>3.0800000000000001E-4</v>
      </c>
      <c r="E3370" s="76">
        <v>6.1700000000000004E-4</v>
      </c>
      <c r="F3370" s="76">
        <v>9.6400000000000001E-4</v>
      </c>
      <c r="G3370" s="76">
        <v>1.2199999999999999E-3</v>
      </c>
      <c r="H3370" s="76">
        <v>1.5499999999999999E-3</v>
      </c>
      <c r="I3370" s="76">
        <v>1.8699999999999999E-3</v>
      </c>
      <c r="J3370" s="76">
        <v>2.16E-3</v>
      </c>
      <c r="K3370" s="76">
        <v>2.49E-3</v>
      </c>
      <c r="L3370" s="76">
        <v>2.6700000000000001E-3</v>
      </c>
      <c r="M3370" s="76">
        <v>3.0799999999999998E-3</v>
      </c>
    </row>
    <row r="3371" spans="3:13" x14ac:dyDescent="0.15">
      <c r="C3371" s="76">
        <v>578</v>
      </c>
      <c r="D3371" s="76">
        <v>2.7999999999999998E-4</v>
      </c>
      <c r="E3371" s="76">
        <v>5.7200000000000003E-4</v>
      </c>
      <c r="F3371" s="76">
        <v>8.7399999999999999E-4</v>
      </c>
      <c r="G3371" s="76">
        <v>1.1299999999999999E-3</v>
      </c>
      <c r="H3371" s="76">
        <v>1.42E-3</v>
      </c>
      <c r="I3371" s="76">
        <v>1.7099999999999999E-3</v>
      </c>
      <c r="J3371" s="76">
        <v>1.9400000000000001E-3</v>
      </c>
      <c r="K3371" s="76">
        <v>2.3400000000000001E-3</v>
      </c>
      <c r="L3371" s="76">
        <v>2.4399999999999999E-3</v>
      </c>
      <c r="M3371" s="76">
        <v>2.8999999999999998E-3</v>
      </c>
    </row>
    <row r="3372" spans="3:13" x14ac:dyDescent="0.15">
      <c r="C3372" s="76">
        <v>580</v>
      </c>
      <c r="D3372" s="76">
        <v>2.61E-4</v>
      </c>
      <c r="E3372" s="76">
        <v>5.2400000000000005E-4</v>
      </c>
      <c r="F3372" s="76">
        <v>7.9500000000000003E-4</v>
      </c>
      <c r="G3372" s="76">
        <v>1.0499999999999999E-3</v>
      </c>
      <c r="H3372" s="76">
        <v>1.2999999999999999E-3</v>
      </c>
      <c r="I3372" s="76">
        <v>1.5900000000000001E-3</v>
      </c>
      <c r="J3372" s="76">
        <v>1.82E-3</v>
      </c>
      <c r="K3372" s="76">
        <v>2.0699999999999998E-3</v>
      </c>
      <c r="L3372" s="76">
        <v>2.2799999999999999E-3</v>
      </c>
      <c r="M3372" s="76">
        <v>2.5799999999999998E-3</v>
      </c>
    </row>
    <row r="3373" spans="3:13" x14ac:dyDescent="0.15">
      <c r="C3373" s="76">
        <v>582</v>
      </c>
      <c r="D3373" s="76">
        <v>2.3900000000000001E-4</v>
      </c>
      <c r="E3373" s="76">
        <v>4.8200000000000001E-4</v>
      </c>
      <c r="F3373" s="76">
        <v>7.3499999999999998E-4</v>
      </c>
      <c r="G3373" s="76">
        <v>9.5500000000000001E-4</v>
      </c>
      <c r="H3373" s="76">
        <v>1.1800000000000001E-3</v>
      </c>
      <c r="I3373" s="76">
        <v>1.48E-3</v>
      </c>
      <c r="J3373" s="76">
        <v>1.6800000000000001E-3</v>
      </c>
      <c r="K3373" s="76">
        <v>1.9400000000000001E-3</v>
      </c>
      <c r="L3373" s="76">
        <v>2.0799999999999998E-3</v>
      </c>
      <c r="M3373" s="76">
        <v>2.4099999999999998E-3</v>
      </c>
    </row>
    <row r="3374" spans="3:13" x14ac:dyDescent="0.15">
      <c r="C3374" s="76">
        <v>584</v>
      </c>
      <c r="D3374" s="76">
        <v>2.2100000000000001E-4</v>
      </c>
      <c r="E3374" s="76">
        <v>4.4200000000000001E-4</v>
      </c>
      <c r="F3374" s="76">
        <v>6.8099999999999996E-4</v>
      </c>
      <c r="G3374" s="76">
        <v>9.1100000000000003E-4</v>
      </c>
      <c r="H3374" s="76">
        <v>1.1000000000000001E-3</v>
      </c>
      <c r="I3374" s="76">
        <v>1.3699999999999999E-3</v>
      </c>
      <c r="J3374" s="76">
        <v>1.5200000000000001E-3</v>
      </c>
      <c r="K3374" s="76">
        <v>1.72E-3</v>
      </c>
      <c r="L3374" s="76">
        <v>1.8799999999999999E-3</v>
      </c>
      <c r="M3374" s="76">
        <v>2.1800000000000001E-3</v>
      </c>
    </row>
    <row r="3375" spans="3:13" x14ac:dyDescent="0.15">
      <c r="C3375" s="76">
        <v>586</v>
      </c>
      <c r="D3375" s="76">
        <v>2.0799999999999999E-4</v>
      </c>
      <c r="E3375" s="76">
        <v>4.0299999999999998E-4</v>
      </c>
      <c r="F3375" s="76">
        <v>6.4000000000000005E-4</v>
      </c>
      <c r="G3375" s="76">
        <v>8.5599999999999999E-4</v>
      </c>
      <c r="H3375" s="76">
        <v>9.9099999999999991E-4</v>
      </c>
      <c r="I3375" s="76">
        <v>1.2600000000000001E-3</v>
      </c>
      <c r="J3375" s="76">
        <v>1.41E-3</v>
      </c>
      <c r="K3375" s="76">
        <v>1.58E-3</v>
      </c>
      <c r="L3375" s="76">
        <v>1.7700000000000001E-3</v>
      </c>
      <c r="M3375" s="76">
        <v>2.0200000000000001E-3</v>
      </c>
    </row>
    <row r="3376" spans="3:13" x14ac:dyDescent="0.15">
      <c r="C3376" s="76">
        <v>588</v>
      </c>
      <c r="D3376" s="76">
        <v>1.8699999999999999E-4</v>
      </c>
      <c r="E3376" s="76">
        <v>3.7399999999999998E-4</v>
      </c>
      <c r="F3376" s="76">
        <v>5.6499999999999996E-4</v>
      </c>
      <c r="G3376" s="76">
        <v>7.4700000000000005E-4</v>
      </c>
      <c r="H3376" s="76">
        <v>9.1E-4</v>
      </c>
      <c r="I3376" s="76">
        <v>1.14E-3</v>
      </c>
      <c r="J3376" s="76">
        <v>1.2800000000000001E-3</v>
      </c>
      <c r="K3376" s="76">
        <v>1.4300000000000001E-3</v>
      </c>
      <c r="L3376" s="76">
        <v>1.7099999999999999E-3</v>
      </c>
      <c r="M3376" s="76">
        <v>1.8600000000000001E-3</v>
      </c>
    </row>
    <row r="3377" spans="3:13" x14ac:dyDescent="0.15">
      <c r="C3377" s="76">
        <v>590</v>
      </c>
      <c r="D3377" s="76">
        <v>1.73E-4</v>
      </c>
      <c r="E3377" s="76">
        <v>3.4400000000000001E-4</v>
      </c>
      <c r="F3377" s="76">
        <v>5.3899999999999998E-4</v>
      </c>
      <c r="G3377" s="76">
        <v>7.0200000000000004E-4</v>
      </c>
      <c r="H3377" s="76">
        <v>8.3100000000000003E-4</v>
      </c>
      <c r="I3377" s="76">
        <v>1.07E-3</v>
      </c>
      <c r="J3377" s="76">
        <v>1.1199999999999999E-3</v>
      </c>
      <c r="K3377" s="76">
        <v>1.3600000000000001E-3</v>
      </c>
      <c r="L3377" s="76">
        <v>1.49E-3</v>
      </c>
      <c r="M3377" s="76">
        <v>1.66E-3</v>
      </c>
    </row>
    <row r="3378" spans="3:13" x14ac:dyDescent="0.15">
      <c r="C3378" s="76">
        <v>592</v>
      </c>
      <c r="D3378" s="76">
        <v>1.65E-4</v>
      </c>
      <c r="E3378" s="76">
        <v>3.0299999999999999E-4</v>
      </c>
      <c r="F3378" s="76">
        <v>4.8500000000000003E-4</v>
      </c>
      <c r="G3378" s="76">
        <v>6.4400000000000004E-4</v>
      </c>
      <c r="H3378" s="76">
        <v>7.4100000000000001E-4</v>
      </c>
      <c r="I3378" s="76">
        <v>9.8499999999999998E-4</v>
      </c>
      <c r="J3378" s="76">
        <v>1.07E-3</v>
      </c>
      <c r="K3378" s="76">
        <v>1.1999999999999999E-3</v>
      </c>
      <c r="L3378" s="76">
        <v>1.3699999999999999E-3</v>
      </c>
      <c r="M3378" s="76">
        <v>1.5399999999999999E-3</v>
      </c>
    </row>
    <row r="3379" spans="3:13" x14ac:dyDescent="0.15">
      <c r="C3379" s="76">
        <v>594</v>
      </c>
      <c r="D3379" s="76">
        <v>1.4799999999999999E-4</v>
      </c>
      <c r="E3379" s="76">
        <v>2.7599999999999999E-4</v>
      </c>
      <c r="F3379" s="76">
        <v>4.4000000000000002E-4</v>
      </c>
      <c r="G3379" s="76">
        <v>6.1200000000000002E-4</v>
      </c>
      <c r="H3379" s="76">
        <v>6.7100000000000005E-4</v>
      </c>
      <c r="I3379" s="76">
        <v>9.2400000000000002E-4</v>
      </c>
      <c r="J3379" s="76">
        <v>9.7799999999999992E-4</v>
      </c>
      <c r="K3379" s="76">
        <v>1.06E-3</v>
      </c>
      <c r="L3379" s="76">
        <v>1.23E-3</v>
      </c>
      <c r="M3379" s="76">
        <v>1.3799999999999999E-3</v>
      </c>
    </row>
    <row r="3380" spans="3:13" x14ac:dyDescent="0.15">
      <c r="C3380" s="76">
        <v>596</v>
      </c>
      <c r="D3380" s="76">
        <v>1.3799999999999999E-4</v>
      </c>
      <c r="E3380" s="76">
        <v>2.6499999999999999E-4</v>
      </c>
      <c r="F3380" s="76">
        <v>4.1100000000000002E-4</v>
      </c>
      <c r="G3380" s="76">
        <v>5.8500000000000002E-4</v>
      </c>
      <c r="H3380" s="76">
        <v>6.2399999999999999E-4</v>
      </c>
      <c r="I3380" s="76">
        <v>8.4199999999999998E-4</v>
      </c>
      <c r="J3380" s="76">
        <v>9.1E-4</v>
      </c>
      <c r="K3380" s="76">
        <v>1.0399999999999999E-3</v>
      </c>
      <c r="L3380" s="76">
        <v>1.1299999999999999E-3</v>
      </c>
      <c r="M3380" s="76">
        <v>1.23E-3</v>
      </c>
    </row>
    <row r="3381" spans="3:13" x14ac:dyDescent="0.15">
      <c r="C3381" s="76">
        <v>598</v>
      </c>
      <c r="D3381" s="76">
        <v>1.3100000000000001E-4</v>
      </c>
      <c r="E3381" s="76">
        <v>2.4399999999999999E-4</v>
      </c>
      <c r="F3381" s="76">
        <v>3.8200000000000002E-4</v>
      </c>
      <c r="G3381" s="76">
        <v>5.0100000000000003E-4</v>
      </c>
      <c r="H3381" s="76">
        <v>5.8399999999999999E-4</v>
      </c>
      <c r="I3381" s="76">
        <v>7.36E-4</v>
      </c>
      <c r="J3381" s="76">
        <v>8.0199999999999998E-4</v>
      </c>
      <c r="K3381" s="76">
        <v>9.7000000000000005E-4</v>
      </c>
      <c r="L3381" s="76">
        <v>1.07E-3</v>
      </c>
      <c r="M3381" s="76">
        <v>1.16E-3</v>
      </c>
    </row>
    <row r="3382" spans="3:13" x14ac:dyDescent="0.15">
      <c r="C3382" s="76">
        <v>600</v>
      </c>
      <c r="D3382" s="76">
        <v>1.18E-4</v>
      </c>
      <c r="E3382" s="76">
        <v>2.3000000000000001E-4</v>
      </c>
      <c r="F3382" s="76">
        <v>3.3100000000000002E-4</v>
      </c>
      <c r="G3382" s="76">
        <v>4.3300000000000001E-4</v>
      </c>
      <c r="H3382" s="76">
        <v>5.1800000000000001E-4</v>
      </c>
      <c r="I3382" s="76">
        <v>6.1499999999999999E-4</v>
      </c>
      <c r="J3382" s="76">
        <v>7.7200000000000001E-4</v>
      </c>
      <c r="K3382" s="76">
        <v>8.7500000000000002E-4</v>
      </c>
      <c r="L3382" s="76">
        <v>1.0200000000000001E-3</v>
      </c>
      <c r="M3382" s="76">
        <v>1.0200000000000001E-3</v>
      </c>
    </row>
    <row r="3383" spans="3:13" x14ac:dyDescent="0.15">
      <c r="C3383" s="76">
        <v>602</v>
      </c>
      <c r="D3383" s="76">
        <v>1.13E-4</v>
      </c>
      <c r="E3383" s="76">
        <v>2.13E-4</v>
      </c>
      <c r="F3383" s="76">
        <v>3.1399999999999999E-4</v>
      </c>
      <c r="G3383" s="76">
        <v>4.2400000000000001E-4</v>
      </c>
      <c r="H3383" s="76">
        <v>4.5899999999999999E-4</v>
      </c>
      <c r="I3383" s="76">
        <v>6.1300000000000005E-4</v>
      </c>
      <c r="J3383" s="76">
        <v>7.1500000000000003E-4</v>
      </c>
      <c r="K3383" s="76">
        <v>8.0900000000000004E-4</v>
      </c>
      <c r="L3383" s="76">
        <v>9.5E-4</v>
      </c>
      <c r="M3383" s="76">
        <v>9.7799999999999992E-4</v>
      </c>
    </row>
    <row r="3384" spans="3:13" x14ac:dyDescent="0.15">
      <c r="C3384" s="76">
        <v>604</v>
      </c>
      <c r="D3384" s="76">
        <v>1.06E-4</v>
      </c>
      <c r="E3384" s="76">
        <v>1.9900000000000001E-4</v>
      </c>
      <c r="F3384" s="76">
        <v>2.9599999999999998E-4</v>
      </c>
      <c r="G3384" s="76">
        <v>3.7599999999999998E-4</v>
      </c>
      <c r="H3384" s="76">
        <v>4.5800000000000002E-4</v>
      </c>
      <c r="I3384" s="76">
        <v>5.4799999999999998E-4</v>
      </c>
      <c r="J3384" s="76">
        <v>6.87E-4</v>
      </c>
      <c r="K3384" s="76">
        <v>7.6300000000000001E-4</v>
      </c>
      <c r="L3384" s="76">
        <v>9.2100000000000005E-4</v>
      </c>
      <c r="M3384" s="76">
        <v>8.2799999999999996E-4</v>
      </c>
    </row>
    <row r="3385" spans="3:13" x14ac:dyDescent="0.15">
      <c r="C3385" s="76">
        <v>606</v>
      </c>
      <c r="D3385" s="76">
        <v>9.0500000000000004E-5</v>
      </c>
      <c r="E3385" s="76">
        <v>1.7799999999999999E-4</v>
      </c>
      <c r="F3385" s="76">
        <v>2.6699999999999998E-4</v>
      </c>
      <c r="G3385" s="76">
        <v>3.4200000000000002E-4</v>
      </c>
      <c r="H3385" s="76">
        <v>4.26E-4</v>
      </c>
      <c r="I3385" s="76">
        <v>4.9799999999999996E-4</v>
      </c>
      <c r="J3385" s="76">
        <v>6.8900000000000005E-4</v>
      </c>
      <c r="K3385" s="76">
        <v>7.36E-4</v>
      </c>
      <c r="L3385" s="76">
        <v>9.1699999999999995E-4</v>
      </c>
      <c r="M3385" s="76">
        <v>7.9000000000000001E-4</v>
      </c>
    </row>
    <row r="3386" spans="3:13" x14ac:dyDescent="0.15">
      <c r="C3386" s="76">
        <v>608</v>
      </c>
      <c r="D3386" s="76">
        <v>8.5099999999999995E-5</v>
      </c>
      <c r="E3386" s="76">
        <v>1.6000000000000001E-4</v>
      </c>
      <c r="F3386" s="76">
        <v>2.2100000000000001E-4</v>
      </c>
      <c r="G3386" s="76">
        <v>3.3E-4</v>
      </c>
      <c r="H3386" s="76">
        <v>3.79E-4</v>
      </c>
      <c r="I3386" s="76">
        <v>4.6000000000000001E-4</v>
      </c>
      <c r="J3386" s="76">
        <v>6.6100000000000002E-4</v>
      </c>
      <c r="K3386" s="76">
        <v>6.7299999999999999E-4</v>
      </c>
      <c r="L3386" s="76">
        <v>8.0800000000000002E-4</v>
      </c>
      <c r="M3386" s="76">
        <v>7.2400000000000003E-4</v>
      </c>
    </row>
    <row r="3387" spans="3:13" x14ac:dyDescent="0.15">
      <c r="C3387" s="76">
        <v>610</v>
      </c>
      <c r="D3387" s="76">
        <v>8.3700000000000002E-5</v>
      </c>
      <c r="E3387" s="76">
        <v>1.4899999999999999E-4</v>
      </c>
      <c r="F3387" s="76">
        <v>1.9000000000000001E-4</v>
      </c>
      <c r="G3387" s="76">
        <v>2.9599999999999998E-4</v>
      </c>
      <c r="H3387" s="76">
        <v>3.5500000000000001E-4</v>
      </c>
      <c r="I3387" s="76">
        <v>3.7500000000000001E-4</v>
      </c>
      <c r="J3387" s="76">
        <v>6.1600000000000001E-4</v>
      </c>
      <c r="K3387" s="76">
        <v>6.4999999999999997E-4</v>
      </c>
      <c r="L3387" s="76">
        <v>7.5500000000000003E-4</v>
      </c>
      <c r="M3387" s="76">
        <v>6.5499999999999998E-4</v>
      </c>
    </row>
    <row r="3388" spans="3:13" x14ac:dyDescent="0.15">
      <c r="C3388" s="76">
        <v>612</v>
      </c>
      <c r="D3388" s="76">
        <v>7.5799999999999999E-5</v>
      </c>
      <c r="E3388" s="76">
        <v>1.3799999999999999E-4</v>
      </c>
      <c r="F3388" s="76">
        <v>1.8599999999999999E-4</v>
      </c>
      <c r="G3388" s="76">
        <v>2.7799999999999998E-4</v>
      </c>
      <c r="H3388" s="76">
        <v>3.3599999999999998E-4</v>
      </c>
      <c r="I3388" s="76">
        <v>3.7800000000000003E-4</v>
      </c>
      <c r="J3388" s="76">
        <v>5.5900000000000004E-4</v>
      </c>
      <c r="K3388" s="76">
        <v>5.71E-4</v>
      </c>
      <c r="L3388" s="76">
        <v>6.9099999999999999E-4</v>
      </c>
      <c r="M3388" s="76">
        <v>6.0300000000000002E-4</v>
      </c>
    </row>
    <row r="3389" spans="3:13" x14ac:dyDescent="0.15">
      <c r="C3389" s="76">
        <v>614</v>
      </c>
      <c r="D3389" s="76">
        <v>6.8300000000000007E-5</v>
      </c>
      <c r="E3389" s="76">
        <v>1.34E-4</v>
      </c>
      <c r="F3389" s="76">
        <v>1.93E-4</v>
      </c>
      <c r="G3389" s="76">
        <v>2.6400000000000002E-4</v>
      </c>
      <c r="H3389" s="76">
        <v>3.1700000000000001E-4</v>
      </c>
      <c r="I3389" s="76">
        <v>3.5100000000000002E-4</v>
      </c>
      <c r="J3389" s="76">
        <v>5.3600000000000002E-4</v>
      </c>
      <c r="K3389" s="76">
        <v>4.9899999999999999E-4</v>
      </c>
      <c r="L3389" s="76">
        <v>6.7299999999999999E-4</v>
      </c>
      <c r="M3389" s="76">
        <v>5.4500000000000002E-4</v>
      </c>
    </row>
    <row r="3390" spans="3:13" x14ac:dyDescent="0.15">
      <c r="C3390" s="76">
        <v>616</v>
      </c>
      <c r="D3390" s="76">
        <v>5.66E-5</v>
      </c>
      <c r="E3390" s="76">
        <v>1.2799999999999999E-4</v>
      </c>
      <c r="F3390" s="76">
        <v>1.8000000000000001E-4</v>
      </c>
      <c r="G3390" s="76">
        <v>2.2599999999999999E-4</v>
      </c>
      <c r="H3390" s="76">
        <v>3.01E-4</v>
      </c>
      <c r="I3390" s="76">
        <v>3.28E-4</v>
      </c>
      <c r="J3390" s="76">
        <v>5.4100000000000003E-4</v>
      </c>
      <c r="K3390" s="76">
        <v>4.55E-4</v>
      </c>
      <c r="L3390" s="76">
        <v>6.4899999999999995E-4</v>
      </c>
      <c r="M3390" s="76">
        <v>5.0000000000000001E-4</v>
      </c>
    </row>
    <row r="3391" spans="3:13" x14ac:dyDescent="0.15">
      <c r="C3391" s="76">
        <v>618</v>
      </c>
      <c r="D3391" s="76">
        <v>5.4599999999999999E-5</v>
      </c>
      <c r="E3391" s="76">
        <v>1.08E-4</v>
      </c>
      <c r="F3391" s="76">
        <v>1.6699999999999999E-4</v>
      </c>
      <c r="G3391" s="76">
        <v>2.3699999999999999E-4</v>
      </c>
      <c r="H3391" s="76">
        <v>2.5599999999999999E-4</v>
      </c>
      <c r="I3391" s="76">
        <v>2.81E-4</v>
      </c>
      <c r="J3391" s="76">
        <v>4.9600000000000002E-4</v>
      </c>
      <c r="K3391" s="76">
        <v>5.1000000000000004E-4</v>
      </c>
      <c r="L3391" s="76">
        <v>5.6499999999999996E-4</v>
      </c>
      <c r="M3391" s="76">
        <v>4.8500000000000003E-4</v>
      </c>
    </row>
    <row r="3392" spans="3:13" x14ac:dyDescent="0.15">
      <c r="C3392" s="76">
        <v>620</v>
      </c>
      <c r="D3392" s="76">
        <v>5.5000000000000002E-5</v>
      </c>
      <c r="E3392" s="76">
        <v>9.7E-5</v>
      </c>
      <c r="F3392" s="76">
        <v>1.54E-4</v>
      </c>
      <c r="G3392" s="76">
        <v>2.33E-4</v>
      </c>
      <c r="H3392" s="76">
        <v>2.5099999999999998E-4</v>
      </c>
      <c r="I3392" s="76">
        <v>2.5999999999999998E-4</v>
      </c>
      <c r="J3392" s="76">
        <v>3.8400000000000001E-4</v>
      </c>
      <c r="K3392" s="76">
        <v>4.9299999999999995E-4</v>
      </c>
      <c r="L3392" s="76">
        <v>4.8099999999999998E-4</v>
      </c>
      <c r="M3392" s="76">
        <v>4.1599999999999997E-4</v>
      </c>
    </row>
    <row r="3393" spans="3:13" x14ac:dyDescent="0.15">
      <c r="C3393" s="76">
        <v>622</v>
      </c>
      <c r="D3393" s="76">
        <v>5.1900000000000001E-5</v>
      </c>
      <c r="E3393" s="76">
        <v>9.1299999999999997E-5</v>
      </c>
      <c r="F3393" s="76">
        <v>1.5100000000000001E-4</v>
      </c>
      <c r="G3393" s="76">
        <v>1.85E-4</v>
      </c>
      <c r="H3393" s="76">
        <v>2.1599999999999999E-4</v>
      </c>
      <c r="I3393" s="76">
        <v>2.6499999999999999E-4</v>
      </c>
      <c r="J3393" s="76">
        <v>3.4600000000000001E-4</v>
      </c>
      <c r="K3393" s="76">
        <v>4.2099999999999999E-4</v>
      </c>
      <c r="L3393" s="76">
        <v>5.0000000000000001E-4</v>
      </c>
      <c r="M3393" s="76">
        <v>4.15E-4</v>
      </c>
    </row>
    <row r="3394" spans="3:13" x14ac:dyDescent="0.15">
      <c r="C3394" s="76">
        <v>624</v>
      </c>
      <c r="D3394" s="76">
        <v>4.5800000000000002E-5</v>
      </c>
      <c r="E3394" s="76">
        <v>8.4900000000000004E-5</v>
      </c>
      <c r="F3394" s="76">
        <v>1.4300000000000001E-4</v>
      </c>
      <c r="G3394" s="76">
        <v>1.75E-4</v>
      </c>
      <c r="H3394" s="76">
        <v>2.1499999999999999E-4</v>
      </c>
      <c r="I3394" s="76">
        <v>2.2000000000000001E-4</v>
      </c>
      <c r="J3394" s="76">
        <v>3.88E-4</v>
      </c>
      <c r="K3394" s="76">
        <v>3.6099999999999999E-4</v>
      </c>
      <c r="L3394" s="76">
        <v>4.1899999999999999E-4</v>
      </c>
      <c r="M3394" s="76">
        <v>4.2700000000000002E-4</v>
      </c>
    </row>
    <row r="3395" spans="3:13" x14ac:dyDescent="0.15">
      <c r="C3395" s="76">
        <v>626</v>
      </c>
      <c r="D3395" s="76">
        <v>5.38E-5</v>
      </c>
      <c r="E3395" s="76">
        <v>8.3900000000000006E-5</v>
      </c>
      <c r="F3395" s="76">
        <v>1.3100000000000001E-4</v>
      </c>
      <c r="G3395" s="76">
        <v>1.8599999999999999E-4</v>
      </c>
      <c r="H3395" s="76">
        <v>1.93E-4</v>
      </c>
      <c r="I3395" s="76">
        <v>2.32E-4</v>
      </c>
      <c r="J3395" s="76">
        <v>3.5300000000000002E-4</v>
      </c>
      <c r="K3395" s="76">
        <v>3.4400000000000001E-4</v>
      </c>
      <c r="L3395" s="76">
        <v>3.4600000000000001E-4</v>
      </c>
      <c r="M3395" s="76">
        <v>3.8400000000000001E-4</v>
      </c>
    </row>
    <row r="3396" spans="3:13" x14ac:dyDescent="0.15">
      <c r="C3396" s="76">
        <v>628</v>
      </c>
      <c r="D3396" s="76">
        <v>4.3800000000000001E-5</v>
      </c>
      <c r="E3396" s="76">
        <v>7.6500000000000003E-5</v>
      </c>
      <c r="F3396" s="76">
        <v>1.22E-4</v>
      </c>
      <c r="G3396" s="76">
        <v>1.3999999999999999E-4</v>
      </c>
      <c r="H3396" s="76">
        <v>1.76E-4</v>
      </c>
      <c r="I3396" s="76">
        <v>1.8599999999999999E-4</v>
      </c>
      <c r="J3396" s="76">
        <v>2.4600000000000002E-4</v>
      </c>
      <c r="K3396" s="76">
        <v>3.6400000000000001E-4</v>
      </c>
      <c r="L3396" s="76">
        <v>3.9100000000000002E-4</v>
      </c>
      <c r="M3396" s="76">
        <v>3.21E-4</v>
      </c>
    </row>
    <row r="3397" spans="3:13" x14ac:dyDescent="0.15">
      <c r="C3397" s="76">
        <v>630</v>
      </c>
      <c r="D3397" s="76">
        <v>4.2899999999999999E-5</v>
      </c>
      <c r="E3397" s="76">
        <v>7.5400000000000003E-5</v>
      </c>
      <c r="F3397" s="76">
        <v>1.12E-4</v>
      </c>
      <c r="G3397" s="76">
        <v>1.66E-4</v>
      </c>
      <c r="H3397" s="76">
        <v>1.9000000000000001E-4</v>
      </c>
      <c r="I3397" s="76">
        <v>1.8599999999999999E-4</v>
      </c>
      <c r="J3397" s="76">
        <v>2.6200000000000003E-4</v>
      </c>
      <c r="K3397" s="76">
        <v>3.5199999999999999E-4</v>
      </c>
      <c r="L3397" s="76">
        <v>3.48E-4</v>
      </c>
      <c r="M3397" s="76">
        <v>3.68E-4</v>
      </c>
    </row>
    <row r="3398" spans="3:13" x14ac:dyDescent="0.15">
      <c r="C3398" s="76">
        <v>632</v>
      </c>
      <c r="D3398" s="76">
        <v>4.6100000000000002E-5</v>
      </c>
      <c r="E3398" s="76">
        <v>7.5500000000000006E-5</v>
      </c>
      <c r="F3398" s="76">
        <v>1.01E-4</v>
      </c>
      <c r="G3398" s="76">
        <v>1.4200000000000001E-4</v>
      </c>
      <c r="H3398" s="76">
        <v>1.7200000000000001E-4</v>
      </c>
      <c r="I3398" s="76">
        <v>1.6799999999999999E-4</v>
      </c>
      <c r="J3398" s="76">
        <v>2.3699999999999999E-4</v>
      </c>
      <c r="K3398" s="76">
        <v>2.9399999999999999E-4</v>
      </c>
      <c r="L3398" s="76">
        <v>3.2200000000000002E-4</v>
      </c>
      <c r="M3398" s="76">
        <v>3.79E-4</v>
      </c>
    </row>
    <row r="3399" spans="3:13" x14ac:dyDescent="0.15">
      <c r="C3399" s="76">
        <v>634</v>
      </c>
      <c r="D3399" s="76">
        <v>3.93E-5</v>
      </c>
      <c r="E3399" s="76">
        <v>6.8300000000000007E-5</v>
      </c>
      <c r="F3399" s="76">
        <v>9.1299999999999997E-5</v>
      </c>
      <c r="G3399" s="76">
        <v>1.3899999999999999E-4</v>
      </c>
      <c r="H3399" s="76">
        <v>1.54E-4</v>
      </c>
      <c r="I3399" s="76">
        <v>1.8699999999999999E-4</v>
      </c>
      <c r="J3399" s="76">
        <v>2.4000000000000001E-4</v>
      </c>
      <c r="K3399" s="76">
        <v>2.7799999999999998E-4</v>
      </c>
      <c r="L3399" s="76">
        <v>3.3799999999999998E-4</v>
      </c>
      <c r="M3399" s="76">
        <v>3.7500000000000001E-4</v>
      </c>
    </row>
    <row r="3400" spans="3:13" x14ac:dyDescent="0.15">
      <c r="C3400" s="76">
        <v>636</v>
      </c>
      <c r="D3400" s="76">
        <v>3.5200000000000002E-5</v>
      </c>
      <c r="E3400" s="76">
        <v>5.5699999999999999E-5</v>
      </c>
      <c r="F3400" s="76">
        <v>1.13E-4</v>
      </c>
      <c r="G3400" s="76">
        <v>1.8699999999999999E-4</v>
      </c>
      <c r="H3400" s="76">
        <v>1.8799999999999999E-4</v>
      </c>
      <c r="I3400" s="76">
        <v>1.92E-4</v>
      </c>
      <c r="J3400" s="76">
        <v>2.5700000000000001E-4</v>
      </c>
      <c r="K3400" s="76">
        <v>2.8400000000000002E-4</v>
      </c>
      <c r="L3400" s="76">
        <v>2.7900000000000001E-4</v>
      </c>
      <c r="M3400" s="76">
        <v>3.4299999999999999E-4</v>
      </c>
    </row>
    <row r="3401" spans="3:13" x14ac:dyDescent="0.15">
      <c r="C3401" s="76">
        <v>638</v>
      </c>
      <c r="D3401" s="76">
        <v>3.1999999999999999E-5</v>
      </c>
      <c r="E3401" s="76">
        <v>6.3899999999999995E-5</v>
      </c>
      <c r="F3401" s="76">
        <v>8.7499999999999999E-5</v>
      </c>
      <c r="G3401" s="76">
        <v>1.36E-4</v>
      </c>
      <c r="H3401" s="76">
        <v>1.7100000000000001E-4</v>
      </c>
      <c r="I3401" s="76">
        <v>1.6899999999999999E-4</v>
      </c>
      <c r="J3401" s="76">
        <v>2.3699999999999999E-4</v>
      </c>
      <c r="K3401" s="76">
        <v>2.5099999999999998E-4</v>
      </c>
      <c r="L3401" s="76">
        <v>2.9599999999999998E-4</v>
      </c>
      <c r="M3401" s="76">
        <v>3.3399999999999999E-4</v>
      </c>
    </row>
    <row r="3402" spans="3:13" x14ac:dyDescent="0.15">
      <c r="C3402" s="76">
        <v>640</v>
      </c>
      <c r="D3402" s="76">
        <v>3.26E-5</v>
      </c>
      <c r="E3402" s="76">
        <v>4.5599999999999997E-5</v>
      </c>
      <c r="F3402" s="76">
        <v>8.3200000000000003E-5</v>
      </c>
      <c r="G3402" s="76">
        <v>1.13E-4</v>
      </c>
      <c r="H3402" s="76">
        <v>1.6100000000000001E-4</v>
      </c>
      <c r="I3402" s="76">
        <v>1.5899999999999999E-4</v>
      </c>
      <c r="J3402" s="76">
        <v>1.8000000000000001E-4</v>
      </c>
      <c r="K3402" s="76">
        <v>2.32E-4</v>
      </c>
      <c r="L3402" s="76">
        <v>2.2100000000000001E-4</v>
      </c>
      <c r="M3402" s="76">
        <v>3.2699999999999998E-4</v>
      </c>
    </row>
    <row r="3403" spans="3:13" x14ac:dyDescent="0.15">
      <c r="C3403" s="76">
        <v>642</v>
      </c>
      <c r="D3403" s="76">
        <v>3.57E-5</v>
      </c>
      <c r="E3403" s="76">
        <v>4.8999999999999998E-5</v>
      </c>
      <c r="F3403" s="76">
        <v>7.8499999999999997E-5</v>
      </c>
      <c r="G3403" s="76">
        <v>1.13E-4</v>
      </c>
      <c r="H3403" s="76">
        <v>1.7000000000000001E-4</v>
      </c>
      <c r="I3403" s="76">
        <v>1.4100000000000001E-4</v>
      </c>
      <c r="J3403" s="76">
        <v>1.73E-4</v>
      </c>
      <c r="K3403" s="76">
        <v>1.8900000000000001E-4</v>
      </c>
      <c r="L3403" s="76">
        <v>2.5300000000000002E-4</v>
      </c>
      <c r="M3403" s="76">
        <v>3.6999999999999999E-4</v>
      </c>
    </row>
    <row r="3404" spans="3:13" x14ac:dyDescent="0.15">
      <c r="C3404" s="76">
        <v>644</v>
      </c>
      <c r="D3404" s="76">
        <v>2.9799999999999999E-5</v>
      </c>
      <c r="E3404" s="76">
        <v>4.8099999999999997E-5</v>
      </c>
      <c r="F3404" s="76">
        <v>1.07E-4</v>
      </c>
      <c r="G3404" s="76">
        <v>1.02E-4</v>
      </c>
      <c r="H3404" s="76">
        <v>1.76E-4</v>
      </c>
      <c r="I3404" s="76">
        <v>1.47E-4</v>
      </c>
      <c r="J3404" s="76">
        <v>1.8799999999999999E-4</v>
      </c>
      <c r="K3404" s="76">
        <v>2.0100000000000001E-4</v>
      </c>
      <c r="L3404" s="76">
        <v>2.1900000000000001E-4</v>
      </c>
      <c r="M3404" s="76">
        <v>3.8699999999999997E-4</v>
      </c>
    </row>
    <row r="3405" spans="3:13" x14ac:dyDescent="0.15">
      <c r="C3405" s="76">
        <v>646</v>
      </c>
      <c r="D3405" s="76">
        <v>3.4799999999999999E-5</v>
      </c>
      <c r="E3405" s="76">
        <v>6.6699999999999995E-5</v>
      </c>
      <c r="F3405" s="76">
        <v>8.2399999999999997E-5</v>
      </c>
      <c r="G3405" s="76">
        <v>1.13E-4</v>
      </c>
      <c r="H3405" s="76">
        <v>1.4899999999999999E-4</v>
      </c>
      <c r="I3405" s="76">
        <v>1.56E-4</v>
      </c>
      <c r="J3405" s="76">
        <v>1.85E-4</v>
      </c>
      <c r="K3405" s="76">
        <v>1.5699999999999999E-4</v>
      </c>
      <c r="L3405" s="76">
        <v>2.23E-4</v>
      </c>
      <c r="M3405" s="76">
        <v>2.8699999999999998E-4</v>
      </c>
    </row>
    <row r="3406" spans="3:13" x14ac:dyDescent="0.15">
      <c r="C3406" s="76">
        <v>648</v>
      </c>
      <c r="D3406" s="76">
        <v>2.9300000000000001E-5</v>
      </c>
      <c r="E3406" s="76">
        <v>4.1100000000000003E-5</v>
      </c>
      <c r="F3406" s="76">
        <v>7.8800000000000004E-5</v>
      </c>
      <c r="G3406" s="76">
        <v>9.1000000000000003E-5</v>
      </c>
      <c r="H3406" s="76">
        <v>1.3300000000000001E-4</v>
      </c>
      <c r="I3406" s="76">
        <v>1.4100000000000001E-4</v>
      </c>
      <c r="J3406" s="76">
        <v>1.6200000000000001E-4</v>
      </c>
      <c r="K3406" s="76">
        <v>1.66E-4</v>
      </c>
      <c r="L3406" s="76">
        <v>2.61E-4</v>
      </c>
      <c r="M3406" s="76">
        <v>2.7900000000000001E-4</v>
      </c>
    </row>
    <row r="3407" spans="3:13" x14ac:dyDescent="0.15">
      <c r="C3407" s="76">
        <v>650</v>
      </c>
      <c r="D3407" s="76">
        <v>1.6699999999999999E-5</v>
      </c>
      <c r="E3407" s="76">
        <v>3.15E-5</v>
      </c>
      <c r="F3407" s="76">
        <v>8.4499999999999994E-5</v>
      </c>
      <c r="G3407" s="76">
        <v>1.2400000000000001E-4</v>
      </c>
      <c r="H3407" s="76">
        <v>1.4200000000000001E-4</v>
      </c>
      <c r="I3407" s="76">
        <v>1.8200000000000001E-4</v>
      </c>
      <c r="J3407" s="76">
        <v>1.4799999999999999E-4</v>
      </c>
      <c r="K3407" s="76">
        <v>1.73E-4</v>
      </c>
      <c r="L3407" s="76">
        <v>1.73E-4</v>
      </c>
      <c r="M3407" s="76">
        <v>2.8499999999999999E-4</v>
      </c>
    </row>
    <row r="3408" spans="3:13" x14ac:dyDescent="0.15">
      <c r="C3408" s="76">
        <v>652</v>
      </c>
      <c r="D3408" s="76">
        <v>1.52E-5</v>
      </c>
      <c r="E3408" s="76">
        <v>3.1199999999999999E-5</v>
      </c>
      <c r="F3408" s="76">
        <v>5.41E-5</v>
      </c>
      <c r="G3408" s="76">
        <v>9.8499999999999995E-5</v>
      </c>
      <c r="H3408" s="76">
        <v>1.4300000000000001E-4</v>
      </c>
      <c r="I3408" s="76">
        <v>1.92E-4</v>
      </c>
      <c r="J3408" s="76">
        <v>9.5500000000000004E-5</v>
      </c>
      <c r="K3408" s="76">
        <v>1.36E-4</v>
      </c>
      <c r="L3408" s="76">
        <v>2.31E-4</v>
      </c>
      <c r="M3408" s="76">
        <v>2.7099999999999997E-4</v>
      </c>
    </row>
    <row r="3409" spans="3:13" x14ac:dyDescent="0.15">
      <c r="C3409" s="76">
        <v>654</v>
      </c>
      <c r="D3409" s="76">
        <v>1.3900000000000001E-5</v>
      </c>
      <c r="E3409" s="76">
        <v>5.4599999999999999E-5</v>
      </c>
      <c r="F3409" s="76">
        <v>6.3200000000000005E-5</v>
      </c>
      <c r="G3409" s="76">
        <v>1.1E-4</v>
      </c>
      <c r="H3409" s="76">
        <v>1.3300000000000001E-4</v>
      </c>
      <c r="I3409" s="76">
        <v>1.76E-4</v>
      </c>
      <c r="J3409" s="76">
        <v>7.08E-5</v>
      </c>
      <c r="K3409" s="76">
        <v>1.3200000000000001E-4</v>
      </c>
      <c r="L3409" s="76">
        <v>2.0699999999999999E-4</v>
      </c>
      <c r="M3409" s="76">
        <v>2.92E-4</v>
      </c>
    </row>
    <row r="3410" spans="3:13" x14ac:dyDescent="0.15">
      <c r="C3410" s="76">
        <v>656</v>
      </c>
      <c r="D3410" s="76">
        <v>1.9000000000000001E-5</v>
      </c>
      <c r="E3410" s="76">
        <v>3.8500000000000001E-5</v>
      </c>
      <c r="F3410" s="76">
        <v>7.08E-5</v>
      </c>
      <c r="G3410" s="76">
        <v>1.2400000000000001E-4</v>
      </c>
      <c r="H3410" s="76">
        <v>1.2400000000000001E-4</v>
      </c>
      <c r="I3410" s="76">
        <v>1.3100000000000001E-4</v>
      </c>
      <c r="J3410" s="76">
        <v>3.4600000000000001E-5</v>
      </c>
      <c r="K3410" s="76">
        <v>9.7200000000000004E-5</v>
      </c>
      <c r="L3410" s="76">
        <v>2.4800000000000001E-4</v>
      </c>
      <c r="M3410" s="76">
        <v>3.1300000000000002E-4</v>
      </c>
    </row>
    <row r="3411" spans="3:13" x14ac:dyDescent="0.15">
      <c r="C3411" s="76">
        <v>658</v>
      </c>
      <c r="D3411" s="76">
        <v>1.8199999999999999E-5</v>
      </c>
      <c r="E3411" s="76">
        <v>2.5199999999999999E-5</v>
      </c>
      <c r="F3411" s="76">
        <v>6.0099999999999997E-5</v>
      </c>
      <c r="G3411" s="76">
        <v>8.53E-5</v>
      </c>
      <c r="H3411" s="76">
        <v>1.2300000000000001E-4</v>
      </c>
      <c r="I3411" s="76">
        <v>9.6799999999999995E-5</v>
      </c>
      <c r="J3411" s="76">
        <v>5.4700000000000001E-5</v>
      </c>
      <c r="K3411" s="76">
        <v>1.55E-4</v>
      </c>
      <c r="L3411" s="76">
        <v>2.0900000000000001E-4</v>
      </c>
      <c r="M3411" s="76">
        <v>2.9399999999999999E-4</v>
      </c>
    </row>
    <row r="3412" spans="3:13" x14ac:dyDescent="0.15">
      <c r="C3412" s="76">
        <v>660</v>
      </c>
      <c r="D3412" s="76">
        <v>2.0999999999999999E-5</v>
      </c>
      <c r="E3412" s="76">
        <v>4.6699999999999997E-5</v>
      </c>
      <c r="F3412" s="76">
        <v>3.6600000000000002E-5</v>
      </c>
      <c r="G3412" s="76">
        <v>9.6500000000000001E-5</v>
      </c>
      <c r="H3412" s="76">
        <v>1.13E-4</v>
      </c>
      <c r="I3412" s="76">
        <v>1.45E-4</v>
      </c>
      <c r="J3412" s="76">
        <v>6.6500000000000004E-5</v>
      </c>
      <c r="K3412" s="76">
        <v>9.9300000000000001E-5</v>
      </c>
      <c r="L3412" s="76">
        <v>1.85E-4</v>
      </c>
      <c r="M3412" s="76">
        <v>2.8699999999999998E-4</v>
      </c>
    </row>
    <row r="3413" spans="3:13" x14ac:dyDescent="0.15">
      <c r="C3413" s="76">
        <v>662</v>
      </c>
      <c r="D3413" s="76">
        <v>2.27E-5</v>
      </c>
      <c r="E3413" s="76">
        <v>4.3399999999999998E-5</v>
      </c>
      <c r="F3413" s="76">
        <v>5.3399999999999997E-5</v>
      </c>
      <c r="G3413" s="76">
        <v>9.1600000000000004E-5</v>
      </c>
      <c r="H3413" s="76">
        <v>1.06E-4</v>
      </c>
      <c r="I3413" s="76">
        <v>1.83E-4</v>
      </c>
      <c r="J3413" s="76">
        <v>1.0900000000000001E-4</v>
      </c>
      <c r="K3413" s="76">
        <v>5.2099999999999999E-5</v>
      </c>
      <c r="L3413" s="76">
        <v>1.7699999999999999E-4</v>
      </c>
      <c r="M3413" s="76">
        <v>2.32E-4</v>
      </c>
    </row>
    <row r="3414" spans="3:13" x14ac:dyDescent="0.15">
      <c r="C3414" s="76">
        <v>664</v>
      </c>
      <c r="D3414" s="76">
        <v>2.1699999999999999E-5</v>
      </c>
      <c r="E3414" s="76">
        <v>4.0899999999999998E-5</v>
      </c>
      <c r="F3414" s="76">
        <v>4.21E-5</v>
      </c>
      <c r="G3414" s="76">
        <v>7.8499999999999997E-5</v>
      </c>
      <c r="H3414" s="76">
        <v>7.6899999999999999E-5</v>
      </c>
      <c r="I3414" s="76">
        <v>1.2E-4</v>
      </c>
      <c r="J3414" s="76">
        <v>1.05E-4</v>
      </c>
      <c r="K3414" s="76">
        <v>9.7800000000000006E-5</v>
      </c>
      <c r="L3414" s="76">
        <v>3.3799999999999998E-4</v>
      </c>
      <c r="M3414" s="76">
        <v>2.2599999999999999E-4</v>
      </c>
    </row>
    <row r="3415" spans="3:13" x14ac:dyDescent="0.15">
      <c r="C3415" s="76">
        <v>666</v>
      </c>
      <c r="D3415" s="76">
        <v>1.8E-5</v>
      </c>
      <c r="E3415" s="76">
        <v>3.3000000000000003E-5</v>
      </c>
      <c r="F3415" s="76">
        <v>6.5599999999999995E-5</v>
      </c>
      <c r="G3415" s="76">
        <v>8.6500000000000002E-5</v>
      </c>
      <c r="H3415" s="76">
        <v>9.0600000000000007E-5</v>
      </c>
      <c r="I3415" s="76">
        <v>1.12E-4</v>
      </c>
      <c r="J3415" s="76">
        <v>1.2300000000000001E-4</v>
      </c>
      <c r="K3415" s="76">
        <v>5.3999999999999998E-5</v>
      </c>
      <c r="L3415" s="76">
        <v>2.6200000000000003E-4</v>
      </c>
      <c r="M3415" s="76">
        <v>2.1599999999999999E-4</v>
      </c>
    </row>
    <row r="3416" spans="3:13" x14ac:dyDescent="0.15">
      <c r="C3416" s="76">
        <v>668</v>
      </c>
      <c r="D3416" s="76">
        <v>2.34E-5</v>
      </c>
      <c r="E3416" s="76">
        <v>4.0200000000000001E-5</v>
      </c>
      <c r="F3416" s="76">
        <v>5.2899999999999998E-5</v>
      </c>
      <c r="G3416" s="76">
        <v>9.4900000000000003E-5</v>
      </c>
      <c r="H3416" s="76">
        <v>1.0900000000000001E-4</v>
      </c>
      <c r="I3416" s="76">
        <v>8.6000000000000003E-5</v>
      </c>
      <c r="J3416" s="76">
        <v>6.0699999999999998E-5</v>
      </c>
      <c r="K3416" s="76">
        <v>7.2200000000000007E-5</v>
      </c>
      <c r="L3416" s="76">
        <v>2.6899999999999998E-4</v>
      </c>
      <c r="M3416" s="76">
        <v>2.33E-4</v>
      </c>
    </row>
    <row r="3417" spans="3:13" x14ac:dyDescent="0.15">
      <c r="C3417" s="76">
        <v>670</v>
      </c>
      <c r="D3417" s="76">
        <v>1.9700000000000001E-5</v>
      </c>
      <c r="E3417" s="76">
        <v>3.79E-5</v>
      </c>
      <c r="F3417" s="76">
        <v>5.2500000000000002E-5</v>
      </c>
      <c r="G3417" s="76">
        <v>1.27E-4</v>
      </c>
      <c r="H3417" s="76">
        <v>8.9099999999999997E-5</v>
      </c>
      <c r="I3417" s="76">
        <v>1.6200000000000001E-4</v>
      </c>
      <c r="J3417" s="76">
        <v>6.2500000000000001E-5</v>
      </c>
      <c r="K3417" s="76">
        <v>7.75E-5</v>
      </c>
      <c r="L3417" s="76">
        <v>2.9700000000000001E-4</v>
      </c>
      <c r="M3417" s="76">
        <v>1.7799999999999999E-4</v>
      </c>
    </row>
    <row r="3418" spans="3:13" x14ac:dyDescent="0.15">
      <c r="C3418" s="76">
        <v>672</v>
      </c>
      <c r="D3418" s="76">
        <v>2.02E-5</v>
      </c>
      <c r="E3418" s="76">
        <v>4.5599999999999997E-5</v>
      </c>
      <c r="F3418" s="76">
        <v>2.4600000000000002E-5</v>
      </c>
      <c r="G3418" s="76">
        <v>8.6700000000000007E-5</v>
      </c>
      <c r="H3418" s="76">
        <v>6.9400000000000006E-5</v>
      </c>
      <c r="I3418" s="76">
        <v>1.3899999999999999E-4</v>
      </c>
      <c r="J3418" s="76">
        <v>9.7200000000000004E-5</v>
      </c>
      <c r="K3418" s="76">
        <v>1.12E-4</v>
      </c>
      <c r="L3418" s="76">
        <v>3.9599999999999998E-4</v>
      </c>
      <c r="M3418" s="76">
        <v>1.83E-4</v>
      </c>
    </row>
    <row r="3419" spans="3:13" x14ac:dyDescent="0.15">
      <c r="C3419" s="76">
        <v>674</v>
      </c>
      <c r="D3419" s="76">
        <v>2.1800000000000001E-5</v>
      </c>
      <c r="E3419" s="76">
        <v>4.4199999999999997E-5</v>
      </c>
      <c r="F3419" s="76">
        <v>4.9799999999999998E-5</v>
      </c>
      <c r="G3419" s="76">
        <v>1.03E-4</v>
      </c>
      <c r="H3419" s="76">
        <v>1.01E-4</v>
      </c>
      <c r="I3419" s="76">
        <v>1.45E-4</v>
      </c>
      <c r="J3419" s="76">
        <v>1.3200000000000001E-4</v>
      </c>
      <c r="K3419" s="76">
        <v>1.16E-4</v>
      </c>
      <c r="L3419" s="76">
        <v>3.2200000000000002E-4</v>
      </c>
      <c r="M3419" s="76">
        <v>1.25E-4</v>
      </c>
    </row>
    <row r="3420" spans="3:13" x14ac:dyDescent="0.15">
      <c r="C3420" s="76">
        <v>676</v>
      </c>
      <c r="D3420" s="76">
        <v>1.6500000000000001E-5</v>
      </c>
      <c r="E3420" s="76">
        <v>4.2400000000000001E-5</v>
      </c>
      <c r="F3420" s="76">
        <v>5.0099999999999998E-5</v>
      </c>
      <c r="G3420" s="76">
        <v>8.7700000000000004E-5</v>
      </c>
      <c r="H3420" s="76">
        <v>8.9300000000000002E-5</v>
      </c>
      <c r="I3420" s="76">
        <v>1.35E-4</v>
      </c>
      <c r="J3420" s="76">
        <v>9.8400000000000007E-5</v>
      </c>
      <c r="K3420" s="76">
        <v>1.3300000000000001E-4</v>
      </c>
      <c r="L3420" s="76">
        <v>2.9500000000000001E-4</v>
      </c>
      <c r="M3420" s="76">
        <v>2.1800000000000001E-4</v>
      </c>
    </row>
    <row r="3421" spans="3:13" x14ac:dyDescent="0.15">
      <c r="C3421" s="76">
        <v>678</v>
      </c>
      <c r="D3421" s="76">
        <v>1.47E-5</v>
      </c>
      <c r="E3421" s="76">
        <v>4.1100000000000003E-5</v>
      </c>
      <c r="F3421" s="76">
        <v>5.1600000000000001E-5</v>
      </c>
      <c r="G3421" s="76">
        <v>9.3399999999999993E-5</v>
      </c>
      <c r="H3421" s="76">
        <v>5.1600000000000001E-5</v>
      </c>
      <c r="I3421" s="76">
        <v>1.45E-4</v>
      </c>
      <c r="J3421" s="76">
        <v>1.4799999999999999E-4</v>
      </c>
      <c r="K3421" s="76">
        <v>2.14E-4</v>
      </c>
      <c r="L3421" s="76">
        <v>2.8400000000000002E-4</v>
      </c>
      <c r="M3421" s="76">
        <v>1.1900000000000001E-4</v>
      </c>
    </row>
    <row r="3422" spans="3:13" x14ac:dyDescent="0.15">
      <c r="C3422" s="76">
        <v>680</v>
      </c>
      <c r="D3422" s="76">
        <v>1.2E-5</v>
      </c>
      <c r="E3422" s="76">
        <v>4.4499999999999997E-5</v>
      </c>
      <c r="F3422" s="76">
        <v>4.5300000000000003E-5</v>
      </c>
      <c r="G3422" s="76">
        <v>9.2200000000000005E-5</v>
      </c>
      <c r="H3422" s="76">
        <v>4.8399999999999997E-5</v>
      </c>
      <c r="I3422" s="76">
        <v>8.4300000000000003E-5</v>
      </c>
      <c r="J3422" s="76">
        <v>1.5799999999999999E-4</v>
      </c>
      <c r="K3422" s="76">
        <v>1.3799999999999999E-4</v>
      </c>
      <c r="L3422" s="76">
        <v>3.0899999999999998E-4</v>
      </c>
      <c r="M3422" s="76">
        <v>1.3100000000000001E-4</v>
      </c>
    </row>
    <row r="3423" spans="3:13" x14ac:dyDescent="0.15">
      <c r="C3423" s="76">
        <v>682</v>
      </c>
      <c r="D3423" s="76">
        <v>1.7099999999999999E-5</v>
      </c>
      <c r="E3423" s="76">
        <v>2.6699999999999998E-5</v>
      </c>
      <c r="F3423" s="76">
        <v>6.1299999999999999E-5</v>
      </c>
      <c r="G3423" s="76">
        <v>9.9300000000000001E-5</v>
      </c>
      <c r="H3423" s="76">
        <v>5.8600000000000001E-5</v>
      </c>
      <c r="I3423" s="76">
        <v>1.17E-4</v>
      </c>
      <c r="J3423" s="76">
        <v>1.66E-4</v>
      </c>
      <c r="K3423" s="76">
        <v>1.83E-4</v>
      </c>
      <c r="L3423" s="76">
        <v>2.7799999999999998E-4</v>
      </c>
      <c r="M3423" s="76">
        <v>9.8499999999999995E-5</v>
      </c>
    </row>
    <row r="3424" spans="3:13" x14ac:dyDescent="0.15">
      <c r="C3424" s="76">
        <v>684</v>
      </c>
      <c r="D3424" s="76">
        <v>1.6399999999999999E-5</v>
      </c>
      <c r="E3424" s="76">
        <v>2.62E-5</v>
      </c>
      <c r="F3424" s="76">
        <v>7.3700000000000002E-5</v>
      </c>
      <c r="G3424" s="76">
        <v>1.1400000000000001E-4</v>
      </c>
      <c r="H3424" s="76">
        <v>5.49E-5</v>
      </c>
      <c r="I3424" s="76">
        <v>1.0900000000000001E-4</v>
      </c>
      <c r="J3424" s="76">
        <v>2.05E-4</v>
      </c>
      <c r="K3424" s="76">
        <v>2.05E-4</v>
      </c>
      <c r="L3424" s="76">
        <v>2.23E-4</v>
      </c>
      <c r="M3424" s="76">
        <v>8.0900000000000001E-5</v>
      </c>
    </row>
    <row r="3425" spans="3:13" x14ac:dyDescent="0.15">
      <c r="C3425" s="76">
        <v>686</v>
      </c>
      <c r="D3425" s="76">
        <v>2.09E-5</v>
      </c>
      <c r="E3425" s="76">
        <v>3.2199999999999997E-5</v>
      </c>
      <c r="F3425" s="76">
        <v>6.7000000000000002E-5</v>
      </c>
      <c r="G3425" s="76">
        <v>9.6199999999999994E-5</v>
      </c>
      <c r="H3425" s="76">
        <v>6.3600000000000001E-5</v>
      </c>
      <c r="I3425" s="76">
        <v>1.21E-4</v>
      </c>
      <c r="J3425" s="76">
        <v>2.1499999999999999E-4</v>
      </c>
      <c r="K3425" s="76">
        <v>2.33E-4</v>
      </c>
      <c r="L3425" s="76">
        <v>2.3499999999999999E-4</v>
      </c>
      <c r="M3425" s="76">
        <v>1.12E-4</v>
      </c>
    </row>
    <row r="3426" spans="3:13" x14ac:dyDescent="0.15">
      <c r="C3426" s="76">
        <v>688</v>
      </c>
      <c r="D3426" s="76">
        <v>2.1100000000000001E-5</v>
      </c>
      <c r="E3426" s="76">
        <v>2.87E-5</v>
      </c>
      <c r="F3426" s="76">
        <v>4.74E-5</v>
      </c>
      <c r="G3426" s="76">
        <v>8.5599999999999994E-5</v>
      </c>
      <c r="H3426" s="76">
        <v>4.5599999999999997E-5</v>
      </c>
      <c r="I3426" s="76">
        <v>1.2899999999999999E-4</v>
      </c>
      <c r="J3426" s="76">
        <v>2.2800000000000001E-4</v>
      </c>
      <c r="K3426" s="76">
        <v>1.4999999999999999E-4</v>
      </c>
      <c r="L3426" s="76">
        <v>2.61E-4</v>
      </c>
      <c r="M3426" s="76">
        <v>1.54E-4</v>
      </c>
    </row>
    <row r="3427" spans="3:13" x14ac:dyDescent="0.15">
      <c r="C3427" s="76">
        <v>690</v>
      </c>
      <c r="D3427" s="76">
        <v>1.15E-5</v>
      </c>
      <c r="E3427" s="76">
        <v>3.9100000000000002E-5</v>
      </c>
      <c r="F3427" s="76">
        <v>5.4700000000000001E-5</v>
      </c>
      <c r="G3427" s="76">
        <v>9.5699999999999995E-5</v>
      </c>
      <c r="H3427" s="76">
        <v>3.3800000000000002E-5</v>
      </c>
      <c r="I3427" s="76">
        <v>1.03E-4</v>
      </c>
      <c r="J3427" s="76">
        <v>2.3499999999999999E-4</v>
      </c>
      <c r="K3427" s="76">
        <v>1.5899999999999999E-4</v>
      </c>
      <c r="L3427" s="76">
        <v>2.2499999999999999E-4</v>
      </c>
      <c r="M3427" s="76">
        <v>4.9499999999999997E-5</v>
      </c>
    </row>
    <row r="3428" spans="3:13" x14ac:dyDescent="0.15">
      <c r="C3428" s="76">
        <v>692</v>
      </c>
      <c r="D3428" s="76">
        <v>9.1500000000000005E-6</v>
      </c>
      <c r="E3428" s="76">
        <v>1.84E-5</v>
      </c>
      <c r="F3428" s="76">
        <v>5.8100000000000003E-5</v>
      </c>
      <c r="G3428" s="76">
        <v>1.3100000000000001E-4</v>
      </c>
      <c r="H3428" s="76">
        <v>7.7999999999999999E-5</v>
      </c>
      <c r="I3428" s="76">
        <v>1.0900000000000001E-4</v>
      </c>
      <c r="J3428" s="76">
        <v>2.2900000000000001E-4</v>
      </c>
      <c r="K3428" s="76">
        <v>1.92E-4</v>
      </c>
      <c r="L3428" s="76">
        <v>1.9799999999999999E-4</v>
      </c>
      <c r="M3428" s="76">
        <v>9.3300000000000005E-5</v>
      </c>
    </row>
    <row r="3429" spans="3:13" x14ac:dyDescent="0.15">
      <c r="C3429" s="76">
        <v>694</v>
      </c>
      <c r="D3429" s="76">
        <v>1.19E-5</v>
      </c>
      <c r="E3429" s="76">
        <v>1.9599999999999999E-5</v>
      </c>
      <c r="F3429" s="76">
        <v>5.1600000000000001E-5</v>
      </c>
      <c r="G3429" s="76">
        <v>1.26E-4</v>
      </c>
      <c r="H3429" s="76">
        <v>3.7599999999999999E-5</v>
      </c>
      <c r="I3429" s="76">
        <v>9.5799999999999998E-5</v>
      </c>
      <c r="J3429" s="76">
        <v>2.4699999999999999E-4</v>
      </c>
      <c r="K3429" s="76">
        <v>1.8799999999999999E-4</v>
      </c>
      <c r="L3429" s="76">
        <v>2.13E-4</v>
      </c>
      <c r="M3429" s="76">
        <v>6.97E-5</v>
      </c>
    </row>
    <row r="3430" spans="3:13" x14ac:dyDescent="0.15">
      <c r="C3430" s="76">
        <v>696</v>
      </c>
      <c r="D3430" s="76">
        <v>3.4800000000000001E-6</v>
      </c>
      <c r="E3430" s="76">
        <v>3.0300000000000001E-5</v>
      </c>
      <c r="F3430" s="76">
        <v>5.2099999999999999E-5</v>
      </c>
      <c r="G3430" s="76">
        <v>1.18E-4</v>
      </c>
      <c r="H3430" s="76">
        <v>6.4300000000000004E-5</v>
      </c>
      <c r="I3430" s="76">
        <v>1.12E-4</v>
      </c>
      <c r="J3430" s="76">
        <v>2.1599999999999999E-4</v>
      </c>
      <c r="K3430" s="76">
        <v>1.8799999999999999E-4</v>
      </c>
      <c r="L3430" s="76">
        <v>1.5200000000000001E-4</v>
      </c>
      <c r="M3430" s="76">
        <v>1.36E-4</v>
      </c>
    </row>
    <row r="3431" spans="3:13" x14ac:dyDescent="0.15">
      <c r="C3431" s="76">
        <v>698</v>
      </c>
      <c r="D3431" s="76">
        <v>9.3400000000000004E-6</v>
      </c>
      <c r="E3431" s="76">
        <v>2.34E-5</v>
      </c>
      <c r="F3431" s="76">
        <v>4.9400000000000001E-5</v>
      </c>
      <c r="G3431" s="76">
        <v>1.26E-4</v>
      </c>
      <c r="H3431" s="76">
        <v>7.9599999999999997E-5</v>
      </c>
      <c r="I3431" s="76">
        <v>6.41E-5</v>
      </c>
      <c r="J3431" s="76">
        <v>2.3599999999999999E-4</v>
      </c>
      <c r="K3431" s="76">
        <v>1.73E-4</v>
      </c>
      <c r="L3431" s="76">
        <v>1.13E-4</v>
      </c>
      <c r="M3431" s="76">
        <v>1.0900000000000001E-4</v>
      </c>
    </row>
    <row r="3432" spans="3:13" x14ac:dyDescent="0.15">
      <c r="C3432" s="76">
        <v>700</v>
      </c>
      <c r="D3432" s="76">
        <v>3.76E-6</v>
      </c>
      <c r="E3432" s="76">
        <v>2.4199999999999999E-5</v>
      </c>
      <c r="F3432" s="76">
        <v>4.0000000000000003E-5</v>
      </c>
      <c r="G3432" s="76">
        <v>9.7E-5</v>
      </c>
      <c r="H3432" s="76">
        <v>7.9900000000000004E-5</v>
      </c>
      <c r="I3432" s="76">
        <v>8.5500000000000005E-5</v>
      </c>
      <c r="J3432" s="76">
        <v>2.0000000000000001E-4</v>
      </c>
      <c r="K3432" s="76">
        <v>1.76E-4</v>
      </c>
      <c r="L3432" s="76">
        <v>1.5899999999999999E-4</v>
      </c>
      <c r="M3432" s="76">
        <v>1.94E-4</v>
      </c>
    </row>
    <row r="3433" spans="3:13" x14ac:dyDescent="0.15">
      <c r="C3433" s="76">
        <v>702</v>
      </c>
      <c r="D3433" s="76">
        <v>7.7800000000000001E-7</v>
      </c>
      <c r="E3433" s="76">
        <v>8.3699999999999995E-6</v>
      </c>
      <c r="F3433" s="76">
        <v>2.9099999999999999E-5</v>
      </c>
      <c r="G3433" s="76">
        <v>1.2E-4</v>
      </c>
      <c r="H3433" s="76">
        <v>7.5400000000000003E-5</v>
      </c>
      <c r="I3433" s="76">
        <v>8.8399999999999994E-5</v>
      </c>
      <c r="J3433" s="76">
        <v>1.95E-4</v>
      </c>
      <c r="K3433" s="76">
        <v>2.05E-4</v>
      </c>
      <c r="L3433" s="76">
        <v>7.9200000000000001E-5</v>
      </c>
      <c r="M3433" s="76">
        <v>1.9799999999999999E-4</v>
      </c>
    </row>
    <row r="3434" spans="3:13" x14ac:dyDescent="0.15">
      <c r="C3434" s="76">
        <v>704</v>
      </c>
      <c r="D3434" s="76">
        <v>9.38E-6</v>
      </c>
      <c r="E3434" s="76">
        <v>2.5599999999999999E-5</v>
      </c>
      <c r="F3434" s="76">
        <v>3.7499999999999997E-5</v>
      </c>
      <c r="G3434" s="76">
        <v>1.07E-4</v>
      </c>
      <c r="H3434" s="76">
        <v>1.05E-4</v>
      </c>
      <c r="I3434" s="76">
        <v>8.9699999999999998E-5</v>
      </c>
      <c r="J3434" s="76">
        <v>2.1699999999999999E-4</v>
      </c>
      <c r="K3434" s="76">
        <v>1.9599999999999999E-4</v>
      </c>
      <c r="L3434" s="76">
        <v>5.8600000000000001E-5</v>
      </c>
      <c r="M3434" s="76">
        <v>2.04E-4</v>
      </c>
    </row>
    <row r="3435" spans="3:13" x14ac:dyDescent="0.15">
      <c r="C3435" s="76">
        <v>706</v>
      </c>
      <c r="D3435" s="76">
        <v>7.1999999999999997E-6</v>
      </c>
      <c r="E3435" s="76">
        <v>2.4499999999999999E-5</v>
      </c>
      <c r="F3435" s="76">
        <v>2.7399999999999999E-5</v>
      </c>
      <c r="G3435" s="76">
        <v>1.06E-4</v>
      </c>
      <c r="H3435" s="76">
        <v>9.2700000000000004E-5</v>
      </c>
      <c r="I3435" s="76">
        <v>3.0599999999999998E-5</v>
      </c>
      <c r="J3435" s="76">
        <v>1.8100000000000001E-4</v>
      </c>
      <c r="K3435" s="76">
        <v>1.85E-4</v>
      </c>
      <c r="L3435" s="76">
        <v>9.2899999999999995E-5</v>
      </c>
      <c r="M3435" s="76">
        <v>2.0000000000000001E-4</v>
      </c>
    </row>
    <row r="3436" spans="3:13" x14ac:dyDescent="0.15">
      <c r="C3436" s="76">
        <v>708</v>
      </c>
      <c r="D3436" s="76">
        <v>1.6500000000000001E-5</v>
      </c>
      <c r="E3436" s="76">
        <v>2.3600000000000001E-5</v>
      </c>
      <c r="F3436" s="76">
        <v>4.2299999999999998E-5</v>
      </c>
      <c r="G3436" s="76">
        <v>8.9499999999999994E-5</v>
      </c>
      <c r="H3436" s="76">
        <v>9.1100000000000005E-5</v>
      </c>
      <c r="I3436" s="76">
        <v>1.03E-4</v>
      </c>
      <c r="J3436" s="76">
        <v>2.61E-4</v>
      </c>
      <c r="K3436" s="76">
        <v>1.75E-4</v>
      </c>
      <c r="L3436" s="76">
        <v>4.35E-5</v>
      </c>
      <c r="M3436" s="76">
        <v>1.27E-4</v>
      </c>
    </row>
    <row r="3437" spans="3:13" x14ac:dyDescent="0.15">
      <c r="C3437" s="76">
        <v>710</v>
      </c>
      <c r="D3437" s="76">
        <v>1.43E-5</v>
      </c>
      <c r="E3437" s="76">
        <v>1.7499999999999998E-5</v>
      </c>
      <c r="F3437" s="76">
        <v>5.4799999999999997E-5</v>
      </c>
      <c r="G3437" s="76">
        <v>9.4199999999999999E-5</v>
      </c>
      <c r="H3437" s="76">
        <v>1.1E-4</v>
      </c>
      <c r="I3437" s="76">
        <v>8.2399999999999997E-5</v>
      </c>
      <c r="J3437" s="76">
        <v>1.47E-4</v>
      </c>
      <c r="K3437" s="76">
        <v>1.7200000000000001E-4</v>
      </c>
      <c r="L3437" s="76">
        <v>6.2299999999999996E-5</v>
      </c>
      <c r="M3437" s="76">
        <v>1.3899999999999999E-4</v>
      </c>
    </row>
    <row r="3438" spans="3:13" x14ac:dyDescent="0.15">
      <c r="C3438" s="76">
        <v>712</v>
      </c>
      <c r="D3438" s="76">
        <v>1.8199999999999999E-5</v>
      </c>
      <c r="E3438" s="76">
        <v>1.34E-5</v>
      </c>
      <c r="F3438" s="76">
        <v>1.22E-5</v>
      </c>
      <c r="G3438" s="76">
        <v>1.2400000000000001E-4</v>
      </c>
      <c r="H3438" s="76">
        <v>9.6399999999999999E-5</v>
      </c>
      <c r="I3438" s="76">
        <v>3.5599999999999998E-5</v>
      </c>
      <c r="J3438" s="76">
        <v>1.55E-4</v>
      </c>
      <c r="K3438" s="76">
        <v>2.03E-4</v>
      </c>
      <c r="L3438" s="76">
        <v>2.8200000000000001E-5</v>
      </c>
      <c r="M3438" s="76">
        <v>1.5899999999999999E-4</v>
      </c>
    </row>
    <row r="3439" spans="3:13" x14ac:dyDescent="0.15">
      <c r="C3439" s="76">
        <v>714</v>
      </c>
      <c r="D3439" s="76">
        <v>1.3699999999999999E-5</v>
      </c>
      <c r="E3439" s="76">
        <v>3.1000000000000001E-5</v>
      </c>
      <c r="F3439" s="76">
        <v>5.4500000000000003E-5</v>
      </c>
      <c r="G3439" s="76">
        <v>7.5400000000000003E-5</v>
      </c>
      <c r="H3439" s="76">
        <v>1.36E-4</v>
      </c>
      <c r="I3439" s="76">
        <v>0</v>
      </c>
      <c r="J3439" s="76">
        <v>1.4100000000000001E-4</v>
      </c>
      <c r="K3439" s="76">
        <v>1.3799999999999999E-4</v>
      </c>
      <c r="L3439" s="76">
        <v>3.3000000000000003E-5</v>
      </c>
      <c r="M3439" s="76">
        <v>1.55E-4</v>
      </c>
    </row>
    <row r="3440" spans="3:13" x14ac:dyDescent="0.15">
      <c r="C3440" s="76">
        <v>716</v>
      </c>
      <c r="D3440" s="76">
        <v>1.52E-5</v>
      </c>
      <c r="E3440" s="76">
        <v>2.5000000000000001E-5</v>
      </c>
      <c r="F3440" s="76">
        <v>4.8699999999999998E-5</v>
      </c>
      <c r="G3440" s="76">
        <v>4.7800000000000003E-5</v>
      </c>
      <c r="H3440" s="76">
        <v>1.37E-4</v>
      </c>
      <c r="I3440" s="76">
        <v>2.0000000000000002E-5</v>
      </c>
      <c r="J3440" s="76">
        <v>1.6100000000000001E-4</v>
      </c>
      <c r="K3440" s="76">
        <v>1.3999999999999999E-4</v>
      </c>
      <c r="L3440" s="76">
        <v>7.6000000000000004E-5</v>
      </c>
      <c r="M3440" s="76">
        <v>1.4899999999999999E-4</v>
      </c>
    </row>
    <row r="3441" spans="3:13" x14ac:dyDescent="0.15">
      <c r="C3441" s="76">
        <v>718</v>
      </c>
      <c r="D3441" s="76">
        <v>2.1299999999999999E-5</v>
      </c>
      <c r="E3441" s="76">
        <v>1.52E-5</v>
      </c>
      <c r="F3441" s="76">
        <v>1.33E-5</v>
      </c>
      <c r="G3441" s="76">
        <v>5.2800000000000003E-5</v>
      </c>
      <c r="H3441" s="76">
        <v>1.27E-4</v>
      </c>
      <c r="I3441" s="76">
        <v>9.4700000000000008E-6</v>
      </c>
      <c r="J3441" s="76">
        <v>1.35E-4</v>
      </c>
      <c r="K3441" s="76">
        <v>2.02E-4</v>
      </c>
      <c r="L3441" s="76">
        <v>9.9199999999999999E-5</v>
      </c>
      <c r="M3441" s="76">
        <v>1.7200000000000001E-4</v>
      </c>
    </row>
    <row r="3442" spans="3:13" x14ac:dyDescent="0.15">
      <c r="C3442" s="76">
        <v>720</v>
      </c>
      <c r="D3442" s="76">
        <v>2.1699999999999999E-5</v>
      </c>
      <c r="E3442" s="76">
        <v>1.5400000000000002E-5</v>
      </c>
      <c r="F3442" s="76">
        <v>1.47E-5</v>
      </c>
      <c r="G3442" s="76">
        <v>7.9099999999999998E-5</v>
      </c>
      <c r="H3442" s="76">
        <v>1.01E-4</v>
      </c>
      <c r="I3442" s="76">
        <v>4.74E-5</v>
      </c>
      <c r="J3442" s="76">
        <v>8.1100000000000006E-5</v>
      </c>
      <c r="K3442" s="76">
        <v>1.46E-4</v>
      </c>
      <c r="L3442" s="76">
        <v>6.7000000000000002E-5</v>
      </c>
      <c r="M3442" s="76">
        <v>2.4699999999999999E-4</v>
      </c>
    </row>
    <row r="3443" spans="3:13" x14ac:dyDescent="0.15">
      <c r="C3443" s="76">
        <v>722</v>
      </c>
      <c r="D3443" s="76">
        <v>2.1100000000000001E-5</v>
      </c>
      <c r="E3443" s="76">
        <v>1.4800000000000001E-5</v>
      </c>
      <c r="F3443" s="76">
        <v>1.6799999999999998E-5</v>
      </c>
      <c r="G3443" s="76">
        <v>4.4700000000000002E-5</v>
      </c>
      <c r="H3443" s="76">
        <v>1.54E-4</v>
      </c>
      <c r="I3443" s="76">
        <v>4.2799999999999997E-5</v>
      </c>
      <c r="J3443" s="76">
        <v>6.9300000000000004E-5</v>
      </c>
      <c r="K3443" s="76">
        <v>9.6199999999999994E-5</v>
      </c>
      <c r="L3443" s="76">
        <v>5.77E-5</v>
      </c>
      <c r="M3443" s="76">
        <v>1.4100000000000001E-4</v>
      </c>
    </row>
    <row r="3444" spans="3:13" x14ac:dyDescent="0.15">
      <c r="C3444" s="76">
        <v>724</v>
      </c>
      <c r="D3444" s="76">
        <v>2.1100000000000001E-5</v>
      </c>
      <c r="E3444" s="76">
        <v>1.1600000000000001E-5</v>
      </c>
      <c r="F3444" s="76">
        <v>5.3300000000000001E-5</v>
      </c>
      <c r="G3444" s="76">
        <v>5.8900000000000002E-5</v>
      </c>
      <c r="H3444" s="76">
        <v>1.2E-4</v>
      </c>
      <c r="I3444" s="76">
        <v>3.4600000000000001E-5</v>
      </c>
      <c r="J3444" s="76">
        <v>8.2000000000000001E-5</v>
      </c>
      <c r="K3444" s="76">
        <v>8.7999999999999998E-5</v>
      </c>
      <c r="L3444" s="76">
        <v>1.5300000000000001E-4</v>
      </c>
      <c r="M3444" s="76">
        <v>1.3899999999999999E-4</v>
      </c>
    </row>
    <row r="3445" spans="3:13" x14ac:dyDescent="0.15">
      <c r="C3445" s="76">
        <v>726</v>
      </c>
      <c r="D3445" s="76">
        <v>2.16E-5</v>
      </c>
      <c r="E3445" s="76">
        <v>8.6600000000000001E-6</v>
      </c>
      <c r="F3445" s="76">
        <v>1.2E-5</v>
      </c>
      <c r="G3445" s="76">
        <v>5.1199999999999998E-5</v>
      </c>
      <c r="H3445" s="76">
        <v>1.05E-4</v>
      </c>
      <c r="I3445" s="76">
        <v>6.3700000000000003E-5</v>
      </c>
      <c r="J3445" s="76">
        <v>6.0600000000000003E-5</v>
      </c>
      <c r="K3445" s="76">
        <v>6.97E-5</v>
      </c>
      <c r="L3445" s="76">
        <v>1.07E-4</v>
      </c>
      <c r="M3445" s="76">
        <v>1.01E-4</v>
      </c>
    </row>
    <row r="3446" spans="3:13" x14ac:dyDescent="0.15">
      <c r="C3446" s="76">
        <v>728</v>
      </c>
      <c r="D3446" s="76">
        <v>2.2399999999999999E-5</v>
      </c>
      <c r="E3446" s="76">
        <v>1.98E-5</v>
      </c>
      <c r="F3446" s="76">
        <v>9.5000000000000005E-6</v>
      </c>
      <c r="G3446" s="76">
        <v>3.7400000000000001E-5</v>
      </c>
      <c r="H3446" s="76">
        <v>1.2999999999999999E-4</v>
      </c>
      <c r="I3446" s="76">
        <v>5.1799999999999999E-5</v>
      </c>
      <c r="J3446" s="76">
        <v>7.3800000000000005E-5</v>
      </c>
      <c r="K3446" s="76">
        <v>1.13E-4</v>
      </c>
      <c r="L3446" s="76">
        <v>5.5999999999999999E-5</v>
      </c>
      <c r="M3446" s="76">
        <v>1.25E-4</v>
      </c>
    </row>
    <row r="3447" spans="3:13" x14ac:dyDescent="0.15">
      <c r="C3447" s="76">
        <v>730</v>
      </c>
      <c r="D3447" s="76">
        <v>2.0400000000000001E-5</v>
      </c>
      <c r="E3447" s="76">
        <v>2.65E-5</v>
      </c>
      <c r="F3447" s="76">
        <v>2.8E-5</v>
      </c>
      <c r="G3447" s="76">
        <v>4.74E-5</v>
      </c>
      <c r="H3447" s="76">
        <v>9.4599999999999996E-5</v>
      </c>
      <c r="I3447" s="76">
        <v>9.7200000000000001E-6</v>
      </c>
      <c r="J3447" s="76">
        <v>5.66E-5</v>
      </c>
      <c r="K3447" s="76">
        <v>5.9500000000000003E-5</v>
      </c>
      <c r="L3447" s="76">
        <v>1.37E-4</v>
      </c>
      <c r="M3447" s="76">
        <v>1.66E-4</v>
      </c>
    </row>
    <row r="3448" spans="3:13" x14ac:dyDescent="0.15">
      <c r="C3448" s="76">
        <v>732</v>
      </c>
      <c r="D3448" s="76">
        <v>2.5299999999999998E-5</v>
      </c>
      <c r="E3448" s="76">
        <v>3.0000000000000001E-5</v>
      </c>
      <c r="F3448" s="76">
        <v>9.0599999999999997E-6</v>
      </c>
      <c r="G3448" s="76">
        <v>2.7399999999999999E-5</v>
      </c>
      <c r="H3448" s="76">
        <v>6.3200000000000005E-5</v>
      </c>
      <c r="I3448" s="76">
        <v>2.23E-5</v>
      </c>
      <c r="J3448" s="76">
        <v>8.5599999999999994E-5</v>
      </c>
      <c r="K3448" s="76">
        <v>8.5500000000000005E-5</v>
      </c>
      <c r="L3448" s="76">
        <v>1.2899999999999999E-4</v>
      </c>
      <c r="M3448" s="76">
        <v>9.7700000000000003E-5</v>
      </c>
    </row>
    <row r="3449" spans="3:13" x14ac:dyDescent="0.15">
      <c r="C3449" s="76">
        <v>734</v>
      </c>
      <c r="D3449" s="76">
        <v>2.8200000000000001E-5</v>
      </c>
      <c r="E3449" s="76">
        <v>1.9300000000000002E-5</v>
      </c>
      <c r="F3449" s="76">
        <v>9.6600000000000007E-6</v>
      </c>
      <c r="G3449" s="76">
        <v>4.4400000000000002E-5</v>
      </c>
      <c r="H3449" s="76">
        <v>1.34E-4</v>
      </c>
      <c r="I3449" s="76">
        <v>8.4599999999999996E-5</v>
      </c>
      <c r="J3449" s="76">
        <v>5.0000000000000002E-5</v>
      </c>
      <c r="K3449" s="76">
        <v>7.1099999999999994E-5</v>
      </c>
      <c r="L3449" s="76">
        <v>1.4999999999999999E-4</v>
      </c>
      <c r="M3449" s="76">
        <v>1.3999999999999999E-4</v>
      </c>
    </row>
    <row r="3450" spans="3:13" x14ac:dyDescent="0.15">
      <c r="C3450" s="76">
        <v>736</v>
      </c>
      <c r="D3450" s="76">
        <v>2.97E-5</v>
      </c>
      <c r="E3450" s="76">
        <v>3.7200000000000003E-5</v>
      </c>
      <c r="F3450" s="76">
        <v>1.7900000000000001E-5</v>
      </c>
      <c r="G3450" s="76">
        <v>3.2400000000000001E-5</v>
      </c>
      <c r="H3450" s="76">
        <v>1.03E-4</v>
      </c>
      <c r="I3450" s="76">
        <v>1.7799999999999999E-5</v>
      </c>
      <c r="J3450" s="76">
        <v>4.4199999999999997E-5</v>
      </c>
      <c r="K3450" s="76">
        <v>5.5600000000000003E-5</v>
      </c>
      <c r="L3450" s="76">
        <v>1.8200000000000001E-4</v>
      </c>
      <c r="M3450" s="76">
        <v>1.36E-4</v>
      </c>
    </row>
    <row r="3451" spans="3:13" x14ac:dyDescent="0.15">
      <c r="C3451" s="76">
        <v>738</v>
      </c>
      <c r="D3451" s="76">
        <v>2.4199999999999999E-5</v>
      </c>
      <c r="E3451" s="76">
        <v>4.2200000000000003E-5</v>
      </c>
      <c r="F3451" s="76">
        <v>2.8E-5</v>
      </c>
      <c r="G3451" s="76">
        <v>4.1199999999999999E-5</v>
      </c>
      <c r="H3451" s="76">
        <v>5.9200000000000002E-5</v>
      </c>
      <c r="I3451" s="76">
        <v>4.46E-5</v>
      </c>
      <c r="J3451" s="76">
        <v>9.1899999999999998E-5</v>
      </c>
      <c r="K3451" s="76">
        <v>3.0800000000000003E-5</v>
      </c>
      <c r="L3451" s="76">
        <v>1.7899999999999999E-4</v>
      </c>
      <c r="M3451" s="76">
        <v>1.18E-4</v>
      </c>
    </row>
    <row r="3452" spans="3:13" x14ac:dyDescent="0.15">
      <c r="C3452" s="76">
        <v>740</v>
      </c>
      <c r="D3452" s="76">
        <v>2.37E-5</v>
      </c>
      <c r="E3452" s="76">
        <v>4.49E-5</v>
      </c>
      <c r="F3452" s="76">
        <v>6.0700000000000003E-6</v>
      </c>
      <c r="G3452" s="76">
        <v>7.5099999999999996E-5</v>
      </c>
      <c r="H3452" s="76">
        <v>5.1900000000000001E-5</v>
      </c>
      <c r="I3452" s="76">
        <v>4.6900000000000002E-5</v>
      </c>
      <c r="J3452" s="76">
        <v>8.3900000000000006E-5</v>
      </c>
      <c r="K3452" s="76">
        <v>6.7500000000000001E-5</v>
      </c>
      <c r="L3452" s="76">
        <v>1.7100000000000001E-4</v>
      </c>
      <c r="M3452" s="76">
        <v>7.8899999999999993E-5</v>
      </c>
    </row>
    <row r="3453" spans="3:13" x14ac:dyDescent="0.15">
      <c r="C3453" s="76">
        <v>742</v>
      </c>
      <c r="D3453" s="76">
        <v>1.8199999999999999E-5</v>
      </c>
      <c r="E3453" s="76">
        <v>2.6100000000000001E-5</v>
      </c>
      <c r="F3453" s="76">
        <v>2.1399999999999998E-5</v>
      </c>
      <c r="G3453" s="76">
        <v>4.5300000000000003E-5</v>
      </c>
      <c r="H3453" s="76">
        <v>5.5999999999999999E-5</v>
      </c>
      <c r="I3453" s="76">
        <v>6.8899999999999994E-5</v>
      </c>
      <c r="J3453" s="76">
        <v>9.0699999999999996E-5</v>
      </c>
      <c r="K3453" s="76">
        <v>8.6500000000000002E-6</v>
      </c>
      <c r="L3453" s="76">
        <v>1.21E-4</v>
      </c>
      <c r="M3453" s="76">
        <v>1.6799999999999999E-4</v>
      </c>
    </row>
    <row r="3454" spans="3:13" x14ac:dyDescent="0.15">
      <c r="C3454" s="76">
        <v>744</v>
      </c>
      <c r="D3454" s="76">
        <v>2.55E-5</v>
      </c>
      <c r="E3454" s="76">
        <v>3.9199999999999997E-5</v>
      </c>
      <c r="F3454" s="76">
        <v>3.2700000000000002E-5</v>
      </c>
      <c r="G3454" s="76">
        <v>4.8300000000000002E-5</v>
      </c>
      <c r="H3454" s="76">
        <v>5.2299999999999997E-5</v>
      </c>
      <c r="I3454" s="76">
        <v>4.7700000000000001E-5</v>
      </c>
      <c r="J3454" s="76">
        <v>1.27E-4</v>
      </c>
      <c r="K3454" s="76">
        <v>5.4700000000000001E-5</v>
      </c>
      <c r="L3454" s="76">
        <v>8.1299999999999997E-5</v>
      </c>
      <c r="M3454" s="76">
        <v>1.17E-4</v>
      </c>
    </row>
    <row r="3455" spans="3:13" x14ac:dyDescent="0.15">
      <c r="C3455" s="76">
        <v>746</v>
      </c>
      <c r="D3455" s="76">
        <v>2.5000000000000001E-5</v>
      </c>
      <c r="E3455" s="76">
        <v>5.7500000000000002E-5</v>
      </c>
      <c r="F3455" s="76">
        <v>2.83E-5</v>
      </c>
      <c r="G3455" s="76">
        <v>2.6299999999999999E-5</v>
      </c>
      <c r="H3455" s="76">
        <v>5.3000000000000001E-5</v>
      </c>
      <c r="I3455" s="76">
        <v>1.06E-4</v>
      </c>
      <c r="J3455" s="76">
        <v>1.2300000000000001E-4</v>
      </c>
      <c r="K3455" s="76">
        <v>1.1900000000000001E-4</v>
      </c>
      <c r="L3455" s="76">
        <v>1.25E-4</v>
      </c>
      <c r="M3455" s="76">
        <v>1.4200000000000001E-4</v>
      </c>
    </row>
    <row r="3456" spans="3:13" x14ac:dyDescent="0.15">
      <c r="C3456" s="76">
        <v>748</v>
      </c>
      <c r="D3456" s="76">
        <v>2.1699999999999999E-5</v>
      </c>
      <c r="E3456" s="76">
        <v>4.4400000000000002E-5</v>
      </c>
      <c r="F3456" s="76">
        <v>4.1699999999999997E-5</v>
      </c>
      <c r="G3456" s="76">
        <v>5.4200000000000003E-5</v>
      </c>
      <c r="H3456" s="76">
        <v>3.7200000000000003E-5</v>
      </c>
      <c r="I3456" s="76">
        <v>8.7000000000000001E-5</v>
      </c>
      <c r="J3456" s="76">
        <v>1.44E-4</v>
      </c>
      <c r="K3456" s="76">
        <v>1.4300000000000001E-4</v>
      </c>
      <c r="L3456" s="76">
        <v>9.6199999999999994E-5</v>
      </c>
      <c r="M3456" s="76">
        <v>1.64E-4</v>
      </c>
    </row>
    <row r="3457" spans="3:13" x14ac:dyDescent="0.15">
      <c r="C3457" s="76">
        <v>750</v>
      </c>
      <c r="D3457" s="76">
        <v>2.02E-5</v>
      </c>
      <c r="E3457" s="76">
        <v>3.6900000000000002E-5</v>
      </c>
      <c r="F3457" s="76">
        <v>3.3500000000000001E-5</v>
      </c>
      <c r="G3457" s="76">
        <v>3.6999999999999998E-5</v>
      </c>
      <c r="H3457" s="76">
        <v>2.4199999999999999E-5</v>
      </c>
      <c r="I3457" s="76">
        <v>5.3900000000000002E-5</v>
      </c>
      <c r="J3457" s="76">
        <v>1.02E-4</v>
      </c>
      <c r="K3457" s="76">
        <v>9.3700000000000001E-5</v>
      </c>
      <c r="L3457" s="76">
        <v>8.9400000000000005E-5</v>
      </c>
      <c r="M3457" s="76">
        <v>1.44E-4</v>
      </c>
    </row>
    <row r="3458" spans="3:13" x14ac:dyDescent="0.15">
      <c r="C3458" s="76">
        <v>752</v>
      </c>
      <c r="D3458" s="76">
        <v>2.3600000000000001E-5</v>
      </c>
      <c r="E3458" s="76">
        <v>3.7700000000000002E-5</v>
      </c>
      <c r="F3458" s="76">
        <v>1.8499999999999999E-5</v>
      </c>
      <c r="G3458" s="76">
        <v>6.9900000000000005E-5</v>
      </c>
      <c r="H3458" s="76">
        <v>4.3800000000000001E-5</v>
      </c>
      <c r="I3458" s="76">
        <v>9.0699999999999996E-5</v>
      </c>
      <c r="J3458" s="76">
        <v>1.2999999999999999E-4</v>
      </c>
      <c r="K3458" s="76">
        <v>9.2899999999999995E-5</v>
      </c>
      <c r="L3458" s="76">
        <v>2.0699999999999999E-4</v>
      </c>
      <c r="M3458" s="76">
        <v>1.9000000000000001E-4</v>
      </c>
    </row>
    <row r="3459" spans="3:13" x14ac:dyDescent="0.15">
      <c r="C3459" s="76">
        <v>754</v>
      </c>
      <c r="D3459" s="76">
        <v>2.2900000000000001E-5</v>
      </c>
      <c r="E3459" s="76">
        <v>3.2400000000000001E-5</v>
      </c>
      <c r="F3459" s="76">
        <v>4.8699999999999998E-5</v>
      </c>
      <c r="G3459" s="76">
        <v>8.3100000000000001E-5</v>
      </c>
      <c r="H3459" s="76">
        <v>2.51E-5</v>
      </c>
      <c r="I3459" s="76">
        <v>1.47E-4</v>
      </c>
      <c r="J3459" s="76">
        <v>1.37E-4</v>
      </c>
      <c r="K3459" s="76">
        <v>1.16E-4</v>
      </c>
      <c r="L3459" s="76">
        <v>1.7699999999999999E-4</v>
      </c>
      <c r="M3459" s="76">
        <v>1.9799999999999999E-4</v>
      </c>
    </row>
    <row r="3460" spans="3:13" x14ac:dyDescent="0.15">
      <c r="C3460" s="76">
        <v>756</v>
      </c>
      <c r="D3460" s="76">
        <v>2.12E-5</v>
      </c>
      <c r="E3460" s="76">
        <v>2.6800000000000001E-5</v>
      </c>
      <c r="F3460" s="76">
        <v>4.1399999999999997E-5</v>
      </c>
      <c r="G3460" s="76">
        <v>1.35E-4</v>
      </c>
      <c r="H3460" s="76">
        <v>1.33E-5</v>
      </c>
      <c r="I3460" s="76">
        <v>1.2999999999999999E-4</v>
      </c>
      <c r="J3460" s="76">
        <v>1.65E-4</v>
      </c>
      <c r="K3460" s="76">
        <v>9.4500000000000007E-5</v>
      </c>
      <c r="L3460" s="76">
        <v>1.7899999999999999E-4</v>
      </c>
      <c r="M3460" s="76">
        <v>1.5300000000000001E-4</v>
      </c>
    </row>
    <row r="3461" spans="3:13" x14ac:dyDescent="0.15">
      <c r="C3461" s="76">
        <v>758</v>
      </c>
      <c r="D3461" s="76">
        <v>2.1500000000000001E-5</v>
      </c>
      <c r="E3461" s="76">
        <v>3.3200000000000001E-5</v>
      </c>
      <c r="F3461" s="76">
        <v>2.8900000000000001E-5</v>
      </c>
      <c r="G3461" s="76">
        <v>7.47E-5</v>
      </c>
      <c r="H3461" s="76">
        <v>2.0100000000000001E-5</v>
      </c>
      <c r="I3461" s="76">
        <v>1.1900000000000001E-4</v>
      </c>
      <c r="J3461" s="76">
        <v>1.8799999999999999E-4</v>
      </c>
      <c r="K3461" s="76">
        <v>2.3599999999999999E-4</v>
      </c>
      <c r="L3461" s="76">
        <v>1.37E-4</v>
      </c>
      <c r="M3461" s="76">
        <v>2.5900000000000001E-4</v>
      </c>
    </row>
    <row r="3462" spans="3:13" x14ac:dyDescent="0.15">
      <c r="C3462" s="76">
        <v>760</v>
      </c>
      <c r="D3462" s="76">
        <v>1.0499999999999999E-5</v>
      </c>
      <c r="E3462" s="76">
        <v>2.8E-5</v>
      </c>
      <c r="F3462" s="76">
        <v>3.5099999999999999E-5</v>
      </c>
      <c r="G3462" s="76">
        <v>5.3699999999999997E-5</v>
      </c>
      <c r="H3462" s="76">
        <v>3.3899999999999997E-5</v>
      </c>
      <c r="I3462" s="76">
        <v>1.3799999999999999E-4</v>
      </c>
      <c r="J3462" s="76">
        <v>1.47E-4</v>
      </c>
      <c r="K3462" s="76">
        <v>2.3900000000000001E-4</v>
      </c>
      <c r="L3462" s="76">
        <v>1.15E-4</v>
      </c>
      <c r="M3462" s="76">
        <v>2.5500000000000002E-4</v>
      </c>
    </row>
    <row r="3463" spans="3:13" x14ac:dyDescent="0.15">
      <c r="C3463" s="76">
        <v>762</v>
      </c>
      <c r="D3463" s="76">
        <v>2.3799999999999999E-5</v>
      </c>
      <c r="E3463" s="76">
        <v>2.7900000000000001E-5</v>
      </c>
      <c r="F3463" s="76">
        <v>5.1E-5</v>
      </c>
      <c r="G3463" s="76">
        <v>6.58E-5</v>
      </c>
      <c r="H3463" s="76">
        <v>3.4499999999999998E-5</v>
      </c>
      <c r="I3463" s="76">
        <v>1.85E-4</v>
      </c>
      <c r="J3463" s="76">
        <v>1.54E-4</v>
      </c>
      <c r="K3463" s="76">
        <v>2.1699999999999999E-4</v>
      </c>
      <c r="L3463" s="76">
        <v>1.5300000000000001E-4</v>
      </c>
      <c r="M3463" s="76">
        <v>1.83E-4</v>
      </c>
    </row>
    <row r="3464" spans="3:13" x14ac:dyDescent="0.15">
      <c r="C3464" s="76">
        <v>764</v>
      </c>
      <c r="D3464" s="76">
        <v>1.7399999999999999E-5</v>
      </c>
      <c r="E3464" s="76">
        <v>3.9900000000000001E-5</v>
      </c>
      <c r="F3464" s="76">
        <v>4.3900000000000003E-5</v>
      </c>
      <c r="G3464" s="76">
        <v>4.8300000000000002E-5</v>
      </c>
      <c r="H3464" s="76">
        <v>9.2399999999999996E-6</v>
      </c>
      <c r="I3464" s="76">
        <v>1.8200000000000001E-4</v>
      </c>
      <c r="J3464" s="76">
        <v>1.7000000000000001E-4</v>
      </c>
      <c r="K3464" s="76">
        <v>2.0599999999999999E-4</v>
      </c>
      <c r="L3464" s="76">
        <v>3.1399999999999998E-5</v>
      </c>
      <c r="M3464" s="76">
        <v>3.7599999999999998E-4</v>
      </c>
    </row>
    <row r="3465" spans="3:13" x14ac:dyDescent="0.15">
      <c r="C3465" s="76">
        <v>766</v>
      </c>
      <c r="D3465" s="76">
        <v>1.84E-5</v>
      </c>
      <c r="E3465" s="76">
        <v>4.3399999999999998E-5</v>
      </c>
      <c r="F3465" s="76">
        <v>5.8199999999999998E-5</v>
      </c>
      <c r="G3465" s="76">
        <v>6.4900000000000005E-5</v>
      </c>
      <c r="H3465" s="76">
        <v>1.43E-5</v>
      </c>
      <c r="I3465" s="76">
        <v>1.3899999999999999E-4</v>
      </c>
      <c r="J3465" s="76">
        <v>2.1100000000000001E-4</v>
      </c>
      <c r="K3465" s="76">
        <v>1.8100000000000001E-4</v>
      </c>
      <c r="L3465" s="76">
        <v>7.8200000000000003E-5</v>
      </c>
      <c r="M3465" s="76">
        <v>3.3E-4</v>
      </c>
    </row>
    <row r="3466" spans="3:13" x14ac:dyDescent="0.15">
      <c r="C3466" s="76">
        <v>768</v>
      </c>
      <c r="D3466" s="76">
        <v>1.3900000000000001E-5</v>
      </c>
      <c r="E3466" s="76">
        <v>3.2400000000000001E-5</v>
      </c>
      <c r="F3466" s="76">
        <v>5.6700000000000003E-5</v>
      </c>
      <c r="G3466" s="76">
        <v>5.94E-5</v>
      </c>
      <c r="H3466" s="76">
        <v>7.1199999999999996E-5</v>
      </c>
      <c r="I3466" s="76">
        <v>1.2300000000000001E-4</v>
      </c>
      <c r="J3466" s="76">
        <v>1.4999999999999999E-4</v>
      </c>
      <c r="K3466" s="76">
        <v>1.55E-4</v>
      </c>
      <c r="L3466" s="76">
        <v>2.6400000000000001E-5</v>
      </c>
      <c r="M3466" s="76">
        <v>3.1500000000000001E-4</v>
      </c>
    </row>
    <row r="3467" spans="3:13" x14ac:dyDescent="0.15">
      <c r="C3467" s="76">
        <v>770</v>
      </c>
      <c r="D3467" s="76">
        <v>1.11E-5</v>
      </c>
      <c r="E3467" s="76">
        <v>4.2299999999999998E-5</v>
      </c>
      <c r="F3467" s="76">
        <v>5.41E-5</v>
      </c>
      <c r="G3467" s="76">
        <v>5.0399999999999999E-5</v>
      </c>
      <c r="H3467" s="76">
        <v>2.51E-5</v>
      </c>
      <c r="I3467" s="76">
        <v>1.9900000000000001E-4</v>
      </c>
      <c r="J3467" s="76">
        <v>1.5699999999999999E-4</v>
      </c>
      <c r="K3467" s="76">
        <v>1.5100000000000001E-4</v>
      </c>
      <c r="L3467" s="76">
        <v>3.8899999999999997E-5</v>
      </c>
      <c r="M3467" s="76">
        <v>2.5799999999999998E-4</v>
      </c>
    </row>
    <row r="3468" spans="3:13" x14ac:dyDescent="0.15">
      <c r="C3468" s="76">
        <v>772</v>
      </c>
      <c r="D3468" s="76">
        <v>1.5800000000000001E-5</v>
      </c>
      <c r="E3468" s="76">
        <v>4.7599999999999998E-5</v>
      </c>
      <c r="F3468" s="76">
        <v>5.4400000000000001E-5</v>
      </c>
      <c r="G3468" s="76">
        <v>5.4700000000000001E-5</v>
      </c>
      <c r="H3468" s="76">
        <v>7.7299999999999995E-5</v>
      </c>
      <c r="I3468" s="76">
        <v>1.1E-4</v>
      </c>
      <c r="J3468" s="76">
        <v>1.08E-4</v>
      </c>
      <c r="K3468" s="76">
        <v>2.1499999999999999E-4</v>
      </c>
      <c r="L3468" s="76">
        <v>4.8000000000000001E-5</v>
      </c>
      <c r="M3468" s="76">
        <v>2.9E-4</v>
      </c>
    </row>
    <row r="3469" spans="3:13" x14ac:dyDescent="0.15">
      <c r="C3469" s="76">
        <v>774</v>
      </c>
      <c r="D3469" s="76">
        <v>1.45E-5</v>
      </c>
      <c r="E3469" s="76">
        <v>3.6399999999999997E-5</v>
      </c>
      <c r="F3469" s="76">
        <v>4.8000000000000001E-5</v>
      </c>
      <c r="G3469" s="76">
        <v>6.6000000000000005E-5</v>
      </c>
      <c r="H3469" s="76">
        <v>9.87E-5</v>
      </c>
      <c r="I3469" s="76">
        <v>1.3999999999999999E-4</v>
      </c>
      <c r="J3469" s="76">
        <v>1.06E-4</v>
      </c>
      <c r="K3469" s="76">
        <v>2.1900000000000001E-4</v>
      </c>
      <c r="L3469" s="76">
        <v>2.23E-5</v>
      </c>
      <c r="M3469" s="76">
        <v>1.9599999999999999E-4</v>
      </c>
    </row>
    <row r="3470" spans="3:13" x14ac:dyDescent="0.15">
      <c r="C3470" s="76">
        <v>776</v>
      </c>
      <c r="D3470" s="76">
        <v>6.28E-6</v>
      </c>
      <c r="E3470" s="76">
        <v>2.3300000000000001E-5</v>
      </c>
      <c r="F3470" s="76">
        <v>4.9400000000000001E-5</v>
      </c>
      <c r="G3470" s="76">
        <v>5.2599999999999998E-5</v>
      </c>
      <c r="H3470" s="76">
        <v>9.48E-5</v>
      </c>
      <c r="I3470" s="76">
        <v>1.0900000000000001E-4</v>
      </c>
      <c r="J3470" s="76">
        <v>1.2899999999999999E-4</v>
      </c>
      <c r="K3470" s="76">
        <v>2.6499999999999999E-4</v>
      </c>
      <c r="L3470" s="76">
        <v>4.5600000000000004E-6</v>
      </c>
      <c r="M3470" s="76">
        <v>2.5099999999999998E-4</v>
      </c>
    </row>
    <row r="3471" spans="3:13" x14ac:dyDescent="0.15">
      <c r="C3471" s="76">
        <v>778</v>
      </c>
      <c r="D3471" s="76">
        <v>3.3900000000000002E-6</v>
      </c>
      <c r="E3471" s="76">
        <v>9.4399999999999994E-6</v>
      </c>
      <c r="F3471" s="76">
        <v>6.6400000000000001E-5</v>
      </c>
      <c r="G3471" s="76">
        <v>8.4599999999999996E-5</v>
      </c>
      <c r="H3471" s="76">
        <v>8.2399999999999997E-5</v>
      </c>
      <c r="I3471" s="76">
        <v>1.8599999999999999E-4</v>
      </c>
      <c r="J3471" s="76">
        <v>1.56E-4</v>
      </c>
      <c r="K3471" s="76">
        <v>2.05E-4</v>
      </c>
      <c r="L3471" s="76">
        <v>1.8E-5</v>
      </c>
      <c r="M3471" s="76">
        <v>2.7999999999999998E-4</v>
      </c>
    </row>
    <row r="3472" spans="3:13" x14ac:dyDescent="0.15">
      <c r="C3472" s="76">
        <v>780</v>
      </c>
      <c r="D3472" s="76">
        <v>3.3000000000000002E-6</v>
      </c>
      <c r="E3472" s="120">
        <v>2.9099999999999999E-5</v>
      </c>
      <c r="F3472" s="76">
        <v>7.1699999999999995E-5</v>
      </c>
      <c r="G3472" s="76">
        <v>2.2399999999999999E-5</v>
      </c>
      <c r="H3472" s="76">
        <v>1.26E-4</v>
      </c>
      <c r="I3472" s="76">
        <v>1.5799999999999999E-4</v>
      </c>
      <c r="J3472" s="76">
        <v>1.07E-4</v>
      </c>
      <c r="K3472" s="76">
        <v>2.5399999999999999E-4</v>
      </c>
      <c r="L3472" s="76">
        <v>0</v>
      </c>
      <c r="M3472" s="76">
        <v>2.63E-4</v>
      </c>
    </row>
    <row r="3473" spans="2:13" x14ac:dyDescent="0.15">
      <c r="B3473" s="76">
        <v>42</v>
      </c>
      <c r="C3473" s="76" t="s">
        <v>561</v>
      </c>
      <c r="D3473" s="76">
        <v>1</v>
      </c>
      <c r="E3473" s="76">
        <v>2</v>
      </c>
      <c r="F3473" s="76">
        <v>3</v>
      </c>
      <c r="G3473" s="76">
        <v>4</v>
      </c>
      <c r="H3473" s="76">
        <v>5</v>
      </c>
      <c r="I3473" s="76">
        <v>6</v>
      </c>
      <c r="J3473" s="76">
        <v>7</v>
      </c>
      <c r="K3473" s="76">
        <v>8</v>
      </c>
      <c r="L3473" s="76">
        <v>9</v>
      </c>
      <c r="M3473" s="76">
        <v>10</v>
      </c>
    </row>
    <row r="3474" spans="2:13" x14ac:dyDescent="0.15">
      <c r="C3474" s="76" t="s">
        <v>556</v>
      </c>
      <c r="D3474" s="76">
        <v>3.5710000000000002</v>
      </c>
      <c r="E3474" s="76">
        <v>3.71</v>
      </c>
      <c r="F3474" s="76">
        <v>3.8090000000000002</v>
      </c>
      <c r="G3474" s="76">
        <v>3.8889999999999998</v>
      </c>
      <c r="H3474" s="76">
        <v>3.96</v>
      </c>
      <c r="I3474" s="76">
        <v>4.0229999999999997</v>
      </c>
      <c r="J3474" s="76">
        <v>4.08</v>
      </c>
      <c r="K3474" s="76">
        <v>4.133</v>
      </c>
      <c r="L3474" s="76">
        <v>4.1820000000000004</v>
      </c>
      <c r="M3474" s="76">
        <v>4.2279999999999998</v>
      </c>
    </row>
    <row r="3475" spans="2:13" x14ac:dyDescent="0.15">
      <c r="C3475" s="76" t="s">
        <v>562</v>
      </c>
      <c r="D3475" s="76">
        <v>0.08</v>
      </c>
      <c r="E3475" s="76">
        <v>0.16</v>
      </c>
      <c r="F3475" s="76">
        <v>0.24</v>
      </c>
      <c r="G3475" s="76">
        <v>0.32</v>
      </c>
      <c r="H3475" s="76">
        <v>0.4</v>
      </c>
      <c r="I3475" s="76">
        <v>0.48</v>
      </c>
      <c r="J3475" s="76">
        <v>0.56000000000000005</v>
      </c>
      <c r="K3475" s="76">
        <v>0.64</v>
      </c>
      <c r="L3475" s="76">
        <v>0.72</v>
      </c>
      <c r="M3475" s="76">
        <v>0.8</v>
      </c>
    </row>
    <row r="3476" spans="2:13" x14ac:dyDescent="0.15">
      <c r="C3476" s="76" t="s">
        <v>557</v>
      </c>
      <c r="D3476" s="76">
        <v>2</v>
      </c>
      <c r="E3476" s="76">
        <v>4</v>
      </c>
      <c r="F3476" s="76">
        <v>6</v>
      </c>
      <c r="G3476" s="76">
        <v>8</v>
      </c>
      <c r="H3476" s="76">
        <v>10</v>
      </c>
      <c r="I3476" s="76">
        <v>12</v>
      </c>
      <c r="J3476" s="76">
        <v>14</v>
      </c>
      <c r="K3476" s="76">
        <v>16</v>
      </c>
      <c r="L3476" s="76">
        <v>18</v>
      </c>
      <c r="M3476" s="76">
        <v>20</v>
      </c>
    </row>
    <row r="3477" spans="2:13" x14ac:dyDescent="0.15">
      <c r="C3477" s="76" t="s">
        <v>560</v>
      </c>
      <c r="D3477" s="76">
        <v>8.2989999999999995</v>
      </c>
      <c r="E3477" s="76">
        <v>8.4740000000000002</v>
      </c>
      <c r="F3477" s="76">
        <v>8.4830000000000005</v>
      </c>
      <c r="G3477" s="76">
        <v>8.4890000000000008</v>
      </c>
      <c r="H3477" s="76">
        <v>8.4779999999999998</v>
      </c>
      <c r="I3477" s="76">
        <v>8.4659999999999993</v>
      </c>
      <c r="J3477" s="76">
        <v>8.4499999999999993</v>
      </c>
      <c r="K3477" s="76">
        <v>8.4309999999999992</v>
      </c>
      <c r="L3477" s="76">
        <v>8.4109999999999996</v>
      </c>
      <c r="M3477" s="76">
        <v>8.3849999999999998</v>
      </c>
    </row>
    <row r="3478" spans="2:13" x14ac:dyDescent="0.15">
      <c r="C3478" s="76" t="s">
        <v>563</v>
      </c>
      <c r="D3478" s="76">
        <v>7.3005050000000002</v>
      </c>
      <c r="E3478" s="76">
        <v>7.1753770000000001</v>
      </c>
      <c r="F3478" s="76">
        <v>6.9974509999999999</v>
      </c>
      <c r="G3478" s="76">
        <v>6.857386</v>
      </c>
      <c r="H3478" s="76">
        <v>6.7260119999999999</v>
      </c>
      <c r="I3478" s="76">
        <v>6.6112770000000003</v>
      </c>
      <c r="J3478" s="76">
        <v>6.5056159999999998</v>
      </c>
      <c r="K3478" s="76">
        <v>6.4082520000000001</v>
      </c>
      <c r="L3478" s="76">
        <v>6.318289</v>
      </c>
      <c r="M3478" s="76">
        <v>6.2298609999999996</v>
      </c>
    </row>
    <row r="3479" spans="2:13" x14ac:dyDescent="0.15">
      <c r="C3479" s="76" t="s">
        <v>564</v>
      </c>
      <c r="D3479" s="76">
        <v>166</v>
      </c>
      <c r="E3479" s="76">
        <v>339</v>
      </c>
      <c r="F3479" s="76">
        <v>509</v>
      </c>
      <c r="G3479" s="76">
        <v>679.2</v>
      </c>
      <c r="H3479" s="120">
        <v>847.9</v>
      </c>
      <c r="I3479" s="76">
        <v>1016</v>
      </c>
      <c r="J3479" s="76">
        <v>1183</v>
      </c>
      <c r="K3479" s="76">
        <v>1349</v>
      </c>
      <c r="L3479" s="76">
        <v>1514</v>
      </c>
      <c r="M3479" s="76">
        <v>1677</v>
      </c>
    </row>
    <row r="3480" spans="2:13" x14ac:dyDescent="0.15">
      <c r="C3480" s="76" t="s">
        <v>565</v>
      </c>
      <c r="D3480" s="76">
        <v>166</v>
      </c>
      <c r="E3480" s="76">
        <v>339</v>
      </c>
      <c r="F3480" s="76">
        <v>509</v>
      </c>
      <c r="G3480" s="76">
        <v>679.2</v>
      </c>
      <c r="H3480" s="120">
        <v>847.9</v>
      </c>
      <c r="I3480" s="76">
        <v>1016</v>
      </c>
      <c r="J3480" s="76">
        <v>1183</v>
      </c>
      <c r="K3480" s="76">
        <v>1349</v>
      </c>
      <c r="L3480" s="76">
        <v>1514</v>
      </c>
      <c r="M3480" s="76">
        <v>1677</v>
      </c>
    </row>
    <row r="3481" spans="2:13" x14ac:dyDescent="0.15">
      <c r="C3481" s="76" t="s">
        <v>566</v>
      </c>
      <c r="D3481" s="76">
        <v>0.13539999999999999</v>
      </c>
      <c r="E3481" s="76">
        <v>0.13519999999999999</v>
      </c>
      <c r="F3481" s="76">
        <v>0.1351</v>
      </c>
      <c r="G3481" s="76">
        <v>0.13519999999999999</v>
      </c>
      <c r="H3481" s="120">
        <v>0.13519999999999999</v>
      </c>
      <c r="I3481" s="76">
        <v>0.1353</v>
      </c>
      <c r="J3481" s="76">
        <v>0.13519999999999999</v>
      </c>
      <c r="K3481" s="76">
        <v>0.13519999999999999</v>
      </c>
      <c r="L3481" s="76">
        <v>0.13519999999999999</v>
      </c>
      <c r="M3481" s="76">
        <v>0.13519999999999999</v>
      </c>
    </row>
    <row r="3482" spans="2:13" x14ac:dyDescent="0.15">
      <c r="C3482" s="76" t="s">
        <v>567</v>
      </c>
      <c r="D3482" s="76">
        <v>0.11849999999999999</v>
      </c>
      <c r="E3482" s="76">
        <v>0.11840000000000001</v>
      </c>
      <c r="F3482" s="76">
        <v>0.1181</v>
      </c>
      <c r="G3482" s="76">
        <v>0.1182</v>
      </c>
      <c r="H3482" s="76">
        <v>0.1181</v>
      </c>
      <c r="I3482" s="76">
        <v>0.1181</v>
      </c>
      <c r="J3482" s="76">
        <v>0.11799999999999999</v>
      </c>
      <c r="K3482" s="76">
        <v>0.1179</v>
      </c>
      <c r="L3482" s="76">
        <v>0.1179</v>
      </c>
      <c r="M3482" s="76">
        <v>0.1178</v>
      </c>
    </row>
    <row r="3483" spans="2:13" x14ac:dyDescent="0.15">
      <c r="C3483" s="76" t="s">
        <v>568</v>
      </c>
      <c r="D3483" s="76">
        <v>9.1653000000000002</v>
      </c>
      <c r="E3483" s="76">
        <v>9.3613999999999997</v>
      </c>
      <c r="F3483" s="76">
        <v>9.3869000000000007</v>
      </c>
      <c r="G3483" s="76">
        <v>9.3963999999999999</v>
      </c>
      <c r="H3483" s="76">
        <v>9.3792000000000009</v>
      </c>
      <c r="I3483" s="76">
        <v>9.3671000000000006</v>
      </c>
      <c r="J3483" s="76">
        <v>9.3561999999999994</v>
      </c>
      <c r="K3483" s="76">
        <v>9.3460000000000001</v>
      </c>
      <c r="L3483" s="76">
        <v>9.3175000000000008</v>
      </c>
      <c r="M3483" s="76">
        <v>9.2990999999999993</v>
      </c>
    </row>
    <row r="3484" spans="2:13" x14ac:dyDescent="0.15">
      <c r="C3484" s="76" t="s">
        <v>569</v>
      </c>
    </row>
    <row r="3485" spans="2:13" x14ac:dyDescent="0.15">
      <c r="C3485" s="76" t="s">
        <v>570</v>
      </c>
      <c r="D3485" s="76">
        <v>4</v>
      </c>
      <c r="E3485" s="76">
        <v>4</v>
      </c>
      <c r="F3485" s="76">
        <v>4</v>
      </c>
      <c r="G3485" s="76">
        <v>4</v>
      </c>
      <c r="H3485" s="76">
        <v>4</v>
      </c>
      <c r="I3485" s="76">
        <v>4</v>
      </c>
      <c r="J3485" s="76">
        <v>4</v>
      </c>
      <c r="K3485" s="76">
        <v>4</v>
      </c>
      <c r="L3485" s="76">
        <v>4</v>
      </c>
      <c r="M3485" s="76">
        <v>4</v>
      </c>
    </row>
    <row r="3486" spans="2:13" x14ac:dyDescent="0.15">
      <c r="C3486" s="76" t="s">
        <v>571</v>
      </c>
      <c r="D3486" s="76">
        <v>100</v>
      </c>
      <c r="E3486" s="76">
        <v>100</v>
      </c>
      <c r="F3486" s="76">
        <v>100</v>
      </c>
      <c r="G3486" s="76">
        <v>100</v>
      </c>
      <c r="H3486" s="76">
        <v>100</v>
      </c>
      <c r="I3486" s="76">
        <v>100</v>
      </c>
      <c r="J3486" s="76">
        <v>100</v>
      </c>
      <c r="K3486" s="76">
        <v>100</v>
      </c>
      <c r="L3486" s="76">
        <v>100</v>
      </c>
      <c r="M3486" s="76">
        <v>100</v>
      </c>
    </row>
    <row r="3487" spans="2:13" x14ac:dyDescent="0.15">
      <c r="C3487" s="76" t="s">
        <v>572</v>
      </c>
      <c r="D3487" s="76" t="s">
        <v>574</v>
      </c>
      <c r="E3487" s="76" t="s">
        <v>574</v>
      </c>
      <c r="F3487" s="76" t="s">
        <v>574</v>
      </c>
      <c r="G3487" s="76" t="s">
        <v>574</v>
      </c>
      <c r="H3487" s="76" t="s">
        <v>574</v>
      </c>
      <c r="I3487" s="76" t="s">
        <v>574</v>
      </c>
      <c r="J3487" s="76" t="s">
        <v>574</v>
      </c>
      <c r="K3487" s="76" t="s">
        <v>574</v>
      </c>
      <c r="L3487" s="76" t="s">
        <v>574</v>
      </c>
      <c r="M3487" s="76" t="s">
        <v>574</v>
      </c>
    </row>
    <row r="3488" spans="2:13" x14ac:dyDescent="0.15">
      <c r="C3488" s="76" t="s">
        <v>573</v>
      </c>
      <c r="D3488" s="76">
        <v>1</v>
      </c>
      <c r="E3488" s="76">
        <v>2</v>
      </c>
      <c r="F3488" s="76">
        <v>3</v>
      </c>
      <c r="G3488" s="76">
        <v>4</v>
      </c>
      <c r="H3488" s="76">
        <v>5</v>
      </c>
      <c r="I3488" s="76">
        <v>6</v>
      </c>
      <c r="J3488" s="76">
        <v>7</v>
      </c>
      <c r="K3488" s="76">
        <v>8</v>
      </c>
      <c r="L3488" s="76">
        <v>9</v>
      </c>
      <c r="M3488" s="76">
        <v>10</v>
      </c>
    </row>
    <row r="3489" spans="3:13" x14ac:dyDescent="0.15">
      <c r="C3489" s="76">
        <v>380</v>
      </c>
      <c r="D3489" s="76">
        <v>9.48E-5</v>
      </c>
      <c r="E3489" s="76">
        <v>4.17E-4</v>
      </c>
      <c r="F3489" s="76">
        <v>3.8900000000000002E-4</v>
      </c>
      <c r="G3489" s="76">
        <v>1.9000000000000001E-4</v>
      </c>
      <c r="H3489" s="76">
        <v>4.6200000000000001E-4</v>
      </c>
      <c r="I3489" s="76">
        <v>8.2600000000000002E-4</v>
      </c>
      <c r="J3489" s="76">
        <v>9.1200000000000005E-4</v>
      </c>
      <c r="K3489" s="76">
        <v>1.2099999999999999E-3</v>
      </c>
      <c r="L3489" s="76">
        <v>1.75E-3</v>
      </c>
      <c r="M3489" s="76">
        <v>3.3400000000000001E-3</v>
      </c>
    </row>
    <row r="3490" spans="3:13" x14ac:dyDescent="0.15">
      <c r="C3490" s="76">
        <v>382</v>
      </c>
      <c r="D3490" s="76">
        <v>7.6100000000000007E-5</v>
      </c>
      <c r="E3490" s="76">
        <v>2.9100000000000003E-4</v>
      </c>
      <c r="F3490" s="76">
        <v>3.2600000000000001E-4</v>
      </c>
      <c r="G3490" s="76">
        <v>2.14E-4</v>
      </c>
      <c r="H3490" s="76">
        <v>4.08E-4</v>
      </c>
      <c r="I3490" s="76">
        <v>9.3700000000000001E-4</v>
      </c>
      <c r="J3490" s="76">
        <v>6.5099999999999999E-4</v>
      </c>
      <c r="K3490" s="76">
        <v>1.4599999999999999E-3</v>
      </c>
      <c r="L3490" s="76">
        <v>1.4300000000000001E-3</v>
      </c>
      <c r="M3490" s="76">
        <v>1.6999999999999999E-3</v>
      </c>
    </row>
    <row r="3491" spans="3:13" x14ac:dyDescent="0.15">
      <c r="C3491" s="76">
        <v>384</v>
      </c>
      <c r="D3491" s="76">
        <v>8.9099999999999997E-5</v>
      </c>
      <c r="E3491" s="76">
        <v>3.3199999999999999E-4</v>
      </c>
      <c r="F3491" s="76">
        <v>4.2000000000000002E-4</v>
      </c>
      <c r="G3491" s="76">
        <v>2.1900000000000001E-4</v>
      </c>
      <c r="H3491" s="76">
        <v>4.17E-4</v>
      </c>
      <c r="I3491" s="76">
        <v>7.7800000000000005E-4</v>
      </c>
      <c r="J3491" s="76">
        <v>8.3100000000000003E-4</v>
      </c>
      <c r="K3491" s="76">
        <v>1.23E-3</v>
      </c>
      <c r="L3491" s="76">
        <v>1.32E-3</v>
      </c>
      <c r="M3491" s="76">
        <v>1.8699999999999999E-3</v>
      </c>
    </row>
    <row r="3492" spans="3:13" x14ac:dyDescent="0.15">
      <c r="C3492" s="76">
        <v>386</v>
      </c>
      <c r="D3492" s="76">
        <v>1.1900000000000001E-4</v>
      </c>
      <c r="E3492" s="76">
        <v>3.3399999999999999E-4</v>
      </c>
      <c r="F3492" s="76">
        <v>3.6200000000000002E-4</v>
      </c>
      <c r="G3492" s="76">
        <v>2.7900000000000001E-4</v>
      </c>
      <c r="H3492" s="76">
        <v>4.17E-4</v>
      </c>
      <c r="I3492" s="76">
        <v>7.4399999999999998E-4</v>
      </c>
      <c r="J3492" s="76">
        <v>1E-3</v>
      </c>
      <c r="K3492" s="76">
        <v>1.07E-3</v>
      </c>
      <c r="L3492" s="76">
        <v>1.24E-3</v>
      </c>
      <c r="M3492" s="76">
        <v>1.4300000000000001E-3</v>
      </c>
    </row>
    <row r="3493" spans="3:13" x14ac:dyDescent="0.15">
      <c r="C3493" s="76">
        <v>388</v>
      </c>
      <c r="D3493" s="76">
        <v>1.03E-4</v>
      </c>
      <c r="E3493" s="76">
        <v>3.0800000000000001E-4</v>
      </c>
      <c r="F3493" s="76">
        <v>3.48E-4</v>
      </c>
      <c r="G3493" s="76">
        <v>3.6999999999999999E-4</v>
      </c>
      <c r="H3493" s="76">
        <v>3.9199999999999999E-4</v>
      </c>
      <c r="I3493" s="76">
        <v>7.0399999999999998E-4</v>
      </c>
      <c r="J3493" s="76">
        <v>1.15E-3</v>
      </c>
      <c r="K3493" s="76">
        <v>1E-3</v>
      </c>
      <c r="L3493" s="76">
        <v>1.0499999999999999E-3</v>
      </c>
      <c r="M3493" s="76">
        <v>1.39E-3</v>
      </c>
    </row>
    <row r="3494" spans="3:13" x14ac:dyDescent="0.15">
      <c r="C3494" s="76">
        <v>390</v>
      </c>
      <c r="D3494" s="76">
        <v>1.1E-4</v>
      </c>
      <c r="E3494" s="76">
        <v>3.0800000000000001E-4</v>
      </c>
      <c r="F3494" s="76">
        <v>3.59E-4</v>
      </c>
      <c r="G3494" s="76">
        <v>4.46E-4</v>
      </c>
      <c r="H3494" s="76">
        <v>2.8299999999999999E-4</v>
      </c>
      <c r="I3494" s="76">
        <v>7.1000000000000002E-4</v>
      </c>
      <c r="J3494" s="76">
        <v>9.1E-4</v>
      </c>
      <c r="K3494" s="76">
        <v>8.8099999999999995E-4</v>
      </c>
      <c r="L3494" s="76">
        <v>8.3699999999999996E-4</v>
      </c>
      <c r="M3494" s="76">
        <v>9.9200000000000004E-4</v>
      </c>
    </row>
    <row r="3495" spans="3:13" x14ac:dyDescent="0.15">
      <c r="C3495" s="76">
        <v>392</v>
      </c>
      <c r="D3495" s="76">
        <v>1.11E-4</v>
      </c>
      <c r="E3495" s="76">
        <v>2.5000000000000001E-4</v>
      </c>
      <c r="F3495" s="76">
        <v>4.1300000000000001E-4</v>
      </c>
      <c r="G3495" s="76">
        <v>3.8400000000000001E-4</v>
      </c>
      <c r="H3495" s="76">
        <v>3.9599999999999998E-4</v>
      </c>
      <c r="I3495" s="76">
        <v>5.3600000000000002E-4</v>
      </c>
      <c r="J3495" s="76">
        <v>8.1599999999999999E-4</v>
      </c>
      <c r="K3495" s="76">
        <v>1.0300000000000001E-3</v>
      </c>
      <c r="L3495" s="76">
        <v>7.5600000000000005E-4</v>
      </c>
      <c r="M3495" s="76">
        <v>1.2999999999999999E-3</v>
      </c>
    </row>
    <row r="3496" spans="3:13" x14ac:dyDescent="0.15">
      <c r="C3496" s="76">
        <v>394</v>
      </c>
      <c r="D3496" s="76">
        <v>1.1400000000000001E-4</v>
      </c>
      <c r="E3496" s="76">
        <v>2.6499999999999999E-4</v>
      </c>
      <c r="F3496" s="76">
        <v>2.9799999999999998E-4</v>
      </c>
      <c r="G3496" s="76">
        <v>4.8200000000000001E-4</v>
      </c>
      <c r="H3496" s="76">
        <v>3.5199999999999999E-4</v>
      </c>
      <c r="I3496" s="76">
        <v>6.5399999999999996E-4</v>
      </c>
      <c r="J3496" s="76">
        <v>1.0300000000000001E-3</v>
      </c>
      <c r="K3496" s="76">
        <v>1.17E-3</v>
      </c>
      <c r="L3496" s="76">
        <v>7.0799999999999997E-4</v>
      </c>
      <c r="M3496" s="76">
        <v>1.34E-3</v>
      </c>
    </row>
    <row r="3497" spans="3:13" x14ac:dyDescent="0.15">
      <c r="C3497" s="76">
        <v>396</v>
      </c>
      <c r="D3497" s="76">
        <v>9.2100000000000003E-5</v>
      </c>
      <c r="E3497" s="76">
        <v>2.22E-4</v>
      </c>
      <c r="F3497" s="76">
        <v>3.2400000000000001E-4</v>
      </c>
      <c r="G3497" s="76">
        <v>4.9100000000000001E-4</v>
      </c>
      <c r="H3497" s="76">
        <v>5.7399999999999997E-4</v>
      </c>
      <c r="I3497" s="76">
        <v>9.0200000000000002E-4</v>
      </c>
      <c r="J3497" s="76">
        <v>8.3299999999999997E-4</v>
      </c>
      <c r="K3497" s="76">
        <v>1.06E-3</v>
      </c>
      <c r="L3497" s="76">
        <v>7.5299999999999998E-4</v>
      </c>
      <c r="M3497" s="76">
        <v>9.1500000000000001E-4</v>
      </c>
    </row>
    <row r="3498" spans="3:13" x14ac:dyDescent="0.15">
      <c r="C3498" s="76">
        <v>398</v>
      </c>
      <c r="D3498" s="76">
        <v>1.03E-4</v>
      </c>
      <c r="E3498" s="76">
        <v>2.04E-4</v>
      </c>
      <c r="F3498" s="76">
        <v>3.4699999999999998E-4</v>
      </c>
      <c r="G3498" s="76">
        <v>5.1500000000000005E-4</v>
      </c>
      <c r="H3498" s="76">
        <v>4.8299999999999998E-4</v>
      </c>
      <c r="I3498" s="76">
        <v>7.5100000000000004E-4</v>
      </c>
      <c r="J3498" s="76">
        <v>8.6300000000000005E-4</v>
      </c>
      <c r="K3498" s="76">
        <v>1.01E-3</v>
      </c>
      <c r="L3498" s="76">
        <v>9.68E-4</v>
      </c>
      <c r="M3498" s="76">
        <v>1.01E-3</v>
      </c>
    </row>
    <row r="3499" spans="3:13" x14ac:dyDescent="0.15">
      <c r="C3499" s="76">
        <v>400</v>
      </c>
      <c r="D3499" s="76">
        <v>1.15E-4</v>
      </c>
      <c r="E3499" s="76">
        <v>1.8799999999999999E-4</v>
      </c>
      <c r="F3499" s="76">
        <v>3.2400000000000001E-4</v>
      </c>
      <c r="G3499" s="76">
        <v>5.5599999999999996E-4</v>
      </c>
      <c r="H3499" s="76">
        <v>5.22E-4</v>
      </c>
      <c r="I3499" s="76">
        <v>8.1099999999999998E-4</v>
      </c>
      <c r="J3499" s="76">
        <v>1.0300000000000001E-3</v>
      </c>
      <c r="K3499" s="76">
        <v>1.01E-3</v>
      </c>
      <c r="L3499" s="76">
        <v>8.7500000000000002E-4</v>
      </c>
      <c r="M3499" s="76">
        <v>9.3199999999999999E-4</v>
      </c>
    </row>
    <row r="3500" spans="3:13" x14ac:dyDescent="0.15">
      <c r="C3500" s="76">
        <v>402</v>
      </c>
      <c r="D3500" s="76">
        <v>1.34E-4</v>
      </c>
      <c r="E3500" s="76">
        <v>2.5099999999999998E-4</v>
      </c>
      <c r="F3500" s="76">
        <v>3.7399999999999998E-4</v>
      </c>
      <c r="G3500" s="76">
        <v>6.2E-4</v>
      </c>
      <c r="H3500" s="76">
        <v>5.3200000000000003E-4</v>
      </c>
      <c r="I3500" s="76">
        <v>7.3200000000000001E-4</v>
      </c>
      <c r="J3500" s="76">
        <v>1.08E-3</v>
      </c>
      <c r="K3500" s="76">
        <v>1.0499999999999999E-3</v>
      </c>
      <c r="L3500" s="76">
        <v>9.1799999999999998E-4</v>
      </c>
      <c r="M3500" s="76">
        <v>9.0399999999999996E-4</v>
      </c>
    </row>
    <row r="3501" spans="3:13" x14ac:dyDescent="0.15">
      <c r="C3501" s="76">
        <v>404</v>
      </c>
      <c r="D3501" s="76">
        <v>1.4300000000000001E-4</v>
      </c>
      <c r="E3501" s="76">
        <v>2.7099999999999997E-4</v>
      </c>
      <c r="F3501" s="76">
        <v>4.0499999999999998E-4</v>
      </c>
      <c r="G3501" s="76">
        <v>6.1799999999999995E-4</v>
      </c>
      <c r="H3501" s="76">
        <v>5.44E-4</v>
      </c>
      <c r="I3501" s="76">
        <v>7.9799999999999999E-4</v>
      </c>
      <c r="J3501" s="76">
        <v>1.01E-3</v>
      </c>
      <c r="K3501" s="76">
        <v>1.15E-3</v>
      </c>
      <c r="L3501" s="76">
        <v>9.3700000000000001E-4</v>
      </c>
      <c r="M3501" s="76">
        <v>9.5799999999999998E-4</v>
      </c>
    </row>
    <row r="3502" spans="3:13" x14ac:dyDescent="0.15">
      <c r="C3502" s="76">
        <v>406</v>
      </c>
      <c r="D3502" s="76">
        <v>1.54E-4</v>
      </c>
      <c r="E3502" s="76">
        <v>2.8600000000000001E-4</v>
      </c>
      <c r="F3502" s="76">
        <v>4.1399999999999998E-4</v>
      </c>
      <c r="G3502" s="76">
        <v>7.0200000000000004E-4</v>
      </c>
      <c r="H3502" s="76">
        <v>6.9099999999999999E-4</v>
      </c>
      <c r="I3502" s="76">
        <v>8.4699999999999999E-4</v>
      </c>
      <c r="J3502" s="76">
        <v>1.17E-3</v>
      </c>
      <c r="K3502" s="76">
        <v>1.06E-3</v>
      </c>
      <c r="L3502" s="76">
        <v>1.07E-3</v>
      </c>
      <c r="M3502" s="76">
        <v>1.0499999999999999E-3</v>
      </c>
    </row>
    <row r="3503" spans="3:13" x14ac:dyDescent="0.15">
      <c r="C3503" s="76">
        <v>408</v>
      </c>
      <c r="D3503" s="76">
        <v>1.56E-4</v>
      </c>
      <c r="E3503" s="76">
        <v>2.7399999999999999E-4</v>
      </c>
      <c r="F3503" s="76">
        <v>4.9100000000000001E-4</v>
      </c>
      <c r="G3503" s="76">
        <v>7.7399999999999995E-4</v>
      </c>
      <c r="H3503" s="76">
        <v>7.9299999999999998E-4</v>
      </c>
      <c r="I3503" s="76">
        <v>9.68E-4</v>
      </c>
      <c r="J3503" s="76">
        <v>1.1999999999999999E-3</v>
      </c>
      <c r="K3503" s="76">
        <v>1.1900000000000001E-3</v>
      </c>
      <c r="L3503" s="76">
        <v>1.1999999999999999E-3</v>
      </c>
      <c r="M3503" s="76">
        <v>1.2099999999999999E-3</v>
      </c>
    </row>
    <row r="3504" spans="3:13" x14ac:dyDescent="0.15">
      <c r="C3504" s="76">
        <v>410</v>
      </c>
      <c r="D3504" s="76">
        <v>1.76E-4</v>
      </c>
      <c r="E3504" s="76">
        <v>3.1500000000000001E-4</v>
      </c>
      <c r="F3504" s="76">
        <v>4.8999999999999998E-4</v>
      </c>
      <c r="G3504" s="76">
        <v>8.3299999999999997E-4</v>
      </c>
      <c r="H3504" s="76">
        <v>8.6700000000000004E-4</v>
      </c>
      <c r="I3504" s="76">
        <v>1.01E-3</v>
      </c>
      <c r="J3504" s="76">
        <v>1.17E-3</v>
      </c>
      <c r="K3504" s="76">
        <v>1.4499999999999999E-3</v>
      </c>
      <c r="L3504" s="76">
        <v>1.4499999999999999E-3</v>
      </c>
      <c r="M3504" s="76">
        <v>1.3799999999999999E-3</v>
      </c>
    </row>
    <row r="3505" spans="3:13" x14ac:dyDescent="0.15">
      <c r="C3505" s="76">
        <v>412</v>
      </c>
      <c r="D3505" s="76">
        <v>2.2100000000000001E-4</v>
      </c>
      <c r="E3505" s="76">
        <v>3.4400000000000001E-4</v>
      </c>
      <c r="F3505" s="76">
        <v>5.8399999999999999E-4</v>
      </c>
      <c r="G3505" s="76">
        <v>9.1799999999999998E-4</v>
      </c>
      <c r="H3505" s="76">
        <v>1.09E-3</v>
      </c>
      <c r="I3505" s="76">
        <v>1.17E-3</v>
      </c>
      <c r="J3505" s="76">
        <v>1.6999999999999999E-3</v>
      </c>
      <c r="K3505" s="76">
        <v>1.5499999999999999E-3</v>
      </c>
      <c r="L3505" s="76">
        <v>1.73E-3</v>
      </c>
      <c r="M3505" s="76">
        <v>1.6999999999999999E-3</v>
      </c>
    </row>
    <row r="3506" spans="3:13" x14ac:dyDescent="0.15">
      <c r="C3506" s="76">
        <v>414</v>
      </c>
      <c r="D3506" s="76">
        <v>2.5000000000000001E-4</v>
      </c>
      <c r="E3506" s="76">
        <v>4.0700000000000003E-4</v>
      </c>
      <c r="F3506" s="76">
        <v>6.78E-4</v>
      </c>
      <c r="G3506" s="76">
        <v>1.07E-3</v>
      </c>
      <c r="H3506" s="76">
        <v>1.23E-3</v>
      </c>
      <c r="I3506" s="76">
        <v>1.3500000000000001E-3</v>
      </c>
      <c r="J3506" s="76">
        <v>1.74E-3</v>
      </c>
      <c r="K3506" s="76">
        <v>1.7899999999999999E-3</v>
      </c>
      <c r="L3506" s="76">
        <v>1.98E-3</v>
      </c>
      <c r="M3506" s="76">
        <v>1.8500000000000001E-3</v>
      </c>
    </row>
    <row r="3507" spans="3:13" x14ac:dyDescent="0.15">
      <c r="C3507" s="76">
        <v>416</v>
      </c>
      <c r="D3507" s="76">
        <v>2.8600000000000001E-4</v>
      </c>
      <c r="E3507" s="76">
        <v>5.0799999999999999E-4</v>
      </c>
      <c r="F3507" s="76">
        <v>8.2799999999999996E-4</v>
      </c>
      <c r="G3507" s="76">
        <v>1.1800000000000001E-3</v>
      </c>
      <c r="H3507" s="76">
        <v>1.4400000000000001E-3</v>
      </c>
      <c r="I3507" s="76">
        <v>1.65E-3</v>
      </c>
      <c r="J3507" s="76">
        <v>2.0400000000000001E-3</v>
      </c>
      <c r="K3507" s="76">
        <v>2.1700000000000001E-3</v>
      </c>
      <c r="L3507" s="76">
        <v>2.6099999999999999E-3</v>
      </c>
      <c r="M3507" s="76">
        <v>2.47E-3</v>
      </c>
    </row>
    <row r="3508" spans="3:13" x14ac:dyDescent="0.15">
      <c r="C3508" s="76">
        <v>418</v>
      </c>
      <c r="D3508" s="76">
        <v>3.4099999999999999E-4</v>
      </c>
      <c r="E3508" s="76">
        <v>6.0599999999999998E-4</v>
      </c>
      <c r="F3508" s="76">
        <v>9.7199999999999999E-4</v>
      </c>
      <c r="G3508" s="76">
        <v>1.4E-3</v>
      </c>
      <c r="H3508" s="76">
        <v>1.6999999999999999E-3</v>
      </c>
      <c r="I3508" s="76">
        <v>1.9300000000000001E-3</v>
      </c>
      <c r="J3508" s="76">
        <v>2.3700000000000001E-3</v>
      </c>
      <c r="K3508" s="76">
        <v>2.5799999999999998E-3</v>
      </c>
      <c r="L3508" s="76">
        <v>2.8500000000000001E-3</v>
      </c>
      <c r="M3508" s="76">
        <v>3.0799999999999998E-3</v>
      </c>
    </row>
    <row r="3509" spans="3:13" x14ac:dyDescent="0.15">
      <c r="C3509" s="76">
        <v>420</v>
      </c>
      <c r="D3509" s="76">
        <v>3.9500000000000001E-4</v>
      </c>
      <c r="E3509" s="76">
        <v>6.9300000000000004E-4</v>
      </c>
      <c r="F3509" s="76">
        <v>1.14E-3</v>
      </c>
      <c r="G3509" s="76">
        <v>1.66E-3</v>
      </c>
      <c r="H3509" s="76">
        <v>1.99E-3</v>
      </c>
      <c r="I3509" s="76">
        <v>2.3E-3</v>
      </c>
      <c r="J3509" s="76">
        <v>2.8600000000000001E-3</v>
      </c>
      <c r="K3509" s="76">
        <v>3.0100000000000001E-3</v>
      </c>
      <c r="L3509" s="76">
        <v>3.3800000000000002E-3</v>
      </c>
      <c r="M3509" s="76">
        <v>3.6900000000000001E-3</v>
      </c>
    </row>
    <row r="3510" spans="3:13" x14ac:dyDescent="0.15">
      <c r="C3510" s="76">
        <v>422</v>
      </c>
      <c r="D3510" s="76">
        <v>4.6500000000000003E-4</v>
      </c>
      <c r="E3510" s="76">
        <v>8.9400000000000005E-4</v>
      </c>
      <c r="F3510" s="76">
        <v>1.3799999999999999E-3</v>
      </c>
      <c r="G3510" s="76">
        <v>1.9599999999999999E-3</v>
      </c>
      <c r="H3510" s="76">
        <v>2.3800000000000002E-3</v>
      </c>
      <c r="I3510" s="76">
        <v>2.9099999999999998E-3</v>
      </c>
      <c r="J3510" s="76">
        <v>3.3899999999999998E-3</v>
      </c>
      <c r="K3510" s="76">
        <v>3.6700000000000001E-3</v>
      </c>
      <c r="L3510" s="76">
        <v>4.1900000000000001E-3</v>
      </c>
      <c r="M3510" s="76">
        <v>4.4799999999999996E-3</v>
      </c>
    </row>
    <row r="3511" spans="3:13" x14ac:dyDescent="0.15">
      <c r="C3511" s="76">
        <v>424</v>
      </c>
      <c r="D3511" s="76">
        <v>5.7499999999999999E-4</v>
      </c>
      <c r="E3511" s="76">
        <v>1.14E-3</v>
      </c>
      <c r="F3511" s="76">
        <v>1.74E-3</v>
      </c>
      <c r="G3511" s="76">
        <v>2.4099999999999998E-3</v>
      </c>
      <c r="H3511" s="76">
        <v>3.0500000000000002E-3</v>
      </c>
      <c r="I3511" s="76">
        <v>3.5300000000000002E-3</v>
      </c>
      <c r="J3511" s="76">
        <v>4.2500000000000003E-3</v>
      </c>
      <c r="K3511" s="76">
        <v>4.7099999999999998E-3</v>
      </c>
      <c r="L3511" s="76">
        <v>5.2700000000000004E-3</v>
      </c>
      <c r="M3511" s="76">
        <v>5.9500000000000004E-3</v>
      </c>
    </row>
    <row r="3512" spans="3:13" x14ac:dyDescent="0.15">
      <c r="C3512" s="76">
        <v>426</v>
      </c>
      <c r="D3512" s="76">
        <v>7.36E-4</v>
      </c>
      <c r="E3512" s="76">
        <v>1.4499999999999999E-3</v>
      </c>
      <c r="F3512" s="76">
        <v>2.2300000000000002E-3</v>
      </c>
      <c r="G3512" s="76">
        <v>3.0500000000000002E-3</v>
      </c>
      <c r="H3512" s="76">
        <v>3.8300000000000001E-3</v>
      </c>
      <c r="I3512" s="76">
        <v>4.4799999999999996E-3</v>
      </c>
      <c r="J3512" s="76">
        <v>5.3600000000000002E-3</v>
      </c>
      <c r="K3512" s="76">
        <v>5.8999999999999999E-3</v>
      </c>
      <c r="L3512" s="76">
        <v>6.7799999999999996E-3</v>
      </c>
      <c r="M3512" s="76">
        <v>7.5199999999999998E-3</v>
      </c>
    </row>
    <row r="3513" spans="3:13" x14ac:dyDescent="0.15">
      <c r="C3513" s="76">
        <v>428</v>
      </c>
      <c r="D3513" s="76">
        <v>9.5200000000000005E-4</v>
      </c>
      <c r="E3513" s="76">
        <v>1.89E-3</v>
      </c>
      <c r="F3513" s="76">
        <v>2.8999999999999998E-3</v>
      </c>
      <c r="G3513" s="76">
        <v>3.9300000000000003E-3</v>
      </c>
      <c r="H3513" s="76">
        <v>4.96E-3</v>
      </c>
      <c r="I3513" s="76">
        <v>5.9500000000000004E-3</v>
      </c>
      <c r="J3513" s="76">
        <v>6.8900000000000003E-3</v>
      </c>
      <c r="K3513" s="76">
        <v>7.7200000000000003E-3</v>
      </c>
      <c r="L3513" s="76">
        <v>8.8800000000000007E-3</v>
      </c>
      <c r="M3513" s="76">
        <v>9.7699999999999992E-3</v>
      </c>
    </row>
    <row r="3514" spans="3:13" x14ac:dyDescent="0.15">
      <c r="C3514" s="76">
        <v>430</v>
      </c>
      <c r="D3514" s="76">
        <v>1.2600000000000001E-3</v>
      </c>
      <c r="E3514" s="76">
        <v>2.5400000000000002E-3</v>
      </c>
      <c r="F3514" s="76">
        <v>3.8700000000000002E-3</v>
      </c>
      <c r="G3514" s="76">
        <v>5.2100000000000002E-3</v>
      </c>
      <c r="H3514" s="76">
        <v>6.6100000000000004E-3</v>
      </c>
      <c r="I3514" s="76">
        <v>7.9299999999999995E-3</v>
      </c>
      <c r="J3514" s="76">
        <v>9.1900000000000003E-3</v>
      </c>
      <c r="K3514" s="76">
        <v>1.0500000000000001E-2</v>
      </c>
      <c r="L3514" s="76">
        <v>1.1900000000000001E-2</v>
      </c>
      <c r="M3514" s="76">
        <v>1.32E-2</v>
      </c>
    </row>
    <row r="3515" spans="3:13" x14ac:dyDescent="0.15">
      <c r="C3515" s="76">
        <v>432</v>
      </c>
      <c r="D3515" s="76">
        <v>1.73E-3</v>
      </c>
      <c r="E3515" s="76">
        <v>3.5000000000000001E-3</v>
      </c>
      <c r="F3515" s="76">
        <v>5.2599999999999999E-3</v>
      </c>
      <c r="G3515" s="76">
        <v>7.1399999999999996E-3</v>
      </c>
      <c r="H3515" s="76">
        <v>9.0399999999999994E-3</v>
      </c>
      <c r="I3515" s="76">
        <v>1.0699999999999999E-2</v>
      </c>
      <c r="J3515" s="76">
        <v>1.26E-2</v>
      </c>
      <c r="K3515" s="76">
        <v>1.44E-2</v>
      </c>
      <c r="L3515" s="76">
        <v>1.6199999999999999E-2</v>
      </c>
      <c r="M3515" s="76">
        <v>1.7999999999999999E-2</v>
      </c>
    </row>
    <row r="3516" spans="3:13" x14ac:dyDescent="0.15">
      <c r="C3516" s="76">
        <v>434</v>
      </c>
      <c r="D3516" s="76">
        <v>2.3999999999999998E-3</v>
      </c>
      <c r="E3516" s="76">
        <v>4.8599999999999997E-3</v>
      </c>
      <c r="F3516" s="76">
        <v>7.3499999999999998E-3</v>
      </c>
      <c r="G3516" s="76">
        <v>9.92E-3</v>
      </c>
      <c r="H3516" s="76">
        <v>1.24E-2</v>
      </c>
      <c r="I3516" s="76">
        <v>1.49E-2</v>
      </c>
      <c r="J3516" s="76">
        <v>1.7399999999999999E-2</v>
      </c>
      <c r="K3516" s="76">
        <v>1.9900000000000001E-2</v>
      </c>
      <c r="L3516" s="76">
        <v>2.24E-2</v>
      </c>
      <c r="M3516" s="76">
        <v>2.5000000000000001E-2</v>
      </c>
    </row>
    <row r="3517" spans="3:13" x14ac:dyDescent="0.15">
      <c r="C3517" s="76">
        <v>436</v>
      </c>
      <c r="D3517" s="76">
        <v>3.4199999999999999E-3</v>
      </c>
      <c r="E3517" s="76">
        <v>6.9800000000000001E-3</v>
      </c>
      <c r="F3517" s="76">
        <v>1.06E-2</v>
      </c>
      <c r="G3517" s="76">
        <v>1.4200000000000001E-2</v>
      </c>
      <c r="H3517" s="76">
        <v>1.77E-2</v>
      </c>
      <c r="I3517" s="76">
        <v>2.1299999999999999E-2</v>
      </c>
      <c r="J3517" s="76">
        <v>2.4799999999999999E-2</v>
      </c>
      <c r="K3517" s="76">
        <v>2.8500000000000001E-2</v>
      </c>
      <c r="L3517" s="76">
        <v>3.2000000000000001E-2</v>
      </c>
      <c r="M3517" s="76">
        <v>3.56E-2</v>
      </c>
    </row>
    <row r="3518" spans="3:13" x14ac:dyDescent="0.15">
      <c r="C3518" s="76">
        <v>438</v>
      </c>
      <c r="D3518" s="76">
        <v>4.8700000000000002E-3</v>
      </c>
      <c r="E3518" s="76">
        <v>9.9500000000000005E-3</v>
      </c>
      <c r="F3518" s="76">
        <v>1.4999999999999999E-2</v>
      </c>
      <c r="G3518" s="76">
        <v>2.01E-2</v>
      </c>
      <c r="H3518" s="76">
        <v>2.52E-2</v>
      </c>
      <c r="I3518" s="76">
        <v>3.0300000000000001E-2</v>
      </c>
      <c r="J3518" s="76">
        <v>3.5200000000000002E-2</v>
      </c>
      <c r="K3518" s="76">
        <v>4.0300000000000002E-2</v>
      </c>
      <c r="L3518" s="76">
        <v>4.5499999999999999E-2</v>
      </c>
      <c r="M3518" s="76">
        <v>5.0500000000000003E-2</v>
      </c>
    </row>
    <row r="3519" spans="3:13" x14ac:dyDescent="0.15">
      <c r="C3519" s="76">
        <v>440</v>
      </c>
      <c r="D3519" s="76">
        <v>6.7200000000000003E-3</v>
      </c>
      <c r="E3519" s="76">
        <v>1.37E-2</v>
      </c>
      <c r="F3519" s="76">
        <v>2.07E-2</v>
      </c>
      <c r="G3519" s="76">
        <v>2.7699999999999999E-2</v>
      </c>
      <c r="H3519" s="76">
        <v>3.4700000000000002E-2</v>
      </c>
      <c r="I3519" s="76">
        <v>4.1700000000000001E-2</v>
      </c>
      <c r="J3519" s="76">
        <v>4.8500000000000001E-2</v>
      </c>
      <c r="K3519" s="76">
        <v>5.5399999999999998E-2</v>
      </c>
      <c r="L3519" s="76">
        <v>6.2399999999999997E-2</v>
      </c>
      <c r="M3519" s="76">
        <v>6.93E-2</v>
      </c>
    </row>
    <row r="3520" spans="3:13" x14ac:dyDescent="0.15">
      <c r="C3520" s="76">
        <v>442</v>
      </c>
      <c r="D3520" s="76">
        <v>8.9899999999999997E-3</v>
      </c>
      <c r="E3520" s="76">
        <v>1.83E-2</v>
      </c>
      <c r="F3520" s="76">
        <v>2.7699999999999999E-2</v>
      </c>
      <c r="G3520" s="76">
        <v>3.6999999999999998E-2</v>
      </c>
      <c r="H3520" s="76">
        <v>4.6399999999999997E-2</v>
      </c>
      <c r="I3520" s="76">
        <v>5.57E-2</v>
      </c>
      <c r="J3520" s="76">
        <v>6.4699999999999994E-2</v>
      </c>
      <c r="K3520" s="76">
        <v>7.3999999999999996E-2</v>
      </c>
      <c r="L3520" s="76">
        <v>8.3299999999999999E-2</v>
      </c>
      <c r="M3520" s="76">
        <v>9.2600000000000002E-2</v>
      </c>
    </row>
    <row r="3521" spans="3:13" x14ac:dyDescent="0.15">
      <c r="C3521" s="76">
        <v>444</v>
      </c>
      <c r="D3521" s="76">
        <v>1.17E-2</v>
      </c>
      <c r="E3521" s="76">
        <v>2.3900000000000001E-2</v>
      </c>
      <c r="F3521" s="76">
        <v>3.5999999999999997E-2</v>
      </c>
      <c r="G3521" s="76">
        <v>4.8099999999999997E-2</v>
      </c>
      <c r="H3521" s="76">
        <v>6.0100000000000001E-2</v>
      </c>
      <c r="I3521" s="76">
        <v>7.22E-2</v>
      </c>
      <c r="J3521" s="76">
        <v>8.4000000000000005E-2</v>
      </c>
      <c r="K3521" s="76">
        <v>9.6100000000000005E-2</v>
      </c>
      <c r="L3521" s="76">
        <v>0.108</v>
      </c>
      <c r="M3521" s="76">
        <v>0.12</v>
      </c>
    </row>
    <row r="3522" spans="3:13" x14ac:dyDescent="0.15">
      <c r="C3522" s="76">
        <v>446</v>
      </c>
      <c r="D3522" s="76">
        <v>1.47E-2</v>
      </c>
      <c r="E3522" s="76">
        <v>3.0099999999999998E-2</v>
      </c>
      <c r="F3522" s="76">
        <v>4.53E-2</v>
      </c>
      <c r="G3522" s="76">
        <v>6.0499999999999998E-2</v>
      </c>
      <c r="H3522" s="76">
        <v>7.5700000000000003E-2</v>
      </c>
      <c r="I3522" s="76">
        <v>9.0800000000000006E-2</v>
      </c>
      <c r="J3522" s="76">
        <v>0.106</v>
      </c>
      <c r="K3522" s="76">
        <v>0.121</v>
      </c>
      <c r="L3522" s="76">
        <v>0.13600000000000001</v>
      </c>
      <c r="M3522" s="76">
        <v>0.151</v>
      </c>
    </row>
    <row r="3523" spans="3:13" x14ac:dyDescent="0.15">
      <c r="C3523" s="76">
        <v>448</v>
      </c>
      <c r="D3523" s="76">
        <v>1.7899999999999999E-2</v>
      </c>
      <c r="E3523" s="76">
        <v>3.6700000000000003E-2</v>
      </c>
      <c r="F3523" s="76">
        <v>5.5300000000000002E-2</v>
      </c>
      <c r="G3523" s="76">
        <v>7.3700000000000002E-2</v>
      </c>
      <c r="H3523" s="76">
        <v>9.2200000000000004E-2</v>
      </c>
      <c r="I3523" s="76">
        <v>0.111</v>
      </c>
      <c r="J3523" s="76">
        <v>0.129</v>
      </c>
      <c r="K3523" s="76">
        <v>0.14699999999999999</v>
      </c>
      <c r="L3523" s="76">
        <v>0.16500000000000001</v>
      </c>
      <c r="M3523" s="76">
        <v>0.183</v>
      </c>
    </row>
    <row r="3524" spans="3:13" x14ac:dyDescent="0.15">
      <c r="C3524" s="76">
        <v>450</v>
      </c>
      <c r="D3524" s="76">
        <v>2.1299999999999999E-2</v>
      </c>
      <c r="E3524" s="76">
        <v>4.3700000000000003E-2</v>
      </c>
      <c r="F3524" s="76">
        <v>6.5699999999999995E-2</v>
      </c>
      <c r="G3524" s="76">
        <v>8.7599999999999997E-2</v>
      </c>
      <c r="H3524" s="76">
        <v>0.11</v>
      </c>
      <c r="I3524" s="76">
        <v>0.13100000000000001</v>
      </c>
      <c r="J3524" s="76">
        <v>0.153</v>
      </c>
      <c r="K3524" s="76">
        <v>0.17499999999999999</v>
      </c>
      <c r="L3524" s="76">
        <v>0.19600000000000001</v>
      </c>
      <c r="M3524" s="76">
        <v>0.218</v>
      </c>
    </row>
    <row r="3525" spans="3:13" x14ac:dyDescent="0.15">
      <c r="C3525" s="76">
        <v>452</v>
      </c>
      <c r="D3525" s="76">
        <v>2.4299999999999999E-2</v>
      </c>
      <c r="E3525" s="76">
        <v>4.9599999999999998E-2</v>
      </c>
      <c r="F3525" s="76">
        <v>7.4700000000000003E-2</v>
      </c>
      <c r="G3525" s="76">
        <v>9.9599999999999994E-2</v>
      </c>
      <c r="H3525" s="76">
        <v>0.125</v>
      </c>
      <c r="I3525" s="76">
        <v>0.14899999999999999</v>
      </c>
      <c r="J3525" s="76">
        <v>0.17399999999999999</v>
      </c>
      <c r="K3525" s="76">
        <v>0.19800000000000001</v>
      </c>
      <c r="L3525" s="76">
        <v>0.223</v>
      </c>
      <c r="M3525" s="76">
        <v>0.247</v>
      </c>
    </row>
    <row r="3526" spans="3:13" x14ac:dyDescent="0.15">
      <c r="C3526" s="76">
        <v>454</v>
      </c>
      <c r="D3526" s="76">
        <v>2.6499999999999999E-2</v>
      </c>
      <c r="E3526" s="76">
        <v>5.4300000000000001E-2</v>
      </c>
      <c r="F3526" s="76">
        <v>8.1699999999999995E-2</v>
      </c>
      <c r="G3526" s="76">
        <v>0.109</v>
      </c>
      <c r="H3526" s="76">
        <v>0.13600000000000001</v>
      </c>
      <c r="I3526" s="76">
        <v>0.16300000000000001</v>
      </c>
      <c r="J3526" s="76">
        <v>0.19</v>
      </c>
      <c r="K3526" s="76">
        <v>0.217</v>
      </c>
      <c r="L3526" s="76">
        <v>0.24299999999999999</v>
      </c>
      <c r="M3526" s="76">
        <v>0.27</v>
      </c>
    </row>
    <row r="3527" spans="3:13" x14ac:dyDescent="0.15">
      <c r="C3527" s="76">
        <v>456</v>
      </c>
      <c r="D3527" s="76">
        <v>2.81E-2</v>
      </c>
      <c r="E3527" s="76">
        <v>5.7599999999999998E-2</v>
      </c>
      <c r="F3527" s="76">
        <v>8.6599999999999996E-2</v>
      </c>
      <c r="G3527" s="76">
        <v>0.115</v>
      </c>
      <c r="H3527" s="76">
        <v>0.14399999999999999</v>
      </c>
      <c r="I3527" s="76">
        <v>0.17299999999999999</v>
      </c>
      <c r="J3527" s="76">
        <v>0.20100000000000001</v>
      </c>
      <c r="K3527" s="76">
        <v>0.22900000000000001</v>
      </c>
      <c r="L3527" s="76">
        <v>0.25800000000000001</v>
      </c>
      <c r="M3527" s="76">
        <v>0.28599999999999998</v>
      </c>
    </row>
    <row r="3528" spans="3:13" x14ac:dyDescent="0.15">
      <c r="C3528" s="76">
        <v>458</v>
      </c>
      <c r="D3528" s="76">
        <v>2.8899999999999999E-2</v>
      </c>
      <c r="E3528" s="76">
        <v>5.9200000000000003E-2</v>
      </c>
      <c r="F3528" s="76">
        <v>8.8999999999999996E-2</v>
      </c>
      <c r="G3528" s="76">
        <v>0.11899999999999999</v>
      </c>
      <c r="H3528" s="76">
        <v>0.14799999999999999</v>
      </c>
      <c r="I3528" s="76">
        <v>0.17699999999999999</v>
      </c>
      <c r="J3528" s="76">
        <v>0.20699999999999999</v>
      </c>
      <c r="K3528" s="76">
        <v>0.23599999999999999</v>
      </c>
      <c r="L3528" s="76">
        <v>0.26500000000000001</v>
      </c>
      <c r="M3528" s="76">
        <v>0.29299999999999998</v>
      </c>
    </row>
    <row r="3529" spans="3:13" x14ac:dyDescent="0.15">
      <c r="C3529" s="76">
        <v>460</v>
      </c>
      <c r="D3529" s="76">
        <v>2.9000000000000001E-2</v>
      </c>
      <c r="E3529" s="76">
        <v>5.9400000000000001E-2</v>
      </c>
      <c r="F3529" s="76">
        <v>8.9300000000000004E-2</v>
      </c>
      <c r="G3529" s="76">
        <v>0.11899999999999999</v>
      </c>
      <c r="H3529" s="76">
        <v>0.14899999999999999</v>
      </c>
      <c r="I3529" s="76">
        <v>0.17799999999999999</v>
      </c>
      <c r="J3529" s="76">
        <v>0.20699999999999999</v>
      </c>
      <c r="K3529" s="76">
        <v>0.23599999999999999</v>
      </c>
      <c r="L3529" s="76">
        <v>0.26600000000000001</v>
      </c>
      <c r="M3529" s="76">
        <v>0.29399999999999998</v>
      </c>
    </row>
    <row r="3530" spans="3:13" x14ac:dyDescent="0.15">
      <c r="C3530" s="76">
        <v>462</v>
      </c>
      <c r="D3530" s="76">
        <v>2.8400000000000002E-2</v>
      </c>
      <c r="E3530" s="76">
        <v>5.8000000000000003E-2</v>
      </c>
      <c r="F3530" s="76">
        <v>8.7400000000000005E-2</v>
      </c>
      <c r="G3530" s="76">
        <v>0.11600000000000001</v>
      </c>
      <c r="H3530" s="76">
        <v>0.14499999999999999</v>
      </c>
      <c r="I3530" s="76">
        <v>0.17399999999999999</v>
      </c>
      <c r="J3530" s="76">
        <v>0.20300000000000001</v>
      </c>
      <c r="K3530" s="76">
        <v>0.23100000000000001</v>
      </c>
      <c r="L3530" s="76">
        <v>0.26</v>
      </c>
      <c r="M3530" s="76">
        <v>0.28799999999999998</v>
      </c>
    </row>
    <row r="3531" spans="3:13" x14ac:dyDescent="0.15">
      <c r="C3531" s="76">
        <v>464</v>
      </c>
      <c r="D3531" s="76">
        <v>2.7E-2</v>
      </c>
      <c r="E3531" s="76">
        <v>5.5300000000000002E-2</v>
      </c>
      <c r="F3531" s="76">
        <v>8.3199999999999996E-2</v>
      </c>
      <c r="G3531" s="76">
        <v>0.111</v>
      </c>
      <c r="H3531" s="76">
        <v>0.13800000000000001</v>
      </c>
      <c r="I3531" s="76">
        <v>0.16600000000000001</v>
      </c>
      <c r="J3531" s="76">
        <v>0.193</v>
      </c>
      <c r="K3531" s="76">
        <v>0.22</v>
      </c>
      <c r="L3531" s="76">
        <v>0.247</v>
      </c>
      <c r="M3531" s="76">
        <v>0.27400000000000002</v>
      </c>
    </row>
    <row r="3532" spans="3:13" x14ac:dyDescent="0.15">
      <c r="C3532" s="76">
        <v>466</v>
      </c>
      <c r="D3532" s="76">
        <v>2.5600000000000001E-2</v>
      </c>
      <c r="E3532" s="76">
        <v>5.2299999999999999E-2</v>
      </c>
      <c r="F3532" s="76">
        <v>7.8700000000000006E-2</v>
      </c>
      <c r="G3532" s="76">
        <v>0.105</v>
      </c>
      <c r="H3532" s="76">
        <v>0.13100000000000001</v>
      </c>
      <c r="I3532" s="76">
        <v>0.157</v>
      </c>
      <c r="J3532" s="76">
        <v>0.183</v>
      </c>
      <c r="K3532" s="76">
        <v>0.20799999999999999</v>
      </c>
      <c r="L3532" s="76">
        <v>0.23400000000000001</v>
      </c>
      <c r="M3532" s="76">
        <v>0.25900000000000001</v>
      </c>
    </row>
    <row r="3533" spans="3:13" x14ac:dyDescent="0.15">
      <c r="C3533" s="76">
        <v>468</v>
      </c>
      <c r="D3533" s="76">
        <v>2.4E-2</v>
      </c>
      <c r="E3533" s="76">
        <v>4.9099999999999998E-2</v>
      </c>
      <c r="F3533" s="76">
        <v>7.3999999999999996E-2</v>
      </c>
      <c r="G3533" s="76">
        <v>9.8500000000000004E-2</v>
      </c>
      <c r="H3533" s="76">
        <v>0.123</v>
      </c>
      <c r="I3533" s="76">
        <v>0.14699999999999999</v>
      </c>
      <c r="J3533" s="76">
        <v>0.17199999999999999</v>
      </c>
      <c r="K3533" s="76">
        <v>0.19600000000000001</v>
      </c>
      <c r="L3533" s="76">
        <v>0.22</v>
      </c>
      <c r="M3533" s="76">
        <v>0.24399999999999999</v>
      </c>
    </row>
    <row r="3534" spans="3:13" x14ac:dyDescent="0.15">
      <c r="C3534" s="76">
        <v>470</v>
      </c>
      <c r="D3534" s="76">
        <v>2.2499999999999999E-2</v>
      </c>
      <c r="E3534" s="76">
        <v>4.5999999999999999E-2</v>
      </c>
      <c r="F3534" s="76">
        <v>6.9199999999999998E-2</v>
      </c>
      <c r="G3534" s="76">
        <v>9.2200000000000004E-2</v>
      </c>
      <c r="H3534" s="76">
        <v>0.115</v>
      </c>
      <c r="I3534" s="76">
        <v>0.13800000000000001</v>
      </c>
      <c r="J3534" s="76">
        <v>0.161</v>
      </c>
      <c r="K3534" s="76">
        <v>0.183</v>
      </c>
      <c r="L3534" s="76">
        <v>0.20599999999999999</v>
      </c>
      <c r="M3534" s="76">
        <v>0.22800000000000001</v>
      </c>
    </row>
    <row r="3535" spans="3:13" x14ac:dyDescent="0.15">
      <c r="C3535" s="76">
        <v>472</v>
      </c>
      <c r="D3535" s="76">
        <v>2.1100000000000001E-2</v>
      </c>
      <c r="E3535" s="76">
        <v>4.3099999999999999E-2</v>
      </c>
      <c r="F3535" s="76">
        <v>6.4899999999999999E-2</v>
      </c>
      <c r="G3535" s="76">
        <v>8.6400000000000005E-2</v>
      </c>
      <c r="H3535" s="76">
        <v>0.108</v>
      </c>
      <c r="I3535" s="76">
        <v>0.129</v>
      </c>
      <c r="J3535" s="76">
        <v>0.151</v>
      </c>
      <c r="K3535" s="76">
        <v>0.17199999999999999</v>
      </c>
      <c r="L3535" s="76">
        <v>0.193</v>
      </c>
      <c r="M3535" s="76">
        <v>0.214</v>
      </c>
    </row>
    <row r="3536" spans="3:13" x14ac:dyDescent="0.15">
      <c r="C3536" s="76">
        <v>474</v>
      </c>
      <c r="D3536" s="76">
        <v>1.9900000000000001E-2</v>
      </c>
      <c r="E3536" s="76">
        <v>4.0599999999999997E-2</v>
      </c>
      <c r="F3536" s="76">
        <v>6.1199999999999997E-2</v>
      </c>
      <c r="G3536" s="76">
        <v>8.1500000000000003E-2</v>
      </c>
      <c r="H3536" s="76">
        <v>0.10199999999999999</v>
      </c>
      <c r="I3536" s="76">
        <v>0.122</v>
      </c>
      <c r="J3536" s="76">
        <v>0.14199999999999999</v>
      </c>
      <c r="K3536" s="76">
        <v>0.16200000000000001</v>
      </c>
      <c r="L3536" s="76">
        <v>0.182</v>
      </c>
      <c r="M3536" s="76">
        <v>0.20200000000000001</v>
      </c>
    </row>
    <row r="3537" spans="3:13" x14ac:dyDescent="0.15">
      <c r="C3537" s="76">
        <v>476</v>
      </c>
      <c r="D3537" s="76">
        <v>1.8700000000000001E-2</v>
      </c>
      <c r="E3537" s="76">
        <v>3.8199999999999998E-2</v>
      </c>
      <c r="F3537" s="76">
        <v>5.7700000000000001E-2</v>
      </c>
      <c r="G3537" s="76">
        <v>7.6799999999999993E-2</v>
      </c>
      <c r="H3537" s="76">
        <v>9.5799999999999996E-2</v>
      </c>
      <c r="I3537" s="76">
        <v>0.115</v>
      </c>
      <c r="J3537" s="76">
        <v>0.13400000000000001</v>
      </c>
      <c r="K3537" s="76">
        <v>0.153</v>
      </c>
      <c r="L3537" s="76">
        <v>0.17100000000000001</v>
      </c>
      <c r="M3537" s="76">
        <v>0.19</v>
      </c>
    </row>
    <row r="3538" spans="3:13" x14ac:dyDescent="0.15">
      <c r="C3538" s="76">
        <v>478</v>
      </c>
      <c r="D3538" s="76">
        <v>1.7899999999999999E-2</v>
      </c>
      <c r="E3538" s="76">
        <v>3.6600000000000001E-2</v>
      </c>
      <c r="F3538" s="76">
        <v>5.5100000000000003E-2</v>
      </c>
      <c r="G3538" s="76">
        <v>7.3499999999999996E-2</v>
      </c>
      <c r="H3538" s="76">
        <v>9.1700000000000004E-2</v>
      </c>
      <c r="I3538" s="76">
        <v>0.11</v>
      </c>
      <c r="J3538" s="76">
        <v>0.128</v>
      </c>
      <c r="K3538" s="76">
        <v>0.14599999999999999</v>
      </c>
      <c r="L3538" s="76">
        <v>0.16400000000000001</v>
      </c>
      <c r="M3538" s="76">
        <v>0.182</v>
      </c>
    </row>
    <row r="3539" spans="3:13" x14ac:dyDescent="0.15">
      <c r="C3539" s="76">
        <v>480</v>
      </c>
      <c r="D3539" s="76">
        <v>1.72E-2</v>
      </c>
      <c r="E3539" s="76">
        <v>3.5200000000000002E-2</v>
      </c>
      <c r="F3539" s="76">
        <v>5.2999999999999999E-2</v>
      </c>
      <c r="G3539" s="76">
        <v>7.0599999999999996E-2</v>
      </c>
      <c r="H3539" s="76">
        <v>8.8200000000000001E-2</v>
      </c>
      <c r="I3539" s="76">
        <v>0.106</v>
      </c>
      <c r="J3539" s="76">
        <v>0.123</v>
      </c>
      <c r="K3539" s="76">
        <v>0.14099999999999999</v>
      </c>
      <c r="L3539" s="76">
        <v>0.158</v>
      </c>
      <c r="M3539" s="76">
        <v>0.17499999999999999</v>
      </c>
    </row>
    <row r="3540" spans="3:13" x14ac:dyDescent="0.15">
      <c r="C3540" s="76">
        <v>482</v>
      </c>
      <c r="D3540" s="76">
        <v>1.66E-2</v>
      </c>
      <c r="E3540" s="76">
        <v>3.39E-2</v>
      </c>
      <c r="F3540" s="76">
        <v>5.11E-2</v>
      </c>
      <c r="G3540" s="76">
        <v>6.8099999999999994E-2</v>
      </c>
      <c r="H3540" s="76">
        <v>8.5099999999999995E-2</v>
      </c>
      <c r="I3540" s="76">
        <v>0.10199999999999999</v>
      </c>
      <c r="J3540" s="76">
        <v>0.11899999999999999</v>
      </c>
      <c r="K3540" s="76">
        <v>0.13500000000000001</v>
      </c>
      <c r="L3540" s="76">
        <v>0.152</v>
      </c>
      <c r="M3540" s="76">
        <v>0.16800000000000001</v>
      </c>
    </row>
    <row r="3541" spans="3:13" x14ac:dyDescent="0.15">
      <c r="C3541" s="76">
        <v>484</v>
      </c>
      <c r="D3541" s="76">
        <v>1.6E-2</v>
      </c>
      <c r="E3541" s="76">
        <v>3.27E-2</v>
      </c>
      <c r="F3541" s="76">
        <v>4.9200000000000001E-2</v>
      </c>
      <c r="G3541" s="76">
        <v>6.5600000000000006E-2</v>
      </c>
      <c r="H3541" s="76">
        <v>8.1900000000000001E-2</v>
      </c>
      <c r="I3541" s="76">
        <v>9.8100000000000007E-2</v>
      </c>
      <c r="J3541" s="76">
        <v>0.114</v>
      </c>
      <c r="K3541" s="76">
        <v>0.13</v>
      </c>
      <c r="L3541" s="76">
        <v>0.14599999999999999</v>
      </c>
      <c r="M3541" s="76">
        <v>0.16200000000000001</v>
      </c>
    </row>
    <row r="3542" spans="3:13" x14ac:dyDescent="0.15">
      <c r="C3542" s="76">
        <v>486</v>
      </c>
      <c r="D3542" s="76">
        <v>1.54E-2</v>
      </c>
      <c r="E3542" s="76">
        <v>3.1300000000000001E-2</v>
      </c>
      <c r="F3542" s="76">
        <v>4.7199999999999999E-2</v>
      </c>
      <c r="G3542" s="76">
        <v>6.3E-2</v>
      </c>
      <c r="H3542" s="76">
        <v>7.8600000000000003E-2</v>
      </c>
      <c r="I3542" s="76">
        <v>9.4100000000000003E-2</v>
      </c>
      <c r="J3542" s="76">
        <v>0.11</v>
      </c>
      <c r="K3542" s="76">
        <v>0.125</v>
      </c>
      <c r="L3542" s="76">
        <v>0.14000000000000001</v>
      </c>
      <c r="M3542" s="76">
        <v>0.156</v>
      </c>
    </row>
    <row r="3543" spans="3:13" x14ac:dyDescent="0.15">
      <c r="C3543" s="76">
        <v>488</v>
      </c>
      <c r="D3543" s="76">
        <v>1.4500000000000001E-2</v>
      </c>
      <c r="E3543" s="76">
        <v>2.9700000000000001E-2</v>
      </c>
      <c r="F3543" s="76">
        <v>4.4699999999999997E-2</v>
      </c>
      <c r="G3543" s="76">
        <v>5.96E-2</v>
      </c>
      <c r="H3543" s="76">
        <v>7.4399999999999994E-2</v>
      </c>
      <c r="I3543" s="76">
        <v>8.8999999999999996E-2</v>
      </c>
      <c r="J3543" s="76">
        <v>0.104</v>
      </c>
      <c r="K3543" s="76">
        <v>0.11799999999999999</v>
      </c>
      <c r="L3543" s="76">
        <v>0.13300000000000001</v>
      </c>
      <c r="M3543" s="76">
        <v>0.14699999999999999</v>
      </c>
    </row>
    <row r="3544" spans="3:13" x14ac:dyDescent="0.15">
      <c r="C3544" s="76">
        <v>490</v>
      </c>
      <c r="D3544" s="76">
        <v>1.37E-2</v>
      </c>
      <c r="E3544" s="76">
        <v>2.8000000000000001E-2</v>
      </c>
      <c r="F3544" s="76">
        <v>4.2200000000000001E-2</v>
      </c>
      <c r="G3544" s="76">
        <v>5.6300000000000003E-2</v>
      </c>
      <c r="H3544" s="76">
        <v>7.0199999999999999E-2</v>
      </c>
      <c r="I3544" s="76">
        <v>8.4000000000000005E-2</v>
      </c>
      <c r="J3544" s="76">
        <v>9.7799999999999998E-2</v>
      </c>
      <c r="K3544" s="76">
        <v>0.112</v>
      </c>
      <c r="L3544" s="76">
        <v>0.125</v>
      </c>
      <c r="M3544" s="76">
        <v>0.13900000000000001</v>
      </c>
    </row>
    <row r="3545" spans="3:13" x14ac:dyDescent="0.15">
      <c r="C3545" s="76">
        <v>492</v>
      </c>
      <c r="D3545" s="76">
        <v>1.29E-2</v>
      </c>
      <c r="E3545" s="76">
        <v>2.63E-2</v>
      </c>
      <c r="F3545" s="76">
        <v>3.9600000000000003E-2</v>
      </c>
      <c r="G3545" s="76">
        <v>5.2699999999999997E-2</v>
      </c>
      <c r="H3545" s="76">
        <v>6.59E-2</v>
      </c>
      <c r="I3545" s="76">
        <v>7.8799999999999995E-2</v>
      </c>
      <c r="J3545" s="76">
        <v>9.1700000000000004E-2</v>
      </c>
      <c r="K3545" s="76">
        <v>0.105</v>
      </c>
      <c r="L3545" s="76">
        <v>0.11700000000000001</v>
      </c>
      <c r="M3545" s="76">
        <v>0.13</v>
      </c>
    </row>
    <row r="3546" spans="3:13" x14ac:dyDescent="0.15">
      <c r="C3546" s="76">
        <v>494</v>
      </c>
      <c r="D3546" s="76">
        <v>1.2E-2</v>
      </c>
      <c r="E3546" s="76">
        <v>2.4500000000000001E-2</v>
      </c>
      <c r="F3546" s="76">
        <v>3.6799999999999999E-2</v>
      </c>
      <c r="G3546" s="76">
        <v>4.9099999999999998E-2</v>
      </c>
      <c r="H3546" s="76">
        <v>6.13E-2</v>
      </c>
      <c r="I3546" s="76">
        <v>7.3300000000000004E-2</v>
      </c>
      <c r="J3546" s="76">
        <v>8.5400000000000004E-2</v>
      </c>
      <c r="K3546" s="76">
        <v>9.7299999999999998E-2</v>
      </c>
      <c r="L3546" s="76">
        <v>0.109</v>
      </c>
      <c r="M3546" s="76">
        <v>0.121</v>
      </c>
    </row>
    <row r="3547" spans="3:13" x14ac:dyDescent="0.15">
      <c r="C3547" s="76">
        <v>496</v>
      </c>
      <c r="D3547" s="76">
        <v>1.11E-2</v>
      </c>
      <c r="E3547" s="76">
        <v>2.2700000000000001E-2</v>
      </c>
      <c r="F3547" s="76">
        <v>3.4099999999999998E-2</v>
      </c>
      <c r="G3547" s="76">
        <v>4.5499999999999999E-2</v>
      </c>
      <c r="H3547" s="76">
        <v>5.6800000000000003E-2</v>
      </c>
      <c r="I3547" s="76">
        <v>6.7900000000000002E-2</v>
      </c>
      <c r="J3547" s="76">
        <v>7.9000000000000001E-2</v>
      </c>
      <c r="K3547" s="76">
        <v>9.0200000000000002E-2</v>
      </c>
      <c r="L3547" s="76">
        <v>0.10100000000000001</v>
      </c>
      <c r="M3547" s="76">
        <v>0.112</v>
      </c>
    </row>
    <row r="3548" spans="3:13" x14ac:dyDescent="0.15">
      <c r="C3548" s="76">
        <v>498</v>
      </c>
      <c r="D3548" s="76">
        <v>1.0200000000000001E-2</v>
      </c>
      <c r="E3548" s="76">
        <v>2.0899999999999998E-2</v>
      </c>
      <c r="F3548" s="76">
        <v>3.1300000000000001E-2</v>
      </c>
      <c r="G3548" s="76">
        <v>4.1799999999999997E-2</v>
      </c>
      <c r="H3548" s="76">
        <v>5.21E-2</v>
      </c>
      <c r="I3548" s="76">
        <v>6.2399999999999997E-2</v>
      </c>
      <c r="J3548" s="76">
        <v>7.2700000000000001E-2</v>
      </c>
      <c r="K3548" s="76">
        <v>8.2799999999999999E-2</v>
      </c>
      <c r="L3548" s="76">
        <v>9.2799999999999994E-2</v>
      </c>
      <c r="M3548" s="76">
        <v>0.10299999999999999</v>
      </c>
    </row>
    <row r="3549" spans="3:13" x14ac:dyDescent="0.15">
      <c r="C3549" s="76">
        <v>500</v>
      </c>
      <c r="D3549" s="76">
        <v>9.2200000000000008E-3</v>
      </c>
      <c r="E3549" s="76">
        <v>1.89E-2</v>
      </c>
      <c r="F3549" s="76">
        <v>2.8400000000000002E-2</v>
      </c>
      <c r="G3549" s="76">
        <v>3.7900000000000003E-2</v>
      </c>
      <c r="H3549" s="76">
        <v>4.7300000000000002E-2</v>
      </c>
      <c r="I3549" s="76">
        <v>5.6500000000000002E-2</v>
      </c>
      <c r="J3549" s="76">
        <v>6.5799999999999997E-2</v>
      </c>
      <c r="K3549" s="76">
        <v>7.4999999999999997E-2</v>
      </c>
      <c r="L3549" s="76">
        <v>8.43E-2</v>
      </c>
      <c r="M3549" s="76">
        <v>9.3100000000000002E-2</v>
      </c>
    </row>
    <row r="3550" spans="3:13" x14ac:dyDescent="0.15">
      <c r="C3550" s="76">
        <v>502</v>
      </c>
      <c r="D3550" s="76">
        <v>8.3300000000000006E-3</v>
      </c>
      <c r="E3550" s="76">
        <v>1.7100000000000001E-2</v>
      </c>
      <c r="F3550" s="76">
        <v>2.5600000000000001E-2</v>
      </c>
      <c r="G3550" s="76">
        <v>3.4200000000000001E-2</v>
      </c>
      <c r="H3550" s="76">
        <v>4.2700000000000002E-2</v>
      </c>
      <c r="I3550" s="76">
        <v>5.0999999999999997E-2</v>
      </c>
      <c r="J3550" s="76">
        <v>5.9499999999999997E-2</v>
      </c>
      <c r="K3550" s="76">
        <v>6.7699999999999996E-2</v>
      </c>
      <c r="L3550" s="76">
        <v>7.6100000000000001E-2</v>
      </c>
      <c r="M3550" s="76">
        <v>8.4099999999999994E-2</v>
      </c>
    </row>
    <row r="3551" spans="3:13" x14ac:dyDescent="0.15">
      <c r="C3551" s="76">
        <v>504</v>
      </c>
      <c r="D3551" s="76">
        <v>7.5399999999999998E-3</v>
      </c>
      <c r="E3551" s="76">
        <v>1.55E-2</v>
      </c>
      <c r="F3551" s="76">
        <v>2.3199999999999998E-2</v>
      </c>
      <c r="G3551" s="76">
        <v>3.09E-2</v>
      </c>
      <c r="H3551" s="76">
        <v>3.8699999999999998E-2</v>
      </c>
      <c r="I3551" s="76">
        <v>4.6199999999999998E-2</v>
      </c>
      <c r="J3551" s="76">
        <v>5.3800000000000001E-2</v>
      </c>
      <c r="K3551" s="76">
        <v>6.13E-2</v>
      </c>
      <c r="L3551" s="76">
        <v>6.88E-2</v>
      </c>
      <c r="M3551" s="76">
        <v>7.6200000000000004E-2</v>
      </c>
    </row>
    <row r="3552" spans="3:13" x14ac:dyDescent="0.15">
      <c r="C3552" s="76">
        <v>506</v>
      </c>
      <c r="D3552" s="76">
        <v>6.8300000000000001E-3</v>
      </c>
      <c r="E3552" s="76">
        <v>1.4E-2</v>
      </c>
      <c r="F3552" s="76">
        <v>2.1000000000000001E-2</v>
      </c>
      <c r="G3552" s="76">
        <v>2.8000000000000001E-2</v>
      </c>
      <c r="H3552" s="76">
        <v>3.5000000000000003E-2</v>
      </c>
      <c r="I3552" s="76">
        <v>4.1799999999999997E-2</v>
      </c>
      <c r="J3552" s="76">
        <v>4.87E-2</v>
      </c>
      <c r="K3552" s="76">
        <v>5.5500000000000001E-2</v>
      </c>
      <c r="L3552" s="76">
        <v>6.2399999999999997E-2</v>
      </c>
      <c r="M3552" s="76">
        <v>6.9000000000000006E-2</v>
      </c>
    </row>
    <row r="3553" spans="3:13" x14ac:dyDescent="0.15">
      <c r="C3553" s="76">
        <v>508</v>
      </c>
      <c r="D3553" s="76">
        <v>6.1900000000000002E-3</v>
      </c>
      <c r="E3553" s="76">
        <v>1.2699999999999999E-2</v>
      </c>
      <c r="F3553" s="76">
        <v>1.9E-2</v>
      </c>
      <c r="G3553" s="76">
        <v>2.5399999999999999E-2</v>
      </c>
      <c r="H3553" s="76">
        <v>3.1699999999999999E-2</v>
      </c>
      <c r="I3553" s="76">
        <v>3.7900000000000003E-2</v>
      </c>
      <c r="J3553" s="76">
        <v>4.4200000000000003E-2</v>
      </c>
      <c r="K3553" s="76">
        <v>5.0299999999999997E-2</v>
      </c>
      <c r="L3553" s="76">
        <v>5.6500000000000002E-2</v>
      </c>
      <c r="M3553" s="76">
        <v>6.25E-2</v>
      </c>
    </row>
    <row r="3554" spans="3:13" x14ac:dyDescent="0.15">
      <c r="C3554" s="76">
        <v>510</v>
      </c>
      <c r="D3554" s="76">
        <v>5.62E-3</v>
      </c>
      <c r="E3554" s="76">
        <v>1.15E-2</v>
      </c>
      <c r="F3554" s="76">
        <v>1.72E-2</v>
      </c>
      <c r="G3554" s="76">
        <v>2.3E-2</v>
      </c>
      <c r="H3554" s="76">
        <v>2.8799999999999999E-2</v>
      </c>
      <c r="I3554" s="76">
        <v>3.44E-2</v>
      </c>
      <c r="J3554" s="76">
        <v>4.0099999999999997E-2</v>
      </c>
      <c r="K3554" s="76">
        <v>4.5600000000000002E-2</v>
      </c>
      <c r="L3554" s="76">
        <v>5.1299999999999998E-2</v>
      </c>
      <c r="M3554" s="76">
        <v>5.6500000000000002E-2</v>
      </c>
    </row>
    <row r="3555" spans="3:13" x14ac:dyDescent="0.15">
      <c r="C3555" s="76">
        <v>512</v>
      </c>
      <c r="D3555" s="76">
        <v>5.0600000000000003E-3</v>
      </c>
      <c r="E3555" s="76">
        <v>1.04E-2</v>
      </c>
      <c r="F3555" s="76">
        <v>1.55E-2</v>
      </c>
      <c r="G3555" s="76">
        <v>2.07E-2</v>
      </c>
      <c r="H3555" s="76">
        <v>2.5899999999999999E-2</v>
      </c>
      <c r="I3555" s="76">
        <v>3.1E-2</v>
      </c>
      <c r="J3555" s="76">
        <v>3.6200000000000003E-2</v>
      </c>
      <c r="K3555" s="76">
        <v>4.1099999999999998E-2</v>
      </c>
      <c r="L3555" s="76">
        <v>4.6300000000000001E-2</v>
      </c>
      <c r="M3555" s="76">
        <v>5.1299999999999998E-2</v>
      </c>
    </row>
    <row r="3556" spans="3:13" x14ac:dyDescent="0.15">
      <c r="C3556" s="76">
        <v>514</v>
      </c>
      <c r="D3556" s="76">
        <v>4.62E-3</v>
      </c>
      <c r="E3556" s="76">
        <v>9.4699999999999993E-3</v>
      </c>
      <c r="F3556" s="76">
        <v>1.4200000000000001E-2</v>
      </c>
      <c r="G3556" s="76">
        <v>1.9E-2</v>
      </c>
      <c r="H3556" s="76">
        <v>2.3699999999999999E-2</v>
      </c>
      <c r="I3556" s="76">
        <v>2.8299999999999999E-2</v>
      </c>
      <c r="J3556" s="76">
        <v>3.3000000000000002E-2</v>
      </c>
      <c r="K3556" s="76">
        <v>3.7499999999999999E-2</v>
      </c>
      <c r="L3556" s="76">
        <v>4.2299999999999997E-2</v>
      </c>
      <c r="M3556" s="76">
        <v>4.6699999999999998E-2</v>
      </c>
    </row>
    <row r="3557" spans="3:13" x14ac:dyDescent="0.15">
      <c r="C3557" s="76">
        <v>516</v>
      </c>
      <c r="D3557" s="76">
        <v>4.2599999999999999E-3</v>
      </c>
      <c r="E3557" s="76">
        <v>8.6899999999999998E-3</v>
      </c>
      <c r="F3557" s="76">
        <v>1.2999999999999999E-2</v>
      </c>
      <c r="G3557" s="76">
        <v>1.7399999999999999E-2</v>
      </c>
      <c r="H3557" s="76">
        <v>2.1700000000000001E-2</v>
      </c>
      <c r="I3557" s="76">
        <v>2.5999999999999999E-2</v>
      </c>
      <c r="J3557" s="76">
        <v>3.0300000000000001E-2</v>
      </c>
      <c r="K3557" s="76">
        <v>3.4500000000000003E-2</v>
      </c>
      <c r="L3557" s="76">
        <v>3.8899999999999997E-2</v>
      </c>
      <c r="M3557" s="76">
        <v>4.2999999999999997E-2</v>
      </c>
    </row>
    <row r="3558" spans="3:13" x14ac:dyDescent="0.15">
      <c r="C3558" s="76">
        <v>518</v>
      </c>
      <c r="D3558" s="76">
        <v>3.9300000000000003E-3</v>
      </c>
      <c r="E3558" s="76">
        <v>8.0300000000000007E-3</v>
      </c>
      <c r="F3558" s="76">
        <v>1.2E-2</v>
      </c>
      <c r="G3558" s="76">
        <v>1.6E-2</v>
      </c>
      <c r="H3558" s="76">
        <v>2.01E-2</v>
      </c>
      <c r="I3558" s="76">
        <v>2.4E-2</v>
      </c>
      <c r="J3558" s="76">
        <v>2.8000000000000001E-2</v>
      </c>
      <c r="K3558" s="76">
        <v>3.1899999999999998E-2</v>
      </c>
      <c r="L3558" s="76">
        <v>3.5900000000000001E-2</v>
      </c>
      <c r="M3558" s="76">
        <v>3.9699999999999999E-2</v>
      </c>
    </row>
    <row r="3559" spans="3:13" x14ac:dyDescent="0.15">
      <c r="C3559" s="76">
        <v>520</v>
      </c>
      <c r="D3559" s="76">
        <v>3.63E-3</v>
      </c>
      <c r="E3559" s="76">
        <v>7.4400000000000004E-3</v>
      </c>
      <c r="F3559" s="76">
        <v>1.11E-2</v>
      </c>
      <c r="G3559" s="76">
        <v>1.49E-2</v>
      </c>
      <c r="H3559" s="76">
        <v>1.8599999999999998E-2</v>
      </c>
      <c r="I3559" s="76">
        <v>2.2200000000000001E-2</v>
      </c>
      <c r="J3559" s="76">
        <v>2.5999999999999999E-2</v>
      </c>
      <c r="K3559" s="76">
        <v>2.9499999999999998E-2</v>
      </c>
      <c r="L3559" s="76">
        <v>3.3099999999999997E-2</v>
      </c>
      <c r="M3559" s="76">
        <v>3.6700000000000003E-2</v>
      </c>
    </row>
    <row r="3560" spans="3:13" x14ac:dyDescent="0.15">
      <c r="C3560" s="76">
        <v>522</v>
      </c>
      <c r="D3560" s="76">
        <v>3.3700000000000002E-3</v>
      </c>
      <c r="E3560" s="76">
        <v>6.8799999999999998E-3</v>
      </c>
      <c r="F3560" s="76">
        <v>1.03E-2</v>
      </c>
      <c r="G3560" s="76">
        <v>1.38E-2</v>
      </c>
      <c r="H3560" s="76">
        <v>1.72E-2</v>
      </c>
      <c r="I3560" s="76">
        <v>2.06E-2</v>
      </c>
      <c r="J3560" s="76">
        <v>2.41E-2</v>
      </c>
      <c r="K3560" s="76">
        <v>2.7300000000000001E-2</v>
      </c>
      <c r="L3560" s="76">
        <v>3.0599999999999999E-2</v>
      </c>
      <c r="M3560" s="76">
        <v>3.4000000000000002E-2</v>
      </c>
    </row>
    <row r="3561" spans="3:13" x14ac:dyDescent="0.15">
      <c r="C3561" s="76">
        <v>524</v>
      </c>
      <c r="D3561" s="76">
        <v>3.0899999999999999E-3</v>
      </c>
      <c r="E3561" s="76">
        <v>6.3E-3</v>
      </c>
      <c r="F3561" s="76">
        <v>9.41E-3</v>
      </c>
      <c r="G3561" s="76">
        <v>1.26E-2</v>
      </c>
      <c r="H3561" s="76">
        <v>1.5699999999999999E-2</v>
      </c>
      <c r="I3561" s="76">
        <v>1.89E-2</v>
      </c>
      <c r="J3561" s="76">
        <v>2.1999999999999999E-2</v>
      </c>
      <c r="K3561" s="76">
        <v>2.4899999999999999E-2</v>
      </c>
      <c r="L3561" s="76">
        <v>2.81E-2</v>
      </c>
      <c r="M3561" s="76">
        <v>3.1099999999999999E-2</v>
      </c>
    </row>
    <row r="3562" spans="3:13" x14ac:dyDescent="0.15">
      <c r="C3562" s="76">
        <v>526</v>
      </c>
      <c r="D3562" s="76">
        <v>2.8500000000000001E-3</v>
      </c>
      <c r="E3562" s="76">
        <v>5.8199999999999997E-3</v>
      </c>
      <c r="F3562" s="76">
        <v>8.7200000000000003E-3</v>
      </c>
      <c r="G3562" s="76">
        <v>1.1599999999999999E-2</v>
      </c>
      <c r="H3562" s="76">
        <v>1.4500000000000001E-2</v>
      </c>
      <c r="I3562" s="76">
        <v>1.7399999999999999E-2</v>
      </c>
      <c r="J3562" s="76">
        <v>2.0299999999999999E-2</v>
      </c>
      <c r="K3562" s="76">
        <v>2.3099999999999999E-2</v>
      </c>
      <c r="L3562" s="76">
        <v>2.5899999999999999E-2</v>
      </c>
      <c r="M3562" s="76">
        <v>2.8899999999999999E-2</v>
      </c>
    </row>
    <row r="3563" spans="3:13" x14ac:dyDescent="0.15">
      <c r="C3563" s="76">
        <v>528</v>
      </c>
      <c r="D3563" s="76">
        <v>2.64E-3</v>
      </c>
      <c r="E3563" s="76">
        <v>5.3800000000000002E-3</v>
      </c>
      <c r="F3563" s="76">
        <v>8.0599999999999995E-3</v>
      </c>
      <c r="G3563" s="76">
        <v>1.0699999999999999E-2</v>
      </c>
      <c r="H3563" s="76">
        <v>1.34E-2</v>
      </c>
      <c r="I3563" s="76">
        <v>1.61E-2</v>
      </c>
      <c r="J3563" s="76">
        <v>1.8800000000000001E-2</v>
      </c>
      <c r="K3563" s="76">
        <v>2.1399999999999999E-2</v>
      </c>
      <c r="L3563" s="76">
        <v>2.3900000000000001E-2</v>
      </c>
      <c r="M3563" s="76">
        <v>2.6599999999999999E-2</v>
      </c>
    </row>
    <row r="3564" spans="3:13" x14ac:dyDescent="0.15">
      <c r="C3564" s="76">
        <v>530</v>
      </c>
      <c r="D3564" s="76">
        <v>2.4199999999999998E-3</v>
      </c>
      <c r="E3564" s="76">
        <v>4.9399999999999999E-3</v>
      </c>
      <c r="F3564" s="76">
        <v>7.4099999999999999E-3</v>
      </c>
      <c r="G3564" s="76">
        <v>9.9000000000000008E-3</v>
      </c>
      <c r="H3564" s="76">
        <v>1.23E-2</v>
      </c>
      <c r="I3564" s="76">
        <v>1.4800000000000001E-2</v>
      </c>
      <c r="J3564" s="76">
        <v>1.7299999999999999E-2</v>
      </c>
      <c r="K3564" s="76">
        <v>1.9599999999999999E-2</v>
      </c>
      <c r="L3564" s="76">
        <v>2.1999999999999999E-2</v>
      </c>
      <c r="M3564" s="76">
        <v>2.4500000000000001E-2</v>
      </c>
    </row>
    <row r="3565" spans="3:13" x14ac:dyDescent="0.15">
      <c r="C3565" s="76">
        <v>532</v>
      </c>
      <c r="D3565" s="76">
        <v>2.2200000000000002E-3</v>
      </c>
      <c r="E3565" s="76">
        <v>4.5399999999999998E-3</v>
      </c>
      <c r="F3565" s="76">
        <v>6.7799999999999996E-3</v>
      </c>
      <c r="G3565" s="76">
        <v>9.0600000000000003E-3</v>
      </c>
      <c r="H3565" s="76">
        <v>1.1299999999999999E-2</v>
      </c>
      <c r="I3565" s="76">
        <v>1.3599999999999999E-2</v>
      </c>
      <c r="J3565" s="76">
        <v>1.5800000000000002E-2</v>
      </c>
      <c r="K3565" s="76">
        <v>1.7899999999999999E-2</v>
      </c>
      <c r="L3565" s="76">
        <v>2.0199999999999999E-2</v>
      </c>
      <c r="M3565" s="76">
        <v>2.24E-2</v>
      </c>
    </row>
    <row r="3566" spans="3:13" x14ac:dyDescent="0.15">
      <c r="C3566" s="76">
        <v>534</v>
      </c>
      <c r="D3566" s="76">
        <v>2.0300000000000001E-3</v>
      </c>
      <c r="E3566" s="76">
        <v>4.13E-3</v>
      </c>
      <c r="F3566" s="76">
        <v>6.1900000000000002E-3</v>
      </c>
      <c r="G3566" s="76">
        <v>8.2900000000000005E-3</v>
      </c>
      <c r="H3566" s="76">
        <v>1.03E-2</v>
      </c>
      <c r="I3566" s="76">
        <v>1.24E-2</v>
      </c>
      <c r="J3566" s="76">
        <v>1.44E-2</v>
      </c>
      <c r="K3566" s="76">
        <v>1.6400000000000001E-2</v>
      </c>
      <c r="L3566" s="76">
        <v>1.84E-2</v>
      </c>
      <c r="M3566" s="76">
        <v>2.0400000000000001E-2</v>
      </c>
    </row>
    <row r="3567" spans="3:13" x14ac:dyDescent="0.15">
      <c r="C3567" s="76">
        <v>536</v>
      </c>
      <c r="D3567" s="76">
        <v>1.82E-3</v>
      </c>
      <c r="E3567" s="76">
        <v>3.7100000000000002E-3</v>
      </c>
      <c r="F3567" s="76">
        <v>5.5700000000000003E-3</v>
      </c>
      <c r="G3567" s="76">
        <v>7.4400000000000004E-3</v>
      </c>
      <c r="H3567" s="76">
        <v>9.2599999999999991E-3</v>
      </c>
      <c r="I3567" s="76">
        <v>1.12E-2</v>
      </c>
      <c r="J3567" s="76">
        <v>1.2999999999999999E-2</v>
      </c>
      <c r="K3567" s="76">
        <v>1.49E-2</v>
      </c>
      <c r="L3567" s="76">
        <v>1.6500000000000001E-2</v>
      </c>
      <c r="M3567" s="76">
        <v>1.84E-2</v>
      </c>
    </row>
    <row r="3568" spans="3:13" x14ac:dyDescent="0.15">
      <c r="C3568" s="76">
        <v>538</v>
      </c>
      <c r="D3568" s="76">
        <v>1.66E-3</v>
      </c>
      <c r="E3568" s="76">
        <v>3.3600000000000001E-3</v>
      </c>
      <c r="F3568" s="76">
        <v>5.0699999999999999E-3</v>
      </c>
      <c r="G3568" s="76">
        <v>6.77E-3</v>
      </c>
      <c r="H3568" s="76">
        <v>8.4200000000000004E-3</v>
      </c>
      <c r="I3568" s="76">
        <v>1.01E-2</v>
      </c>
      <c r="J3568" s="76">
        <v>1.18E-2</v>
      </c>
      <c r="K3568" s="76">
        <v>1.35E-2</v>
      </c>
      <c r="L3568" s="76">
        <v>1.5100000000000001E-2</v>
      </c>
      <c r="M3568" s="76">
        <v>1.67E-2</v>
      </c>
    </row>
    <row r="3569" spans="3:13" x14ac:dyDescent="0.15">
      <c r="C3569" s="76">
        <v>540</v>
      </c>
      <c r="D3569" s="76">
        <v>1.5100000000000001E-3</v>
      </c>
      <c r="E3569" s="76">
        <v>3.0599999999999998E-3</v>
      </c>
      <c r="F3569" s="76">
        <v>4.6100000000000004E-3</v>
      </c>
      <c r="G3569" s="76">
        <v>6.1500000000000001E-3</v>
      </c>
      <c r="H3569" s="76">
        <v>7.6499999999999997E-3</v>
      </c>
      <c r="I3569" s="76">
        <v>9.2200000000000008E-3</v>
      </c>
      <c r="J3569" s="76">
        <v>1.0699999999999999E-2</v>
      </c>
      <c r="K3569" s="76">
        <v>1.23E-2</v>
      </c>
      <c r="L3569" s="76">
        <v>1.37E-2</v>
      </c>
      <c r="M3569" s="76">
        <v>1.52E-2</v>
      </c>
    </row>
    <row r="3570" spans="3:13" x14ac:dyDescent="0.15">
      <c r="C3570" s="76">
        <v>542</v>
      </c>
      <c r="D3570" s="76">
        <v>1.3799999999999999E-3</v>
      </c>
      <c r="E3570" s="76">
        <v>2.7899999999999999E-3</v>
      </c>
      <c r="F3570" s="76">
        <v>4.1900000000000001E-3</v>
      </c>
      <c r="G3570" s="76">
        <v>5.6100000000000004E-3</v>
      </c>
      <c r="H3570" s="76">
        <v>6.9800000000000001E-3</v>
      </c>
      <c r="I3570" s="76">
        <v>8.3999999999999995E-3</v>
      </c>
      <c r="J3570" s="76">
        <v>9.7800000000000005E-3</v>
      </c>
      <c r="K3570" s="76">
        <v>1.11E-2</v>
      </c>
      <c r="L3570" s="76">
        <v>1.2500000000000001E-2</v>
      </c>
      <c r="M3570" s="76">
        <v>1.38E-2</v>
      </c>
    </row>
    <row r="3571" spans="3:13" x14ac:dyDescent="0.15">
      <c r="C3571" s="76">
        <v>544</v>
      </c>
      <c r="D3571" s="76">
        <v>1.25E-3</v>
      </c>
      <c r="E3571" s="76">
        <v>2.5300000000000001E-3</v>
      </c>
      <c r="F3571" s="76">
        <v>3.82E-3</v>
      </c>
      <c r="G3571" s="76">
        <v>5.11E-3</v>
      </c>
      <c r="H3571" s="76">
        <v>6.3699999999999998E-3</v>
      </c>
      <c r="I3571" s="76">
        <v>7.6299999999999996E-3</v>
      </c>
      <c r="J3571" s="76">
        <v>8.8500000000000002E-3</v>
      </c>
      <c r="K3571" s="76">
        <v>1.01E-2</v>
      </c>
      <c r="L3571" s="76">
        <v>1.1299999999999999E-2</v>
      </c>
      <c r="M3571" s="76">
        <v>1.2500000000000001E-2</v>
      </c>
    </row>
    <row r="3572" spans="3:13" x14ac:dyDescent="0.15">
      <c r="C3572" s="76">
        <v>546</v>
      </c>
      <c r="D3572" s="76">
        <v>1.1299999999999999E-3</v>
      </c>
      <c r="E3572" s="76">
        <v>2.2899999999999999E-3</v>
      </c>
      <c r="F3572" s="76">
        <v>3.4499999999999999E-3</v>
      </c>
      <c r="G3572" s="76">
        <v>4.6100000000000004E-3</v>
      </c>
      <c r="H3572" s="76">
        <v>5.7499999999999999E-3</v>
      </c>
      <c r="I3572" s="76">
        <v>6.8599999999999998E-3</v>
      </c>
      <c r="J3572" s="76">
        <v>8.0199999999999994E-3</v>
      </c>
      <c r="K3572" s="76">
        <v>9.1800000000000007E-3</v>
      </c>
      <c r="L3572" s="76">
        <v>1.04E-2</v>
      </c>
      <c r="M3572" s="76">
        <v>1.1299999999999999E-2</v>
      </c>
    </row>
    <row r="3573" spans="3:13" x14ac:dyDescent="0.15">
      <c r="C3573" s="76">
        <v>548</v>
      </c>
      <c r="D3573" s="76">
        <v>1.0200000000000001E-3</v>
      </c>
      <c r="E3573" s="76">
        <v>2.0699999999999998E-3</v>
      </c>
      <c r="F3573" s="76">
        <v>3.1199999999999999E-3</v>
      </c>
      <c r="G3573" s="76">
        <v>4.1700000000000001E-3</v>
      </c>
      <c r="H3573" s="76">
        <v>5.1999999999999998E-3</v>
      </c>
      <c r="I3573" s="76">
        <v>6.2399999999999999E-3</v>
      </c>
      <c r="J3573" s="76">
        <v>7.2500000000000004E-3</v>
      </c>
      <c r="K3573" s="76">
        <v>8.2699999999999996E-3</v>
      </c>
      <c r="L3573" s="76">
        <v>9.2800000000000001E-3</v>
      </c>
      <c r="M3573" s="76">
        <v>1.03E-2</v>
      </c>
    </row>
    <row r="3574" spans="3:13" x14ac:dyDescent="0.15">
      <c r="C3574" s="76">
        <v>550</v>
      </c>
      <c r="D3574" s="76">
        <v>9.3300000000000002E-4</v>
      </c>
      <c r="E3574" s="76">
        <v>1.8699999999999999E-3</v>
      </c>
      <c r="F3574" s="76">
        <v>2.8400000000000001E-3</v>
      </c>
      <c r="G3574" s="76">
        <v>3.79E-3</v>
      </c>
      <c r="H3574" s="76">
        <v>4.7299999999999998E-3</v>
      </c>
      <c r="I3574" s="76">
        <v>5.7000000000000002E-3</v>
      </c>
      <c r="J3574" s="76">
        <v>6.5900000000000004E-3</v>
      </c>
      <c r="K3574" s="76">
        <v>7.5399999999999998E-3</v>
      </c>
      <c r="L3574" s="76">
        <v>8.4899999999999993E-3</v>
      </c>
      <c r="M3574" s="76">
        <v>9.3799999999999994E-3</v>
      </c>
    </row>
    <row r="3575" spans="3:13" x14ac:dyDescent="0.15">
      <c r="C3575" s="76">
        <v>552</v>
      </c>
      <c r="D3575" s="76">
        <v>8.4800000000000001E-4</v>
      </c>
      <c r="E3575" s="76">
        <v>1.7099999999999999E-3</v>
      </c>
      <c r="F3575" s="76">
        <v>2.5999999999999999E-3</v>
      </c>
      <c r="G3575" s="76">
        <v>3.46E-3</v>
      </c>
      <c r="H3575" s="76">
        <v>4.2900000000000004E-3</v>
      </c>
      <c r="I3575" s="76">
        <v>5.2100000000000002E-3</v>
      </c>
      <c r="J3575" s="76">
        <v>5.9699999999999996E-3</v>
      </c>
      <c r="K3575" s="76">
        <v>6.9100000000000003E-3</v>
      </c>
      <c r="L3575" s="76">
        <v>7.7200000000000003E-3</v>
      </c>
      <c r="M3575" s="76">
        <v>8.5500000000000003E-3</v>
      </c>
    </row>
    <row r="3576" spans="3:13" x14ac:dyDescent="0.15">
      <c r="C3576" s="76">
        <v>554</v>
      </c>
      <c r="D3576" s="76">
        <v>7.7099999999999998E-4</v>
      </c>
      <c r="E3576" s="76">
        <v>1.57E-3</v>
      </c>
      <c r="F3576" s="76">
        <v>2.3700000000000001E-3</v>
      </c>
      <c r="G3576" s="76">
        <v>3.15E-3</v>
      </c>
      <c r="H3576" s="76">
        <v>3.9199999999999999E-3</v>
      </c>
      <c r="I3576" s="76">
        <v>4.7200000000000002E-3</v>
      </c>
      <c r="J3576" s="76">
        <v>5.4400000000000004E-3</v>
      </c>
      <c r="K3576" s="76">
        <v>6.3200000000000001E-3</v>
      </c>
      <c r="L3576" s="76">
        <v>7.0499999999999998E-3</v>
      </c>
      <c r="M3576" s="76">
        <v>7.77E-3</v>
      </c>
    </row>
    <row r="3577" spans="3:13" x14ac:dyDescent="0.15">
      <c r="C3577" s="76">
        <v>556</v>
      </c>
      <c r="D3577" s="76">
        <v>7.0799999999999997E-4</v>
      </c>
      <c r="E3577" s="76">
        <v>1.4300000000000001E-3</v>
      </c>
      <c r="F3577" s="76">
        <v>2.1800000000000001E-3</v>
      </c>
      <c r="G3577" s="76">
        <v>2.8999999999999998E-3</v>
      </c>
      <c r="H3577" s="76">
        <v>3.5999999999999999E-3</v>
      </c>
      <c r="I3577" s="76">
        <v>4.3200000000000001E-3</v>
      </c>
      <c r="J3577" s="76">
        <v>4.96E-3</v>
      </c>
      <c r="K3577" s="76">
        <v>5.7600000000000004E-3</v>
      </c>
      <c r="L3577" s="76">
        <v>6.3800000000000003E-3</v>
      </c>
      <c r="M3577" s="76">
        <v>7.1199999999999996E-3</v>
      </c>
    </row>
    <row r="3578" spans="3:13" x14ac:dyDescent="0.15">
      <c r="C3578" s="76">
        <v>558</v>
      </c>
      <c r="D3578" s="76">
        <v>6.3900000000000003E-4</v>
      </c>
      <c r="E3578" s="76">
        <v>1.2999999999999999E-3</v>
      </c>
      <c r="F3578" s="76">
        <v>1.9599999999999999E-3</v>
      </c>
      <c r="G3578" s="76">
        <v>2.5899999999999999E-3</v>
      </c>
      <c r="H3578" s="76">
        <v>3.2599999999999999E-3</v>
      </c>
      <c r="I3578" s="76">
        <v>3.8800000000000002E-3</v>
      </c>
      <c r="J3578" s="76">
        <v>4.5399999999999998E-3</v>
      </c>
      <c r="K3578" s="76">
        <v>5.2199999999999998E-3</v>
      </c>
      <c r="L3578" s="76">
        <v>5.7999999999999996E-3</v>
      </c>
      <c r="M3578" s="76">
        <v>6.3699999999999998E-3</v>
      </c>
    </row>
    <row r="3579" spans="3:13" x14ac:dyDescent="0.15">
      <c r="C3579" s="76">
        <v>560</v>
      </c>
      <c r="D3579" s="76">
        <v>5.8399999999999999E-4</v>
      </c>
      <c r="E3579" s="76">
        <v>1.1900000000000001E-3</v>
      </c>
      <c r="F3579" s="76">
        <v>1.7899999999999999E-3</v>
      </c>
      <c r="G3579" s="76">
        <v>2.3800000000000002E-3</v>
      </c>
      <c r="H3579" s="76">
        <v>2.97E-3</v>
      </c>
      <c r="I3579" s="76">
        <v>3.62E-3</v>
      </c>
      <c r="J3579" s="76">
        <v>4.1399999999999996E-3</v>
      </c>
      <c r="K3579" s="76">
        <v>4.7499999999999999E-3</v>
      </c>
      <c r="L3579" s="76">
        <v>5.3299999999999997E-3</v>
      </c>
      <c r="M3579" s="76">
        <v>5.8700000000000002E-3</v>
      </c>
    </row>
    <row r="3580" spans="3:13" x14ac:dyDescent="0.15">
      <c r="C3580" s="76">
        <v>562</v>
      </c>
      <c r="D3580" s="76">
        <v>5.3700000000000004E-4</v>
      </c>
      <c r="E3580" s="76">
        <v>1.08E-3</v>
      </c>
      <c r="F3580" s="76">
        <v>1.6199999999999999E-3</v>
      </c>
      <c r="G3580" s="76">
        <v>2.1700000000000001E-3</v>
      </c>
      <c r="H3580" s="76">
        <v>2.7299999999999998E-3</v>
      </c>
      <c r="I3580" s="76">
        <v>3.3500000000000001E-3</v>
      </c>
      <c r="J3580" s="76">
        <v>3.7699999999999999E-3</v>
      </c>
      <c r="K3580" s="76">
        <v>4.3600000000000002E-3</v>
      </c>
      <c r="L3580" s="76">
        <v>4.8700000000000002E-3</v>
      </c>
      <c r="M3580" s="76">
        <v>5.3499999999999997E-3</v>
      </c>
    </row>
    <row r="3581" spans="3:13" x14ac:dyDescent="0.15">
      <c r="C3581" s="76">
        <v>564</v>
      </c>
      <c r="D3581" s="76">
        <v>4.9600000000000002E-4</v>
      </c>
      <c r="E3581" s="76">
        <v>9.9400000000000009E-4</v>
      </c>
      <c r="F3581" s="76">
        <v>1.5200000000000001E-3</v>
      </c>
      <c r="G3581" s="76">
        <v>1.99E-3</v>
      </c>
      <c r="H3581" s="76">
        <v>2.5000000000000001E-3</v>
      </c>
      <c r="I3581" s="76">
        <v>3.0200000000000001E-3</v>
      </c>
      <c r="J3581" s="76">
        <v>3.47E-3</v>
      </c>
      <c r="K3581" s="76">
        <v>4.0299999999999997E-3</v>
      </c>
      <c r="L3581" s="76">
        <v>4.47E-3</v>
      </c>
      <c r="M3581" s="76">
        <v>4.8999999999999998E-3</v>
      </c>
    </row>
    <row r="3582" spans="3:13" x14ac:dyDescent="0.15">
      <c r="C3582" s="76">
        <v>566</v>
      </c>
      <c r="D3582" s="76">
        <v>4.5399999999999998E-4</v>
      </c>
      <c r="E3582" s="76">
        <v>9.2500000000000004E-4</v>
      </c>
      <c r="F3582" s="76">
        <v>1.42E-3</v>
      </c>
      <c r="G3582" s="76">
        <v>1.83E-3</v>
      </c>
      <c r="H3582" s="76">
        <v>2.3400000000000001E-3</v>
      </c>
      <c r="I3582" s="76">
        <v>2.7899999999999999E-3</v>
      </c>
      <c r="J3582" s="76">
        <v>3.1700000000000001E-3</v>
      </c>
      <c r="K3582" s="76">
        <v>3.6900000000000001E-3</v>
      </c>
      <c r="L3582" s="76">
        <v>4.1099999999999999E-3</v>
      </c>
      <c r="M3582" s="76">
        <v>4.5500000000000002E-3</v>
      </c>
    </row>
    <row r="3583" spans="3:13" x14ac:dyDescent="0.15">
      <c r="C3583" s="76">
        <v>568</v>
      </c>
      <c r="D3583" s="76">
        <v>4.1399999999999998E-4</v>
      </c>
      <c r="E3583" s="76">
        <v>8.4400000000000002E-4</v>
      </c>
      <c r="F3583" s="76">
        <v>1.31E-3</v>
      </c>
      <c r="G3583" s="76">
        <v>1.6999999999999999E-3</v>
      </c>
      <c r="H3583" s="76">
        <v>2.15E-3</v>
      </c>
      <c r="I3583" s="76">
        <v>2.5500000000000002E-3</v>
      </c>
      <c r="J3583" s="76">
        <v>2.9399999999999999E-3</v>
      </c>
      <c r="K3583" s="76">
        <v>3.3999999999999998E-3</v>
      </c>
      <c r="L3583" s="76">
        <v>3.79E-3</v>
      </c>
      <c r="M3583" s="76">
        <v>4.1900000000000001E-3</v>
      </c>
    </row>
    <row r="3584" spans="3:13" x14ac:dyDescent="0.15">
      <c r="C3584" s="76">
        <v>570</v>
      </c>
      <c r="D3584" s="76">
        <v>3.8200000000000002E-4</v>
      </c>
      <c r="E3584" s="76">
        <v>7.7200000000000001E-4</v>
      </c>
      <c r="F3584" s="76">
        <v>1.1999999999999999E-3</v>
      </c>
      <c r="G3584" s="76">
        <v>1.5399999999999999E-3</v>
      </c>
      <c r="H3584" s="76">
        <v>1.98E-3</v>
      </c>
      <c r="I3584" s="76">
        <v>2.31E-3</v>
      </c>
      <c r="J3584" s="76">
        <v>2.6800000000000001E-3</v>
      </c>
      <c r="K3584" s="76">
        <v>3.1199999999999999E-3</v>
      </c>
      <c r="L3584" s="76">
        <v>3.5300000000000002E-3</v>
      </c>
      <c r="M3584" s="76">
        <v>3.8400000000000001E-3</v>
      </c>
    </row>
    <row r="3585" spans="3:13" x14ac:dyDescent="0.15">
      <c r="C3585" s="76">
        <v>572</v>
      </c>
      <c r="D3585" s="76">
        <v>3.57E-4</v>
      </c>
      <c r="E3585" s="76">
        <v>7.1299999999999998E-4</v>
      </c>
      <c r="F3585" s="76">
        <v>1.1100000000000001E-3</v>
      </c>
      <c r="G3585" s="76">
        <v>1.4400000000000001E-3</v>
      </c>
      <c r="H3585" s="76">
        <v>1.83E-3</v>
      </c>
      <c r="I3585" s="76">
        <v>2.1900000000000001E-3</v>
      </c>
      <c r="J3585" s="76">
        <v>2.5100000000000001E-3</v>
      </c>
      <c r="K3585" s="76">
        <v>2.9399999999999999E-3</v>
      </c>
      <c r="L3585" s="76">
        <v>3.2299999999999998E-3</v>
      </c>
      <c r="M3585" s="76">
        <v>3.5500000000000002E-3</v>
      </c>
    </row>
    <row r="3586" spans="3:13" x14ac:dyDescent="0.15">
      <c r="C3586" s="76">
        <v>574</v>
      </c>
      <c r="D3586" s="76">
        <v>3.3E-4</v>
      </c>
      <c r="E3586" s="76">
        <v>6.7599999999999995E-4</v>
      </c>
      <c r="F3586" s="76">
        <v>1.0300000000000001E-3</v>
      </c>
      <c r="G3586" s="76">
        <v>1.3600000000000001E-3</v>
      </c>
      <c r="H3586" s="76">
        <v>1.6900000000000001E-3</v>
      </c>
      <c r="I3586" s="76">
        <v>2.0100000000000001E-3</v>
      </c>
      <c r="J3586" s="76">
        <v>2.3400000000000001E-3</v>
      </c>
      <c r="K3586" s="76">
        <v>2.7200000000000002E-3</v>
      </c>
      <c r="L3586" s="76">
        <v>2.98E-3</v>
      </c>
      <c r="M3586" s="76">
        <v>3.3E-3</v>
      </c>
    </row>
    <row r="3587" spans="3:13" x14ac:dyDescent="0.15">
      <c r="C3587" s="76">
        <v>576</v>
      </c>
      <c r="D3587" s="76">
        <v>3.1100000000000002E-4</v>
      </c>
      <c r="E3587" s="76">
        <v>6.2299999999999996E-4</v>
      </c>
      <c r="F3587" s="76">
        <v>9.7499999999999996E-4</v>
      </c>
      <c r="G3587" s="76">
        <v>1.1999999999999999E-3</v>
      </c>
      <c r="H3587" s="76">
        <v>1.5900000000000001E-3</v>
      </c>
      <c r="I3587" s="76">
        <v>1.89E-3</v>
      </c>
      <c r="J3587" s="76">
        <v>2.15E-3</v>
      </c>
      <c r="K3587" s="76">
        <v>2.4499999999999999E-3</v>
      </c>
      <c r="L3587" s="76">
        <v>2.7899999999999999E-3</v>
      </c>
      <c r="M3587" s="76">
        <v>3.0100000000000001E-3</v>
      </c>
    </row>
    <row r="3588" spans="3:13" x14ac:dyDescent="0.15">
      <c r="C3588" s="76">
        <v>578</v>
      </c>
      <c r="D3588" s="76">
        <v>2.8699999999999998E-4</v>
      </c>
      <c r="E3588" s="76">
        <v>5.7200000000000003E-4</v>
      </c>
      <c r="F3588" s="76">
        <v>8.8699999999999998E-4</v>
      </c>
      <c r="G3588" s="76">
        <v>1.1299999999999999E-3</v>
      </c>
      <c r="H3588" s="76">
        <v>1.4400000000000001E-3</v>
      </c>
      <c r="I3588" s="76">
        <v>1.75E-3</v>
      </c>
      <c r="J3588" s="76">
        <v>2.0400000000000001E-3</v>
      </c>
      <c r="K3588" s="76">
        <v>2.2699999999999999E-3</v>
      </c>
      <c r="L3588" s="76">
        <v>2.5899999999999999E-3</v>
      </c>
      <c r="M3588" s="76">
        <v>2.8400000000000001E-3</v>
      </c>
    </row>
    <row r="3589" spans="3:13" x14ac:dyDescent="0.15">
      <c r="C3589" s="76">
        <v>580</v>
      </c>
      <c r="D3589" s="76">
        <v>2.6499999999999999E-4</v>
      </c>
      <c r="E3589" s="76">
        <v>5.3600000000000002E-4</v>
      </c>
      <c r="F3589" s="76">
        <v>8.1800000000000004E-4</v>
      </c>
      <c r="G3589" s="76">
        <v>1.0300000000000001E-3</v>
      </c>
      <c r="H3589" s="76">
        <v>1.34E-3</v>
      </c>
      <c r="I3589" s="76">
        <v>1.6199999999999999E-3</v>
      </c>
      <c r="J3589" s="76">
        <v>1.7899999999999999E-3</v>
      </c>
      <c r="K3589" s="76">
        <v>2.0899999999999998E-3</v>
      </c>
      <c r="L3589" s="76">
        <v>2.3600000000000001E-3</v>
      </c>
      <c r="M3589" s="76">
        <v>2.5600000000000002E-3</v>
      </c>
    </row>
    <row r="3590" spans="3:13" x14ac:dyDescent="0.15">
      <c r="C3590" s="76">
        <v>582</v>
      </c>
      <c r="D3590" s="76">
        <v>2.42E-4</v>
      </c>
      <c r="E3590" s="76">
        <v>4.8999999999999998E-4</v>
      </c>
      <c r="F3590" s="76">
        <v>7.5799999999999999E-4</v>
      </c>
      <c r="G3590" s="76">
        <v>9.5100000000000002E-4</v>
      </c>
      <c r="H3590" s="76">
        <v>1.23E-3</v>
      </c>
      <c r="I3590" s="76">
        <v>1.47E-3</v>
      </c>
      <c r="J3590" s="76">
        <v>1.6800000000000001E-3</v>
      </c>
      <c r="K3590" s="76">
        <v>1.9300000000000001E-3</v>
      </c>
      <c r="L3590" s="76">
        <v>2.16E-3</v>
      </c>
      <c r="M3590" s="76">
        <v>2.3400000000000001E-3</v>
      </c>
    </row>
    <row r="3591" spans="3:13" x14ac:dyDescent="0.15">
      <c r="C3591" s="76">
        <v>584</v>
      </c>
      <c r="D3591" s="76">
        <v>2.22E-4</v>
      </c>
      <c r="E3591" s="76">
        <v>4.5899999999999999E-4</v>
      </c>
      <c r="F3591" s="76">
        <v>6.9499999999999998E-4</v>
      </c>
      <c r="G3591" s="76">
        <v>8.9499999999999996E-4</v>
      </c>
      <c r="H3591" s="76">
        <v>1.1000000000000001E-3</v>
      </c>
      <c r="I3591" s="76">
        <v>1.3500000000000001E-3</v>
      </c>
      <c r="J3591" s="76">
        <v>1.6199999999999999E-3</v>
      </c>
      <c r="K3591" s="76">
        <v>1.82E-3</v>
      </c>
      <c r="L3591" s="76">
        <v>2.0200000000000001E-3</v>
      </c>
      <c r="M3591" s="76">
        <v>2.1700000000000001E-3</v>
      </c>
    </row>
    <row r="3592" spans="3:13" x14ac:dyDescent="0.15">
      <c r="C3592" s="76">
        <v>586</v>
      </c>
      <c r="D3592" s="76">
        <v>2.02E-4</v>
      </c>
      <c r="E3592" s="76">
        <v>4.2700000000000002E-4</v>
      </c>
      <c r="F3592" s="76">
        <v>6.3599999999999996E-4</v>
      </c>
      <c r="G3592" s="76">
        <v>8.12E-4</v>
      </c>
      <c r="H3592" s="76">
        <v>1.0300000000000001E-3</v>
      </c>
      <c r="I3592" s="76">
        <v>1.2700000000000001E-3</v>
      </c>
      <c r="J3592" s="76">
        <v>1.4E-3</v>
      </c>
      <c r="K3592" s="76">
        <v>1.66E-3</v>
      </c>
      <c r="L3592" s="76">
        <v>1.8699999999999999E-3</v>
      </c>
      <c r="M3592" s="76">
        <v>2.0100000000000001E-3</v>
      </c>
    </row>
    <row r="3593" spans="3:13" x14ac:dyDescent="0.15">
      <c r="C3593" s="76">
        <v>588</v>
      </c>
      <c r="D3593" s="76">
        <v>1.85E-4</v>
      </c>
      <c r="E3593" s="76">
        <v>3.9500000000000001E-4</v>
      </c>
      <c r="F3593" s="76">
        <v>5.7600000000000001E-4</v>
      </c>
      <c r="G3593" s="76">
        <v>7.5199999999999996E-4</v>
      </c>
      <c r="H3593" s="76">
        <v>9.5600000000000004E-4</v>
      </c>
      <c r="I3593" s="76">
        <v>1.07E-3</v>
      </c>
      <c r="J3593" s="76">
        <v>1.2999999999999999E-3</v>
      </c>
      <c r="K3593" s="76">
        <v>1.4300000000000001E-3</v>
      </c>
      <c r="L3593" s="76">
        <v>1.6199999999999999E-3</v>
      </c>
      <c r="M3593" s="76">
        <v>1.7899999999999999E-3</v>
      </c>
    </row>
    <row r="3594" spans="3:13" x14ac:dyDescent="0.15">
      <c r="C3594" s="76">
        <v>590</v>
      </c>
      <c r="D3594" s="76">
        <v>1.6200000000000001E-4</v>
      </c>
      <c r="E3594" s="76">
        <v>3.5799999999999997E-4</v>
      </c>
      <c r="F3594" s="76">
        <v>5.2700000000000002E-4</v>
      </c>
      <c r="G3594" s="76">
        <v>6.7400000000000001E-4</v>
      </c>
      <c r="H3594" s="76">
        <v>8.7000000000000001E-4</v>
      </c>
      <c r="I3594" s="76">
        <v>1.06E-3</v>
      </c>
      <c r="J3594" s="76">
        <v>1.1800000000000001E-3</v>
      </c>
      <c r="K3594" s="76">
        <v>1.31E-3</v>
      </c>
      <c r="L3594" s="76">
        <v>1.5100000000000001E-3</v>
      </c>
      <c r="M3594" s="76">
        <v>1.67E-3</v>
      </c>
    </row>
    <row r="3595" spans="3:13" x14ac:dyDescent="0.15">
      <c r="C3595" s="76">
        <v>592</v>
      </c>
      <c r="D3595" s="76">
        <v>1.54E-4</v>
      </c>
      <c r="E3595" s="76">
        <v>3.3700000000000001E-4</v>
      </c>
      <c r="F3595" s="76">
        <v>4.7600000000000002E-4</v>
      </c>
      <c r="G3595" s="76">
        <v>6.1899999999999998E-4</v>
      </c>
      <c r="H3595" s="76">
        <v>7.6400000000000003E-4</v>
      </c>
      <c r="I3595" s="76">
        <v>9.3800000000000003E-4</v>
      </c>
      <c r="J3595" s="76">
        <v>1.07E-3</v>
      </c>
      <c r="K3595" s="76">
        <v>1.2099999999999999E-3</v>
      </c>
      <c r="L3595" s="76">
        <v>1.4599999999999999E-3</v>
      </c>
      <c r="M3595" s="76">
        <v>1.5399999999999999E-3</v>
      </c>
    </row>
    <row r="3596" spans="3:13" x14ac:dyDescent="0.15">
      <c r="C3596" s="76">
        <v>594</v>
      </c>
      <c r="D3596" s="76">
        <v>1.4300000000000001E-4</v>
      </c>
      <c r="E3596" s="76">
        <v>3.0699999999999998E-4</v>
      </c>
      <c r="F3596" s="76">
        <v>4.2999999999999999E-4</v>
      </c>
      <c r="G3596" s="76">
        <v>5.6700000000000001E-4</v>
      </c>
      <c r="H3596" s="76">
        <v>7.0500000000000001E-4</v>
      </c>
      <c r="I3596" s="76">
        <v>9.0499999999999999E-4</v>
      </c>
      <c r="J3596" s="76">
        <v>9.7900000000000005E-4</v>
      </c>
      <c r="K3596" s="76">
        <v>1.09E-3</v>
      </c>
      <c r="L3596" s="76">
        <v>1.2700000000000001E-3</v>
      </c>
      <c r="M3596" s="76">
        <v>1.2999999999999999E-3</v>
      </c>
    </row>
    <row r="3597" spans="3:13" x14ac:dyDescent="0.15">
      <c r="C3597" s="76">
        <v>596</v>
      </c>
      <c r="D3597" s="76">
        <v>1.3300000000000001E-4</v>
      </c>
      <c r="E3597" s="76">
        <v>2.8200000000000002E-4</v>
      </c>
      <c r="F3597" s="76">
        <v>4.0099999999999999E-4</v>
      </c>
      <c r="G3597" s="76">
        <v>5.3399999999999997E-4</v>
      </c>
      <c r="H3597" s="76">
        <v>6.5200000000000002E-4</v>
      </c>
      <c r="I3597" s="76">
        <v>8.1899999999999996E-4</v>
      </c>
      <c r="J3597" s="76">
        <v>8.9700000000000001E-4</v>
      </c>
      <c r="K3597" s="76">
        <v>9.7400000000000004E-4</v>
      </c>
      <c r="L3597" s="76">
        <v>1.1900000000000001E-3</v>
      </c>
      <c r="M3597" s="76">
        <v>1.2600000000000001E-3</v>
      </c>
    </row>
    <row r="3598" spans="3:13" x14ac:dyDescent="0.15">
      <c r="C3598" s="76">
        <v>598</v>
      </c>
      <c r="D3598" s="76">
        <v>1.2400000000000001E-4</v>
      </c>
      <c r="E3598" s="76">
        <v>2.6600000000000001E-4</v>
      </c>
      <c r="F3598" s="76">
        <v>3.5E-4</v>
      </c>
      <c r="G3598" s="76">
        <v>4.84E-4</v>
      </c>
      <c r="H3598" s="76">
        <v>5.9999999999999995E-4</v>
      </c>
      <c r="I3598" s="76">
        <v>7.2300000000000001E-4</v>
      </c>
      <c r="J3598" s="76">
        <v>8.2399999999999997E-4</v>
      </c>
      <c r="K3598" s="76">
        <v>8.5700000000000001E-4</v>
      </c>
      <c r="L3598" s="76">
        <v>1.0399999999999999E-3</v>
      </c>
      <c r="M3598" s="76">
        <v>1.2099999999999999E-3</v>
      </c>
    </row>
    <row r="3599" spans="3:13" x14ac:dyDescent="0.15">
      <c r="C3599" s="76">
        <v>600</v>
      </c>
      <c r="D3599" s="76">
        <v>1.1400000000000001E-4</v>
      </c>
      <c r="E3599" s="76">
        <v>2.4899999999999998E-4</v>
      </c>
      <c r="F3599" s="76">
        <v>3.1300000000000002E-4</v>
      </c>
      <c r="G3599" s="76">
        <v>4.2299999999999998E-4</v>
      </c>
      <c r="H3599" s="76">
        <v>5.6599999999999999E-4</v>
      </c>
      <c r="I3599" s="76">
        <v>6.7599999999999995E-4</v>
      </c>
      <c r="J3599" s="76">
        <v>7.5100000000000004E-4</v>
      </c>
      <c r="K3599" s="76">
        <v>7.6499999999999995E-4</v>
      </c>
      <c r="L3599" s="76">
        <v>9.01E-4</v>
      </c>
      <c r="M3599" s="76">
        <v>1.06E-3</v>
      </c>
    </row>
    <row r="3600" spans="3:13" x14ac:dyDescent="0.15">
      <c r="C3600" s="76">
        <v>602</v>
      </c>
      <c r="D3600" s="76">
        <v>1.06E-4</v>
      </c>
      <c r="E3600" s="76">
        <v>2.1900000000000001E-4</v>
      </c>
      <c r="F3600" s="76">
        <v>3.0200000000000002E-4</v>
      </c>
      <c r="G3600" s="76">
        <v>3.97E-4</v>
      </c>
      <c r="H3600" s="76">
        <v>4.95E-4</v>
      </c>
      <c r="I3600" s="76">
        <v>6.5200000000000002E-4</v>
      </c>
      <c r="J3600" s="76">
        <v>6.9899999999999997E-4</v>
      </c>
      <c r="K3600" s="76">
        <v>7.4299999999999995E-4</v>
      </c>
      <c r="L3600" s="76">
        <v>8.7600000000000004E-4</v>
      </c>
      <c r="M3600" s="76">
        <v>1.01E-3</v>
      </c>
    </row>
    <row r="3601" spans="3:13" x14ac:dyDescent="0.15">
      <c r="C3601" s="76">
        <v>604</v>
      </c>
      <c r="D3601" s="76">
        <v>9.4199999999999999E-5</v>
      </c>
      <c r="E3601" s="76">
        <v>2.03E-4</v>
      </c>
      <c r="F3601" s="76">
        <v>2.7300000000000002E-4</v>
      </c>
      <c r="G3601" s="76">
        <v>3.86E-4</v>
      </c>
      <c r="H3601" s="76">
        <v>4.6200000000000001E-4</v>
      </c>
      <c r="I3601" s="76">
        <v>6.1300000000000005E-4</v>
      </c>
      <c r="J3601" s="76">
        <v>5.8699999999999996E-4</v>
      </c>
      <c r="K3601" s="76">
        <v>7.1000000000000002E-4</v>
      </c>
      <c r="L3601" s="76">
        <v>7.5699999999999997E-4</v>
      </c>
      <c r="M3601" s="76">
        <v>9.0799999999999995E-4</v>
      </c>
    </row>
    <row r="3602" spans="3:13" x14ac:dyDescent="0.15">
      <c r="C3602" s="76">
        <v>606</v>
      </c>
      <c r="D3602" s="76">
        <v>8.8399999999999994E-5</v>
      </c>
      <c r="E3602" s="76">
        <v>1.8799999999999999E-4</v>
      </c>
      <c r="F3602" s="76">
        <v>2.2000000000000001E-4</v>
      </c>
      <c r="G3602" s="76">
        <v>3.6400000000000001E-4</v>
      </c>
      <c r="H3602" s="76">
        <v>4.2900000000000002E-4</v>
      </c>
      <c r="I3602" s="76">
        <v>5.1599999999999997E-4</v>
      </c>
      <c r="J3602" s="76">
        <v>5.7799999999999995E-4</v>
      </c>
      <c r="K3602" s="76">
        <v>6.2500000000000001E-4</v>
      </c>
      <c r="L3602" s="76">
        <v>7.6199999999999998E-4</v>
      </c>
      <c r="M3602" s="76">
        <v>9.01E-4</v>
      </c>
    </row>
    <row r="3603" spans="3:13" x14ac:dyDescent="0.15">
      <c r="C3603" s="76">
        <v>608</v>
      </c>
      <c r="D3603" s="76">
        <v>8.8300000000000005E-5</v>
      </c>
      <c r="E3603" s="76">
        <v>1.7100000000000001E-4</v>
      </c>
      <c r="F3603" s="76">
        <v>1.94E-4</v>
      </c>
      <c r="G3603" s="76">
        <v>3.4900000000000003E-4</v>
      </c>
      <c r="H3603" s="76">
        <v>3.9800000000000002E-4</v>
      </c>
      <c r="I3603" s="76">
        <v>5.0299999999999997E-4</v>
      </c>
      <c r="J3603" s="76">
        <v>5.5800000000000001E-4</v>
      </c>
      <c r="K3603" s="76">
        <v>5.5599999999999996E-4</v>
      </c>
      <c r="L3603" s="76">
        <v>7.0100000000000002E-4</v>
      </c>
      <c r="M3603" s="76">
        <v>8.8800000000000001E-4</v>
      </c>
    </row>
    <row r="3604" spans="3:13" x14ac:dyDescent="0.15">
      <c r="C3604" s="76">
        <v>610</v>
      </c>
      <c r="D3604" s="76">
        <v>6.8999999999999997E-5</v>
      </c>
      <c r="E3604" s="76">
        <v>1.6799999999999999E-4</v>
      </c>
      <c r="F3604" s="76">
        <v>1.73E-4</v>
      </c>
      <c r="G3604" s="76">
        <v>3.3199999999999999E-4</v>
      </c>
      <c r="H3604" s="76">
        <v>3.2400000000000001E-4</v>
      </c>
      <c r="I3604" s="76">
        <v>4.8999999999999998E-4</v>
      </c>
      <c r="J3604" s="76">
        <v>5.1199999999999998E-4</v>
      </c>
      <c r="K3604" s="76">
        <v>5.8100000000000003E-4</v>
      </c>
      <c r="L3604" s="76">
        <v>6.1300000000000005E-4</v>
      </c>
      <c r="M3604" s="76">
        <v>8.3000000000000001E-4</v>
      </c>
    </row>
    <row r="3605" spans="3:13" x14ac:dyDescent="0.15">
      <c r="C3605" s="76">
        <v>612</v>
      </c>
      <c r="D3605" s="76">
        <v>7.4900000000000005E-5</v>
      </c>
      <c r="E3605" s="76">
        <v>1.4300000000000001E-4</v>
      </c>
      <c r="F3605" s="76">
        <v>1.6699999999999999E-4</v>
      </c>
      <c r="G3605" s="76">
        <v>3.01E-4</v>
      </c>
      <c r="H3605" s="76">
        <v>2.7799999999999998E-4</v>
      </c>
      <c r="I3605" s="76">
        <v>4.1100000000000002E-4</v>
      </c>
      <c r="J3605" s="76">
        <v>5.1400000000000003E-4</v>
      </c>
      <c r="K3605" s="76">
        <v>4.8299999999999998E-4</v>
      </c>
      <c r="L3605" s="76">
        <v>6.0700000000000001E-4</v>
      </c>
      <c r="M3605" s="76">
        <v>7.45E-4</v>
      </c>
    </row>
    <row r="3606" spans="3:13" x14ac:dyDescent="0.15">
      <c r="C3606" s="76">
        <v>614</v>
      </c>
      <c r="D3606" s="76">
        <v>6.7100000000000005E-5</v>
      </c>
      <c r="E3606" s="76">
        <v>1.22E-4</v>
      </c>
      <c r="F3606" s="76">
        <v>1.5100000000000001E-4</v>
      </c>
      <c r="G3606" s="76">
        <v>3.0299999999999999E-4</v>
      </c>
      <c r="H3606" s="76">
        <v>2.9300000000000002E-4</v>
      </c>
      <c r="I3606" s="76">
        <v>3.3500000000000001E-4</v>
      </c>
      <c r="J3606" s="76">
        <v>4.3600000000000003E-4</v>
      </c>
      <c r="K3606" s="76">
        <v>4.5199999999999998E-4</v>
      </c>
      <c r="L3606" s="76">
        <v>5.71E-4</v>
      </c>
      <c r="M3606" s="76">
        <v>6.8499999999999995E-4</v>
      </c>
    </row>
    <row r="3607" spans="3:13" x14ac:dyDescent="0.15">
      <c r="C3607" s="76">
        <v>616</v>
      </c>
      <c r="D3607" s="76">
        <v>6.6199999999999996E-5</v>
      </c>
      <c r="E3607" s="76">
        <v>1.2300000000000001E-4</v>
      </c>
      <c r="F3607" s="76">
        <v>1.4300000000000001E-4</v>
      </c>
      <c r="G3607" s="76">
        <v>2.7099999999999997E-4</v>
      </c>
      <c r="H3607" s="76">
        <v>2.7599999999999999E-4</v>
      </c>
      <c r="I3607" s="76">
        <v>3.2499999999999999E-4</v>
      </c>
      <c r="J3607" s="76">
        <v>3.8400000000000001E-4</v>
      </c>
      <c r="K3607" s="76">
        <v>4.4299999999999998E-4</v>
      </c>
      <c r="L3607" s="76">
        <v>5.5800000000000001E-4</v>
      </c>
      <c r="M3607" s="76">
        <v>6.29E-4</v>
      </c>
    </row>
    <row r="3608" spans="3:13" x14ac:dyDescent="0.15">
      <c r="C3608" s="76">
        <v>618</v>
      </c>
      <c r="D3608" s="76">
        <v>6.2299999999999996E-5</v>
      </c>
      <c r="E3608" s="76">
        <v>1.13E-4</v>
      </c>
      <c r="F3608" s="76">
        <v>1.25E-4</v>
      </c>
      <c r="G3608" s="76">
        <v>2.61E-4</v>
      </c>
      <c r="H3608" s="76">
        <v>2.2900000000000001E-4</v>
      </c>
      <c r="I3608" s="76">
        <v>3.2000000000000003E-4</v>
      </c>
      <c r="J3608" s="76">
        <v>3.7100000000000002E-4</v>
      </c>
      <c r="K3608" s="76">
        <v>4.0400000000000001E-4</v>
      </c>
      <c r="L3608" s="76">
        <v>4.4200000000000001E-4</v>
      </c>
      <c r="M3608" s="76">
        <v>5.6300000000000002E-4</v>
      </c>
    </row>
    <row r="3609" spans="3:13" x14ac:dyDescent="0.15">
      <c r="C3609" s="76">
        <v>620</v>
      </c>
      <c r="D3609" s="76">
        <v>5.8999999999999998E-5</v>
      </c>
      <c r="E3609" s="76">
        <v>1.03E-4</v>
      </c>
      <c r="F3609" s="76">
        <v>1.18E-4</v>
      </c>
      <c r="G3609" s="76">
        <v>2.3499999999999999E-4</v>
      </c>
      <c r="H3609" s="76">
        <v>2.2599999999999999E-4</v>
      </c>
      <c r="I3609" s="76">
        <v>2.5500000000000002E-4</v>
      </c>
      <c r="J3609" s="76">
        <v>3.6000000000000002E-4</v>
      </c>
      <c r="K3609" s="76">
        <v>4.1800000000000002E-4</v>
      </c>
      <c r="L3609" s="76">
        <v>4.3899999999999999E-4</v>
      </c>
      <c r="M3609" s="76">
        <v>5.6899999999999995E-4</v>
      </c>
    </row>
    <row r="3610" spans="3:13" x14ac:dyDescent="0.15">
      <c r="C3610" s="76">
        <v>622</v>
      </c>
      <c r="D3610" s="76">
        <v>5.3999999999999998E-5</v>
      </c>
      <c r="E3610" s="76">
        <v>9.3499999999999996E-5</v>
      </c>
      <c r="F3610" s="76">
        <v>1.01E-4</v>
      </c>
      <c r="G3610" s="76">
        <v>1.95E-4</v>
      </c>
      <c r="H3610" s="76">
        <v>1.9100000000000001E-4</v>
      </c>
      <c r="I3610" s="76">
        <v>2.8600000000000001E-4</v>
      </c>
      <c r="J3610" s="76">
        <v>4.0099999999999999E-4</v>
      </c>
      <c r="K3610" s="76">
        <v>3.8000000000000002E-4</v>
      </c>
      <c r="L3610" s="76">
        <v>4.1100000000000002E-4</v>
      </c>
      <c r="M3610" s="76">
        <v>5.3799999999999996E-4</v>
      </c>
    </row>
    <row r="3611" spans="3:13" x14ac:dyDescent="0.15">
      <c r="C3611" s="76">
        <v>624</v>
      </c>
      <c r="D3611" s="76">
        <v>5.3699999999999997E-5</v>
      </c>
      <c r="E3611" s="76">
        <v>8.1899999999999999E-5</v>
      </c>
      <c r="F3611" s="76">
        <v>9.5500000000000004E-5</v>
      </c>
      <c r="G3611" s="76">
        <v>2.04E-4</v>
      </c>
      <c r="H3611" s="76">
        <v>1.7899999999999999E-4</v>
      </c>
      <c r="I3611" s="76">
        <v>2.5300000000000002E-4</v>
      </c>
      <c r="J3611" s="76">
        <v>2.9999999999999997E-4</v>
      </c>
      <c r="K3611" s="76">
        <v>3.5E-4</v>
      </c>
      <c r="L3611" s="76">
        <v>3.6699999999999998E-4</v>
      </c>
      <c r="M3611" s="76">
        <v>5.1800000000000001E-4</v>
      </c>
    </row>
    <row r="3612" spans="3:13" x14ac:dyDescent="0.15">
      <c r="C3612" s="76">
        <v>626</v>
      </c>
      <c r="D3612" s="76">
        <v>4.7599999999999998E-5</v>
      </c>
      <c r="E3612" s="76">
        <v>8.4499999999999994E-5</v>
      </c>
      <c r="F3612" s="76">
        <v>8.3900000000000006E-5</v>
      </c>
      <c r="G3612" s="76">
        <v>2.0699999999999999E-4</v>
      </c>
      <c r="H3612" s="76">
        <v>1.9000000000000001E-4</v>
      </c>
      <c r="I3612" s="76">
        <v>2.52E-4</v>
      </c>
      <c r="J3612" s="76">
        <v>2.9100000000000003E-4</v>
      </c>
      <c r="K3612" s="76">
        <v>3.5399999999999999E-4</v>
      </c>
      <c r="L3612" s="76">
        <v>3.9800000000000002E-4</v>
      </c>
      <c r="M3612" s="76">
        <v>4.95E-4</v>
      </c>
    </row>
    <row r="3613" spans="3:13" x14ac:dyDescent="0.15">
      <c r="C3613" s="76">
        <v>628</v>
      </c>
      <c r="D3613" s="76">
        <v>4.8399999999999997E-5</v>
      </c>
      <c r="E3613" s="76">
        <v>7.7799999999999994E-5</v>
      </c>
      <c r="F3613" s="76">
        <v>1.01E-4</v>
      </c>
      <c r="G3613" s="76">
        <v>1.66E-4</v>
      </c>
      <c r="H3613" s="76">
        <v>1.9900000000000001E-4</v>
      </c>
      <c r="I3613" s="76">
        <v>2.33E-4</v>
      </c>
      <c r="J3613" s="76">
        <v>3.5599999999999998E-4</v>
      </c>
      <c r="K3613" s="76">
        <v>3.8999999999999999E-4</v>
      </c>
      <c r="L3613" s="76">
        <v>4.1100000000000002E-4</v>
      </c>
      <c r="M3613" s="76">
        <v>4.57E-4</v>
      </c>
    </row>
    <row r="3614" spans="3:13" x14ac:dyDescent="0.15">
      <c r="C3614" s="76">
        <v>630</v>
      </c>
      <c r="D3614" s="76">
        <v>4.85E-5</v>
      </c>
      <c r="E3614" s="76">
        <v>8.0000000000000007E-5</v>
      </c>
      <c r="F3614" s="76">
        <v>9.6000000000000002E-5</v>
      </c>
      <c r="G3614" s="76">
        <v>1.6699999999999999E-4</v>
      </c>
      <c r="H3614" s="76">
        <v>1.63E-4</v>
      </c>
      <c r="I3614" s="76">
        <v>1.9900000000000001E-4</v>
      </c>
      <c r="J3614" s="76">
        <v>3.19E-4</v>
      </c>
      <c r="K3614" s="76">
        <v>3.7800000000000003E-4</v>
      </c>
      <c r="L3614" s="76">
        <v>5.4299999999999997E-4</v>
      </c>
      <c r="M3614" s="76">
        <v>4.37E-4</v>
      </c>
    </row>
    <row r="3615" spans="3:13" x14ac:dyDescent="0.15">
      <c r="C3615" s="76">
        <v>632</v>
      </c>
      <c r="D3615" s="76">
        <v>5.1799999999999999E-5</v>
      </c>
      <c r="E3615" s="76">
        <v>7.1099999999999994E-5</v>
      </c>
      <c r="F3615" s="76">
        <v>9.4500000000000007E-5</v>
      </c>
      <c r="G3615" s="76">
        <v>1.8200000000000001E-4</v>
      </c>
      <c r="H3615" s="76">
        <v>1.8699999999999999E-4</v>
      </c>
      <c r="I3615" s="76">
        <v>2.0599999999999999E-4</v>
      </c>
      <c r="J3615" s="76">
        <v>2.7500000000000002E-4</v>
      </c>
      <c r="K3615" s="76">
        <v>3.3399999999999999E-4</v>
      </c>
      <c r="L3615" s="76">
        <v>3.79E-4</v>
      </c>
      <c r="M3615" s="76">
        <v>4.1599999999999997E-4</v>
      </c>
    </row>
    <row r="3616" spans="3:13" x14ac:dyDescent="0.15">
      <c r="C3616" s="76">
        <v>634</v>
      </c>
      <c r="D3616" s="76">
        <v>4.6900000000000002E-5</v>
      </c>
      <c r="E3616" s="76">
        <v>5.8E-5</v>
      </c>
      <c r="F3616" s="76">
        <v>8.9800000000000001E-5</v>
      </c>
      <c r="G3616" s="76">
        <v>1.63E-4</v>
      </c>
      <c r="H3616" s="76">
        <v>1.7799999999999999E-4</v>
      </c>
      <c r="I3616" s="76">
        <v>2.02E-4</v>
      </c>
      <c r="J3616" s="76">
        <v>2.8600000000000001E-4</v>
      </c>
      <c r="K3616" s="76">
        <v>3.1599999999999998E-4</v>
      </c>
      <c r="L3616" s="76">
        <v>3.7599999999999998E-4</v>
      </c>
      <c r="M3616" s="76">
        <v>3.7599999999999998E-4</v>
      </c>
    </row>
    <row r="3617" spans="3:13" x14ac:dyDescent="0.15">
      <c r="C3617" s="76">
        <v>636</v>
      </c>
      <c r="D3617" s="76">
        <v>4.9799999999999998E-5</v>
      </c>
      <c r="E3617" s="76">
        <v>4.8099999999999997E-5</v>
      </c>
      <c r="F3617" s="76">
        <v>8.7299999999999994E-5</v>
      </c>
      <c r="G3617" s="76">
        <v>1.7200000000000001E-4</v>
      </c>
      <c r="H3617" s="76">
        <v>1.5799999999999999E-4</v>
      </c>
      <c r="I3617" s="76">
        <v>1.6699999999999999E-4</v>
      </c>
      <c r="J3617" s="76">
        <v>3.3500000000000001E-4</v>
      </c>
      <c r="K3617" s="76">
        <v>3.59E-4</v>
      </c>
      <c r="L3617" s="76">
        <v>3.39E-4</v>
      </c>
      <c r="M3617" s="76">
        <v>3.1599999999999998E-4</v>
      </c>
    </row>
    <row r="3618" spans="3:13" x14ac:dyDescent="0.15">
      <c r="C3618" s="76">
        <v>638</v>
      </c>
      <c r="D3618" s="76">
        <v>4.2299999999999998E-5</v>
      </c>
      <c r="E3618" s="76">
        <v>5.7099999999999999E-5</v>
      </c>
      <c r="F3618" s="76">
        <v>8.03E-5</v>
      </c>
      <c r="G3618" s="76">
        <v>1.22E-4</v>
      </c>
      <c r="H3618" s="76">
        <v>1.66E-4</v>
      </c>
      <c r="I3618" s="76">
        <v>1.63E-4</v>
      </c>
      <c r="J3618" s="76">
        <v>3.1799999999999998E-4</v>
      </c>
      <c r="K3618" s="76">
        <v>3.5199999999999999E-4</v>
      </c>
      <c r="L3618" s="76">
        <v>3.2899999999999997E-4</v>
      </c>
      <c r="M3618" s="76">
        <v>2.8699999999999998E-4</v>
      </c>
    </row>
    <row r="3619" spans="3:13" x14ac:dyDescent="0.15">
      <c r="C3619" s="76">
        <v>640</v>
      </c>
      <c r="D3619" s="76">
        <v>3.9400000000000002E-5</v>
      </c>
      <c r="E3619" s="76">
        <v>6.3299999999999994E-5</v>
      </c>
      <c r="F3619" s="76">
        <v>7.8300000000000006E-5</v>
      </c>
      <c r="G3619" s="76">
        <v>1.3200000000000001E-4</v>
      </c>
      <c r="H3619" s="76">
        <v>1.6100000000000001E-4</v>
      </c>
      <c r="I3619" s="76">
        <v>1.35E-4</v>
      </c>
      <c r="J3619" s="76">
        <v>2.8499999999999999E-4</v>
      </c>
      <c r="K3619" s="76">
        <v>3.2400000000000001E-4</v>
      </c>
      <c r="L3619" s="76">
        <v>3.5399999999999999E-4</v>
      </c>
      <c r="M3619" s="76">
        <v>3.0600000000000001E-4</v>
      </c>
    </row>
    <row r="3620" spans="3:13" x14ac:dyDescent="0.15">
      <c r="C3620" s="76">
        <v>642</v>
      </c>
      <c r="D3620" s="76">
        <v>3.9799999999999998E-5</v>
      </c>
      <c r="E3620" s="76">
        <v>5.7099999999999999E-5</v>
      </c>
      <c r="F3620" s="76">
        <v>8.5599999999999994E-5</v>
      </c>
      <c r="G3620" s="76">
        <v>1.25E-4</v>
      </c>
      <c r="H3620" s="76">
        <v>1.7699999999999999E-4</v>
      </c>
      <c r="I3620" s="76">
        <v>1.5200000000000001E-4</v>
      </c>
      <c r="J3620" s="76">
        <v>2.61E-4</v>
      </c>
      <c r="K3620" s="76">
        <v>3.0299999999999999E-4</v>
      </c>
      <c r="L3620" s="76">
        <v>2.9300000000000002E-4</v>
      </c>
      <c r="M3620" s="76">
        <v>3.0200000000000002E-4</v>
      </c>
    </row>
    <row r="3621" spans="3:13" x14ac:dyDescent="0.15">
      <c r="C3621" s="76">
        <v>644</v>
      </c>
      <c r="D3621" s="76">
        <v>4.3099999999999997E-5</v>
      </c>
      <c r="E3621" s="76">
        <v>4.5800000000000002E-5</v>
      </c>
      <c r="F3621" s="76">
        <v>1.2300000000000001E-4</v>
      </c>
      <c r="G3621" s="76">
        <v>1.16E-4</v>
      </c>
      <c r="H3621" s="76">
        <v>1.95E-4</v>
      </c>
      <c r="I3621" s="76">
        <v>1.8699999999999999E-4</v>
      </c>
      <c r="J3621" s="76">
        <v>2.52E-4</v>
      </c>
      <c r="K3621" s="76">
        <v>3.1399999999999999E-4</v>
      </c>
      <c r="L3621" s="76">
        <v>2.9999999999999997E-4</v>
      </c>
      <c r="M3621" s="76">
        <v>2.8699999999999998E-4</v>
      </c>
    </row>
    <row r="3622" spans="3:13" x14ac:dyDescent="0.15">
      <c r="C3622" s="76">
        <v>646</v>
      </c>
      <c r="D3622" s="76">
        <v>4.9299999999999999E-5</v>
      </c>
      <c r="E3622" s="76">
        <v>4.49E-5</v>
      </c>
      <c r="F3622" s="76">
        <v>8.6299999999999997E-5</v>
      </c>
      <c r="G3622" s="76">
        <v>1.1900000000000001E-4</v>
      </c>
      <c r="H3622" s="76">
        <v>1.7799999999999999E-4</v>
      </c>
      <c r="I3622" s="76">
        <v>1.1900000000000001E-4</v>
      </c>
      <c r="J3622" s="76">
        <v>2.9100000000000003E-4</v>
      </c>
      <c r="K3622" s="76">
        <v>2.72E-4</v>
      </c>
      <c r="L3622" s="76">
        <v>2.7500000000000002E-4</v>
      </c>
      <c r="M3622" s="76">
        <v>1.7200000000000001E-4</v>
      </c>
    </row>
    <row r="3623" spans="3:13" x14ac:dyDescent="0.15">
      <c r="C3623" s="76">
        <v>648</v>
      </c>
      <c r="D3623" s="76">
        <v>4.3900000000000003E-5</v>
      </c>
      <c r="E3623" s="76">
        <v>3.5500000000000002E-5</v>
      </c>
      <c r="F3623" s="76">
        <v>8.8700000000000001E-5</v>
      </c>
      <c r="G3623" s="76">
        <v>1.21E-4</v>
      </c>
      <c r="H3623" s="76">
        <v>1.7100000000000001E-4</v>
      </c>
      <c r="I3623" s="76">
        <v>1.25E-4</v>
      </c>
      <c r="J3623" s="76">
        <v>2.22E-4</v>
      </c>
      <c r="K3623" s="76">
        <v>3.3E-4</v>
      </c>
      <c r="L3623" s="76">
        <v>2.6200000000000003E-4</v>
      </c>
      <c r="M3623" s="76">
        <v>2.0000000000000001E-4</v>
      </c>
    </row>
    <row r="3624" spans="3:13" x14ac:dyDescent="0.15">
      <c r="C3624" s="76">
        <v>650</v>
      </c>
      <c r="D3624" s="76">
        <v>3.8099999999999998E-5</v>
      </c>
      <c r="E3624" s="76">
        <v>4.18E-5</v>
      </c>
      <c r="F3624" s="76">
        <v>9.8900000000000005E-5</v>
      </c>
      <c r="G3624" s="76">
        <v>1.0900000000000001E-4</v>
      </c>
      <c r="H3624" s="76">
        <v>1.36E-4</v>
      </c>
      <c r="I3624" s="76">
        <v>1.27E-4</v>
      </c>
      <c r="J3624" s="76">
        <v>2.4600000000000002E-4</v>
      </c>
      <c r="K3624" s="76">
        <v>2.8699999999999998E-4</v>
      </c>
      <c r="L3624" s="76">
        <v>2.6499999999999999E-4</v>
      </c>
      <c r="M3624" s="76">
        <v>2.2699999999999999E-4</v>
      </c>
    </row>
    <row r="3625" spans="3:13" x14ac:dyDescent="0.15">
      <c r="C3625" s="76">
        <v>652</v>
      </c>
      <c r="D3625" s="76">
        <v>3.6699999999999998E-5</v>
      </c>
      <c r="E3625" s="76">
        <v>3.82E-5</v>
      </c>
      <c r="F3625" s="76">
        <v>9.6199999999999994E-5</v>
      </c>
      <c r="G3625" s="76">
        <v>1.0900000000000001E-4</v>
      </c>
      <c r="H3625" s="76">
        <v>1.5300000000000001E-4</v>
      </c>
      <c r="I3625" s="76">
        <v>1.2999999999999999E-4</v>
      </c>
      <c r="J3625" s="76">
        <v>2.42E-4</v>
      </c>
      <c r="K3625" s="76">
        <v>2.52E-4</v>
      </c>
      <c r="L3625" s="76">
        <v>2.1100000000000001E-4</v>
      </c>
      <c r="M3625" s="76">
        <v>2.52E-4</v>
      </c>
    </row>
    <row r="3626" spans="3:13" x14ac:dyDescent="0.15">
      <c r="C3626" s="76">
        <v>654</v>
      </c>
      <c r="D3626" s="76">
        <v>4.1199999999999999E-5</v>
      </c>
      <c r="E3626" s="76">
        <v>4.88E-5</v>
      </c>
      <c r="F3626" s="76">
        <v>8.9400000000000005E-5</v>
      </c>
      <c r="G3626" s="76">
        <v>1.1E-4</v>
      </c>
      <c r="H3626" s="76">
        <v>1.75E-4</v>
      </c>
      <c r="I3626" s="76">
        <v>1.2799999999999999E-4</v>
      </c>
      <c r="J3626" s="76">
        <v>1.8200000000000001E-4</v>
      </c>
      <c r="K3626" s="76">
        <v>1.75E-4</v>
      </c>
      <c r="L3626" s="76">
        <v>1.3100000000000001E-4</v>
      </c>
      <c r="M3626" s="76">
        <v>1.7899999999999999E-4</v>
      </c>
    </row>
    <row r="3627" spans="3:13" x14ac:dyDescent="0.15">
      <c r="C3627" s="76">
        <v>656</v>
      </c>
      <c r="D3627" s="76">
        <v>3.1999999999999999E-5</v>
      </c>
      <c r="E3627" s="76">
        <v>5.6799999999999998E-5</v>
      </c>
      <c r="F3627" s="76">
        <v>9.9099999999999996E-5</v>
      </c>
      <c r="G3627" s="76">
        <v>5.2099999999999999E-5</v>
      </c>
      <c r="H3627" s="76">
        <v>1.6799999999999999E-4</v>
      </c>
      <c r="I3627" s="76">
        <v>1.56E-4</v>
      </c>
      <c r="J3627" s="76">
        <v>1.75E-4</v>
      </c>
      <c r="K3627" s="76">
        <v>1.5300000000000001E-4</v>
      </c>
      <c r="L3627" s="76">
        <v>1.85E-4</v>
      </c>
      <c r="M3627" s="76">
        <v>2.5599999999999999E-4</v>
      </c>
    </row>
    <row r="3628" spans="3:13" x14ac:dyDescent="0.15">
      <c r="C3628" s="76">
        <v>658</v>
      </c>
      <c r="D3628" s="76">
        <v>3.0000000000000001E-5</v>
      </c>
      <c r="E3628" s="76">
        <v>5.7299999999999997E-5</v>
      </c>
      <c r="F3628" s="76">
        <v>1.03E-4</v>
      </c>
      <c r="G3628" s="76">
        <v>6.7000000000000002E-5</v>
      </c>
      <c r="H3628" s="76">
        <v>1.7000000000000001E-4</v>
      </c>
      <c r="I3628" s="76">
        <v>1.7000000000000001E-4</v>
      </c>
      <c r="J3628" s="76">
        <v>1.7899999999999999E-4</v>
      </c>
      <c r="K3628" s="76">
        <v>1.83E-4</v>
      </c>
      <c r="L3628" s="76">
        <v>1.34E-4</v>
      </c>
      <c r="M3628" s="76">
        <v>2.63E-4</v>
      </c>
    </row>
    <row r="3629" spans="3:13" x14ac:dyDescent="0.15">
      <c r="C3629" s="76">
        <v>660</v>
      </c>
      <c r="D3629" s="76">
        <v>2.8099999999999999E-5</v>
      </c>
      <c r="E3629" s="76">
        <v>4.9299999999999999E-5</v>
      </c>
      <c r="F3629" s="76">
        <v>1.02E-4</v>
      </c>
      <c r="G3629" s="76">
        <v>9.2999999999999997E-5</v>
      </c>
      <c r="H3629" s="76">
        <v>1.54E-4</v>
      </c>
      <c r="I3629" s="76">
        <v>1.3300000000000001E-4</v>
      </c>
      <c r="J3629" s="76">
        <v>1.3999999999999999E-4</v>
      </c>
      <c r="K3629" s="76">
        <v>1.4200000000000001E-4</v>
      </c>
      <c r="L3629" s="76">
        <v>2.6899999999999998E-4</v>
      </c>
      <c r="M3629" s="76">
        <v>2.0699999999999999E-4</v>
      </c>
    </row>
    <row r="3630" spans="3:13" x14ac:dyDescent="0.15">
      <c r="C3630" s="76">
        <v>662</v>
      </c>
      <c r="D3630" s="76">
        <v>3.2199999999999997E-5</v>
      </c>
      <c r="E3630" s="76">
        <v>6.6600000000000006E-5</v>
      </c>
      <c r="F3630" s="76">
        <v>9.59E-5</v>
      </c>
      <c r="G3630" s="76">
        <v>8.6100000000000006E-5</v>
      </c>
      <c r="H3630" s="76">
        <v>1.56E-4</v>
      </c>
      <c r="I3630" s="76">
        <v>1.2E-4</v>
      </c>
      <c r="J3630" s="76">
        <v>1.06E-4</v>
      </c>
      <c r="K3630" s="76">
        <v>1.8799999999999999E-4</v>
      </c>
      <c r="L3630" s="76">
        <v>2.1800000000000001E-4</v>
      </c>
      <c r="M3630" s="76">
        <v>1.8100000000000001E-4</v>
      </c>
    </row>
    <row r="3631" spans="3:13" x14ac:dyDescent="0.15">
      <c r="C3631" s="76">
        <v>664</v>
      </c>
      <c r="D3631" s="76">
        <v>2.83E-5</v>
      </c>
      <c r="E3631" s="76">
        <v>6.0800000000000001E-5</v>
      </c>
      <c r="F3631" s="76">
        <v>9.7200000000000004E-5</v>
      </c>
      <c r="G3631" s="76">
        <v>8.1199999999999995E-5</v>
      </c>
      <c r="H3631" s="76">
        <v>1.2999999999999999E-4</v>
      </c>
      <c r="I3631" s="76">
        <v>1.02E-4</v>
      </c>
      <c r="J3631" s="76">
        <v>6.7899999999999997E-5</v>
      </c>
      <c r="K3631" s="76">
        <v>1.64E-4</v>
      </c>
      <c r="L3631" s="76">
        <v>1.6200000000000001E-4</v>
      </c>
      <c r="M3631" s="76">
        <v>1.4100000000000001E-4</v>
      </c>
    </row>
    <row r="3632" spans="3:13" x14ac:dyDescent="0.15">
      <c r="C3632" s="76">
        <v>666</v>
      </c>
      <c r="D3632" s="76">
        <v>2.2799999999999999E-5</v>
      </c>
      <c r="E3632" s="76">
        <v>5.52E-5</v>
      </c>
      <c r="F3632" s="76">
        <v>8.6600000000000004E-5</v>
      </c>
      <c r="G3632" s="76">
        <v>9.7299999999999993E-5</v>
      </c>
      <c r="H3632" s="76">
        <v>1.2400000000000001E-4</v>
      </c>
      <c r="I3632" s="76">
        <v>9.3200000000000002E-5</v>
      </c>
      <c r="J3632" s="76">
        <v>2.6800000000000001E-4</v>
      </c>
      <c r="K3632" s="76">
        <v>9.6399999999999999E-5</v>
      </c>
      <c r="L3632" s="76">
        <v>1.7100000000000001E-4</v>
      </c>
      <c r="M3632" s="76">
        <v>1.7200000000000001E-4</v>
      </c>
    </row>
    <row r="3633" spans="3:13" x14ac:dyDescent="0.15">
      <c r="C3633" s="76">
        <v>668</v>
      </c>
      <c r="D3633" s="76">
        <v>2.0000000000000002E-5</v>
      </c>
      <c r="E3633" s="76">
        <v>5.1999999999999997E-5</v>
      </c>
      <c r="F3633" s="76">
        <v>9.3999999999999994E-5</v>
      </c>
      <c r="G3633" s="76">
        <v>7.5099999999999996E-5</v>
      </c>
      <c r="H3633" s="76">
        <v>1.2400000000000001E-4</v>
      </c>
      <c r="I3633" s="76">
        <v>1.03E-4</v>
      </c>
      <c r="J3633" s="76">
        <v>1.05E-4</v>
      </c>
      <c r="K3633" s="76">
        <v>6.8800000000000005E-5</v>
      </c>
      <c r="L3633" s="76">
        <v>2.02E-4</v>
      </c>
      <c r="M3633" s="76">
        <v>1.85E-4</v>
      </c>
    </row>
    <row r="3634" spans="3:13" x14ac:dyDescent="0.15">
      <c r="C3634" s="76">
        <v>670</v>
      </c>
      <c r="D3634" s="76">
        <v>1.24E-5</v>
      </c>
      <c r="E3634" s="76">
        <v>4.1100000000000003E-5</v>
      </c>
      <c r="F3634" s="76">
        <v>9.1000000000000003E-5</v>
      </c>
      <c r="G3634" s="76">
        <v>6.2700000000000006E-5</v>
      </c>
      <c r="H3634" s="76">
        <v>1.56E-4</v>
      </c>
      <c r="I3634" s="76">
        <v>1.54E-4</v>
      </c>
      <c r="J3634" s="76">
        <v>8.8800000000000004E-5</v>
      </c>
      <c r="K3634" s="76">
        <v>3.5200000000000002E-5</v>
      </c>
      <c r="L3634" s="76">
        <v>4.4499999999999997E-4</v>
      </c>
      <c r="M3634" s="76">
        <v>1.25E-4</v>
      </c>
    </row>
    <row r="3635" spans="3:13" x14ac:dyDescent="0.15">
      <c r="C3635" s="76">
        <v>672</v>
      </c>
      <c r="D3635" s="76">
        <v>1.47E-5</v>
      </c>
      <c r="E3635" s="76">
        <v>3.6900000000000002E-5</v>
      </c>
      <c r="F3635" s="76">
        <v>1.0399999999999999E-4</v>
      </c>
      <c r="G3635" s="76">
        <v>4.5899999999999998E-5</v>
      </c>
      <c r="H3635" s="76">
        <v>9.4199999999999999E-5</v>
      </c>
      <c r="I3635" s="76">
        <v>1.2799999999999999E-4</v>
      </c>
      <c r="J3635" s="76">
        <v>5.9200000000000002E-5</v>
      </c>
      <c r="K3635" s="76">
        <v>6.8999999999999997E-5</v>
      </c>
      <c r="L3635" s="76">
        <v>1.8000000000000001E-4</v>
      </c>
      <c r="M3635" s="76">
        <v>1.0900000000000001E-4</v>
      </c>
    </row>
    <row r="3636" spans="3:13" x14ac:dyDescent="0.15">
      <c r="C3636" s="76">
        <v>674</v>
      </c>
      <c r="D3636" s="76">
        <v>1.5800000000000001E-5</v>
      </c>
      <c r="E3636" s="76">
        <v>3.7700000000000002E-5</v>
      </c>
      <c r="F3636" s="76">
        <v>7.3899999999999994E-5</v>
      </c>
      <c r="G3636" s="76">
        <v>8.3399999999999994E-5</v>
      </c>
      <c r="H3636" s="76">
        <v>1.22E-4</v>
      </c>
      <c r="I3636" s="76">
        <v>1.47E-4</v>
      </c>
      <c r="J3636" s="76">
        <v>3.3599999999999997E-5</v>
      </c>
      <c r="K3636" s="76">
        <v>7.8300000000000006E-5</v>
      </c>
      <c r="L3636" s="76">
        <v>2.4000000000000001E-4</v>
      </c>
      <c r="M3636" s="76">
        <v>1.9100000000000001E-4</v>
      </c>
    </row>
    <row r="3637" spans="3:13" x14ac:dyDescent="0.15">
      <c r="C3637" s="76">
        <v>676</v>
      </c>
      <c r="D3637" s="76">
        <v>1.26E-5</v>
      </c>
      <c r="E3637" s="76">
        <v>4.4499999999999997E-5</v>
      </c>
      <c r="F3637" s="76">
        <v>6.8899999999999994E-5</v>
      </c>
      <c r="G3637" s="76">
        <v>7.6500000000000003E-5</v>
      </c>
      <c r="H3637" s="76">
        <v>1.02E-4</v>
      </c>
      <c r="I3637" s="76">
        <v>1.4200000000000001E-4</v>
      </c>
      <c r="J3637" s="76">
        <v>7.0300000000000001E-5</v>
      </c>
      <c r="K3637" s="76">
        <v>7.7000000000000001E-5</v>
      </c>
      <c r="L3637" s="76">
        <v>1.84E-4</v>
      </c>
      <c r="M3637" s="76">
        <v>1.7699999999999999E-4</v>
      </c>
    </row>
    <row r="3638" spans="3:13" x14ac:dyDescent="0.15">
      <c r="C3638" s="76">
        <v>678</v>
      </c>
      <c r="D3638" s="76">
        <v>9.7000000000000003E-6</v>
      </c>
      <c r="E3638" s="76">
        <v>3.6699999999999998E-5</v>
      </c>
      <c r="F3638" s="76">
        <v>9.48E-5</v>
      </c>
      <c r="G3638" s="76">
        <v>9.1299999999999997E-5</v>
      </c>
      <c r="H3638" s="76">
        <v>1.01E-4</v>
      </c>
      <c r="I3638" s="76">
        <v>1.7200000000000001E-4</v>
      </c>
      <c r="J3638" s="76">
        <v>3.01E-5</v>
      </c>
      <c r="K3638" s="76">
        <v>4.5800000000000002E-5</v>
      </c>
      <c r="L3638" s="76">
        <v>1.7899999999999999E-4</v>
      </c>
      <c r="M3638" s="76">
        <v>1.7699999999999999E-4</v>
      </c>
    </row>
    <row r="3639" spans="3:13" x14ac:dyDescent="0.15">
      <c r="C3639" s="76">
        <v>680</v>
      </c>
      <c r="D3639" s="76">
        <v>2.9299999999999999E-6</v>
      </c>
      <c r="E3639" s="76">
        <v>2.9300000000000001E-5</v>
      </c>
      <c r="F3639" s="76">
        <v>7.3399999999999995E-5</v>
      </c>
      <c r="G3639" s="76">
        <v>9.2800000000000006E-5</v>
      </c>
      <c r="H3639" s="76">
        <v>9.9400000000000004E-5</v>
      </c>
      <c r="I3639" s="76">
        <v>9.31E-5</v>
      </c>
      <c r="J3639" s="76">
        <v>9.59E-5</v>
      </c>
      <c r="K3639" s="76">
        <v>9.1299999999999997E-5</v>
      </c>
      <c r="L3639" s="76">
        <v>1.73E-4</v>
      </c>
      <c r="M3639" s="76">
        <v>1.03E-4</v>
      </c>
    </row>
    <row r="3640" spans="3:13" x14ac:dyDescent="0.15">
      <c r="C3640" s="76">
        <v>682</v>
      </c>
      <c r="D3640" s="76">
        <v>1.3E-6</v>
      </c>
      <c r="E3640" s="76">
        <v>2.1699999999999999E-5</v>
      </c>
      <c r="F3640" s="76">
        <v>3.6399999999999997E-5</v>
      </c>
      <c r="G3640" s="76">
        <v>1.0900000000000001E-4</v>
      </c>
      <c r="H3640" s="76">
        <v>1.0900000000000001E-4</v>
      </c>
      <c r="I3640" s="76">
        <v>1.21E-4</v>
      </c>
      <c r="J3640" s="76">
        <v>1.07E-4</v>
      </c>
      <c r="K3640" s="76">
        <v>1.2799999999999999E-4</v>
      </c>
      <c r="L3640" s="76">
        <v>1.7000000000000001E-4</v>
      </c>
      <c r="M3640" s="76">
        <v>9.48E-5</v>
      </c>
    </row>
    <row r="3641" spans="3:13" x14ac:dyDescent="0.15">
      <c r="C3641" s="76">
        <v>684</v>
      </c>
      <c r="D3641" s="76">
        <v>3.8800000000000001E-6</v>
      </c>
      <c r="E3641" s="76">
        <v>1.5800000000000001E-5</v>
      </c>
      <c r="F3641" s="76">
        <v>4.1399999999999997E-5</v>
      </c>
      <c r="G3641" s="76">
        <v>1.2400000000000001E-4</v>
      </c>
      <c r="H3641" s="76">
        <v>5.91E-5</v>
      </c>
      <c r="I3641" s="76">
        <v>1.44E-4</v>
      </c>
      <c r="J3641" s="76">
        <v>1E-4</v>
      </c>
      <c r="K3641" s="76">
        <v>1.63E-4</v>
      </c>
      <c r="L3641" s="76">
        <v>1.17E-4</v>
      </c>
      <c r="M3641" s="76">
        <v>8.8700000000000001E-5</v>
      </c>
    </row>
    <row r="3642" spans="3:13" x14ac:dyDescent="0.15">
      <c r="C3642" s="76">
        <v>686</v>
      </c>
      <c r="D3642" s="76">
        <v>6.4799999999999998E-6</v>
      </c>
      <c r="E3642" s="76">
        <v>2.69E-5</v>
      </c>
      <c r="F3642" s="76">
        <v>3.8699999999999999E-5</v>
      </c>
      <c r="G3642" s="76">
        <v>9.5799999999999998E-5</v>
      </c>
      <c r="H3642" s="76">
        <v>6.3100000000000002E-5</v>
      </c>
      <c r="I3642" s="76">
        <v>1.4300000000000001E-4</v>
      </c>
      <c r="J3642" s="76">
        <v>7.0599999999999995E-5</v>
      </c>
      <c r="K3642" s="76">
        <v>1.5899999999999999E-4</v>
      </c>
      <c r="L3642" s="76">
        <v>1.5200000000000001E-4</v>
      </c>
      <c r="M3642" s="76">
        <v>7.4499999999999995E-5</v>
      </c>
    </row>
    <row r="3643" spans="3:13" x14ac:dyDescent="0.15">
      <c r="C3643" s="76">
        <v>688</v>
      </c>
      <c r="D3643" s="76">
        <v>1.2500000000000001E-5</v>
      </c>
      <c r="E3643" s="76">
        <v>1.6099999999999998E-5</v>
      </c>
      <c r="F3643" s="76">
        <v>6.0600000000000003E-5</v>
      </c>
      <c r="G3643" s="76">
        <v>9.8599999999999998E-5</v>
      </c>
      <c r="H3643" s="76">
        <v>3.7599999999999999E-5</v>
      </c>
      <c r="I3643" s="76">
        <v>1.3100000000000001E-4</v>
      </c>
      <c r="J3643" s="76">
        <v>1.4799999999999999E-4</v>
      </c>
      <c r="K3643" s="76">
        <v>1.2799999999999999E-4</v>
      </c>
      <c r="L3643" s="76">
        <v>1.1400000000000001E-4</v>
      </c>
      <c r="M3643" s="76">
        <v>1.9900000000000001E-4</v>
      </c>
    </row>
    <row r="3644" spans="3:13" x14ac:dyDescent="0.15">
      <c r="C3644" s="76">
        <v>690</v>
      </c>
      <c r="D3644" s="76">
        <v>7.96E-6</v>
      </c>
      <c r="E3644" s="76">
        <v>3.1600000000000002E-5</v>
      </c>
      <c r="F3644" s="76">
        <v>4.8699999999999998E-5</v>
      </c>
      <c r="G3644" s="76">
        <v>1.1E-4</v>
      </c>
      <c r="H3644" s="76">
        <v>2.6999999999999999E-5</v>
      </c>
      <c r="I3644" s="76">
        <v>9.9300000000000001E-5</v>
      </c>
      <c r="J3644" s="76">
        <v>1.13E-4</v>
      </c>
      <c r="K3644" s="76">
        <v>1.5300000000000001E-4</v>
      </c>
      <c r="L3644" s="76">
        <v>1.06E-4</v>
      </c>
      <c r="M3644" s="76">
        <v>2.12E-4</v>
      </c>
    </row>
    <row r="3645" spans="3:13" x14ac:dyDescent="0.15">
      <c r="C3645" s="76">
        <v>692</v>
      </c>
      <c r="D3645" s="76">
        <v>1.38E-5</v>
      </c>
      <c r="E3645" s="76">
        <v>2.0699999999999998E-5</v>
      </c>
      <c r="F3645" s="76">
        <v>5.0399999999999999E-5</v>
      </c>
      <c r="G3645" s="76">
        <v>1.1900000000000001E-4</v>
      </c>
      <c r="H3645" s="76">
        <v>2.69E-5</v>
      </c>
      <c r="I3645" s="76">
        <v>9.0099999999999995E-5</v>
      </c>
      <c r="J3645" s="76">
        <v>1.55E-4</v>
      </c>
      <c r="K3645" s="76">
        <v>1.8200000000000001E-4</v>
      </c>
      <c r="L3645" s="76">
        <v>9.4199999999999999E-5</v>
      </c>
      <c r="M3645" s="76">
        <v>1.7100000000000001E-4</v>
      </c>
    </row>
    <row r="3646" spans="3:13" x14ac:dyDescent="0.15">
      <c r="C3646" s="76">
        <v>694</v>
      </c>
      <c r="D3646" s="76">
        <v>8.2300000000000008E-6</v>
      </c>
      <c r="E3646" s="76">
        <v>3.6999999999999998E-5</v>
      </c>
      <c r="F3646" s="76">
        <v>3.2100000000000001E-5</v>
      </c>
      <c r="G3646" s="76">
        <v>1.15E-4</v>
      </c>
      <c r="H3646" s="76">
        <v>7.4499999999999995E-5</v>
      </c>
      <c r="I3646" s="76">
        <v>1.34E-4</v>
      </c>
      <c r="J3646" s="76">
        <v>1.7699999999999999E-4</v>
      </c>
      <c r="K3646" s="76">
        <v>1.7799999999999999E-4</v>
      </c>
      <c r="L3646" s="76">
        <v>4.3800000000000001E-5</v>
      </c>
      <c r="M3646" s="76">
        <v>1.9000000000000001E-4</v>
      </c>
    </row>
    <row r="3647" spans="3:13" x14ac:dyDescent="0.15">
      <c r="C3647" s="76">
        <v>696</v>
      </c>
      <c r="D3647" s="76">
        <v>8.7299999999999994E-6</v>
      </c>
      <c r="E3647" s="76">
        <v>7.1999999999999997E-6</v>
      </c>
      <c r="F3647" s="76">
        <v>1.7600000000000001E-5</v>
      </c>
      <c r="G3647" s="76">
        <v>1.3300000000000001E-4</v>
      </c>
      <c r="H3647" s="76">
        <v>4.6699999999999997E-5</v>
      </c>
      <c r="I3647" s="76">
        <v>6.6600000000000006E-5</v>
      </c>
      <c r="J3647" s="76">
        <v>1.8699999999999999E-4</v>
      </c>
      <c r="K3647" s="76">
        <v>1.7899999999999999E-4</v>
      </c>
      <c r="L3647" s="76">
        <v>9.7600000000000001E-5</v>
      </c>
      <c r="M3647" s="76">
        <v>2.1100000000000001E-4</v>
      </c>
    </row>
    <row r="3648" spans="3:13" x14ac:dyDescent="0.15">
      <c r="C3648" s="76">
        <v>698</v>
      </c>
      <c r="D3648" s="76">
        <v>1.9199999999999999E-5</v>
      </c>
      <c r="E3648" s="76">
        <v>2.6100000000000001E-5</v>
      </c>
      <c r="F3648" s="76">
        <v>4.57E-5</v>
      </c>
      <c r="G3648" s="76">
        <v>1.18E-4</v>
      </c>
      <c r="H3648" s="76">
        <v>3.6699999999999998E-5</v>
      </c>
      <c r="I3648" s="76">
        <v>1.27E-4</v>
      </c>
      <c r="J3648" s="76">
        <v>2.0000000000000001E-4</v>
      </c>
      <c r="K3648" s="76">
        <v>1.9699999999999999E-4</v>
      </c>
      <c r="L3648" s="76">
        <v>4.9100000000000001E-5</v>
      </c>
      <c r="M3648" s="76">
        <v>2.2100000000000001E-4</v>
      </c>
    </row>
    <row r="3649" spans="3:13" x14ac:dyDescent="0.15">
      <c r="C3649" s="76">
        <v>700</v>
      </c>
      <c r="D3649" s="76">
        <v>1.5400000000000002E-5</v>
      </c>
      <c r="E3649" s="76">
        <v>2.9799999999999999E-5</v>
      </c>
      <c r="F3649" s="76">
        <v>5.7200000000000001E-5</v>
      </c>
      <c r="G3649" s="76">
        <v>5.0699999999999999E-5</v>
      </c>
      <c r="H3649" s="76">
        <v>5.8100000000000003E-5</v>
      </c>
      <c r="I3649" s="76">
        <v>8.6700000000000007E-5</v>
      </c>
      <c r="J3649" s="76">
        <v>1.84E-4</v>
      </c>
      <c r="K3649" s="76">
        <v>2.05E-4</v>
      </c>
      <c r="L3649" s="76">
        <v>8.0799999999999999E-5</v>
      </c>
      <c r="M3649" s="76">
        <v>2.7700000000000001E-4</v>
      </c>
    </row>
    <row r="3650" spans="3:13" x14ac:dyDescent="0.15">
      <c r="C3650" s="76">
        <v>702</v>
      </c>
      <c r="D3650" s="76">
        <v>1.9400000000000001E-5</v>
      </c>
      <c r="E3650" s="76">
        <v>3.3399999999999999E-5</v>
      </c>
      <c r="F3650" s="76">
        <v>4.1699999999999997E-5</v>
      </c>
      <c r="G3650" s="76">
        <v>6.02E-5</v>
      </c>
      <c r="H3650" s="76">
        <v>3.8699999999999999E-5</v>
      </c>
      <c r="I3650" s="76">
        <v>7.9900000000000004E-5</v>
      </c>
      <c r="J3650" s="76">
        <v>1.55E-4</v>
      </c>
      <c r="K3650" s="76">
        <v>2.31E-4</v>
      </c>
      <c r="L3650" s="76">
        <v>1.06E-4</v>
      </c>
      <c r="M3650" s="76">
        <v>2.1599999999999999E-4</v>
      </c>
    </row>
    <row r="3651" spans="3:13" x14ac:dyDescent="0.15">
      <c r="C3651" s="76">
        <v>704</v>
      </c>
      <c r="D3651" s="76">
        <v>2.3300000000000001E-5</v>
      </c>
      <c r="E3651" s="76">
        <v>3.65E-5</v>
      </c>
      <c r="F3651" s="76">
        <v>5.4599999999999999E-5</v>
      </c>
      <c r="G3651" s="76">
        <v>6.86E-5</v>
      </c>
      <c r="H3651" s="76">
        <v>4.9400000000000001E-5</v>
      </c>
      <c r="I3651" s="76">
        <v>7.0500000000000006E-5</v>
      </c>
      <c r="J3651" s="76">
        <v>1.83E-4</v>
      </c>
      <c r="K3651" s="76">
        <v>2.3900000000000001E-4</v>
      </c>
      <c r="L3651" s="76">
        <v>7.1600000000000006E-5</v>
      </c>
      <c r="M3651" s="76">
        <v>1.8699999999999999E-4</v>
      </c>
    </row>
    <row r="3652" spans="3:13" x14ac:dyDescent="0.15">
      <c r="C3652" s="76">
        <v>706</v>
      </c>
      <c r="D3652" s="76">
        <v>2.34E-5</v>
      </c>
      <c r="E3652" s="76">
        <v>3.1600000000000002E-5</v>
      </c>
      <c r="F3652" s="76">
        <v>3.4400000000000003E-5</v>
      </c>
      <c r="G3652" s="76">
        <v>1.16E-4</v>
      </c>
      <c r="H3652" s="76">
        <v>6.8800000000000005E-5</v>
      </c>
      <c r="I3652" s="76">
        <v>9.5000000000000005E-5</v>
      </c>
      <c r="J3652" s="76">
        <v>1.6699999999999999E-4</v>
      </c>
      <c r="K3652" s="76">
        <v>2.22E-4</v>
      </c>
      <c r="L3652" s="76">
        <v>1E-4</v>
      </c>
      <c r="M3652" s="76">
        <v>1.9900000000000001E-4</v>
      </c>
    </row>
    <row r="3653" spans="3:13" x14ac:dyDescent="0.15">
      <c r="C3653" s="76">
        <v>708</v>
      </c>
      <c r="D3653" s="76">
        <v>1.49E-5</v>
      </c>
      <c r="E3653" s="76">
        <v>4.4499999999999997E-5</v>
      </c>
      <c r="F3653" s="76">
        <v>5.0699999999999999E-5</v>
      </c>
      <c r="G3653" s="76">
        <v>8.9400000000000005E-5</v>
      </c>
      <c r="H3653" s="76">
        <v>7.7200000000000006E-5</v>
      </c>
      <c r="I3653" s="76">
        <v>1.03E-4</v>
      </c>
      <c r="J3653" s="76">
        <v>2.1000000000000001E-4</v>
      </c>
      <c r="K3653" s="76">
        <v>2.3900000000000001E-4</v>
      </c>
      <c r="L3653" s="76">
        <v>1.3899999999999999E-4</v>
      </c>
      <c r="M3653" s="76">
        <v>1.36E-4</v>
      </c>
    </row>
    <row r="3654" spans="3:13" x14ac:dyDescent="0.15">
      <c r="C3654" s="76">
        <v>710</v>
      </c>
      <c r="D3654" s="76">
        <v>1.6900000000000001E-5</v>
      </c>
      <c r="E3654" s="76">
        <v>4.3099999999999997E-5</v>
      </c>
      <c r="F3654" s="76">
        <v>5.3900000000000002E-5</v>
      </c>
      <c r="G3654" s="76">
        <v>7.3499999999999998E-5</v>
      </c>
      <c r="H3654" s="76">
        <v>8.1500000000000002E-5</v>
      </c>
      <c r="I3654" s="76">
        <v>1.4200000000000001E-4</v>
      </c>
      <c r="J3654" s="76">
        <v>1.9699999999999999E-4</v>
      </c>
      <c r="K3654" s="76">
        <v>2.0000000000000001E-4</v>
      </c>
      <c r="L3654" s="76">
        <v>1.94E-4</v>
      </c>
      <c r="M3654" s="76">
        <v>9.7700000000000003E-5</v>
      </c>
    </row>
    <row r="3655" spans="3:13" x14ac:dyDescent="0.15">
      <c r="C3655" s="76">
        <v>712</v>
      </c>
      <c r="D3655" s="76">
        <v>1.1600000000000001E-5</v>
      </c>
      <c r="E3655" s="76">
        <v>4.88E-5</v>
      </c>
      <c r="F3655" s="76">
        <v>2.3600000000000001E-5</v>
      </c>
      <c r="G3655" s="76">
        <v>9.8200000000000002E-5</v>
      </c>
      <c r="H3655" s="76">
        <v>8.5699999999999996E-5</v>
      </c>
      <c r="I3655" s="76">
        <v>1.1E-4</v>
      </c>
      <c r="J3655" s="76">
        <v>2.4499999999999999E-4</v>
      </c>
      <c r="K3655" s="76">
        <v>2.42E-4</v>
      </c>
      <c r="L3655" s="76">
        <v>1.85E-4</v>
      </c>
      <c r="M3655" s="76">
        <v>1.7799999999999999E-4</v>
      </c>
    </row>
    <row r="3656" spans="3:13" x14ac:dyDescent="0.15">
      <c r="C3656" s="76">
        <v>714</v>
      </c>
      <c r="D3656" s="76">
        <v>2.3300000000000001E-5</v>
      </c>
      <c r="E3656" s="76">
        <v>4.2799999999999997E-5</v>
      </c>
      <c r="F3656" s="76">
        <v>4.4199999999999997E-5</v>
      </c>
      <c r="G3656" s="76">
        <v>8.8999999999999995E-5</v>
      </c>
      <c r="H3656" s="76">
        <v>7.2899999999999997E-5</v>
      </c>
      <c r="I3656" s="76">
        <v>1.44E-4</v>
      </c>
      <c r="J3656" s="76">
        <v>2.03E-4</v>
      </c>
      <c r="K3656" s="76">
        <v>2.5599999999999999E-4</v>
      </c>
      <c r="L3656" s="76">
        <v>1.83E-4</v>
      </c>
      <c r="M3656" s="76">
        <v>1.8699999999999999E-4</v>
      </c>
    </row>
    <row r="3657" spans="3:13" x14ac:dyDescent="0.15">
      <c r="C3657" s="76">
        <v>716</v>
      </c>
      <c r="D3657" s="76">
        <v>2.44E-5</v>
      </c>
      <c r="E3657" s="76">
        <v>4.88E-5</v>
      </c>
      <c r="F3657" s="76">
        <v>4.4199999999999997E-5</v>
      </c>
      <c r="G3657" s="76">
        <v>4.3900000000000003E-5</v>
      </c>
      <c r="H3657" s="76">
        <v>7.5599999999999994E-5</v>
      </c>
      <c r="I3657" s="76">
        <v>1.0900000000000001E-4</v>
      </c>
      <c r="J3657" s="76">
        <v>1.8200000000000001E-4</v>
      </c>
      <c r="K3657" s="76">
        <v>2.2499999999999999E-4</v>
      </c>
      <c r="L3657" s="76">
        <v>1.5200000000000001E-4</v>
      </c>
      <c r="M3657" s="76">
        <v>9.3599999999999998E-5</v>
      </c>
    </row>
    <row r="3658" spans="3:13" x14ac:dyDescent="0.15">
      <c r="C3658" s="76">
        <v>718</v>
      </c>
      <c r="D3658" s="76">
        <v>2.4700000000000001E-5</v>
      </c>
      <c r="E3658" s="76">
        <v>4.4499999999999997E-5</v>
      </c>
      <c r="F3658" s="76">
        <v>1.8099999999999999E-5</v>
      </c>
      <c r="G3658" s="76">
        <v>1.0399999999999999E-4</v>
      </c>
      <c r="H3658" s="76">
        <v>9.5500000000000004E-5</v>
      </c>
      <c r="I3658" s="76">
        <v>1.27E-4</v>
      </c>
      <c r="J3658" s="76">
        <v>2.4800000000000001E-4</v>
      </c>
      <c r="K3658" s="76">
        <v>1.9000000000000001E-4</v>
      </c>
      <c r="L3658" s="76">
        <v>1.83E-4</v>
      </c>
      <c r="M3658" s="76">
        <v>9.6700000000000006E-5</v>
      </c>
    </row>
    <row r="3659" spans="3:13" x14ac:dyDescent="0.15">
      <c r="C3659" s="76">
        <v>720</v>
      </c>
      <c r="D3659" s="76">
        <v>2.3499999999999999E-5</v>
      </c>
      <c r="E3659" s="76">
        <v>4.4299999999999999E-5</v>
      </c>
      <c r="F3659" s="76">
        <v>2.2799999999999999E-5</v>
      </c>
      <c r="G3659" s="76">
        <v>8.3900000000000006E-5</v>
      </c>
      <c r="H3659" s="76">
        <v>5.3600000000000002E-5</v>
      </c>
      <c r="I3659" s="76">
        <v>1.16E-4</v>
      </c>
      <c r="J3659" s="76">
        <v>2.3699999999999999E-4</v>
      </c>
      <c r="K3659" s="76">
        <v>2.4699999999999999E-4</v>
      </c>
      <c r="L3659" s="76">
        <v>1.47E-4</v>
      </c>
      <c r="M3659" s="76">
        <v>9.1500000000000001E-5</v>
      </c>
    </row>
    <row r="3660" spans="3:13" x14ac:dyDescent="0.15">
      <c r="C3660" s="76">
        <v>722</v>
      </c>
      <c r="D3660" s="76">
        <v>1.9599999999999999E-5</v>
      </c>
      <c r="E3660" s="76">
        <v>6.1199999999999997E-5</v>
      </c>
      <c r="F3660" s="76">
        <v>4.5200000000000001E-5</v>
      </c>
      <c r="G3660" s="76">
        <v>8.3800000000000004E-5</v>
      </c>
      <c r="H3660" s="76">
        <v>7.8200000000000003E-5</v>
      </c>
      <c r="I3660" s="76">
        <v>1.93E-4</v>
      </c>
      <c r="J3660" s="76">
        <v>1.4300000000000001E-4</v>
      </c>
      <c r="K3660" s="76">
        <v>2.5500000000000002E-4</v>
      </c>
      <c r="L3660" s="76">
        <v>1.8200000000000001E-4</v>
      </c>
      <c r="M3660" s="76">
        <v>1.1400000000000001E-4</v>
      </c>
    </row>
    <row r="3661" spans="3:13" x14ac:dyDescent="0.15">
      <c r="C3661" s="76">
        <v>724</v>
      </c>
      <c r="D3661" s="76">
        <v>2.3900000000000002E-5</v>
      </c>
      <c r="E3661" s="76">
        <v>5.5300000000000002E-5</v>
      </c>
      <c r="F3661" s="76">
        <v>7.8599999999999993E-6</v>
      </c>
      <c r="G3661" s="76">
        <v>5.9899999999999999E-5</v>
      </c>
      <c r="H3661" s="76">
        <v>9.5500000000000004E-5</v>
      </c>
      <c r="I3661" s="76">
        <v>9.7200000000000004E-5</v>
      </c>
      <c r="J3661" s="76">
        <v>1.3799999999999999E-4</v>
      </c>
      <c r="K3661" s="76">
        <v>2.0799999999999999E-4</v>
      </c>
      <c r="L3661" s="76">
        <v>1.75E-4</v>
      </c>
      <c r="M3661" s="76">
        <v>1.01E-4</v>
      </c>
    </row>
    <row r="3662" spans="3:13" x14ac:dyDescent="0.15">
      <c r="C3662" s="76">
        <v>726</v>
      </c>
      <c r="D3662" s="76">
        <v>2.6699999999999998E-5</v>
      </c>
      <c r="E3662" s="76">
        <v>4.6699999999999997E-5</v>
      </c>
      <c r="F3662" s="76">
        <v>3.6199999999999999E-5</v>
      </c>
      <c r="G3662" s="76">
        <v>7.3200000000000004E-5</v>
      </c>
      <c r="H3662" s="76">
        <v>9.8400000000000007E-5</v>
      </c>
      <c r="I3662" s="76">
        <v>1.35E-4</v>
      </c>
      <c r="J3662" s="76">
        <v>1.73E-4</v>
      </c>
      <c r="K3662" s="76">
        <v>1.4899999999999999E-4</v>
      </c>
      <c r="L3662" s="76">
        <v>1.7100000000000001E-4</v>
      </c>
      <c r="M3662" s="76">
        <v>6.5199999999999999E-5</v>
      </c>
    </row>
    <row r="3663" spans="3:13" x14ac:dyDescent="0.15">
      <c r="C3663" s="76">
        <v>728</v>
      </c>
      <c r="D3663" s="76">
        <v>3.54E-5</v>
      </c>
      <c r="E3663" s="76">
        <v>4.6199999999999998E-5</v>
      </c>
      <c r="F3663" s="76">
        <v>2.65E-5</v>
      </c>
      <c r="G3663" s="76">
        <v>6.7500000000000001E-5</v>
      </c>
      <c r="H3663" s="76">
        <v>7.2700000000000005E-5</v>
      </c>
      <c r="I3663" s="76">
        <v>1.1E-4</v>
      </c>
      <c r="J3663" s="76">
        <v>2.0900000000000001E-4</v>
      </c>
      <c r="K3663" s="76">
        <v>2.5000000000000001E-4</v>
      </c>
      <c r="L3663" s="76">
        <v>2.23E-4</v>
      </c>
      <c r="M3663" s="76">
        <v>8.7299999999999994E-5</v>
      </c>
    </row>
    <row r="3664" spans="3:13" x14ac:dyDescent="0.15">
      <c r="C3664" s="76">
        <v>730</v>
      </c>
      <c r="D3664" s="76">
        <v>2.7100000000000001E-5</v>
      </c>
      <c r="E3664" s="76">
        <v>5.9700000000000001E-5</v>
      </c>
      <c r="F3664" s="76">
        <v>0</v>
      </c>
      <c r="G3664" s="76">
        <v>6.8700000000000003E-5</v>
      </c>
      <c r="H3664" s="76">
        <v>9.0000000000000006E-5</v>
      </c>
      <c r="I3664" s="76">
        <v>1.17E-4</v>
      </c>
      <c r="J3664" s="76">
        <v>1.6799999999999999E-4</v>
      </c>
      <c r="K3664" s="76">
        <v>1.92E-4</v>
      </c>
      <c r="L3664" s="76">
        <v>2.52E-4</v>
      </c>
      <c r="M3664" s="76">
        <v>8.7299999999999994E-5</v>
      </c>
    </row>
    <row r="3665" spans="3:13" x14ac:dyDescent="0.15">
      <c r="C3665" s="76">
        <v>732</v>
      </c>
      <c r="D3665" s="76">
        <v>2.7800000000000001E-5</v>
      </c>
      <c r="E3665" s="76">
        <v>3.8899999999999997E-5</v>
      </c>
      <c r="F3665" s="76">
        <v>2.9600000000000001E-5</v>
      </c>
      <c r="G3665" s="76">
        <v>6.0300000000000002E-5</v>
      </c>
      <c r="H3665" s="76">
        <v>1.06E-4</v>
      </c>
      <c r="I3665" s="76">
        <v>1.34E-4</v>
      </c>
      <c r="J3665" s="76">
        <v>9.98E-5</v>
      </c>
      <c r="K3665" s="76">
        <v>1.74E-4</v>
      </c>
      <c r="L3665" s="76">
        <v>3.4900000000000003E-4</v>
      </c>
      <c r="M3665" s="76">
        <v>3.8600000000000003E-5</v>
      </c>
    </row>
    <row r="3666" spans="3:13" x14ac:dyDescent="0.15">
      <c r="C3666" s="76">
        <v>734</v>
      </c>
      <c r="D3666" s="76">
        <v>1.9700000000000001E-5</v>
      </c>
      <c r="E3666" s="76">
        <v>6.6600000000000006E-5</v>
      </c>
      <c r="F3666" s="76">
        <v>1.0000000000000001E-5</v>
      </c>
      <c r="G3666" s="76">
        <v>4.7700000000000001E-5</v>
      </c>
      <c r="H3666" s="76">
        <v>1.6799999999999999E-4</v>
      </c>
      <c r="I3666" s="76">
        <v>7.9300000000000003E-5</v>
      </c>
      <c r="J3666" s="76">
        <v>1.47E-4</v>
      </c>
      <c r="K3666" s="76">
        <v>1.5899999999999999E-4</v>
      </c>
      <c r="L3666" s="76">
        <v>2.5599999999999999E-4</v>
      </c>
      <c r="M3666" s="76">
        <v>8.0099999999999995E-5</v>
      </c>
    </row>
    <row r="3667" spans="3:13" x14ac:dyDescent="0.15">
      <c r="C3667" s="76">
        <v>736</v>
      </c>
      <c r="D3667" s="76">
        <v>1.9400000000000001E-5</v>
      </c>
      <c r="E3667" s="76">
        <v>2.4000000000000001E-5</v>
      </c>
      <c r="F3667" s="76">
        <v>1.5999999999999999E-5</v>
      </c>
      <c r="G3667" s="76">
        <v>3.5500000000000002E-5</v>
      </c>
      <c r="H3667" s="76">
        <v>1.3100000000000001E-4</v>
      </c>
      <c r="I3667" s="76">
        <v>1.3200000000000001E-4</v>
      </c>
      <c r="J3667" s="76">
        <v>1.13E-4</v>
      </c>
      <c r="K3667" s="76">
        <v>1.76E-4</v>
      </c>
      <c r="L3667" s="76">
        <v>2.34E-4</v>
      </c>
      <c r="M3667" s="76">
        <v>3.3599999999999997E-5</v>
      </c>
    </row>
    <row r="3668" spans="3:13" x14ac:dyDescent="0.15">
      <c r="C3668" s="76">
        <v>738</v>
      </c>
      <c r="D3668" s="76">
        <v>1.95E-5</v>
      </c>
      <c r="E3668" s="76">
        <v>2.73E-5</v>
      </c>
      <c r="F3668" s="76">
        <v>1.2999999999999999E-5</v>
      </c>
      <c r="G3668" s="76">
        <v>5.24E-5</v>
      </c>
      <c r="H3668" s="76">
        <v>1.35E-4</v>
      </c>
      <c r="I3668" s="76">
        <v>1.12E-4</v>
      </c>
      <c r="J3668" s="76">
        <v>7.8300000000000006E-5</v>
      </c>
      <c r="K3668" s="76">
        <v>2.0900000000000001E-4</v>
      </c>
      <c r="L3668" s="76">
        <v>3.0699999999999998E-4</v>
      </c>
      <c r="M3668" s="76">
        <v>1.5899999999999999E-4</v>
      </c>
    </row>
    <row r="3669" spans="3:13" x14ac:dyDescent="0.15">
      <c r="C3669" s="76">
        <v>740</v>
      </c>
      <c r="D3669" s="76">
        <v>1.2099999999999999E-5</v>
      </c>
      <c r="E3669" s="76">
        <v>4.0299999999999997E-5</v>
      </c>
      <c r="F3669" s="76">
        <v>5.66E-6</v>
      </c>
      <c r="G3669" s="76">
        <v>4.99E-5</v>
      </c>
      <c r="H3669" s="76">
        <v>1.18E-4</v>
      </c>
      <c r="I3669" s="76">
        <v>9.2800000000000006E-5</v>
      </c>
      <c r="J3669" s="76">
        <v>5.5099999999999998E-5</v>
      </c>
      <c r="K3669" s="76">
        <v>1.2E-4</v>
      </c>
      <c r="L3669" s="76">
        <v>2.3900000000000001E-4</v>
      </c>
      <c r="M3669" s="76">
        <v>1.3799999999999999E-4</v>
      </c>
    </row>
    <row r="3670" spans="3:13" x14ac:dyDescent="0.15">
      <c r="C3670" s="76">
        <v>742</v>
      </c>
      <c r="D3670" s="76">
        <v>1.1199999999999999E-5</v>
      </c>
      <c r="E3670" s="76">
        <v>3.4499999999999998E-5</v>
      </c>
      <c r="F3670" s="76">
        <v>5.02E-5</v>
      </c>
      <c r="G3670" s="76">
        <v>3.9900000000000001E-5</v>
      </c>
      <c r="H3670" s="76">
        <v>1.01E-4</v>
      </c>
      <c r="I3670" s="76">
        <v>5.2599999999999998E-5</v>
      </c>
      <c r="J3670" s="76">
        <v>4.07E-5</v>
      </c>
      <c r="K3670" s="76">
        <v>1.02E-4</v>
      </c>
      <c r="L3670" s="76">
        <v>3.4299999999999999E-4</v>
      </c>
      <c r="M3670" s="76">
        <v>1.45E-4</v>
      </c>
    </row>
    <row r="3671" spans="3:13" x14ac:dyDescent="0.15">
      <c r="C3671" s="76">
        <v>744</v>
      </c>
      <c r="D3671" s="76">
        <v>1.0900000000000001E-5</v>
      </c>
      <c r="E3671" s="76">
        <v>3.5299999999999997E-5</v>
      </c>
      <c r="F3671" s="76">
        <v>2.6800000000000001E-5</v>
      </c>
      <c r="G3671" s="76">
        <v>7.9800000000000002E-5</v>
      </c>
      <c r="H3671" s="76">
        <v>1.22E-4</v>
      </c>
      <c r="I3671" s="76">
        <v>1.08E-4</v>
      </c>
      <c r="J3671" s="76">
        <v>2.7100000000000001E-5</v>
      </c>
      <c r="K3671" s="76">
        <v>1.2999999999999999E-4</v>
      </c>
      <c r="L3671" s="76">
        <v>2.9300000000000002E-4</v>
      </c>
      <c r="M3671" s="76">
        <v>1.4899999999999999E-4</v>
      </c>
    </row>
    <row r="3672" spans="3:13" x14ac:dyDescent="0.15">
      <c r="C3672" s="76">
        <v>746</v>
      </c>
      <c r="D3672" s="76">
        <v>1.1E-5</v>
      </c>
      <c r="E3672" s="76">
        <v>2.7500000000000001E-5</v>
      </c>
      <c r="F3672" s="76">
        <v>1.5E-5</v>
      </c>
      <c r="G3672" s="76">
        <v>6.1400000000000002E-5</v>
      </c>
      <c r="H3672" s="76">
        <v>1.0399999999999999E-4</v>
      </c>
      <c r="I3672" s="76">
        <v>8.5900000000000001E-5</v>
      </c>
      <c r="J3672" s="76">
        <v>3.3200000000000001E-5</v>
      </c>
      <c r="K3672" s="76">
        <v>1.63E-4</v>
      </c>
      <c r="L3672" s="76">
        <v>2.31E-4</v>
      </c>
      <c r="M3672" s="76">
        <v>9.4500000000000007E-5</v>
      </c>
    </row>
    <row r="3673" spans="3:13" x14ac:dyDescent="0.15">
      <c r="C3673" s="76">
        <v>748</v>
      </c>
      <c r="D3673" s="76">
        <v>1.7499999999999998E-5</v>
      </c>
      <c r="E3673" s="76">
        <v>4.0399999999999999E-5</v>
      </c>
      <c r="F3673" s="76">
        <v>2.4499999999999999E-5</v>
      </c>
      <c r="G3673" s="76">
        <v>4.5200000000000001E-5</v>
      </c>
      <c r="H3673" s="76">
        <v>1.0399999999999999E-4</v>
      </c>
      <c r="I3673" s="76">
        <v>9.5600000000000006E-5</v>
      </c>
      <c r="J3673" s="76">
        <v>1.9400000000000001E-5</v>
      </c>
      <c r="K3673" s="76">
        <v>1.7100000000000001E-4</v>
      </c>
      <c r="L3673" s="76">
        <v>2.6699999999999998E-4</v>
      </c>
      <c r="M3673" s="76">
        <v>2.04E-4</v>
      </c>
    </row>
    <row r="3674" spans="3:13" x14ac:dyDescent="0.15">
      <c r="C3674" s="76">
        <v>750</v>
      </c>
      <c r="D3674" s="76">
        <v>1.08E-5</v>
      </c>
      <c r="E3674" s="76">
        <v>2.02E-5</v>
      </c>
      <c r="F3674" s="76">
        <v>3.65E-5</v>
      </c>
      <c r="G3674" s="76">
        <v>5.24E-5</v>
      </c>
      <c r="H3674" s="76">
        <v>1.1400000000000001E-4</v>
      </c>
      <c r="I3674" s="76">
        <v>6.1199999999999997E-5</v>
      </c>
      <c r="J3674" s="76">
        <v>3.9499999999999998E-5</v>
      </c>
      <c r="K3674" s="76">
        <v>2.42E-4</v>
      </c>
      <c r="L3674" s="76">
        <v>4.0200000000000001E-4</v>
      </c>
      <c r="M3674" s="76">
        <v>2.4399999999999999E-4</v>
      </c>
    </row>
    <row r="3675" spans="3:13" x14ac:dyDescent="0.15">
      <c r="C3675" s="76">
        <v>752</v>
      </c>
      <c r="D3675" s="76">
        <v>1.29E-5</v>
      </c>
      <c r="E3675" s="76">
        <v>2.8600000000000001E-5</v>
      </c>
      <c r="F3675" s="76">
        <v>5.4700000000000001E-5</v>
      </c>
      <c r="G3675" s="76">
        <v>6.1400000000000002E-5</v>
      </c>
      <c r="H3675" s="76">
        <v>1.01E-4</v>
      </c>
      <c r="I3675" s="76">
        <v>4.5500000000000001E-5</v>
      </c>
      <c r="J3675" s="76">
        <v>5.3999999999999998E-5</v>
      </c>
      <c r="K3675" s="76">
        <v>2.02E-4</v>
      </c>
      <c r="L3675" s="76">
        <v>1.56E-4</v>
      </c>
      <c r="M3675" s="76">
        <v>2.2900000000000001E-4</v>
      </c>
    </row>
    <row r="3676" spans="3:13" x14ac:dyDescent="0.15">
      <c r="C3676" s="76">
        <v>754</v>
      </c>
      <c r="D3676" s="76">
        <v>1.9700000000000001E-5</v>
      </c>
      <c r="E3676" s="76">
        <v>7.7800000000000001E-6</v>
      </c>
      <c r="F3676" s="76">
        <v>4.8900000000000003E-5</v>
      </c>
      <c r="G3676" s="76">
        <v>7.4900000000000005E-5</v>
      </c>
      <c r="H3676" s="76">
        <v>4.6E-5</v>
      </c>
      <c r="I3676" s="76">
        <v>3.4999999999999997E-5</v>
      </c>
      <c r="J3676" s="76">
        <v>2.5599999999999999E-5</v>
      </c>
      <c r="K3676" s="76">
        <v>1.5300000000000001E-4</v>
      </c>
      <c r="L3676" s="76">
        <v>2.13E-4</v>
      </c>
      <c r="M3676" s="76">
        <v>1.73E-4</v>
      </c>
    </row>
    <row r="3677" spans="3:13" x14ac:dyDescent="0.15">
      <c r="C3677" s="76">
        <v>756</v>
      </c>
      <c r="D3677" s="76">
        <v>2.5400000000000001E-5</v>
      </c>
      <c r="E3677" s="76">
        <v>2.6699999999999998E-5</v>
      </c>
      <c r="F3677" s="76">
        <v>5.2099999999999999E-5</v>
      </c>
      <c r="G3677" s="76">
        <v>1.1400000000000001E-4</v>
      </c>
      <c r="H3677" s="76">
        <v>7.47E-5</v>
      </c>
      <c r="I3677" s="76">
        <v>3.2499999999999997E-5</v>
      </c>
      <c r="J3677" s="76">
        <v>1.13E-6</v>
      </c>
      <c r="K3677" s="76">
        <v>2.1100000000000001E-4</v>
      </c>
      <c r="L3677" s="76">
        <v>1.55E-4</v>
      </c>
      <c r="M3677" s="76">
        <v>2.2100000000000001E-4</v>
      </c>
    </row>
    <row r="3678" spans="3:13" x14ac:dyDescent="0.15">
      <c r="C3678" s="76">
        <v>758</v>
      </c>
      <c r="D3678" s="76">
        <v>2.6800000000000001E-5</v>
      </c>
      <c r="E3678" s="76">
        <v>2.2399999999999999E-5</v>
      </c>
      <c r="F3678" s="76">
        <v>5.3699999999999997E-5</v>
      </c>
      <c r="G3678" s="76">
        <v>5.4299999999999998E-5</v>
      </c>
      <c r="H3678" s="76">
        <v>8.8499999999999996E-5</v>
      </c>
      <c r="I3678" s="76">
        <v>3.7100000000000001E-5</v>
      </c>
      <c r="J3678" s="76">
        <v>8.2300000000000008E-6</v>
      </c>
      <c r="K3678" s="76">
        <v>2.0900000000000001E-4</v>
      </c>
      <c r="L3678" s="76">
        <v>1.85E-4</v>
      </c>
      <c r="M3678" s="76">
        <v>3.39E-4</v>
      </c>
    </row>
    <row r="3679" spans="3:13" x14ac:dyDescent="0.15">
      <c r="C3679" s="76">
        <v>760</v>
      </c>
      <c r="D3679" s="76">
        <v>2.8399999999999999E-5</v>
      </c>
      <c r="E3679" s="76">
        <v>1.8899999999999999E-5</v>
      </c>
      <c r="F3679" s="76">
        <v>6.3200000000000005E-5</v>
      </c>
      <c r="G3679" s="76">
        <v>9.2100000000000003E-5</v>
      </c>
      <c r="H3679" s="76">
        <v>4.88E-5</v>
      </c>
      <c r="I3679" s="76">
        <v>4.4400000000000002E-5</v>
      </c>
      <c r="J3679" s="76">
        <v>4.7599999999999998E-5</v>
      </c>
      <c r="K3679" s="76">
        <v>1.9799999999999999E-4</v>
      </c>
      <c r="L3679" s="76">
        <v>2.05E-4</v>
      </c>
      <c r="M3679" s="76">
        <v>3.1700000000000001E-4</v>
      </c>
    </row>
    <row r="3680" spans="3:13" x14ac:dyDescent="0.15">
      <c r="C3680" s="76">
        <v>762</v>
      </c>
      <c r="D3680" s="76">
        <v>2.5299999999999998E-5</v>
      </c>
      <c r="E3680" s="76">
        <v>1.2099999999999999E-5</v>
      </c>
      <c r="F3680" s="76">
        <v>4.74E-5</v>
      </c>
      <c r="G3680" s="76">
        <v>1.06E-4</v>
      </c>
      <c r="H3680" s="76">
        <v>5.2899999999999998E-5</v>
      </c>
      <c r="I3680" s="76">
        <v>5.4400000000000001E-5</v>
      </c>
      <c r="J3680" s="76">
        <v>9.7999999999999993E-6</v>
      </c>
      <c r="K3680" s="76">
        <v>2.0900000000000001E-4</v>
      </c>
      <c r="L3680" s="76">
        <v>1.66E-4</v>
      </c>
      <c r="M3680" s="76">
        <v>3.39E-4</v>
      </c>
    </row>
    <row r="3681" spans="2:13" x14ac:dyDescent="0.15">
      <c r="C3681" s="76">
        <v>764</v>
      </c>
      <c r="D3681" s="76">
        <v>2.1699999999999999E-5</v>
      </c>
      <c r="E3681" s="76">
        <v>1.9400000000000001E-6</v>
      </c>
      <c r="F3681" s="76">
        <v>2.9899999999999998E-5</v>
      </c>
      <c r="G3681" s="76">
        <v>7.25E-5</v>
      </c>
      <c r="H3681" s="76">
        <v>0</v>
      </c>
      <c r="I3681" s="76">
        <v>3.5299999999999997E-5</v>
      </c>
      <c r="J3681" s="76">
        <v>2.34E-5</v>
      </c>
      <c r="K3681" s="76">
        <v>1.7100000000000001E-4</v>
      </c>
      <c r="L3681" s="76">
        <v>5.8E-5</v>
      </c>
      <c r="M3681" s="76">
        <v>3.4200000000000002E-4</v>
      </c>
    </row>
    <row r="3682" spans="2:13" x14ac:dyDescent="0.15">
      <c r="C3682" s="76">
        <v>766</v>
      </c>
      <c r="D3682" s="76">
        <v>2.6299999999999999E-5</v>
      </c>
      <c r="E3682" s="76">
        <v>1.1600000000000001E-5</v>
      </c>
      <c r="F3682" s="76">
        <v>6.1699999999999995E-5</v>
      </c>
      <c r="G3682" s="76">
        <v>9.5699999999999995E-5</v>
      </c>
      <c r="H3682" s="76">
        <v>1.6799999999999998E-5</v>
      </c>
      <c r="I3682" s="76">
        <v>6.4700000000000001E-5</v>
      </c>
      <c r="J3682" s="76">
        <v>3.6199999999999999E-5</v>
      </c>
      <c r="K3682" s="76">
        <v>1.6000000000000001E-4</v>
      </c>
      <c r="L3682" s="76">
        <v>3.01E-5</v>
      </c>
      <c r="M3682" s="76">
        <v>3.3E-4</v>
      </c>
    </row>
    <row r="3683" spans="2:13" x14ac:dyDescent="0.15">
      <c r="C3683" s="76">
        <v>768</v>
      </c>
      <c r="D3683" s="76">
        <v>1.8300000000000001E-5</v>
      </c>
      <c r="E3683" s="76">
        <v>1.63E-5</v>
      </c>
      <c r="F3683" s="76">
        <v>6.1600000000000007E-5</v>
      </c>
      <c r="G3683" s="76">
        <v>1.18E-4</v>
      </c>
      <c r="H3683" s="76">
        <v>1.36E-5</v>
      </c>
      <c r="I3683" s="76">
        <v>1.34E-5</v>
      </c>
      <c r="J3683" s="76">
        <v>1.7200000000000001E-5</v>
      </c>
      <c r="K3683" s="76">
        <v>8.3300000000000005E-5</v>
      </c>
      <c r="L3683" s="76">
        <v>4.6100000000000002E-5</v>
      </c>
      <c r="M3683" s="76">
        <v>3.0699999999999998E-4</v>
      </c>
    </row>
    <row r="3684" spans="2:13" x14ac:dyDescent="0.15">
      <c r="C3684" s="76">
        <v>770</v>
      </c>
      <c r="D3684" s="76">
        <v>2.9899999999999998E-5</v>
      </c>
      <c r="E3684" s="76">
        <v>7.7300000000000005E-6</v>
      </c>
      <c r="F3684" s="76">
        <v>5.7099999999999999E-5</v>
      </c>
      <c r="G3684" s="76">
        <v>1.0399999999999999E-4</v>
      </c>
      <c r="H3684" s="76">
        <v>2.4000000000000001E-5</v>
      </c>
      <c r="I3684" s="76">
        <v>2.94E-5</v>
      </c>
      <c r="J3684" s="76">
        <v>2.7E-6</v>
      </c>
      <c r="K3684" s="76">
        <v>1.4200000000000001E-4</v>
      </c>
      <c r="L3684" s="76">
        <v>2.9499999999999999E-5</v>
      </c>
      <c r="M3684" s="76">
        <v>3.7500000000000001E-4</v>
      </c>
    </row>
    <row r="3685" spans="2:13" x14ac:dyDescent="0.15">
      <c r="C3685" s="76">
        <v>772</v>
      </c>
      <c r="D3685" s="76">
        <v>1.8600000000000001E-5</v>
      </c>
      <c r="E3685" s="76">
        <v>1.5299999999999999E-5</v>
      </c>
      <c r="F3685" s="76">
        <v>6.4499999999999996E-5</v>
      </c>
      <c r="G3685" s="76">
        <v>8.3599999999999999E-5</v>
      </c>
      <c r="H3685" s="76">
        <v>6.5099999999999997E-5</v>
      </c>
      <c r="I3685" s="76">
        <v>3.9700000000000003E-5</v>
      </c>
      <c r="J3685" s="76">
        <v>6.2299999999999996E-6</v>
      </c>
      <c r="K3685" s="76">
        <v>1.2999999999999999E-4</v>
      </c>
      <c r="L3685" s="76">
        <v>7.1099999999999994E-5</v>
      </c>
      <c r="M3685" s="76">
        <v>4.3199999999999998E-4</v>
      </c>
    </row>
    <row r="3686" spans="2:13" x14ac:dyDescent="0.15">
      <c r="C3686" s="76">
        <v>774</v>
      </c>
      <c r="D3686" s="76">
        <v>1.6099999999999998E-5</v>
      </c>
      <c r="E3686" s="76">
        <v>2.2099999999999998E-5</v>
      </c>
      <c r="F3686" s="76">
        <v>8.3800000000000004E-5</v>
      </c>
      <c r="G3686" s="76">
        <v>1.1400000000000001E-4</v>
      </c>
      <c r="H3686" s="76">
        <v>3.5599999999999998E-5</v>
      </c>
      <c r="I3686" s="76">
        <v>6.0800000000000001E-5</v>
      </c>
      <c r="J3686" s="76">
        <v>9.5799999999999998E-5</v>
      </c>
      <c r="K3686" s="76">
        <v>9.4400000000000004E-5</v>
      </c>
      <c r="L3686" s="76">
        <v>6.0800000000000001E-5</v>
      </c>
      <c r="M3686" s="76">
        <v>3.6400000000000001E-4</v>
      </c>
    </row>
    <row r="3687" spans="2:13" x14ac:dyDescent="0.15">
      <c r="C3687" s="76">
        <v>776</v>
      </c>
      <c r="D3687" s="76">
        <v>2.02E-5</v>
      </c>
      <c r="E3687" s="76">
        <v>1.1800000000000001E-5</v>
      </c>
      <c r="F3687" s="76">
        <v>8.2399999999999997E-5</v>
      </c>
      <c r="G3687" s="76">
        <v>9.6000000000000002E-5</v>
      </c>
      <c r="H3687" s="76">
        <v>1.27E-5</v>
      </c>
      <c r="I3687" s="76">
        <v>7.4999999999999993E-5</v>
      </c>
      <c r="J3687" s="76">
        <v>6.5099999999999997E-5</v>
      </c>
      <c r="K3687" s="76">
        <v>1.3899999999999999E-4</v>
      </c>
      <c r="L3687" s="76">
        <v>9.2199999999999998E-6</v>
      </c>
      <c r="M3687" s="76">
        <v>3.9399999999999998E-4</v>
      </c>
    </row>
    <row r="3688" spans="2:13" x14ac:dyDescent="0.15">
      <c r="C3688" s="76">
        <v>778</v>
      </c>
      <c r="D3688" s="76">
        <v>2.62E-5</v>
      </c>
      <c r="E3688" s="76">
        <v>1.36E-5</v>
      </c>
      <c r="F3688" s="76">
        <v>2.9799999999999999E-5</v>
      </c>
      <c r="G3688" s="76">
        <v>7.7600000000000002E-5</v>
      </c>
      <c r="H3688" s="76">
        <v>0</v>
      </c>
      <c r="I3688" s="76">
        <v>7.0099999999999996E-5</v>
      </c>
      <c r="J3688" s="76">
        <v>1.1900000000000001E-4</v>
      </c>
      <c r="K3688" s="76">
        <v>7.4400000000000006E-5</v>
      </c>
      <c r="L3688" s="76">
        <v>3.29E-5</v>
      </c>
      <c r="M3688" s="76">
        <v>3.7100000000000002E-4</v>
      </c>
    </row>
    <row r="3689" spans="2:13" x14ac:dyDescent="0.15">
      <c r="C3689" s="76">
        <v>780</v>
      </c>
      <c r="D3689" s="76">
        <v>2.9E-5</v>
      </c>
      <c r="E3689" s="76">
        <v>1.7600000000000001E-5</v>
      </c>
      <c r="F3689" s="120">
        <v>4.71E-5</v>
      </c>
      <c r="G3689" s="120">
        <v>4.9299999999999999E-5</v>
      </c>
      <c r="H3689" s="120">
        <v>2.16E-5</v>
      </c>
      <c r="I3689" s="76">
        <v>6.5199999999999999E-5</v>
      </c>
      <c r="J3689" s="76">
        <v>9.1100000000000005E-5</v>
      </c>
      <c r="K3689" s="76">
        <v>5.9200000000000002E-5</v>
      </c>
      <c r="L3689" s="76">
        <v>1E-4</v>
      </c>
      <c r="M3689" s="76">
        <v>3.2699999999999998E-4</v>
      </c>
    </row>
    <row r="3690" spans="2:13" x14ac:dyDescent="0.15">
      <c r="B3690" s="76">
        <v>43</v>
      </c>
      <c r="C3690" s="76" t="s">
        <v>561</v>
      </c>
      <c r="D3690" s="76">
        <v>1</v>
      </c>
      <c r="E3690" s="76">
        <v>2</v>
      </c>
      <c r="F3690" s="76">
        <v>3</v>
      </c>
      <c r="G3690" s="76">
        <v>4</v>
      </c>
      <c r="H3690" s="76">
        <v>5</v>
      </c>
      <c r="I3690" s="76">
        <v>6</v>
      </c>
      <c r="J3690" s="76">
        <v>7</v>
      </c>
      <c r="K3690" s="76">
        <v>8</v>
      </c>
      <c r="L3690" s="76">
        <v>9</v>
      </c>
      <c r="M3690" s="76">
        <v>10</v>
      </c>
    </row>
    <row r="3691" spans="2:13" x14ac:dyDescent="0.15">
      <c r="C3691" s="76" t="s">
        <v>556</v>
      </c>
      <c r="D3691" s="76">
        <v>3.57</v>
      </c>
      <c r="E3691" s="76">
        <v>3.7069999999999999</v>
      </c>
      <c r="F3691" s="76">
        <v>3.8050000000000002</v>
      </c>
      <c r="G3691" s="76">
        <v>3.8839999999999999</v>
      </c>
      <c r="H3691" s="76">
        <v>3.9529999999999998</v>
      </c>
      <c r="I3691" s="76">
        <v>4.0149999999999997</v>
      </c>
      <c r="J3691" s="76">
        <v>4.0709999999999997</v>
      </c>
      <c r="K3691" s="76">
        <v>4.1230000000000002</v>
      </c>
      <c r="L3691" s="76">
        <v>4.1710000000000003</v>
      </c>
      <c r="M3691" s="76">
        <v>4.2160000000000002</v>
      </c>
    </row>
    <row r="3692" spans="2:13" x14ac:dyDescent="0.15">
      <c r="C3692" s="76" t="s">
        <v>562</v>
      </c>
      <c r="D3692" s="76">
        <v>0.08</v>
      </c>
      <c r="E3692" s="76">
        <v>0.16</v>
      </c>
      <c r="F3692" s="76">
        <v>0.24</v>
      </c>
      <c r="G3692" s="76">
        <v>0.32</v>
      </c>
      <c r="H3692" s="76">
        <v>0.4</v>
      </c>
      <c r="I3692" s="76">
        <v>0.48</v>
      </c>
      <c r="J3692" s="76">
        <v>0.56000000000000005</v>
      </c>
      <c r="K3692" s="76">
        <v>0.64</v>
      </c>
      <c r="L3692" s="76">
        <v>0.72</v>
      </c>
      <c r="M3692" s="76">
        <v>0.8</v>
      </c>
    </row>
    <row r="3693" spans="2:13" x14ac:dyDescent="0.15">
      <c r="C3693" s="76" t="s">
        <v>557</v>
      </c>
      <c r="D3693" s="76">
        <v>2</v>
      </c>
      <c r="E3693" s="76">
        <v>4</v>
      </c>
      <c r="F3693" s="76">
        <v>6</v>
      </c>
      <c r="G3693" s="76">
        <v>8</v>
      </c>
      <c r="H3693" s="76">
        <v>10</v>
      </c>
      <c r="I3693" s="76">
        <v>12</v>
      </c>
      <c r="J3693" s="76">
        <v>14</v>
      </c>
      <c r="K3693" s="76">
        <v>16</v>
      </c>
      <c r="L3693" s="76">
        <v>18</v>
      </c>
      <c r="M3693" s="76">
        <v>20</v>
      </c>
    </row>
    <row r="3694" spans="2:13" x14ac:dyDescent="0.15">
      <c r="C3694" s="76" t="s">
        <v>560</v>
      </c>
      <c r="D3694" s="76">
        <v>8.2739999999999991</v>
      </c>
      <c r="E3694" s="76">
        <v>8.4239999999999995</v>
      </c>
      <c r="F3694" s="76">
        <v>8.4350000000000005</v>
      </c>
      <c r="G3694" s="76">
        <v>8.4329999999999998</v>
      </c>
      <c r="H3694" s="76">
        <v>8.4120000000000008</v>
      </c>
      <c r="I3694" s="76">
        <v>8.391</v>
      </c>
      <c r="J3694" s="76">
        <v>8.3710000000000004</v>
      </c>
      <c r="K3694" s="76">
        <v>8.35</v>
      </c>
      <c r="L3694" s="76">
        <v>8.3279999999999994</v>
      </c>
      <c r="M3694" s="76">
        <v>8.3049999999999997</v>
      </c>
    </row>
    <row r="3695" spans="2:13" x14ac:dyDescent="0.15">
      <c r="C3695" s="76" t="s">
        <v>563</v>
      </c>
      <c r="D3695" s="76">
        <v>7.2810819999999996</v>
      </c>
      <c r="E3695" s="76">
        <v>7.1382820000000002</v>
      </c>
      <c r="F3695" s="76">
        <v>6.9646410000000003</v>
      </c>
      <c r="G3695" s="76">
        <v>6.8209340000000003</v>
      </c>
      <c r="H3695" s="76">
        <v>6.685136</v>
      </c>
      <c r="I3695" s="76">
        <v>6.5658700000000003</v>
      </c>
      <c r="J3695" s="76">
        <v>6.4593910000000001</v>
      </c>
      <c r="K3695" s="76">
        <v>6.3622240000000003</v>
      </c>
      <c r="L3695" s="76">
        <v>6.2724320000000002</v>
      </c>
      <c r="M3695" s="76">
        <v>6.1885659999999998</v>
      </c>
    </row>
    <row r="3696" spans="2:13" x14ac:dyDescent="0.15">
      <c r="C3696" s="76" t="s">
        <v>564</v>
      </c>
      <c r="D3696" s="76">
        <v>165.5</v>
      </c>
      <c r="E3696" s="76">
        <v>337</v>
      </c>
      <c r="F3696" s="76">
        <v>506.1</v>
      </c>
      <c r="G3696" s="76">
        <v>674.7</v>
      </c>
      <c r="H3696" s="76">
        <v>841.3</v>
      </c>
      <c r="I3696" s="76">
        <v>1007</v>
      </c>
      <c r="J3696" s="76">
        <v>1172</v>
      </c>
      <c r="K3696" s="76">
        <v>1336</v>
      </c>
      <c r="L3696" s="76">
        <v>1499</v>
      </c>
      <c r="M3696" s="76">
        <v>1661</v>
      </c>
    </row>
    <row r="3697" spans="3:13" x14ac:dyDescent="0.15">
      <c r="C3697" s="76" t="s">
        <v>565</v>
      </c>
      <c r="D3697" s="76">
        <v>165.5</v>
      </c>
      <c r="E3697" s="76">
        <v>337</v>
      </c>
      <c r="F3697" s="76">
        <v>506.1</v>
      </c>
      <c r="G3697" s="76">
        <v>674.7</v>
      </c>
      <c r="H3697" s="76">
        <v>841.3</v>
      </c>
      <c r="I3697" s="76">
        <v>1007</v>
      </c>
      <c r="J3697" s="76">
        <v>1172</v>
      </c>
      <c r="K3697" s="76">
        <v>1336</v>
      </c>
      <c r="L3697" s="76">
        <v>1499</v>
      </c>
      <c r="M3697" s="76">
        <v>1661</v>
      </c>
    </row>
    <row r="3698" spans="3:13" x14ac:dyDescent="0.15">
      <c r="C3698" s="76" t="s">
        <v>566</v>
      </c>
      <c r="D3698" s="76">
        <v>0.13550000000000001</v>
      </c>
      <c r="E3698" s="76">
        <v>0.1353</v>
      </c>
      <c r="F3698" s="76">
        <v>0.1353</v>
      </c>
      <c r="G3698" s="76">
        <v>0.1353</v>
      </c>
      <c r="H3698" s="76">
        <v>0.1353</v>
      </c>
      <c r="I3698" s="76">
        <v>0.1353</v>
      </c>
      <c r="J3698" s="76">
        <v>0.1353</v>
      </c>
      <c r="K3698" s="76">
        <v>0.13519999999999999</v>
      </c>
      <c r="L3698" s="76">
        <v>0.13539999999999999</v>
      </c>
      <c r="M3698" s="76">
        <v>0.1353</v>
      </c>
    </row>
    <row r="3699" spans="3:13" x14ac:dyDescent="0.15">
      <c r="C3699" s="76" t="s">
        <v>567</v>
      </c>
      <c r="D3699" s="76">
        <v>0.11840000000000001</v>
      </c>
      <c r="E3699" s="76">
        <v>0.11799999999999999</v>
      </c>
      <c r="F3699" s="76">
        <v>0.1179</v>
      </c>
      <c r="G3699" s="76">
        <v>0.1179</v>
      </c>
      <c r="H3699" s="76">
        <v>0.1178</v>
      </c>
      <c r="I3699" s="76">
        <v>0.1178</v>
      </c>
      <c r="J3699" s="76">
        <v>0.1178</v>
      </c>
      <c r="K3699" s="76">
        <v>0.1177</v>
      </c>
      <c r="L3699" s="76">
        <v>0.1177</v>
      </c>
      <c r="M3699" s="76">
        <v>0.1177</v>
      </c>
    </row>
    <row r="3700" spans="3:13" x14ac:dyDescent="0.15">
      <c r="C3700" s="76" t="s">
        <v>568</v>
      </c>
      <c r="D3700" s="76">
        <v>9.1446000000000005</v>
      </c>
      <c r="E3700" s="76">
        <v>9.3278999999999996</v>
      </c>
      <c r="F3700" s="76">
        <v>9.3376000000000001</v>
      </c>
      <c r="G3700" s="76">
        <v>9.3331999999999997</v>
      </c>
      <c r="H3700" s="76">
        <v>9.3145000000000007</v>
      </c>
      <c r="I3700" s="76">
        <v>9.3043999999999993</v>
      </c>
      <c r="J3700" s="76">
        <v>9.2837999999999994</v>
      </c>
      <c r="K3700" s="76">
        <v>9.2576000000000001</v>
      </c>
      <c r="L3700" s="76">
        <v>9.2403999999999993</v>
      </c>
      <c r="M3700" s="76">
        <v>9.2152999999999992</v>
      </c>
    </row>
    <row r="3701" spans="3:13" x14ac:dyDescent="0.15">
      <c r="C3701" s="76" t="s">
        <v>569</v>
      </c>
    </row>
    <row r="3702" spans="3:13" x14ac:dyDescent="0.15">
      <c r="C3702" s="76" t="s">
        <v>570</v>
      </c>
      <c r="D3702" s="76">
        <v>4</v>
      </c>
      <c r="E3702" s="76">
        <v>4</v>
      </c>
      <c r="F3702" s="76">
        <v>4</v>
      </c>
      <c r="G3702" s="76">
        <v>4</v>
      </c>
      <c r="H3702" s="76">
        <v>4</v>
      </c>
      <c r="I3702" s="76">
        <v>4</v>
      </c>
      <c r="J3702" s="76">
        <v>4</v>
      </c>
      <c r="K3702" s="76">
        <v>4</v>
      </c>
      <c r="L3702" s="76">
        <v>4</v>
      </c>
      <c r="M3702" s="76">
        <v>4</v>
      </c>
    </row>
    <row r="3703" spans="3:13" x14ac:dyDescent="0.15">
      <c r="C3703" s="76" t="s">
        <v>571</v>
      </c>
      <c r="D3703" s="76">
        <v>100</v>
      </c>
      <c r="E3703" s="76">
        <v>100</v>
      </c>
      <c r="F3703" s="76">
        <v>100</v>
      </c>
      <c r="G3703" s="76">
        <v>100</v>
      </c>
      <c r="H3703" s="76">
        <v>100</v>
      </c>
      <c r="I3703" s="76">
        <v>100</v>
      </c>
      <c r="J3703" s="76">
        <v>100</v>
      </c>
      <c r="K3703" s="76">
        <v>100</v>
      </c>
      <c r="L3703" s="76">
        <v>100</v>
      </c>
      <c r="M3703" s="76">
        <v>100</v>
      </c>
    </row>
    <row r="3704" spans="3:13" x14ac:dyDescent="0.15">
      <c r="C3704" s="76" t="s">
        <v>572</v>
      </c>
      <c r="D3704" s="76" t="s">
        <v>574</v>
      </c>
      <c r="E3704" s="76" t="s">
        <v>574</v>
      </c>
      <c r="F3704" s="76" t="s">
        <v>574</v>
      </c>
      <c r="G3704" s="76" t="s">
        <v>574</v>
      </c>
      <c r="H3704" s="76" t="s">
        <v>574</v>
      </c>
      <c r="I3704" s="76" t="s">
        <v>574</v>
      </c>
      <c r="J3704" s="76" t="s">
        <v>574</v>
      </c>
      <c r="K3704" s="76" t="s">
        <v>574</v>
      </c>
      <c r="L3704" s="76" t="s">
        <v>574</v>
      </c>
      <c r="M3704" s="76" t="s">
        <v>574</v>
      </c>
    </row>
    <row r="3705" spans="3:13" x14ac:dyDescent="0.15">
      <c r="C3705" s="76" t="s">
        <v>573</v>
      </c>
      <c r="D3705" s="76">
        <v>1</v>
      </c>
      <c r="E3705" s="76">
        <v>2</v>
      </c>
      <c r="F3705" s="76">
        <v>3</v>
      </c>
      <c r="G3705" s="76">
        <v>4</v>
      </c>
      <c r="H3705" s="76">
        <v>5</v>
      </c>
      <c r="I3705" s="76">
        <v>6</v>
      </c>
      <c r="J3705" s="76">
        <v>7</v>
      </c>
      <c r="K3705" s="76">
        <v>8</v>
      </c>
      <c r="L3705" s="76">
        <v>9</v>
      </c>
      <c r="M3705" s="76">
        <v>10</v>
      </c>
    </row>
    <row r="3706" spans="3:13" x14ac:dyDescent="0.15">
      <c r="C3706" s="76">
        <v>380</v>
      </c>
      <c r="D3706" s="76">
        <v>1.54E-4</v>
      </c>
      <c r="E3706" s="76">
        <v>3.6400000000000001E-4</v>
      </c>
      <c r="F3706" s="76">
        <v>3.2699999999999998E-4</v>
      </c>
      <c r="G3706" s="76">
        <v>8.4000000000000003E-4</v>
      </c>
      <c r="H3706" s="76">
        <v>6.2100000000000002E-4</v>
      </c>
      <c r="I3706" s="76">
        <v>1.1199999999999999E-3</v>
      </c>
      <c r="J3706" s="76">
        <v>8.8999999999999995E-4</v>
      </c>
      <c r="K3706" s="76">
        <v>2.8400000000000002E-4</v>
      </c>
      <c r="L3706" s="76">
        <v>1.16E-3</v>
      </c>
      <c r="M3706" s="76">
        <v>1.81E-3</v>
      </c>
    </row>
    <row r="3707" spans="3:13" x14ac:dyDescent="0.15">
      <c r="C3707" s="76">
        <v>382</v>
      </c>
      <c r="D3707" s="76">
        <v>1.3999999999999999E-4</v>
      </c>
      <c r="E3707" s="76">
        <v>3.9500000000000001E-4</v>
      </c>
      <c r="F3707" s="76">
        <v>3.0600000000000001E-4</v>
      </c>
      <c r="G3707" s="76">
        <v>5.8900000000000001E-4</v>
      </c>
      <c r="H3707" s="76">
        <v>4.0299999999999998E-4</v>
      </c>
      <c r="I3707" s="76">
        <v>1.0499999999999999E-3</v>
      </c>
      <c r="J3707" s="76">
        <v>1.24E-3</v>
      </c>
      <c r="K3707" s="76">
        <v>7.0299999999999996E-4</v>
      </c>
      <c r="L3707" s="76">
        <v>1.3500000000000001E-3</v>
      </c>
      <c r="M3707" s="76">
        <v>1.64E-3</v>
      </c>
    </row>
    <row r="3708" spans="3:13" x14ac:dyDescent="0.15">
      <c r="C3708" s="76">
        <v>384</v>
      </c>
      <c r="D3708" s="76">
        <v>1.5100000000000001E-4</v>
      </c>
      <c r="E3708" s="76">
        <v>3.19E-4</v>
      </c>
      <c r="F3708" s="76">
        <v>1.83E-4</v>
      </c>
      <c r="G3708" s="76">
        <v>4.6099999999999998E-4</v>
      </c>
      <c r="H3708" s="76">
        <v>4.2000000000000002E-4</v>
      </c>
      <c r="I3708" s="76">
        <v>8.6799999999999996E-4</v>
      </c>
      <c r="J3708" s="76">
        <v>1.1199999999999999E-3</v>
      </c>
      <c r="K3708" s="76">
        <v>6.0999999999999997E-4</v>
      </c>
      <c r="L3708" s="76">
        <v>1.23E-3</v>
      </c>
      <c r="M3708" s="76">
        <v>1.5900000000000001E-3</v>
      </c>
    </row>
    <row r="3709" spans="3:13" x14ac:dyDescent="0.15">
      <c r="C3709" s="76">
        <v>386</v>
      </c>
      <c r="D3709" s="76">
        <v>1.5799999999999999E-4</v>
      </c>
      <c r="E3709" s="76">
        <v>3.4200000000000002E-4</v>
      </c>
      <c r="F3709" s="76">
        <v>2.03E-4</v>
      </c>
      <c r="G3709" s="76">
        <v>4.1899999999999999E-4</v>
      </c>
      <c r="H3709" s="76">
        <v>4.6000000000000001E-4</v>
      </c>
      <c r="I3709" s="76">
        <v>8.0800000000000002E-4</v>
      </c>
      <c r="J3709" s="76">
        <v>1.0499999999999999E-3</v>
      </c>
      <c r="K3709" s="76">
        <v>8.3500000000000002E-4</v>
      </c>
      <c r="L3709" s="76">
        <v>8.2100000000000001E-4</v>
      </c>
      <c r="M3709" s="76">
        <v>1.5100000000000001E-3</v>
      </c>
    </row>
    <row r="3710" spans="3:13" x14ac:dyDescent="0.15">
      <c r="C3710" s="76">
        <v>388</v>
      </c>
      <c r="D3710" s="76">
        <v>1.5799999999999999E-4</v>
      </c>
      <c r="E3710" s="76">
        <v>3.1100000000000002E-4</v>
      </c>
      <c r="F3710" s="76">
        <v>1.9799999999999999E-4</v>
      </c>
      <c r="G3710" s="76">
        <v>4.2099999999999999E-4</v>
      </c>
      <c r="H3710" s="76">
        <v>5.8399999999999999E-4</v>
      </c>
      <c r="I3710" s="76">
        <v>6.9099999999999999E-4</v>
      </c>
      <c r="J3710" s="76">
        <v>1.1299999999999999E-3</v>
      </c>
      <c r="K3710" s="76">
        <v>9.1600000000000004E-4</v>
      </c>
      <c r="L3710" s="76">
        <v>1.1100000000000001E-3</v>
      </c>
      <c r="M3710" s="76">
        <v>1.5900000000000001E-3</v>
      </c>
    </row>
    <row r="3711" spans="3:13" x14ac:dyDescent="0.15">
      <c r="C3711" s="76">
        <v>390</v>
      </c>
      <c r="D3711" s="76">
        <v>1.3899999999999999E-4</v>
      </c>
      <c r="E3711" s="76">
        <v>2.4399999999999999E-4</v>
      </c>
      <c r="F3711" s="76">
        <v>2.5599999999999999E-4</v>
      </c>
      <c r="G3711" s="76">
        <v>4.35E-4</v>
      </c>
      <c r="H3711" s="76">
        <v>5.5199999999999997E-4</v>
      </c>
      <c r="I3711" s="76">
        <v>6.5600000000000001E-4</v>
      </c>
      <c r="J3711" s="76">
        <v>1.0300000000000001E-3</v>
      </c>
      <c r="K3711" s="76">
        <v>8.5400000000000005E-4</v>
      </c>
      <c r="L3711" s="76">
        <v>1.1999999999999999E-3</v>
      </c>
      <c r="M3711" s="76">
        <v>1.57E-3</v>
      </c>
    </row>
    <row r="3712" spans="3:13" x14ac:dyDescent="0.15">
      <c r="C3712" s="76">
        <v>392</v>
      </c>
      <c r="D3712" s="76">
        <v>1.37E-4</v>
      </c>
      <c r="E3712" s="76">
        <v>2.2599999999999999E-4</v>
      </c>
      <c r="F3712" s="76">
        <v>3.28E-4</v>
      </c>
      <c r="G3712" s="76">
        <v>3.3E-4</v>
      </c>
      <c r="H3712" s="76">
        <v>3.68E-4</v>
      </c>
      <c r="I3712" s="76">
        <v>7.76E-4</v>
      </c>
      <c r="J3712" s="76">
        <v>7.1900000000000002E-4</v>
      </c>
      <c r="K3712" s="76">
        <v>1.1999999999999999E-3</v>
      </c>
      <c r="L3712" s="76">
        <v>1.2800000000000001E-3</v>
      </c>
      <c r="M3712" s="76">
        <v>1.65E-3</v>
      </c>
    </row>
    <row r="3713" spans="3:13" x14ac:dyDescent="0.15">
      <c r="C3713" s="76">
        <v>394</v>
      </c>
      <c r="D3713" s="76">
        <v>1.56E-4</v>
      </c>
      <c r="E3713" s="76">
        <v>2.0000000000000001E-4</v>
      </c>
      <c r="F3713" s="76">
        <v>2.4800000000000001E-4</v>
      </c>
      <c r="G3713" s="76">
        <v>2.8699999999999998E-4</v>
      </c>
      <c r="H3713" s="76">
        <v>3.4299999999999999E-4</v>
      </c>
      <c r="I3713" s="76">
        <v>6.6200000000000005E-4</v>
      </c>
      <c r="J3713" s="76">
        <v>8.8800000000000001E-4</v>
      </c>
      <c r="K3713" s="76">
        <v>9.7799999999999992E-4</v>
      </c>
      <c r="L3713" s="76">
        <v>1.14E-3</v>
      </c>
      <c r="M3713" s="76">
        <v>1.5499999999999999E-3</v>
      </c>
    </row>
    <row r="3714" spans="3:13" x14ac:dyDescent="0.15">
      <c r="C3714" s="76">
        <v>396</v>
      </c>
      <c r="D3714" s="76">
        <v>1.4999999999999999E-4</v>
      </c>
      <c r="E3714" s="76">
        <v>2.34E-4</v>
      </c>
      <c r="F3714" s="76">
        <v>2.4699999999999999E-4</v>
      </c>
      <c r="G3714" s="76">
        <v>3.2899999999999997E-4</v>
      </c>
      <c r="H3714" s="76">
        <v>5.8600000000000004E-4</v>
      </c>
      <c r="I3714" s="76">
        <v>6.7000000000000002E-4</v>
      </c>
      <c r="J3714" s="76">
        <v>1.25E-3</v>
      </c>
      <c r="K3714" s="76">
        <v>1.1800000000000001E-3</v>
      </c>
      <c r="L3714" s="76">
        <v>1.42E-3</v>
      </c>
      <c r="M3714" s="76">
        <v>1.6999999999999999E-3</v>
      </c>
    </row>
    <row r="3715" spans="3:13" x14ac:dyDescent="0.15">
      <c r="C3715" s="76">
        <v>398</v>
      </c>
      <c r="D3715" s="76">
        <v>1.47E-4</v>
      </c>
      <c r="E3715" s="76">
        <v>1.9599999999999999E-4</v>
      </c>
      <c r="F3715" s="76">
        <v>2.5700000000000001E-4</v>
      </c>
      <c r="G3715" s="76">
        <v>3.4299999999999999E-4</v>
      </c>
      <c r="H3715" s="76">
        <v>4.3399999999999998E-4</v>
      </c>
      <c r="I3715" s="76">
        <v>6.1399999999999996E-4</v>
      </c>
      <c r="J3715" s="76">
        <v>1.0300000000000001E-3</v>
      </c>
      <c r="K3715" s="76">
        <v>1.42E-3</v>
      </c>
      <c r="L3715" s="76">
        <v>1.16E-3</v>
      </c>
      <c r="M3715" s="76">
        <v>1.4300000000000001E-3</v>
      </c>
    </row>
    <row r="3716" spans="3:13" x14ac:dyDescent="0.15">
      <c r="C3716" s="76">
        <v>400</v>
      </c>
      <c r="D3716" s="76">
        <v>1.4899999999999999E-4</v>
      </c>
      <c r="E3716" s="76">
        <v>1.92E-4</v>
      </c>
      <c r="F3716" s="76">
        <v>3.1599999999999998E-4</v>
      </c>
      <c r="G3716" s="76">
        <v>3.8299999999999999E-4</v>
      </c>
      <c r="H3716" s="76">
        <v>4.5100000000000001E-4</v>
      </c>
      <c r="I3716" s="76">
        <v>7.3200000000000001E-4</v>
      </c>
      <c r="J3716" s="76">
        <v>1.07E-3</v>
      </c>
      <c r="K3716" s="76">
        <v>1.1299999999999999E-3</v>
      </c>
      <c r="L3716" s="76">
        <v>1.2899999999999999E-3</v>
      </c>
      <c r="M3716" s="76">
        <v>1.6000000000000001E-3</v>
      </c>
    </row>
    <row r="3717" spans="3:13" x14ac:dyDescent="0.15">
      <c r="C3717" s="76">
        <v>402</v>
      </c>
      <c r="D3717" s="76">
        <v>1.55E-4</v>
      </c>
      <c r="E3717" s="76">
        <v>1.7699999999999999E-4</v>
      </c>
      <c r="F3717" s="76">
        <v>3.3E-4</v>
      </c>
      <c r="G3717" s="76">
        <v>3.3300000000000002E-4</v>
      </c>
      <c r="H3717" s="76">
        <v>6.6399999999999999E-4</v>
      </c>
      <c r="I3717" s="76">
        <v>7.5500000000000003E-4</v>
      </c>
      <c r="J3717" s="76">
        <v>1.0300000000000001E-3</v>
      </c>
      <c r="K3717" s="76">
        <v>1.3799999999999999E-3</v>
      </c>
      <c r="L3717" s="76">
        <v>1.3500000000000001E-3</v>
      </c>
      <c r="M3717" s="76">
        <v>1.57E-3</v>
      </c>
    </row>
    <row r="3718" spans="3:13" x14ac:dyDescent="0.15">
      <c r="C3718" s="76">
        <v>404</v>
      </c>
      <c r="D3718" s="76">
        <v>1.6000000000000001E-4</v>
      </c>
      <c r="E3718" s="76">
        <v>2.1599999999999999E-4</v>
      </c>
      <c r="F3718" s="76">
        <v>3.9899999999999999E-4</v>
      </c>
      <c r="G3718" s="76">
        <v>4.0200000000000001E-4</v>
      </c>
      <c r="H3718" s="76">
        <v>6.9899999999999997E-4</v>
      </c>
      <c r="I3718" s="76">
        <v>6.8099999999999996E-4</v>
      </c>
      <c r="J3718" s="76">
        <v>1.07E-3</v>
      </c>
      <c r="K3718" s="76">
        <v>1.4E-3</v>
      </c>
      <c r="L3718" s="76">
        <v>1.41E-3</v>
      </c>
      <c r="M3718" s="76">
        <v>1.75E-3</v>
      </c>
    </row>
    <row r="3719" spans="3:13" x14ac:dyDescent="0.15">
      <c r="C3719" s="76">
        <v>406</v>
      </c>
      <c r="D3719" s="76">
        <v>1.63E-4</v>
      </c>
      <c r="E3719" s="76">
        <v>2.4699999999999999E-4</v>
      </c>
      <c r="F3719" s="76">
        <v>4.2499999999999998E-4</v>
      </c>
      <c r="G3719" s="76">
        <v>4.8700000000000002E-4</v>
      </c>
      <c r="H3719" s="76">
        <v>6.8499999999999995E-4</v>
      </c>
      <c r="I3719" s="76">
        <v>7.5500000000000003E-4</v>
      </c>
      <c r="J3719" s="76">
        <v>1.15E-3</v>
      </c>
      <c r="K3719" s="76">
        <v>1.4400000000000001E-3</v>
      </c>
      <c r="L3719" s="76">
        <v>1.2199999999999999E-3</v>
      </c>
      <c r="M3719" s="76">
        <v>1.72E-3</v>
      </c>
    </row>
    <row r="3720" spans="3:13" x14ac:dyDescent="0.15">
      <c r="C3720" s="76">
        <v>408</v>
      </c>
      <c r="D3720" s="76">
        <v>1.7799999999999999E-4</v>
      </c>
      <c r="E3720" s="76">
        <v>2.9300000000000002E-4</v>
      </c>
      <c r="F3720" s="76">
        <v>5.0799999999999999E-4</v>
      </c>
      <c r="G3720" s="76">
        <v>5.5699999999999999E-4</v>
      </c>
      <c r="H3720" s="76">
        <v>7.5699999999999997E-4</v>
      </c>
      <c r="I3720" s="76">
        <v>8.52E-4</v>
      </c>
      <c r="J3720" s="76">
        <v>1.24E-3</v>
      </c>
      <c r="K3720" s="76">
        <v>1.48E-3</v>
      </c>
      <c r="L3720" s="76">
        <v>1.4E-3</v>
      </c>
      <c r="M3720" s="76">
        <v>1.7799999999999999E-3</v>
      </c>
    </row>
    <row r="3721" spans="3:13" x14ac:dyDescent="0.15">
      <c r="C3721" s="76">
        <v>410</v>
      </c>
      <c r="D3721" s="76">
        <v>1.8699999999999999E-4</v>
      </c>
      <c r="E3721" s="76">
        <v>2.8600000000000001E-4</v>
      </c>
      <c r="F3721" s="76">
        <v>5.6400000000000005E-4</v>
      </c>
      <c r="G3721" s="76">
        <v>6.4499999999999996E-4</v>
      </c>
      <c r="H3721" s="76">
        <v>9.2699999999999998E-4</v>
      </c>
      <c r="I3721" s="76">
        <v>9.6599999999999995E-4</v>
      </c>
      <c r="J3721" s="76">
        <v>1.42E-3</v>
      </c>
      <c r="K3721" s="76">
        <v>1.5399999999999999E-3</v>
      </c>
      <c r="L3721" s="76">
        <v>1.7099999999999999E-3</v>
      </c>
      <c r="M3721" s="76">
        <v>1.9599999999999999E-3</v>
      </c>
    </row>
    <row r="3722" spans="3:13" x14ac:dyDescent="0.15">
      <c r="C3722" s="76">
        <v>412</v>
      </c>
      <c r="D3722" s="76">
        <v>2.03E-4</v>
      </c>
      <c r="E3722" s="76">
        <v>3.48E-4</v>
      </c>
      <c r="F3722" s="76">
        <v>6.3199999999999997E-4</v>
      </c>
      <c r="G3722" s="76">
        <v>6.9300000000000004E-4</v>
      </c>
      <c r="H3722" s="76">
        <v>9.7599999999999998E-4</v>
      </c>
      <c r="I3722" s="76">
        <v>1.15E-3</v>
      </c>
      <c r="J3722" s="76">
        <v>1.47E-3</v>
      </c>
      <c r="K3722" s="76">
        <v>1.7600000000000001E-3</v>
      </c>
      <c r="L3722" s="76">
        <v>1.8799999999999999E-3</v>
      </c>
      <c r="M3722" s="76">
        <v>2.1700000000000001E-3</v>
      </c>
    </row>
    <row r="3723" spans="3:13" x14ac:dyDescent="0.15">
      <c r="C3723" s="76">
        <v>414</v>
      </c>
      <c r="D3723" s="76">
        <v>2.2900000000000001E-4</v>
      </c>
      <c r="E3723" s="76">
        <v>4.28E-4</v>
      </c>
      <c r="F3723" s="76">
        <v>7.3700000000000002E-4</v>
      </c>
      <c r="G3723" s="76">
        <v>8.4999999999999995E-4</v>
      </c>
      <c r="H3723" s="76">
        <v>1.1999999999999999E-3</v>
      </c>
      <c r="I3723" s="76">
        <v>1.2600000000000001E-3</v>
      </c>
      <c r="J3723" s="76">
        <v>1.7099999999999999E-3</v>
      </c>
      <c r="K3723" s="76">
        <v>2.0300000000000001E-3</v>
      </c>
      <c r="L3723" s="76">
        <v>2.1199999999999999E-3</v>
      </c>
      <c r="M3723" s="76">
        <v>2.5100000000000001E-3</v>
      </c>
    </row>
    <row r="3724" spans="3:13" x14ac:dyDescent="0.15">
      <c r="C3724" s="76">
        <v>416</v>
      </c>
      <c r="D3724" s="76">
        <v>2.81E-4</v>
      </c>
      <c r="E3724" s="76">
        <v>5.0299999999999997E-4</v>
      </c>
      <c r="F3724" s="76">
        <v>8.5599999999999999E-4</v>
      </c>
      <c r="G3724" s="76">
        <v>1.0399999999999999E-3</v>
      </c>
      <c r="H3724" s="76">
        <v>1.39E-3</v>
      </c>
      <c r="I3724" s="76">
        <v>1.6299999999999999E-3</v>
      </c>
      <c r="J3724" s="76">
        <v>1.98E-3</v>
      </c>
      <c r="K3724" s="76">
        <v>2.2399999999999998E-3</v>
      </c>
      <c r="L3724" s="76">
        <v>2.5100000000000001E-3</v>
      </c>
      <c r="M3724" s="76">
        <v>2.99E-3</v>
      </c>
    </row>
    <row r="3725" spans="3:13" x14ac:dyDescent="0.15">
      <c r="C3725" s="76">
        <v>418</v>
      </c>
      <c r="D3725" s="76">
        <v>3.2200000000000002E-4</v>
      </c>
      <c r="E3725" s="76">
        <v>6.2E-4</v>
      </c>
      <c r="F3725" s="76">
        <v>9.9799999999999997E-4</v>
      </c>
      <c r="G3725" s="76">
        <v>1.2199999999999999E-3</v>
      </c>
      <c r="H3725" s="76">
        <v>1.64E-3</v>
      </c>
      <c r="I3725" s="76">
        <v>1.74E-3</v>
      </c>
      <c r="J3725" s="76">
        <v>2.31E-3</v>
      </c>
      <c r="K3725" s="76">
        <v>2.65E-3</v>
      </c>
      <c r="L3725" s="76">
        <v>2.9399999999999999E-3</v>
      </c>
      <c r="M3725" s="76">
        <v>3.3300000000000001E-3</v>
      </c>
    </row>
    <row r="3726" spans="3:13" x14ac:dyDescent="0.15">
      <c r="C3726" s="76">
        <v>420</v>
      </c>
      <c r="D3726" s="76">
        <v>3.77E-4</v>
      </c>
      <c r="E3726" s="76">
        <v>7.5199999999999996E-4</v>
      </c>
      <c r="F3726" s="76">
        <v>1.15E-3</v>
      </c>
      <c r="G3726" s="76">
        <v>1.4599999999999999E-3</v>
      </c>
      <c r="H3726" s="76">
        <v>1.97E-3</v>
      </c>
      <c r="I3726" s="76">
        <v>2.1199999999999999E-3</v>
      </c>
      <c r="J3726" s="76">
        <v>2.7100000000000002E-3</v>
      </c>
      <c r="K3726" s="76">
        <v>3.1700000000000001E-3</v>
      </c>
      <c r="L3726" s="76">
        <v>3.46E-3</v>
      </c>
      <c r="M3726" s="76">
        <v>3.9199999999999999E-3</v>
      </c>
    </row>
    <row r="3727" spans="3:13" x14ac:dyDescent="0.15">
      <c r="C3727" s="76">
        <v>422</v>
      </c>
      <c r="D3727" s="76">
        <v>4.66E-4</v>
      </c>
      <c r="E3727" s="76">
        <v>8.9099999999999997E-4</v>
      </c>
      <c r="F3727" s="76">
        <v>1.4400000000000001E-3</v>
      </c>
      <c r="G3727" s="76">
        <v>1.9E-3</v>
      </c>
      <c r="H3727" s="76">
        <v>2.3999999999999998E-3</v>
      </c>
      <c r="I3727" s="76">
        <v>2.7000000000000001E-3</v>
      </c>
      <c r="J3727" s="76">
        <v>3.2799999999999999E-3</v>
      </c>
      <c r="K3727" s="76">
        <v>3.8999999999999998E-3</v>
      </c>
      <c r="L3727" s="76">
        <v>4.2500000000000003E-3</v>
      </c>
      <c r="M3727" s="76">
        <v>4.7299999999999998E-3</v>
      </c>
    </row>
    <row r="3728" spans="3:13" x14ac:dyDescent="0.15">
      <c r="C3728" s="76">
        <v>424</v>
      </c>
      <c r="D3728" s="76">
        <v>5.6999999999999998E-4</v>
      </c>
      <c r="E3728" s="76">
        <v>1.1299999999999999E-3</v>
      </c>
      <c r="F3728" s="76">
        <v>1.7899999999999999E-3</v>
      </c>
      <c r="G3728" s="76">
        <v>2.31E-3</v>
      </c>
      <c r="H3728" s="76">
        <v>3.0000000000000001E-3</v>
      </c>
      <c r="I3728" s="76">
        <v>3.3999999999999998E-3</v>
      </c>
      <c r="J3728" s="76">
        <v>4.15E-3</v>
      </c>
      <c r="K3728" s="76">
        <v>4.8199999999999996E-3</v>
      </c>
      <c r="L3728" s="76">
        <v>5.2599999999999999E-3</v>
      </c>
      <c r="M3728" s="76">
        <v>6.0499999999999998E-3</v>
      </c>
    </row>
    <row r="3729" spans="3:13" x14ac:dyDescent="0.15">
      <c r="C3729" s="76">
        <v>426</v>
      </c>
      <c r="D3729" s="76">
        <v>7.1199999999999996E-4</v>
      </c>
      <c r="E3729" s="76">
        <v>1.4599999999999999E-3</v>
      </c>
      <c r="F3729" s="76">
        <v>2.2599999999999999E-3</v>
      </c>
      <c r="G3729" s="76">
        <v>2.98E-3</v>
      </c>
      <c r="H3729" s="76">
        <v>3.7299999999999998E-3</v>
      </c>
      <c r="I3729" s="76">
        <v>4.4400000000000004E-3</v>
      </c>
      <c r="J3729" s="76">
        <v>5.2199999999999998E-3</v>
      </c>
      <c r="K3729" s="76">
        <v>6.0400000000000002E-3</v>
      </c>
      <c r="L3729" s="76">
        <v>6.7499999999999999E-3</v>
      </c>
      <c r="M3729" s="76">
        <v>7.5700000000000003E-3</v>
      </c>
    </row>
    <row r="3730" spans="3:13" x14ac:dyDescent="0.15">
      <c r="C3730" s="76">
        <v>428</v>
      </c>
      <c r="D3730" s="76">
        <v>9.3700000000000001E-4</v>
      </c>
      <c r="E3730" s="76">
        <v>1.92E-3</v>
      </c>
      <c r="F3730" s="76">
        <v>2.9099999999999998E-3</v>
      </c>
      <c r="G3730" s="76">
        <v>3.8899999999999998E-3</v>
      </c>
      <c r="H3730" s="76">
        <v>4.8799999999999998E-3</v>
      </c>
      <c r="I3730" s="76">
        <v>5.7800000000000004E-3</v>
      </c>
      <c r="J3730" s="76">
        <v>6.8100000000000001E-3</v>
      </c>
      <c r="K3730" s="76">
        <v>7.8600000000000007E-3</v>
      </c>
      <c r="L3730" s="76">
        <v>8.8199999999999997E-3</v>
      </c>
      <c r="M3730" s="76">
        <v>9.8099999999999993E-3</v>
      </c>
    </row>
    <row r="3731" spans="3:13" x14ac:dyDescent="0.15">
      <c r="C3731" s="76">
        <v>430</v>
      </c>
      <c r="D3731" s="76">
        <v>1.24E-3</v>
      </c>
      <c r="E3731" s="76">
        <v>2.5899999999999999E-3</v>
      </c>
      <c r="F3731" s="76">
        <v>3.8700000000000002E-3</v>
      </c>
      <c r="G3731" s="76">
        <v>5.1900000000000002E-3</v>
      </c>
      <c r="H3731" s="76">
        <v>6.6100000000000004E-3</v>
      </c>
      <c r="I3731" s="76">
        <v>7.79E-3</v>
      </c>
      <c r="J3731" s="76">
        <v>9.1000000000000004E-3</v>
      </c>
      <c r="K3731" s="76">
        <v>1.0500000000000001E-2</v>
      </c>
      <c r="L3731" s="76">
        <v>1.18E-2</v>
      </c>
      <c r="M3731" s="76">
        <v>1.32E-2</v>
      </c>
    </row>
    <row r="3732" spans="3:13" x14ac:dyDescent="0.15">
      <c r="C3732" s="76">
        <v>432</v>
      </c>
      <c r="D3732" s="76">
        <v>1.6999999999999999E-3</v>
      </c>
      <c r="E3732" s="76">
        <v>3.5200000000000001E-3</v>
      </c>
      <c r="F3732" s="76">
        <v>5.3099999999999996E-3</v>
      </c>
      <c r="G3732" s="76">
        <v>7.1500000000000001E-3</v>
      </c>
      <c r="H3732" s="76">
        <v>9.0399999999999994E-3</v>
      </c>
      <c r="I3732" s="76">
        <v>1.0699999999999999E-2</v>
      </c>
      <c r="J3732" s="76">
        <v>1.24E-2</v>
      </c>
      <c r="K3732" s="76">
        <v>1.44E-2</v>
      </c>
      <c r="L3732" s="76">
        <v>1.61E-2</v>
      </c>
      <c r="M3732" s="76">
        <v>1.7999999999999999E-2</v>
      </c>
    </row>
    <row r="3733" spans="3:13" x14ac:dyDescent="0.15">
      <c r="C3733" s="76">
        <v>434</v>
      </c>
      <c r="D3733" s="76">
        <v>2.3700000000000001E-3</v>
      </c>
      <c r="E3733" s="76">
        <v>4.8999999999999998E-3</v>
      </c>
      <c r="F3733" s="76">
        <v>7.3899999999999999E-3</v>
      </c>
      <c r="G3733" s="76">
        <v>9.9299999999999996E-3</v>
      </c>
      <c r="H3733" s="76">
        <v>1.2500000000000001E-2</v>
      </c>
      <c r="I3733" s="76">
        <v>1.49E-2</v>
      </c>
      <c r="J3733" s="76">
        <v>1.7299999999999999E-2</v>
      </c>
      <c r="K3733" s="76">
        <v>1.9900000000000001E-2</v>
      </c>
      <c r="L3733" s="76">
        <v>2.23E-2</v>
      </c>
      <c r="M3733" s="76">
        <v>2.4899999999999999E-2</v>
      </c>
    </row>
    <row r="3734" spans="3:13" x14ac:dyDescent="0.15">
      <c r="C3734" s="76">
        <v>436</v>
      </c>
      <c r="D3734" s="76">
        <v>3.3999999999999998E-3</v>
      </c>
      <c r="E3734" s="76">
        <v>7.0000000000000001E-3</v>
      </c>
      <c r="F3734" s="76">
        <v>1.06E-2</v>
      </c>
      <c r="G3734" s="76">
        <v>1.4200000000000001E-2</v>
      </c>
      <c r="H3734" s="76">
        <v>1.77E-2</v>
      </c>
      <c r="I3734" s="76">
        <v>2.12E-2</v>
      </c>
      <c r="J3734" s="76">
        <v>2.4500000000000001E-2</v>
      </c>
      <c r="K3734" s="76">
        <v>2.8299999999999999E-2</v>
      </c>
      <c r="L3734" s="76">
        <v>3.1899999999999998E-2</v>
      </c>
      <c r="M3734" s="76">
        <v>3.5400000000000001E-2</v>
      </c>
    </row>
    <row r="3735" spans="3:13" x14ac:dyDescent="0.15">
      <c r="C3735" s="76">
        <v>438</v>
      </c>
      <c r="D3735" s="76">
        <v>4.8599999999999997E-3</v>
      </c>
      <c r="E3735" s="76">
        <v>0.01</v>
      </c>
      <c r="F3735" s="76">
        <v>1.4999999999999999E-2</v>
      </c>
      <c r="G3735" s="76">
        <v>2.01E-2</v>
      </c>
      <c r="H3735" s="76">
        <v>2.53E-2</v>
      </c>
      <c r="I3735" s="76">
        <v>3.0200000000000001E-2</v>
      </c>
      <c r="J3735" s="76">
        <v>3.5200000000000002E-2</v>
      </c>
      <c r="K3735" s="76">
        <v>4.0300000000000002E-2</v>
      </c>
      <c r="L3735" s="76">
        <v>4.53E-2</v>
      </c>
      <c r="M3735" s="76">
        <v>5.0200000000000002E-2</v>
      </c>
    </row>
    <row r="3736" spans="3:13" x14ac:dyDescent="0.15">
      <c r="C3736" s="76">
        <v>440</v>
      </c>
      <c r="D3736" s="76">
        <v>6.7000000000000002E-3</v>
      </c>
      <c r="E3736" s="76">
        <v>1.38E-2</v>
      </c>
      <c r="F3736" s="76">
        <v>2.07E-2</v>
      </c>
      <c r="G3736" s="76">
        <v>2.7699999999999999E-2</v>
      </c>
      <c r="H3736" s="76">
        <v>3.4700000000000002E-2</v>
      </c>
      <c r="I3736" s="76">
        <v>4.1500000000000002E-2</v>
      </c>
      <c r="J3736" s="76">
        <v>4.8300000000000003E-2</v>
      </c>
      <c r="K3736" s="76">
        <v>5.5399999999999998E-2</v>
      </c>
      <c r="L3736" s="76">
        <v>6.2300000000000001E-2</v>
      </c>
      <c r="M3736" s="76">
        <v>6.9000000000000006E-2</v>
      </c>
    </row>
    <row r="3737" spans="3:13" x14ac:dyDescent="0.15">
      <c r="C3737" s="76">
        <v>442</v>
      </c>
      <c r="D3737" s="76">
        <v>8.9700000000000005E-3</v>
      </c>
      <c r="E3737" s="76">
        <v>1.84E-2</v>
      </c>
      <c r="F3737" s="76">
        <v>2.7699999999999999E-2</v>
      </c>
      <c r="G3737" s="76">
        <v>3.6999999999999998E-2</v>
      </c>
      <c r="H3737" s="76">
        <v>4.6199999999999998E-2</v>
      </c>
      <c r="I3737" s="76">
        <v>5.5399999999999998E-2</v>
      </c>
      <c r="J3737" s="76">
        <v>6.4500000000000002E-2</v>
      </c>
      <c r="K3737" s="76">
        <v>7.3800000000000004E-2</v>
      </c>
      <c r="L3737" s="76">
        <v>8.3000000000000004E-2</v>
      </c>
      <c r="M3737" s="76">
        <v>9.2100000000000001E-2</v>
      </c>
    </row>
    <row r="3738" spans="3:13" x14ac:dyDescent="0.15">
      <c r="C3738" s="76">
        <v>444</v>
      </c>
      <c r="D3738" s="76">
        <v>1.17E-2</v>
      </c>
      <c r="E3738" s="76">
        <v>2.3900000000000001E-2</v>
      </c>
      <c r="F3738" s="76">
        <v>3.5999999999999997E-2</v>
      </c>
      <c r="G3738" s="76">
        <v>4.8000000000000001E-2</v>
      </c>
      <c r="H3738" s="76">
        <v>0.06</v>
      </c>
      <c r="I3738" s="76">
        <v>7.1999999999999995E-2</v>
      </c>
      <c r="J3738" s="76">
        <v>8.3799999999999999E-2</v>
      </c>
      <c r="K3738" s="76">
        <v>9.5699999999999993E-2</v>
      </c>
      <c r="L3738" s="76">
        <v>0.108</v>
      </c>
      <c r="M3738" s="76">
        <v>0.11899999999999999</v>
      </c>
    </row>
    <row r="3739" spans="3:13" x14ac:dyDescent="0.15">
      <c r="C3739" s="76">
        <v>446</v>
      </c>
      <c r="D3739" s="76">
        <v>1.47E-2</v>
      </c>
      <c r="E3739" s="76">
        <v>3.0099999999999998E-2</v>
      </c>
      <c r="F3739" s="76">
        <v>4.53E-2</v>
      </c>
      <c r="G3739" s="76">
        <v>6.0499999999999998E-2</v>
      </c>
      <c r="H3739" s="76">
        <v>7.5499999999999998E-2</v>
      </c>
      <c r="I3739" s="76">
        <v>9.0499999999999997E-2</v>
      </c>
      <c r="J3739" s="76">
        <v>0.105</v>
      </c>
      <c r="K3739" s="76">
        <v>0.12</v>
      </c>
      <c r="L3739" s="76">
        <v>0.13500000000000001</v>
      </c>
      <c r="M3739" s="76">
        <v>0.15</v>
      </c>
    </row>
    <row r="3740" spans="3:13" x14ac:dyDescent="0.15">
      <c r="C3740" s="76">
        <v>448</v>
      </c>
      <c r="D3740" s="76">
        <v>1.7899999999999999E-2</v>
      </c>
      <c r="E3740" s="76">
        <v>3.6700000000000003E-2</v>
      </c>
      <c r="F3740" s="76">
        <v>5.5199999999999999E-2</v>
      </c>
      <c r="G3740" s="76">
        <v>7.3599999999999999E-2</v>
      </c>
      <c r="H3740" s="76">
        <v>9.1899999999999996E-2</v>
      </c>
      <c r="I3740" s="76">
        <v>0.11</v>
      </c>
      <c r="J3740" s="76">
        <v>0.128</v>
      </c>
      <c r="K3740" s="76">
        <v>0.14599999999999999</v>
      </c>
      <c r="L3740" s="76">
        <v>0.16400000000000001</v>
      </c>
      <c r="M3740" s="76">
        <v>0.182</v>
      </c>
    </row>
    <row r="3741" spans="3:13" x14ac:dyDescent="0.15">
      <c r="C3741" s="76">
        <v>450</v>
      </c>
      <c r="D3741" s="76">
        <v>2.1299999999999999E-2</v>
      </c>
      <c r="E3741" s="76">
        <v>4.3700000000000003E-2</v>
      </c>
      <c r="F3741" s="76">
        <v>6.5600000000000006E-2</v>
      </c>
      <c r="G3741" s="76">
        <v>8.7499999999999994E-2</v>
      </c>
      <c r="H3741" s="76">
        <v>0.109</v>
      </c>
      <c r="I3741" s="76">
        <v>0.13100000000000001</v>
      </c>
      <c r="J3741" s="76">
        <v>0.152</v>
      </c>
      <c r="K3741" s="76">
        <v>0.17399999999999999</v>
      </c>
      <c r="L3741" s="76">
        <v>0.19500000000000001</v>
      </c>
      <c r="M3741" s="76">
        <v>0.216</v>
      </c>
    </row>
    <row r="3742" spans="3:13" x14ac:dyDescent="0.15">
      <c r="C3742" s="76">
        <v>452</v>
      </c>
      <c r="D3742" s="76">
        <v>2.4299999999999999E-2</v>
      </c>
      <c r="E3742" s="76">
        <v>4.9599999999999998E-2</v>
      </c>
      <c r="F3742" s="76">
        <v>7.46E-2</v>
      </c>
      <c r="G3742" s="76">
        <v>9.9500000000000005E-2</v>
      </c>
      <c r="H3742" s="76">
        <v>0.124</v>
      </c>
      <c r="I3742" s="76">
        <v>0.14799999999999999</v>
      </c>
      <c r="J3742" s="76">
        <v>0.17299999999999999</v>
      </c>
      <c r="K3742" s="76">
        <v>0.19700000000000001</v>
      </c>
      <c r="L3742" s="76">
        <v>0.221</v>
      </c>
      <c r="M3742" s="76">
        <v>0.245</v>
      </c>
    </row>
    <row r="3743" spans="3:13" x14ac:dyDescent="0.15">
      <c r="C3743" s="76">
        <v>454</v>
      </c>
      <c r="D3743" s="76">
        <v>2.6499999999999999E-2</v>
      </c>
      <c r="E3743" s="76">
        <v>5.4199999999999998E-2</v>
      </c>
      <c r="F3743" s="76">
        <v>8.1500000000000003E-2</v>
      </c>
      <c r="G3743" s="76">
        <v>0.109</v>
      </c>
      <c r="H3743" s="76">
        <v>0.13600000000000001</v>
      </c>
      <c r="I3743" s="76">
        <v>0.16200000000000001</v>
      </c>
      <c r="J3743" s="76">
        <v>0.189</v>
      </c>
      <c r="K3743" s="76">
        <v>0.215</v>
      </c>
      <c r="L3743" s="76">
        <v>0.24199999999999999</v>
      </c>
      <c r="M3743" s="76">
        <v>0.26800000000000002</v>
      </c>
    </row>
    <row r="3744" spans="3:13" x14ac:dyDescent="0.15">
      <c r="C3744" s="76">
        <v>456</v>
      </c>
      <c r="D3744" s="76">
        <v>2.81E-2</v>
      </c>
      <c r="E3744" s="76">
        <v>5.7500000000000002E-2</v>
      </c>
      <c r="F3744" s="76">
        <v>8.6400000000000005E-2</v>
      </c>
      <c r="G3744" s="76">
        <v>0.115</v>
      </c>
      <c r="H3744" s="76">
        <v>0.14299999999999999</v>
      </c>
      <c r="I3744" s="76">
        <v>0.17199999999999999</v>
      </c>
      <c r="J3744" s="76">
        <v>0.2</v>
      </c>
      <c r="K3744" s="76">
        <v>0.22800000000000001</v>
      </c>
      <c r="L3744" s="76">
        <v>0.25600000000000001</v>
      </c>
      <c r="M3744" s="76">
        <v>0.28299999999999997</v>
      </c>
    </row>
    <row r="3745" spans="3:13" x14ac:dyDescent="0.15">
      <c r="C3745" s="76">
        <v>458</v>
      </c>
      <c r="D3745" s="76">
        <v>2.8899999999999999E-2</v>
      </c>
      <c r="E3745" s="76">
        <v>5.91E-2</v>
      </c>
      <c r="F3745" s="76">
        <v>8.8700000000000001E-2</v>
      </c>
      <c r="G3745" s="76">
        <v>0.11799999999999999</v>
      </c>
      <c r="H3745" s="76">
        <v>0.14699999999999999</v>
      </c>
      <c r="I3745" s="76">
        <v>0.17699999999999999</v>
      </c>
      <c r="J3745" s="76">
        <v>0.20499999999999999</v>
      </c>
      <c r="K3745" s="76">
        <v>0.23400000000000001</v>
      </c>
      <c r="L3745" s="76">
        <v>0.26300000000000001</v>
      </c>
      <c r="M3745" s="76">
        <v>0.29099999999999998</v>
      </c>
    </row>
    <row r="3746" spans="3:13" x14ac:dyDescent="0.15">
      <c r="C3746" s="76">
        <v>460</v>
      </c>
      <c r="D3746" s="76">
        <v>2.9000000000000001E-2</v>
      </c>
      <c r="E3746" s="76">
        <v>5.9200000000000003E-2</v>
      </c>
      <c r="F3746" s="76">
        <v>8.8999999999999996E-2</v>
      </c>
      <c r="G3746" s="76">
        <v>0.11799999999999999</v>
      </c>
      <c r="H3746" s="76">
        <v>0.14799999999999999</v>
      </c>
      <c r="I3746" s="76">
        <v>0.17699999999999999</v>
      </c>
      <c r="J3746" s="76">
        <v>0.20599999999999999</v>
      </c>
      <c r="K3746" s="76">
        <v>0.23499999999999999</v>
      </c>
      <c r="L3746" s="76">
        <v>0.26300000000000001</v>
      </c>
      <c r="M3746" s="76">
        <v>0.29199999999999998</v>
      </c>
    </row>
    <row r="3747" spans="3:13" x14ac:dyDescent="0.15">
      <c r="C3747" s="76">
        <v>462</v>
      </c>
      <c r="D3747" s="76">
        <v>2.8299999999999999E-2</v>
      </c>
      <c r="E3747" s="76">
        <v>5.79E-2</v>
      </c>
      <c r="F3747" s="76">
        <v>8.6999999999999994E-2</v>
      </c>
      <c r="G3747" s="76">
        <v>0.11600000000000001</v>
      </c>
      <c r="H3747" s="76">
        <v>0.14399999999999999</v>
      </c>
      <c r="I3747" s="76">
        <v>0.17299999999999999</v>
      </c>
      <c r="J3747" s="76">
        <v>0.20100000000000001</v>
      </c>
      <c r="K3747" s="76">
        <v>0.22900000000000001</v>
      </c>
      <c r="L3747" s="76">
        <v>0.25800000000000001</v>
      </c>
      <c r="M3747" s="76">
        <v>0.28499999999999998</v>
      </c>
    </row>
    <row r="3748" spans="3:13" x14ac:dyDescent="0.15">
      <c r="C3748" s="76">
        <v>464</v>
      </c>
      <c r="D3748" s="76">
        <v>2.7E-2</v>
      </c>
      <c r="E3748" s="76">
        <v>5.5100000000000003E-2</v>
      </c>
      <c r="F3748" s="76">
        <v>8.2799999999999999E-2</v>
      </c>
      <c r="G3748" s="76">
        <v>0.11</v>
      </c>
      <c r="H3748" s="76">
        <v>0.13800000000000001</v>
      </c>
      <c r="I3748" s="76">
        <v>0.16500000000000001</v>
      </c>
      <c r="J3748" s="76">
        <v>0.192</v>
      </c>
      <c r="K3748" s="76">
        <v>0.218</v>
      </c>
      <c r="L3748" s="76">
        <v>0.245</v>
      </c>
      <c r="M3748" s="76">
        <v>0.27100000000000002</v>
      </c>
    </row>
    <row r="3749" spans="3:13" x14ac:dyDescent="0.15">
      <c r="C3749" s="76">
        <v>466</v>
      </c>
      <c r="D3749" s="76">
        <v>2.5499999999999998E-2</v>
      </c>
      <c r="E3749" s="76">
        <v>5.21E-2</v>
      </c>
      <c r="F3749" s="76">
        <v>7.8299999999999995E-2</v>
      </c>
      <c r="G3749" s="76">
        <v>0.104</v>
      </c>
      <c r="H3749" s="76">
        <v>0.13</v>
      </c>
      <c r="I3749" s="76">
        <v>0.156</v>
      </c>
      <c r="J3749" s="76">
        <v>0.18099999999999999</v>
      </c>
      <c r="K3749" s="76">
        <v>0.20699999999999999</v>
      </c>
      <c r="L3749" s="76">
        <v>0.23200000000000001</v>
      </c>
      <c r="M3749" s="76">
        <v>0.25700000000000001</v>
      </c>
    </row>
    <row r="3750" spans="3:13" x14ac:dyDescent="0.15">
      <c r="C3750" s="76">
        <v>468</v>
      </c>
      <c r="D3750" s="76">
        <v>2.3900000000000001E-2</v>
      </c>
      <c r="E3750" s="76">
        <v>4.8899999999999999E-2</v>
      </c>
      <c r="F3750" s="76">
        <v>7.3599999999999999E-2</v>
      </c>
      <c r="G3750" s="76">
        <v>9.8000000000000004E-2</v>
      </c>
      <c r="H3750" s="76">
        <v>0.122</v>
      </c>
      <c r="I3750" s="76">
        <v>0.14599999999999999</v>
      </c>
      <c r="J3750" s="76">
        <v>0.17</v>
      </c>
      <c r="K3750" s="76">
        <v>0.19400000000000001</v>
      </c>
      <c r="L3750" s="76">
        <v>0.218</v>
      </c>
      <c r="M3750" s="76">
        <v>0.24099999999999999</v>
      </c>
    </row>
    <row r="3751" spans="3:13" x14ac:dyDescent="0.15">
      <c r="C3751" s="76">
        <v>470</v>
      </c>
      <c r="D3751" s="76">
        <v>2.24E-2</v>
      </c>
      <c r="E3751" s="76">
        <v>4.58E-2</v>
      </c>
      <c r="F3751" s="76">
        <v>6.88E-2</v>
      </c>
      <c r="G3751" s="76">
        <v>9.1600000000000001E-2</v>
      </c>
      <c r="H3751" s="76">
        <v>0.114</v>
      </c>
      <c r="I3751" s="76">
        <v>0.13700000000000001</v>
      </c>
      <c r="J3751" s="76">
        <v>0.159</v>
      </c>
      <c r="K3751" s="76">
        <v>0.182</v>
      </c>
      <c r="L3751" s="76">
        <v>0.20399999999999999</v>
      </c>
      <c r="M3751" s="76">
        <v>0.22600000000000001</v>
      </c>
    </row>
    <row r="3752" spans="3:13" x14ac:dyDescent="0.15">
      <c r="C3752" s="76">
        <v>472</v>
      </c>
      <c r="D3752" s="76">
        <v>2.1000000000000001E-2</v>
      </c>
      <c r="E3752" s="76">
        <v>4.2900000000000001E-2</v>
      </c>
      <c r="F3752" s="76">
        <v>6.4399999999999999E-2</v>
      </c>
      <c r="G3752" s="76">
        <v>8.5800000000000001E-2</v>
      </c>
      <c r="H3752" s="76">
        <v>0.107</v>
      </c>
      <c r="I3752" s="76">
        <v>0.128</v>
      </c>
      <c r="J3752" s="76">
        <v>0.14899999999999999</v>
      </c>
      <c r="K3752" s="76">
        <v>0.17</v>
      </c>
      <c r="L3752" s="76">
        <v>0.191</v>
      </c>
      <c r="M3752" s="76">
        <v>0.21199999999999999</v>
      </c>
    </row>
    <row r="3753" spans="3:13" x14ac:dyDescent="0.15">
      <c r="C3753" s="76">
        <v>474</v>
      </c>
      <c r="D3753" s="76">
        <v>1.9800000000000002E-2</v>
      </c>
      <c r="E3753" s="76">
        <v>4.0399999999999998E-2</v>
      </c>
      <c r="F3753" s="76">
        <v>6.0699999999999997E-2</v>
      </c>
      <c r="G3753" s="76">
        <v>8.09E-2</v>
      </c>
      <c r="H3753" s="76">
        <v>0.10100000000000001</v>
      </c>
      <c r="I3753" s="76">
        <v>0.121</v>
      </c>
      <c r="J3753" s="76">
        <v>0.14099999999999999</v>
      </c>
      <c r="K3753" s="76">
        <v>0.16</v>
      </c>
      <c r="L3753" s="76">
        <v>0.18</v>
      </c>
      <c r="M3753" s="76">
        <v>0.2</v>
      </c>
    </row>
    <row r="3754" spans="3:13" x14ac:dyDescent="0.15">
      <c r="C3754" s="76">
        <v>476</v>
      </c>
      <c r="D3754" s="76">
        <v>1.8599999999999998E-2</v>
      </c>
      <c r="E3754" s="76">
        <v>3.7999999999999999E-2</v>
      </c>
      <c r="F3754" s="76">
        <v>5.7200000000000001E-2</v>
      </c>
      <c r="G3754" s="76">
        <v>7.6200000000000004E-2</v>
      </c>
      <c r="H3754" s="76">
        <v>9.5000000000000001E-2</v>
      </c>
      <c r="I3754" s="76">
        <v>0.114</v>
      </c>
      <c r="J3754" s="76">
        <v>0.13300000000000001</v>
      </c>
      <c r="K3754" s="76">
        <v>0.151</v>
      </c>
      <c r="L3754" s="76">
        <v>0.17</v>
      </c>
      <c r="M3754" s="76">
        <v>0.188</v>
      </c>
    </row>
    <row r="3755" spans="3:13" x14ac:dyDescent="0.15">
      <c r="C3755" s="76">
        <v>478</v>
      </c>
      <c r="D3755" s="76">
        <v>1.78E-2</v>
      </c>
      <c r="E3755" s="76">
        <v>3.6400000000000002E-2</v>
      </c>
      <c r="F3755" s="76">
        <v>5.4699999999999999E-2</v>
      </c>
      <c r="G3755" s="76">
        <v>7.2900000000000006E-2</v>
      </c>
      <c r="H3755" s="76">
        <v>9.0999999999999998E-2</v>
      </c>
      <c r="I3755" s="76">
        <v>0.109</v>
      </c>
      <c r="J3755" s="76">
        <v>0.127</v>
      </c>
      <c r="K3755" s="76">
        <v>0.14399999999999999</v>
      </c>
      <c r="L3755" s="76">
        <v>0.16200000000000001</v>
      </c>
      <c r="M3755" s="76">
        <v>0.18</v>
      </c>
    </row>
    <row r="3756" spans="3:13" x14ac:dyDescent="0.15">
      <c r="C3756" s="76">
        <v>480</v>
      </c>
      <c r="D3756" s="76">
        <v>1.7100000000000001E-2</v>
      </c>
      <c r="E3756" s="76">
        <v>3.5000000000000003E-2</v>
      </c>
      <c r="F3756" s="76">
        <v>5.2600000000000001E-2</v>
      </c>
      <c r="G3756" s="76">
        <v>7.0000000000000007E-2</v>
      </c>
      <c r="H3756" s="76">
        <v>8.7400000000000005E-2</v>
      </c>
      <c r="I3756" s="76">
        <v>0.105</v>
      </c>
      <c r="J3756" s="76">
        <v>0.122</v>
      </c>
      <c r="K3756" s="76">
        <v>0.13900000000000001</v>
      </c>
      <c r="L3756" s="76">
        <v>0.156</v>
      </c>
      <c r="M3756" s="76">
        <v>0.17299999999999999</v>
      </c>
    </row>
    <row r="3757" spans="3:13" x14ac:dyDescent="0.15">
      <c r="C3757" s="76">
        <v>482</v>
      </c>
      <c r="D3757" s="76">
        <v>1.6500000000000001E-2</v>
      </c>
      <c r="E3757" s="76">
        <v>3.3700000000000001E-2</v>
      </c>
      <c r="F3757" s="76">
        <v>5.0700000000000002E-2</v>
      </c>
      <c r="G3757" s="76">
        <v>6.7500000000000004E-2</v>
      </c>
      <c r="H3757" s="76">
        <v>8.43E-2</v>
      </c>
      <c r="I3757" s="76">
        <v>0.10100000000000001</v>
      </c>
      <c r="J3757" s="76">
        <v>0.11700000000000001</v>
      </c>
      <c r="K3757" s="76">
        <v>0.13400000000000001</v>
      </c>
      <c r="L3757" s="76">
        <v>0.15</v>
      </c>
      <c r="M3757" s="76">
        <v>0.16700000000000001</v>
      </c>
    </row>
    <row r="3758" spans="3:13" x14ac:dyDescent="0.15">
      <c r="C3758" s="76">
        <v>484</v>
      </c>
      <c r="D3758" s="76">
        <v>1.5900000000000001E-2</v>
      </c>
      <c r="E3758" s="76">
        <v>3.2500000000000001E-2</v>
      </c>
      <c r="F3758" s="76">
        <v>4.8800000000000003E-2</v>
      </c>
      <c r="G3758" s="76">
        <v>6.5100000000000005E-2</v>
      </c>
      <c r="H3758" s="76">
        <v>8.1199999999999994E-2</v>
      </c>
      <c r="I3758" s="76">
        <v>9.7100000000000006E-2</v>
      </c>
      <c r="J3758" s="76">
        <v>0.113</v>
      </c>
      <c r="K3758" s="76">
        <v>0.129</v>
      </c>
      <c r="L3758" s="76">
        <v>0.14499999999999999</v>
      </c>
      <c r="M3758" s="76">
        <v>0.16</v>
      </c>
    </row>
    <row r="3759" spans="3:13" x14ac:dyDescent="0.15">
      <c r="C3759" s="76">
        <v>486</v>
      </c>
      <c r="D3759" s="76">
        <v>1.5299999999999999E-2</v>
      </c>
      <c r="E3759" s="76">
        <v>3.1199999999999999E-2</v>
      </c>
      <c r="F3759" s="76">
        <v>4.6899999999999997E-2</v>
      </c>
      <c r="G3759" s="76">
        <v>6.2399999999999997E-2</v>
      </c>
      <c r="H3759" s="76">
        <v>7.7899999999999997E-2</v>
      </c>
      <c r="I3759" s="76">
        <v>9.3200000000000005E-2</v>
      </c>
      <c r="J3759" s="76">
        <v>0.108</v>
      </c>
      <c r="K3759" s="76">
        <v>0.124</v>
      </c>
      <c r="L3759" s="76">
        <v>0.13900000000000001</v>
      </c>
      <c r="M3759" s="76">
        <v>0.154</v>
      </c>
    </row>
    <row r="3760" spans="3:13" x14ac:dyDescent="0.15">
      <c r="C3760" s="76">
        <v>488</v>
      </c>
      <c r="D3760" s="76">
        <v>1.4500000000000001E-2</v>
      </c>
      <c r="E3760" s="76">
        <v>2.9499999999999998E-2</v>
      </c>
      <c r="F3760" s="76">
        <v>4.4299999999999999E-2</v>
      </c>
      <c r="G3760" s="76">
        <v>5.8999999999999997E-2</v>
      </c>
      <c r="H3760" s="76">
        <v>7.3599999999999999E-2</v>
      </c>
      <c r="I3760" s="76">
        <v>8.8200000000000001E-2</v>
      </c>
      <c r="J3760" s="76">
        <v>0.10299999999999999</v>
      </c>
      <c r="K3760" s="76">
        <v>0.11700000000000001</v>
      </c>
      <c r="L3760" s="76">
        <v>0.13100000000000001</v>
      </c>
      <c r="M3760" s="76">
        <v>0.14499999999999999</v>
      </c>
    </row>
    <row r="3761" spans="3:13" x14ac:dyDescent="0.15">
      <c r="C3761" s="76">
        <v>490</v>
      </c>
      <c r="D3761" s="76">
        <v>1.3599999999999999E-2</v>
      </c>
      <c r="E3761" s="76">
        <v>2.7799999999999998E-2</v>
      </c>
      <c r="F3761" s="76">
        <v>4.1799999999999997E-2</v>
      </c>
      <c r="G3761" s="76">
        <v>5.57E-2</v>
      </c>
      <c r="H3761" s="76">
        <v>6.9500000000000006E-2</v>
      </c>
      <c r="I3761" s="76">
        <v>8.3199999999999996E-2</v>
      </c>
      <c r="J3761" s="76">
        <v>9.6799999999999997E-2</v>
      </c>
      <c r="K3761" s="76">
        <v>0.11</v>
      </c>
      <c r="L3761" s="76">
        <v>0.124</v>
      </c>
      <c r="M3761" s="76">
        <v>0.13700000000000001</v>
      </c>
    </row>
    <row r="3762" spans="3:13" x14ac:dyDescent="0.15">
      <c r="C3762" s="76">
        <v>492</v>
      </c>
      <c r="D3762" s="76">
        <v>1.2800000000000001E-2</v>
      </c>
      <c r="E3762" s="76">
        <v>2.6100000000000002E-2</v>
      </c>
      <c r="F3762" s="76">
        <v>3.9199999999999999E-2</v>
      </c>
      <c r="G3762" s="76">
        <v>5.2299999999999999E-2</v>
      </c>
      <c r="H3762" s="76">
        <v>6.5199999999999994E-2</v>
      </c>
      <c r="I3762" s="76">
        <v>7.8E-2</v>
      </c>
      <c r="J3762" s="76">
        <v>9.0800000000000006E-2</v>
      </c>
      <c r="K3762" s="76">
        <v>0.10299999999999999</v>
      </c>
      <c r="L3762" s="76">
        <v>0.11600000000000001</v>
      </c>
      <c r="M3762" s="76">
        <v>0.129</v>
      </c>
    </row>
    <row r="3763" spans="3:13" x14ac:dyDescent="0.15">
      <c r="C3763" s="76">
        <v>494</v>
      </c>
      <c r="D3763" s="76">
        <v>1.1900000000000001E-2</v>
      </c>
      <c r="E3763" s="76">
        <v>2.4299999999999999E-2</v>
      </c>
      <c r="F3763" s="76">
        <v>3.6499999999999998E-2</v>
      </c>
      <c r="G3763" s="76">
        <v>4.8599999999999997E-2</v>
      </c>
      <c r="H3763" s="76">
        <v>6.0600000000000001E-2</v>
      </c>
      <c r="I3763" s="76">
        <v>7.2599999999999998E-2</v>
      </c>
      <c r="J3763" s="76">
        <v>8.4400000000000003E-2</v>
      </c>
      <c r="K3763" s="76">
        <v>9.6199999999999994E-2</v>
      </c>
      <c r="L3763" s="76">
        <v>0.108</v>
      </c>
      <c r="M3763" s="76">
        <v>0.12</v>
      </c>
    </row>
    <row r="3764" spans="3:13" x14ac:dyDescent="0.15">
      <c r="C3764" s="76">
        <v>496</v>
      </c>
      <c r="D3764" s="76">
        <v>1.0999999999999999E-2</v>
      </c>
      <c r="E3764" s="76">
        <v>2.2499999999999999E-2</v>
      </c>
      <c r="F3764" s="76">
        <v>3.3799999999999997E-2</v>
      </c>
      <c r="G3764" s="76">
        <v>4.4999999999999998E-2</v>
      </c>
      <c r="H3764" s="76">
        <v>5.62E-2</v>
      </c>
      <c r="I3764" s="76">
        <v>6.7199999999999996E-2</v>
      </c>
      <c r="J3764" s="76">
        <v>7.8200000000000006E-2</v>
      </c>
      <c r="K3764" s="76">
        <v>8.9200000000000002E-2</v>
      </c>
      <c r="L3764" s="76">
        <v>0.1</v>
      </c>
      <c r="M3764" s="76">
        <v>0.111</v>
      </c>
    </row>
    <row r="3765" spans="3:13" x14ac:dyDescent="0.15">
      <c r="C3765" s="76">
        <v>498</v>
      </c>
      <c r="D3765" s="76">
        <v>1.01E-2</v>
      </c>
      <c r="E3765" s="76">
        <v>2.07E-2</v>
      </c>
      <c r="F3765" s="76">
        <v>3.1E-2</v>
      </c>
      <c r="G3765" s="76">
        <v>4.1300000000000003E-2</v>
      </c>
      <c r="H3765" s="76">
        <v>5.16E-2</v>
      </c>
      <c r="I3765" s="76">
        <v>6.1699999999999998E-2</v>
      </c>
      <c r="J3765" s="76">
        <v>7.1800000000000003E-2</v>
      </c>
      <c r="K3765" s="76">
        <v>8.1900000000000001E-2</v>
      </c>
      <c r="L3765" s="76">
        <v>9.1800000000000007E-2</v>
      </c>
      <c r="M3765" s="76">
        <v>0.10199999999999999</v>
      </c>
    </row>
    <row r="3766" spans="3:13" x14ac:dyDescent="0.15">
      <c r="C3766" s="76">
        <v>500</v>
      </c>
      <c r="D3766" s="76">
        <v>9.1900000000000003E-3</v>
      </c>
      <c r="E3766" s="76">
        <v>1.8700000000000001E-2</v>
      </c>
      <c r="F3766" s="76">
        <v>2.81E-2</v>
      </c>
      <c r="G3766" s="76">
        <v>3.7499999999999999E-2</v>
      </c>
      <c r="H3766" s="76">
        <v>4.6699999999999998E-2</v>
      </c>
      <c r="I3766" s="76">
        <v>5.6000000000000001E-2</v>
      </c>
      <c r="J3766" s="76">
        <v>6.5100000000000005E-2</v>
      </c>
      <c r="K3766" s="76">
        <v>7.4200000000000002E-2</v>
      </c>
      <c r="L3766" s="76">
        <v>8.3199999999999996E-2</v>
      </c>
      <c r="M3766" s="76">
        <v>9.2200000000000004E-2</v>
      </c>
    </row>
    <row r="3767" spans="3:13" x14ac:dyDescent="0.15">
      <c r="C3767" s="76">
        <v>502</v>
      </c>
      <c r="D3767" s="76">
        <v>8.3000000000000001E-3</v>
      </c>
      <c r="E3767" s="76">
        <v>1.6899999999999998E-2</v>
      </c>
      <c r="F3767" s="76">
        <v>2.5399999999999999E-2</v>
      </c>
      <c r="G3767" s="76">
        <v>3.3799999999999997E-2</v>
      </c>
      <c r="H3767" s="76">
        <v>4.2099999999999999E-2</v>
      </c>
      <c r="I3767" s="76">
        <v>5.0500000000000003E-2</v>
      </c>
      <c r="J3767" s="76">
        <v>5.8799999999999998E-2</v>
      </c>
      <c r="K3767" s="76">
        <v>6.7199999999999996E-2</v>
      </c>
      <c r="L3767" s="76">
        <v>7.5200000000000003E-2</v>
      </c>
      <c r="M3767" s="76">
        <v>8.3400000000000002E-2</v>
      </c>
    </row>
    <row r="3768" spans="3:13" x14ac:dyDescent="0.15">
      <c r="C3768" s="76">
        <v>504</v>
      </c>
      <c r="D3768" s="76">
        <v>7.5100000000000002E-3</v>
      </c>
      <c r="E3768" s="76">
        <v>1.5299999999999999E-2</v>
      </c>
      <c r="F3768" s="76">
        <v>2.3E-2</v>
      </c>
      <c r="G3768" s="76">
        <v>3.0700000000000002E-2</v>
      </c>
      <c r="H3768" s="76">
        <v>3.8199999999999998E-2</v>
      </c>
      <c r="I3768" s="76">
        <v>4.58E-2</v>
      </c>
      <c r="J3768" s="76">
        <v>5.33E-2</v>
      </c>
      <c r="K3768" s="76">
        <v>6.08E-2</v>
      </c>
      <c r="L3768" s="76">
        <v>6.8000000000000005E-2</v>
      </c>
      <c r="M3768" s="76">
        <v>7.5600000000000001E-2</v>
      </c>
    </row>
    <row r="3769" spans="3:13" x14ac:dyDescent="0.15">
      <c r="C3769" s="76">
        <v>506</v>
      </c>
      <c r="D3769" s="76">
        <v>6.7999999999999996E-3</v>
      </c>
      <c r="E3769" s="76">
        <v>1.3899999999999999E-2</v>
      </c>
      <c r="F3769" s="76">
        <v>2.0799999999999999E-2</v>
      </c>
      <c r="G3769" s="76">
        <v>2.7699999999999999E-2</v>
      </c>
      <c r="H3769" s="76">
        <v>3.4599999999999999E-2</v>
      </c>
      <c r="I3769" s="76">
        <v>4.1300000000000003E-2</v>
      </c>
      <c r="J3769" s="76">
        <v>4.82E-2</v>
      </c>
      <c r="K3769" s="76">
        <v>5.5100000000000003E-2</v>
      </c>
      <c r="L3769" s="76">
        <v>6.1600000000000002E-2</v>
      </c>
      <c r="M3769" s="76">
        <v>6.83E-2</v>
      </c>
    </row>
    <row r="3770" spans="3:13" x14ac:dyDescent="0.15">
      <c r="C3770" s="76">
        <v>508</v>
      </c>
      <c r="D3770" s="76">
        <v>6.1599999999999997E-3</v>
      </c>
      <c r="E3770" s="76">
        <v>1.26E-2</v>
      </c>
      <c r="F3770" s="76">
        <v>1.8800000000000001E-2</v>
      </c>
      <c r="G3770" s="76">
        <v>2.5100000000000001E-2</v>
      </c>
      <c r="H3770" s="76">
        <v>3.1300000000000001E-2</v>
      </c>
      <c r="I3770" s="76">
        <v>3.7499999999999999E-2</v>
      </c>
      <c r="J3770" s="76">
        <v>4.3700000000000003E-2</v>
      </c>
      <c r="K3770" s="76">
        <v>4.99E-2</v>
      </c>
      <c r="L3770" s="76">
        <v>5.57E-2</v>
      </c>
      <c r="M3770" s="76">
        <v>6.1899999999999997E-2</v>
      </c>
    </row>
    <row r="3771" spans="3:13" x14ac:dyDescent="0.15">
      <c r="C3771" s="76">
        <v>510</v>
      </c>
      <c r="D3771" s="76">
        <v>5.5900000000000004E-3</v>
      </c>
      <c r="E3771" s="76">
        <v>1.14E-2</v>
      </c>
      <c r="F3771" s="76">
        <v>1.72E-2</v>
      </c>
      <c r="G3771" s="76">
        <v>2.2800000000000001E-2</v>
      </c>
      <c r="H3771" s="76">
        <v>2.8400000000000002E-2</v>
      </c>
      <c r="I3771" s="76">
        <v>3.4099999999999998E-2</v>
      </c>
      <c r="J3771" s="76">
        <v>3.9699999999999999E-2</v>
      </c>
      <c r="K3771" s="76">
        <v>4.53E-2</v>
      </c>
      <c r="L3771" s="76">
        <v>5.0599999999999999E-2</v>
      </c>
      <c r="M3771" s="76">
        <v>5.62E-2</v>
      </c>
    </row>
    <row r="3772" spans="3:13" x14ac:dyDescent="0.15">
      <c r="C3772" s="76">
        <v>512</v>
      </c>
      <c r="D3772" s="76">
        <v>5.0400000000000002E-3</v>
      </c>
      <c r="E3772" s="76">
        <v>1.03E-2</v>
      </c>
      <c r="F3772" s="76">
        <v>1.54E-2</v>
      </c>
      <c r="G3772" s="76">
        <v>2.0500000000000001E-2</v>
      </c>
      <c r="H3772" s="76">
        <v>2.5600000000000001E-2</v>
      </c>
      <c r="I3772" s="76">
        <v>3.0700000000000002E-2</v>
      </c>
      <c r="J3772" s="76">
        <v>3.5700000000000003E-2</v>
      </c>
      <c r="K3772" s="76">
        <v>4.0800000000000003E-2</v>
      </c>
      <c r="L3772" s="76">
        <v>4.5699999999999998E-2</v>
      </c>
      <c r="M3772" s="76">
        <v>5.0700000000000002E-2</v>
      </c>
    </row>
    <row r="3773" spans="3:13" x14ac:dyDescent="0.15">
      <c r="C3773" s="76">
        <v>514</v>
      </c>
      <c r="D3773" s="76">
        <v>4.6100000000000004E-3</v>
      </c>
      <c r="E3773" s="76">
        <v>9.41E-3</v>
      </c>
      <c r="F3773" s="76">
        <v>1.41E-2</v>
      </c>
      <c r="G3773" s="76">
        <v>1.8800000000000001E-2</v>
      </c>
      <c r="H3773" s="76">
        <v>2.3400000000000001E-2</v>
      </c>
      <c r="I3773" s="76">
        <v>2.8000000000000001E-2</v>
      </c>
      <c r="J3773" s="76">
        <v>3.2599999999999997E-2</v>
      </c>
      <c r="K3773" s="76">
        <v>3.7199999999999997E-2</v>
      </c>
      <c r="L3773" s="76">
        <v>4.1700000000000001E-2</v>
      </c>
      <c r="M3773" s="76">
        <v>4.6300000000000001E-2</v>
      </c>
    </row>
    <row r="3774" spans="3:13" x14ac:dyDescent="0.15">
      <c r="C3774" s="76">
        <v>516</v>
      </c>
      <c r="D3774" s="76">
        <v>4.2399999999999998E-3</v>
      </c>
      <c r="E3774" s="76">
        <v>8.6499999999999997E-3</v>
      </c>
      <c r="F3774" s="76">
        <v>1.2999999999999999E-2</v>
      </c>
      <c r="G3774" s="76">
        <v>1.7299999999999999E-2</v>
      </c>
      <c r="H3774" s="76">
        <v>2.1499999999999998E-2</v>
      </c>
      <c r="I3774" s="76">
        <v>2.58E-2</v>
      </c>
      <c r="J3774" s="76">
        <v>0.03</v>
      </c>
      <c r="K3774" s="76">
        <v>3.4299999999999997E-2</v>
      </c>
      <c r="L3774" s="76">
        <v>3.8199999999999998E-2</v>
      </c>
      <c r="M3774" s="76">
        <v>4.2500000000000003E-2</v>
      </c>
    </row>
    <row r="3775" spans="3:13" x14ac:dyDescent="0.15">
      <c r="C3775" s="76">
        <v>518</v>
      </c>
      <c r="D3775" s="76">
        <v>3.9100000000000003E-3</v>
      </c>
      <c r="E3775" s="76">
        <v>7.9900000000000006E-3</v>
      </c>
      <c r="F3775" s="76">
        <v>1.2E-2</v>
      </c>
      <c r="G3775" s="76">
        <v>1.6E-2</v>
      </c>
      <c r="H3775" s="76">
        <v>1.9900000000000001E-2</v>
      </c>
      <c r="I3775" s="76">
        <v>2.3800000000000002E-2</v>
      </c>
      <c r="J3775" s="76">
        <v>2.7699999999999999E-2</v>
      </c>
      <c r="K3775" s="76">
        <v>3.1699999999999999E-2</v>
      </c>
      <c r="L3775" s="76">
        <v>3.5299999999999998E-2</v>
      </c>
      <c r="M3775" s="76">
        <v>3.9399999999999998E-2</v>
      </c>
    </row>
    <row r="3776" spans="3:13" x14ac:dyDescent="0.15">
      <c r="C3776" s="76">
        <v>520</v>
      </c>
      <c r="D3776" s="76">
        <v>3.6099999999999999E-3</v>
      </c>
      <c r="E3776" s="76">
        <v>7.3899999999999999E-3</v>
      </c>
      <c r="F3776" s="76">
        <v>1.11E-2</v>
      </c>
      <c r="G3776" s="76">
        <v>1.4800000000000001E-2</v>
      </c>
      <c r="H3776" s="76">
        <v>1.84E-2</v>
      </c>
      <c r="I3776" s="76">
        <v>2.1999999999999999E-2</v>
      </c>
      <c r="J3776" s="76">
        <v>2.5700000000000001E-2</v>
      </c>
      <c r="K3776" s="76">
        <v>2.93E-2</v>
      </c>
      <c r="L3776" s="76">
        <v>3.27E-2</v>
      </c>
      <c r="M3776" s="76">
        <v>3.6400000000000002E-2</v>
      </c>
    </row>
    <row r="3777" spans="3:13" x14ac:dyDescent="0.15">
      <c r="C3777" s="76">
        <v>522</v>
      </c>
      <c r="D3777" s="76">
        <v>3.3400000000000001E-3</v>
      </c>
      <c r="E3777" s="76">
        <v>6.8399999999999997E-3</v>
      </c>
      <c r="F3777" s="76">
        <v>1.03E-2</v>
      </c>
      <c r="G3777" s="76">
        <v>1.37E-2</v>
      </c>
      <c r="H3777" s="76">
        <v>1.7000000000000001E-2</v>
      </c>
      <c r="I3777" s="76">
        <v>2.0400000000000001E-2</v>
      </c>
      <c r="J3777" s="76">
        <v>2.3800000000000002E-2</v>
      </c>
      <c r="K3777" s="76">
        <v>2.7099999999999999E-2</v>
      </c>
      <c r="L3777" s="76">
        <v>3.0300000000000001E-2</v>
      </c>
      <c r="M3777" s="76">
        <v>3.3700000000000001E-2</v>
      </c>
    </row>
    <row r="3778" spans="3:13" x14ac:dyDescent="0.15">
      <c r="C3778" s="76">
        <v>524</v>
      </c>
      <c r="D3778" s="76">
        <v>3.0599999999999998E-3</v>
      </c>
      <c r="E3778" s="76">
        <v>6.2599999999999999E-3</v>
      </c>
      <c r="F3778" s="76">
        <v>9.3900000000000008E-3</v>
      </c>
      <c r="G3778" s="76">
        <v>1.2500000000000001E-2</v>
      </c>
      <c r="H3778" s="76">
        <v>1.5599999999999999E-2</v>
      </c>
      <c r="I3778" s="76">
        <v>1.8700000000000001E-2</v>
      </c>
      <c r="J3778" s="76">
        <v>2.1700000000000001E-2</v>
      </c>
      <c r="K3778" s="76">
        <v>2.4899999999999999E-2</v>
      </c>
      <c r="L3778" s="76">
        <v>2.7799999999999998E-2</v>
      </c>
      <c r="M3778" s="76">
        <v>3.0800000000000001E-2</v>
      </c>
    </row>
    <row r="3779" spans="3:13" x14ac:dyDescent="0.15">
      <c r="C3779" s="76">
        <v>526</v>
      </c>
      <c r="D3779" s="76">
        <v>2.8300000000000001E-3</v>
      </c>
      <c r="E3779" s="76">
        <v>5.7800000000000004E-3</v>
      </c>
      <c r="F3779" s="76">
        <v>8.6700000000000006E-3</v>
      </c>
      <c r="G3779" s="76">
        <v>1.1599999999999999E-2</v>
      </c>
      <c r="H3779" s="76">
        <v>1.44E-2</v>
      </c>
      <c r="I3779" s="76">
        <v>1.7299999999999999E-2</v>
      </c>
      <c r="J3779" s="76">
        <v>2.01E-2</v>
      </c>
      <c r="K3779" s="76">
        <v>2.29E-2</v>
      </c>
      <c r="L3779" s="76">
        <v>2.5700000000000001E-2</v>
      </c>
      <c r="M3779" s="76">
        <v>2.8500000000000001E-2</v>
      </c>
    </row>
    <row r="3780" spans="3:13" x14ac:dyDescent="0.15">
      <c r="C3780" s="76">
        <v>528</v>
      </c>
      <c r="D3780" s="76">
        <v>2.6199999999999999E-3</v>
      </c>
      <c r="E3780" s="76">
        <v>5.3400000000000001E-3</v>
      </c>
      <c r="F3780" s="76">
        <v>8.0099999999999998E-3</v>
      </c>
      <c r="G3780" s="76">
        <v>1.0699999999999999E-2</v>
      </c>
      <c r="H3780" s="76">
        <v>1.3299999999999999E-2</v>
      </c>
      <c r="I3780" s="76">
        <v>1.6E-2</v>
      </c>
      <c r="J3780" s="76">
        <v>1.8599999999999998E-2</v>
      </c>
      <c r="K3780" s="76">
        <v>2.12E-2</v>
      </c>
      <c r="L3780" s="76">
        <v>2.3699999999999999E-2</v>
      </c>
      <c r="M3780" s="76">
        <v>2.6200000000000001E-2</v>
      </c>
    </row>
    <row r="3781" spans="3:13" x14ac:dyDescent="0.15">
      <c r="C3781" s="76">
        <v>530</v>
      </c>
      <c r="D3781" s="76">
        <v>2.3999999999999998E-3</v>
      </c>
      <c r="E3781" s="76">
        <v>4.8999999999999998E-3</v>
      </c>
      <c r="F3781" s="76">
        <v>7.3699999999999998E-3</v>
      </c>
      <c r="G3781" s="76">
        <v>9.8300000000000002E-3</v>
      </c>
      <c r="H3781" s="76">
        <v>1.2200000000000001E-2</v>
      </c>
      <c r="I3781" s="76">
        <v>1.47E-2</v>
      </c>
      <c r="J3781" s="76">
        <v>1.7100000000000001E-2</v>
      </c>
      <c r="K3781" s="76">
        <v>1.95E-2</v>
      </c>
      <c r="L3781" s="76">
        <v>2.18E-2</v>
      </c>
      <c r="M3781" s="76">
        <v>2.41E-2</v>
      </c>
    </row>
    <row r="3782" spans="3:13" x14ac:dyDescent="0.15">
      <c r="C3782" s="76">
        <v>532</v>
      </c>
      <c r="D3782" s="76">
        <v>2.2100000000000002E-3</v>
      </c>
      <c r="E3782" s="76">
        <v>4.5100000000000001E-3</v>
      </c>
      <c r="F3782" s="76">
        <v>6.7499999999999999E-3</v>
      </c>
      <c r="G3782" s="76">
        <v>8.9899999999999997E-3</v>
      </c>
      <c r="H3782" s="76">
        <v>1.12E-2</v>
      </c>
      <c r="I3782" s="76">
        <v>1.35E-2</v>
      </c>
      <c r="J3782" s="76">
        <v>1.5599999999999999E-2</v>
      </c>
      <c r="K3782" s="76">
        <v>1.7899999999999999E-2</v>
      </c>
      <c r="L3782" s="76">
        <v>0.02</v>
      </c>
      <c r="M3782" s="76">
        <v>2.2100000000000002E-2</v>
      </c>
    </row>
    <row r="3783" spans="3:13" x14ac:dyDescent="0.15">
      <c r="C3783" s="76">
        <v>534</v>
      </c>
      <c r="D3783" s="76">
        <v>2.0100000000000001E-3</v>
      </c>
      <c r="E3783" s="76">
        <v>4.1000000000000003E-3</v>
      </c>
      <c r="F3783" s="76">
        <v>6.1599999999999997E-3</v>
      </c>
      <c r="G3783" s="76">
        <v>8.1899999999999994E-3</v>
      </c>
      <c r="H3783" s="76">
        <v>1.0200000000000001E-2</v>
      </c>
      <c r="I3783" s="76">
        <v>1.23E-2</v>
      </c>
      <c r="J3783" s="76">
        <v>1.43E-2</v>
      </c>
      <c r="K3783" s="76">
        <v>1.6299999999999999E-2</v>
      </c>
      <c r="L3783" s="76">
        <v>1.8200000000000001E-2</v>
      </c>
      <c r="M3783" s="76">
        <v>2.0199999999999999E-2</v>
      </c>
    </row>
    <row r="3784" spans="3:13" x14ac:dyDescent="0.15">
      <c r="C3784" s="76">
        <v>536</v>
      </c>
      <c r="D3784" s="76">
        <v>1.81E-3</v>
      </c>
      <c r="E3784" s="76">
        <v>3.6800000000000001E-3</v>
      </c>
      <c r="F3784" s="76">
        <v>5.5300000000000002E-3</v>
      </c>
      <c r="G3784" s="76">
        <v>7.4000000000000003E-3</v>
      </c>
      <c r="H3784" s="76">
        <v>9.2300000000000004E-3</v>
      </c>
      <c r="I3784" s="76">
        <v>1.11E-2</v>
      </c>
      <c r="J3784" s="76">
        <v>1.2800000000000001E-2</v>
      </c>
      <c r="K3784" s="76">
        <v>1.46E-2</v>
      </c>
      <c r="L3784" s="76">
        <v>1.66E-2</v>
      </c>
      <c r="M3784" s="76">
        <v>1.8100000000000002E-2</v>
      </c>
    </row>
    <row r="3785" spans="3:13" x14ac:dyDescent="0.15">
      <c r="C3785" s="76">
        <v>538</v>
      </c>
      <c r="D3785" s="76">
        <v>1.65E-3</v>
      </c>
      <c r="E3785" s="76">
        <v>3.3500000000000001E-3</v>
      </c>
      <c r="F3785" s="76">
        <v>5.0400000000000002E-3</v>
      </c>
      <c r="G3785" s="76">
        <v>6.7200000000000003E-3</v>
      </c>
      <c r="H3785" s="76">
        <v>8.4100000000000008E-3</v>
      </c>
      <c r="I3785" s="76">
        <v>1.01E-2</v>
      </c>
      <c r="J3785" s="76">
        <v>1.17E-2</v>
      </c>
      <c r="K3785" s="76">
        <v>1.3299999999999999E-2</v>
      </c>
      <c r="L3785" s="76">
        <v>1.4999999999999999E-2</v>
      </c>
      <c r="M3785" s="76">
        <v>1.6500000000000001E-2</v>
      </c>
    </row>
    <row r="3786" spans="3:13" x14ac:dyDescent="0.15">
      <c r="C3786" s="76">
        <v>540</v>
      </c>
      <c r="D3786" s="76">
        <v>1.5E-3</v>
      </c>
      <c r="E3786" s="76">
        <v>3.0400000000000002E-3</v>
      </c>
      <c r="F3786" s="76">
        <v>4.5700000000000003E-3</v>
      </c>
      <c r="G3786" s="76">
        <v>6.11E-3</v>
      </c>
      <c r="H3786" s="76">
        <v>7.6499999999999997E-3</v>
      </c>
      <c r="I3786" s="76">
        <v>9.1299999999999992E-3</v>
      </c>
      <c r="J3786" s="76">
        <v>1.06E-2</v>
      </c>
      <c r="K3786" s="76">
        <v>1.21E-2</v>
      </c>
      <c r="L3786" s="76">
        <v>1.3599999999999999E-2</v>
      </c>
      <c r="M3786" s="76">
        <v>1.4999999999999999E-2</v>
      </c>
    </row>
    <row r="3787" spans="3:13" x14ac:dyDescent="0.15">
      <c r="C3787" s="76">
        <v>542</v>
      </c>
      <c r="D3787" s="76">
        <v>1.3600000000000001E-3</v>
      </c>
      <c r="E3787" s="76">
        <v>2.7699999999999999E-3</v>
      </c>
      <c r="F3787" s="76">
        <v>4.1799999999999997E-3</v>
      </c>
      <c r="G3787" s="76">
        <v>5.5599999999999998E-3</v>
      </c>
      <c r="H3787" s="76">
        <v>6.96E-3</v>
      </c>
      <c r="I3787" s="76">
        <v>8.3400000000000002E-3</v>
      </c>
      <c r="J3787" s="76">
        <v>9.6500000000000006E-3</v>
      </c>
      <c r="K3787" s="76">
        <v>1.11E-2</v>
      </c>
      <c r="L3787" s="76">
        <v>1.24E-2</v>
      </c>
      <c r="M3787" s="76">
        <v>1.3599999999999999E-2</v>
      </c>
    </row>
    <row r="3788" spans="3:13" x14ac:dyDescent="0.15">
      <c r="C3788" s="76">
        <v>544</v>
      </c>
      <c r="D3788" s="76">
        <v>1.24E-3</v>
      </c>
      <c r="E3788" s="76">
        <v>2.5200000000000001E-3</v>
      </c>
      <c r="F3788" s="76">
        <v>3.8E-3</v>
      </c>
      <c r="G3788" s="76">
        <v>5.0400000000000002E-3</v>
      </c>
      <c r="H3788" s="76">
        <v>6.3299999999999997E-3</v>
      </c>
      <c r="I3788" s="76">
        <v>7.62E-3</v>
      </c>
      <c r="J3788" s="76">
        <v>8.8199999999999997E-3</v>
      </c>
      <c r="K3788" s="76">
        <v>0.01</v>
      </c>
      <c r="L3788" s="76">
        <v>1.1299999999999999E-2</v>
      </c>
      <c r="M3788" s="76">
        <v>1.24E-2</v>
      </c>
    </row>
    <row r="3789" spans="3:13" x14ac:dyDescent="0.15">
      <c r="C3789" s="76">
        <v>546</v>
      </c>
      <c r="D3789" s="76">
        <v>1.1199999999999999E-3</v>
      </c>
      <c r="E3789" s="76">
        <v>2.2699999999999999E-3</v>
      </c>
      <c r="F3789" s="76">
        <v>3.4199999999999999E-3</v>
      </c>
      <c r="G3789" s="76">
        <v>4.5599999999999998E-3</v>
      </c>
      <c r="H3789" s="76">
        <v>5.7099999999999998E-3</v>
      </c>
      <c r="I3789" s="76">
        <v>6.8599999999999998E-3</v>
      </c>
      <c r="J3789" s="76">
        <v>7.9900000000000006E-3</v>
      </c>
      <c r="K3789" s="76">
        <v>9.1199999999999996E-3</v>
      </c>
      <c r="L3789" s="76">
        <v>1.0200000000000001E-2</v>
      </c>
      <c r="M3789" s="76">
        <v>1.1299999999999999E-2</v>
      </c>
    </row>
    <row r="3790" spans="3:13" x14ac:dyDescent="0.15">
      <c r="C3790" s="76">
        <v>548</v>
      </c>
      <c r="D3790" s="76">
        <v>1.0200000000000001E-3</v>
      </c>
      <c r="E3790" s="76">
        <v>2.0600000000000002E-3</v>
      </c>
      <c r="F3790" s="76">
        <v>3.0799999999999998E-3</v>
      </c>
      <c r="G3790" s="76">
        <v>4.15E-3</v>
      </c>
      <c r="H3790" s="76">
        <v>5.1599999999999997E-3</v>
      </c>
      <c r="I3790" s="76">
        <v>6.1599999999999997E-3</v>
      </c>
      <c r="J3790" s="76">
        <v>7.2199999999999999E-3</v>
      </c>
      <c r="K3790" s="76">
        <v>8.2299999999999995E-3</v>
      </c>
      <c r="L3790" s="76">
        <v>9.2099999999999994E-3</v>
      </c>
      <c r="M3790" s="76">
        <v>1.01E-2</v>
      </c>
    </row>
    <row r="3791" spans="3:13" x14ac:dyDescent="0.15">
      <c r="C3791" s="76">
        <v>550</v>
      </c>
      <c r="D3791" s="76">
        <v>9.2800000000000001E-4</v>
      </c>
      <c r="E3791" s="76">
        <v>1.8799999999999999E-3</v>
      </c>
      <c r="F3791" s="76">
        <v>2.82E-3</v>
      </c>
      <c r="G3791" s="76">
        <v>3.79E-3</v>
      </c>
      <c r="H3791" s="76">
        <v>4.7099999999999998E-3</v>
      </c>
      <c r="I3791" s="76">
        <v>5.6100000000000004E-3</v>
      </c>
      <c r="J3791" s="76">
        <v>6.5900000000000004E-3</v>
      </c>
      <c r="K3791" s="76">
        <v>7.4999999999999997E-3</v>
      </c>
      <c r="L3791" s="76">
        <v>8.4200000000000004E-3</v>
      </c>
      <c r="M3791" s="76">
        <v>9.2399999999999999E-3</v>
      </c>
    </row>
    <row r="3792" spans="3:13" x14ac:dyDescent="0.15">
      <c r="C3792" s="76">
        <v>552</v>
      </c>
      <c r="D3792" s="76">
        <v>8.4800000000000001E-4</v>
      </c>
      <c r="E3792" s="76">
        <v>1.6999999999999999E-3</v>
      </c>
      <c r="F3792" s="76">
        <v>2.5799999999999998E-3</v>
      </c>
      <c r="G3792" s="76">
        <v>3.4299999999999999E-3</v>
      </c>
      <c r="H3792" s="76">
        <v>4.3099999999999996E-3</v>
      </c>
      <c r="I3792" s="76">
        <v>5.13E-3</v>
      </c>
      <c r="J3792" s="76">
        <v>5.9800000000000001E-3</v>
      </c>
      <c r="K3792" s="76">
        <v>6.8700000000000002E-3</v>
      </c>
      <c r="L3792" s="76">
        <v>7.6699999999999997E-3</v>
      </c>
      <c r="M3792" s="76">
        <v>8.4200000000000004E-3</v>
      </c>
    </row>
    <row r="3793" spans="3:13" x14ac:dyDescent="0.15">
      <c r="C3793" s="76">
        <v>554</v>
      </c>
      <c r="D3793" s="76">
        <v>7.7700000000000002E-4</v>
      </c>
      <c r="E3793" s="76">
        <v>1.56E-3</v>
      </c>
      <c r="F3793" s="76">
        <v>2.3600000000000001E-3</v>
      </c>
      <c r="G3793" s="76">
        <v>3.14E-3</v>
      </c>
      <c r="H3793" s="76">
        <v>3.9300000000000003E-3</v>
      </c>
      <c r="I3793" s="76">
        <v>4.6699999999999997E-3</v>
      </c>
      <c r="J3793" s="76">
        <v>5.4400000000000004E-3</v>
      </c>
      <c r="K3793" s="76">
        <v>6.2500000000000003E-3</v>
      </c>
      <c r="L3793" s="76">
        <v>7.0099999999999997E-3</v>
      </c>
      <c r="M3793" s="76">
        <v>7.7000000000000002E-3</v>
      </c>
    </row>
    <row r="3794" spans="3:13" x14ac:dyDescent="0.15">
      <c r="C3794" s="76">
        <v>556</v>
      </c>
      <c r="D3794" s="76">
        <v>7.0100000000000002E-4</v>
      </c>
      <c r="E3794" s="76">
        <v>1.41E-3</v>
      </c>
      <c r="F3794" s="76">
        <v>2.14E-3</v>
      </c>
      <c r="G3794" s="76">
        <v>2.8800000000000002E-3</v>
      </c>
      <c r="H3794" s="76">
        <v>3.5899999999999999E-3</v>
      </c>
      <c r="I3794" s="76">
        <v>4.2500000000000003E-3</v>
      </c>
      <c r="J3794" s="76">
        <v>5.0099999999999997E-3</v>
      </c>
      <c r="K3794" s="76">
        <v>5.7400000000000003E-3</v>
      </c>
      <c r="L3794" s="76">
        <v>6.3E-3</v>
      </c>
      <c r="M3794" s="76">
        <v>7.0499999999999998E-3</v>
      </c>
    </row>
    <row r="3795" spans="3:13" x14ac:dyDescent="0.15">
      <c r="C3795" s="76">
        <v>558</v>
      </c>
      <c r="D3795" s="76">
        <v>6.3699999999999998E-4</v>
      </c>
      <c r="E3795" s="76">
        <v>1.2700000000000001E-3</v>
      </c>
      <c r="F3795" s="76">
        <v>1.9300000000000001E-3</v>
      </c>
      <c r="G3795" s="76">
        <v>2.6199999999999999E-3</v>
      </c>
      <c r="H3795" s="76">
        <v>3.2599999999999999E-3</v>
      </c>
      <c r="I3795" s="76">
        <v>3.82E-3</v>
      </c>
      <c r="J3795" s="76">
        <v>4.5300000000000002E-3</v>
      </c>
      <c r="K3795" s="76">
        <v>5.1700000000000001E-3</v>
      </c>
      <c r="L3795" s="76">
        <v>5.7999999999999996E-3</v>
      </c>
      <c r="M3795" s="76">
        <v>6.3800000000000003E-3</v>
      </c>
    </row>
    <row r="3796" spans="3:13" x14ac:dyDescent="0.15">
      <c r="C3796" s="76">
        <v>560</v>
      </c>
      <c r="D3796" s="76">
        <v>5.8500000000000002E-4</v>
      </c>
      <c r="E3796" s="76">
        <v>1.16E-3</v>
      </c>
      <c r="F3796" s="76">
        <v>1.7799999999999999E-3</v>
      </c>
      <c r="G3796" s="76">
        <v>2.3999999999999998E-3</v>
      </c>
      <c r="H3796" s="76">
        <v>2.97E-3</v>
      </c>
      <c r="I3796" s="76">
        <v>3.5000000000000001E-3</v>
      </c>
      <c r="J3796" s="76">
        <v>4.1599999999999996E-3</v>
      </c>
      <c r="K3796" s="76">
        <v>4.6600000000000001E-3</v>
      </c>
      <c r="L3796" s="76">
        <v>5.2900000000000004E-3</v>
      </c>
      <c r="M3796" s="76">
        <v>5.8900000000000003E-3</v>
      </c>
    </row>
    <row r="3797" spans="3:13" x14ac:dyDescent="0.15">
      <c r="C3797" s="76">
        <v>562</v>
      </c>
      <c r="D3797" s="76">
        <v>5.3700000000000004E-4</v>
      </c>
      <c r="E3797" s="76">
        <v>1.07E-3</v>
      </c>
      <c r="F3797" s="76">
        <v>1.6199999999999999E-3</v>
      </c>
      <c r="G3797" s="76">
        <v>2.2100000000000002E-3</v>
      </c>
      <c r="H3797" s="76">
        <v>2.7499999999999998E-3</v>
      </c>
      <c r="I3797" s="76">
        <v>3.1800000000000001E-3</v>
      </c>
      <c r="J3797" s="76">
        <v>3.79E-3</v>
      </c>
      <c r="K3797" s="76">
        <v>4.2900000000000004E-3</v>
      </c>
      <c r="L3797" s="76">
        <v>4.8399999999999997E-3</v>
      </c>
      <c r="M3797" s="76">
        <v>5.4099999999999999E-3</v>
      </c>
    </row>
    <row r="3798" spans="3:13" x14ac:dyDescent="0.15">
      <c r="C3798" s="76">
        <v>564</v>
      </c>
      <c r="D3798" s="76">
        <v>4.9200000000000003E-4</v>
      </c>
      <c r="E3798" s="76">
        <v>9.8200000000000002E-4</v>
      </c>
      <c r="F3798" s="76">
        <v>1.49E-3</v>
      </c>
      <c r="G3798" s="76">
        <v>2.0200000000000001E-3</v>
      </c>
      <c r="H3798" s="76">
        <v>2.5200000000000001E-3</v>
      </c>
      <c r="I3798" s="76">
        <v>2.8999999999999998E-3</v>
      </c>
      <c r="J3798" s="76">
        <v>3.4399999999999999E-3</v>
      </c>
      <c r="K3798" s="76">
        <v>4.0000000000000001E-3</v>
      </c>
      <c r="L3798" s="76">
        <v>4.4099999999999999E-3</v>
      </c>
      <c r="M3798" s="76">
        <v>4.9800000000000001E-3</v>
      </c>
    </row>
    <row r="3799" spans="3:13" x14ac:dyDescent="0.15">
      <c r="C3799" s="76">
        <v>566</v>
      </c>
      <c r="D3799" s="76">
        <v>4.5899999999999999E-4</v>
      </c>
      <c r="E3799" s="76">
        <v>9.1E-4</v>
      </c>
      <c r="F3799" s="76">
        <v>1.3799999999999999E-3</v>
      </c>
      <c r="G3799" s="76">
        <v>1.8699999999999999E-3</v>
      </c>
      <c r="H3799" s="76">
        <v>2.31E-3</v>
      </c>
      <c r="I3799" s="76">
        <v>2.66E-3</v>
      </c>
      <c r="J3799" s="76">
        <v>3.2499999999999999E-3</v>
      </c>
      <c r="K3799" s="76">
        <v>3.5999999999999999E-3</v>
      </c>
      <c r="L3799" s="76">
        <v>4.0600000000000002E-3</v>
      </c>
      <c r="M3799" s="76">
        <v>4.6499999999999996E-3</v>
      </c>
    </row>
    <row r="3800" spans="3:13" x14ac:dyDescent="0.15">
      <c r="C3800" s="76">
        <v>568</v>
      </c>
      <c r="D3800" s="76">
        <v>4.2099999999999999E-4</v>
      </c>
      <c r="E3800" s="76">
        <v>8.5800000000000004E-4</v>
      </c>
      <c r="F3800" s="76">
        <v>1.2800000000000001E-3</v>
      </c>
      <c r="G3800" s="76">
        <v>1.74E-3</v>
      </c>
      <c r="H3800" s="76">
        <v>2.16E-3</v>
      </c>
      <c r="I3800" s="76">
        <v>2.4599999999999999E-3</v>
      </c>
      <c r="J3800" s="76">
        <v>2.98E-3</v>
      </c>
      <c r="K3800" s="76">
        <v>3.4399999999999999E-3</v>
      </c>
      <c r="L3800" s="76">
        <v>3.7100000000000002E-3</v>
      </c>
      <c r="M3800" s="76">
        <v>4.1700000000000001E-3</v>
      </c>
    </row>
    <row r="3801" spans="3:13" x14ac:dyDescent="0.15">
      <c r="C3801" s="76">
        <v>570</v>
      </c>
      <c r="D3801" s="76">
        <v>3.8900000000000002E-4</v>
      </c>
      <c r="E3801" s="76">
        <v>7.76E-4</v>
      </c>
      <c r="F3801" s="76">
        <v>1.1900000000000001E-3</v>
      </c>
      <c r="G3801" s="76">
        <v>1.5900000000000001E-3</v>
      </c>
      <c r="H3801" s="76">
        <v>2E-3</v>
      </c>
      <c r="I3801" s="76">
        <v>2.2799999999999999E-3</v>
      </c>
      <c r="J3801" s="76">
        <v>2.7499999999999998E-3</v>
      </c>
      <c r="K3801" s="76">
        <v>3.15E-3</v>
      </c>
      <c r="L3801" s="76">
        <v>3.4099999999999998E-3</v>
      </c>
      <c r="M3801" s="76">
        <v>3.8800000000000002E-3</v>
      </c>
    </row>
    <row r="3802" spans="3:13" x14ac:dyDescent="0.15">
      <c r="C3802" s="76">
        <v>572</v>
      </c>
      <c r="D3802" s="76">
        <v>3.6400000000000001E-4</v>
      </c>
      <c r="E3802" s="76">
        <v>7.1699999999999997E-4</v>
      </c>
      <c r="F3802" s="76">
        <v>1.1000000000000001E-3</v>
      </c>
      <c r="G3802" s="76">
        <v>1.49E-3</v>
      </c>
      <c r="H3802" s="76">
        <v>1.83E-3</v>
      </c>
      <c r="I3802" s="76">
        <v>2.0999999999999999E-3</v>
      </c>
      <c r="J3802" s="76">
        <v>2.5899999999999999E-3</v>
      </c>
      <c r="K3802" s="76">
        <v>2.96E-3</v>
      </c>
      <c r="L3802" s="76">
        <v>3.1900000000000001E-3</v>
      </c>
      <c r="M3802" s="76">
        <v>3.63E-3</v>
      </c>
    </row>
    <row r="3803" spans="3:13" x14ac:dyDescent="0.15">
      <c r="C3803" s="76">
        <v>574</v>
      </c>
      <c r="D3803" s="76">
        <v>3.4299999999999999E-4</v>
      </c>
      <c r="E3803" s="76">
        <v>6.69E-4</v>
      </c>
      <c r="F3803" s="76">
        <v>1.0200000000000001E-3</v>
      </c>
      <c r="G3803" s="76">
        <v>1.3799999999999999E-3</v>
      </c>
      <c r="H3803" s="76">
        <v>1.6999999999999999E-3</v>
      </c>
      <c r="I3803" s="76">
        <v>1.91E-3</v>
      </c>
      <c r="J3803" s="76">
        <v>2.4399999999999999E-3</v>
      </c>
      <c r="K3803" s="76">
        <v>2.66E-3</v>
      </c>
      <c r="L3803" s="76">
        <v>2.9299999999999999E-3</v>
      </c>
      <c r="M3803" s="76">
        <v>3.3899999999999998E-3</v>
      </c>
    </row>
    <row r="3804" spans="3:13" x14ac:dyDescent="0.15">
      <c r="C3804" s="76">
        <v>576</v>
      </c>
      <c r="D3804" s="76">
        <v>3.2200000000000002E-4</v>
      </c>
      <c r="E3804" s="76">
        <v>6.2299999999999996E-4</v>
      </c>
      <c r="F3804" s="76">
        <v>9.59E-4</v>
      </c>
      <c r="G3804" s="76">
        <v>1.2600000000000001E-3</v>
      </c>
      <c r="H3804" s="76">
        <v>1.6000000000000001E-3</v>
      </c>
      <c r="I3804" s="76">
        <v>1.7899999999999999E-3</v>
      </c>
      <c r="J3804" s="76">
        <v>2.2499999999999998E-3</v>
      </c>
      <c r="K3804" s="76">
        <v>2.5100000000000001E-3</v>
      </c>
      <c r="L3804" s="76">
        <v>2.7499999999999998E-3</v>
      </c>
      <c r="M3804" s="76">
        <v>3.1199999999999999E-3</v>
      </c>
    </row>
    <row r="3805" spans="3:13" x14ac:dyDescent="0.15">
      <c r="C3805" s="76">
        <v>578</v>
      </c>
      <c r="D3805" s="76">
        <v>3.0400000000000002E-4</v>
      </c>
      <c r="E3805" s="76">
        <v>5.7899999999999998E-4</v>
      </c>
      <c r="F3805" s="76">
        <v>8.9599999999999999E-4</v>
      </c>
      <c r="G3805" s="76">
        <v>1.1900000000000001E-3</v>
      </c>
      <c r="H3805" s="76">
        <v>1.4499999999999999E-3</v>
      </c>
      <c r="I3805" s="76">
        <v>1.6900000000000001E-3</v>
      </c>
      <c r="J3805" s="76">
        <v>2.0300000000000001E-3</v>
      </c>
      <c r="K3805" s="76">
        <v>2.2799999999999999E-3</v>
      </c>
      <c r="L3805" s="76">
        <v>2.5600000000000002E-3</v>
      </c>
      <c r="M3805" s="76">
        <v>2.8300000000000001E-3</v>
      </c>
    </row>
    <row r="3806" spans="3:13" x14ac:dyDescent="0.15">
      <c r="C3806" s="76">
        <v>580</v>
      </c>
      <c r="D3806" s="76">
        <v>2.7900000000000001E-4</v>
      </c>
      <c r="E3806" s="76">
        <v>5.3799999999999996E-4</v>
      </c>
      <c r="F3806" s="76">
        <v>8.1899999999999996E-4</v>
      </c>
      <c r="G3806" s="76">
        <v>1.1000000000000001E-3</v>
      </c>
      <c r="H3806" s="76">
        <v>1.32E-3</v>
      </c>
      <c r="I3806" s="76">
        <v>1.5499999999999999E-3</v>
      </c>
      <c r="J3806" s="76">
        <v>1.89E-3</v>
      </c>
      <c r="K3806" s="76">
        <v>2.1099999999999999E-3</v>
      </c>
      <c r="L3806" s="76">
        <v>2.3400000000000001E-3</v>
      </c>
      <c r="M3806" s="76">
        <v>2.5799999999999998E-3</v>
      </c>
    </row>
    <row r="3807" spans="3:13" x14ac:dyDescent="0.15">
      <c r="C3807" s="76">
        <v>582</v>
      </c>
      <c r="D3807" s="76">
        <v>2.5900000000000001E-4</v>
      </c>
      <c r="E3807" s="76">
        <v>5.04E-4</v>
      </c>
      <c r="F3807" s="76">
        <v>7.6300000000000001E-4</v>
      </c>
      <c r="G3807" s="76">
        <v>9.990000000000001E-4</v>
      </c>
      <c r="H3807" s="76">
        <v>1.24E-3</v>
      </c>
      <c r="I3807" s="76">
        <v>1.39E-3</v>
      </c>
      <c r="J3807" s="76">
        <v>1.75E-3</v>
      </c>
      <c r="K3807" s="76">
        <v>1.97E-3</v>
      </c>
      <c r="L3807" s="76">
        <v>2.15E-3</v>
      </c>
      <c r="M3807" s="76">
        <v>2.4399999999999999E-3</v>
      </c>
    </row>
    <row r="3808" spans="3:13" x14ac:dyDescent="0.15">
      <c r="C3808" s="76">
        <v>584</v>
      </c>
      <c r="D3808" s="76">
        <v>2.4399999999999999E-4</v>
      </c>
      <c r="E3808" s="76">
        <v>4.5800000000000002E-4</v>
      </c>
      <c r="F3808" s="76">
        <v>7.0799999999999997E-4</v>
      </c>
      <c r="G3808" s="76">
        <v>9.3899999999999995E-4</v>
      </c>
      <c r="H3808" s="76">
        <v>1.1100000000000001E-3</v>
      </c>
      <c r="I3808" s="76">
        <v>1.34E-3</v>
      </c>
      <c r="J3808" s="76">
        <v>1.6000000000000001E-3</v>
      </c>
      <c r="K3808" s="76">
        <v>1.7700000000000001E-3</v>
      </c>
      <c r="L3808" s="76">
        <v>1.9499999999999999E-3</v>
      </c>
      <c r="M3808" s="76">
        <v>2.1900000000000001E-3</v>
      </c>
    </row>
    <row r="3809" spans="3:13" x14ac:dyDescent="0.15">
      <c r="C3809" s="76">
        <v>586</v>
      </c>
      <c r="D3809" s="76">
        <v>2.2900000000000001E-4</v>
      </c>
      <c r="E3809" s="76">
        <v>4.3399999999999998E-4</v>
      </c>
      <c r="F3809" s="76">
        <v>6.7199999999999996E-4</v>
      </c>
      <c r="G3809" s="76">
        <v>8.5700000000000001E-4</v>
      </c>
      <c r="H3809" s="76">
        <v>1E-3</v>
      </c>
      <c r="I3809" s="76">
        <v>1.25E-3</v>
      </c>
      <c r="J3809" s="76">
        <v>1.4599999999999999E-3</v>
      </c>
      <c r="K3809" s="76">
        <v>1.66E-3</v>
      </c>
      <c r="L3809" s="76">
        <v>1.81E-3</v>
      </c>
      <c r="M3809" s="76">
        <v>2.0200000000000001E-3</v>
      </c>
    </row>
    <row r="3810" spans="3:13" x14ac:dyDescent="0.15">
      <c r="C3810" s="76">
        <v>588</v>
      </c>
      <c r="D3810" s="76">
        <v>2.0799999999999999E-4</v>
      </c>
      <c r="E3810" s="76">
        <v>3.9100000000000002E-4</v>
      </c>
      <c r="F3810" s="76">
        <v>5.8799999999999998E-4</v>
      </c>
      <c r="G3810" s="76">
        <v>7.6000000000000004E-4</v>
      </c>
      <c r="H3810" s="76">
        <v>9.0600000000000001E-4</v>
      </c>
      <c r="I3810" s="76">
        <v>1.09E-3</v>
      </c>
      <c r="J3810" s="76">
        <v>1.32E-3</v>
      </c>
      <c r="K3810" s="76">
        <v>1.5E-3</v>
      </c>
      <c r="L3810" s="76">
        <v>1.65E-3</v>
      </c>
      <c r="M3810" s="76">
        <v>1.8600000000000001E-3</v>
      </c>
    </row>
    <row r="3811" spans="3:13" x14ac:dyDescent="0.15">
      <c r="C3811" s="76">
        <v>590</v>
      </c>
      <c r="D3811" s="76">
        <v>1.8699999999999999E-4</v>
      </c>
      <c r="E3811" s="76">
        <v>3.7100000000000002E-4</v>
      </c>
      <c r="F3811" s="76">
        <v>5.3700000000000004E-4</v>
      </c>
      <c r="G3811" s="76">
        <v>6.8599999999999998E-4</v>
      </c>
      <c r="H3811" s="76">
        <v>8.2299999999999995E-4</v>
      </c>
      <c r="I3811" s="76">
        <v>1.1199999999999999E-3</v>
      </c>
      <c r="J3811" s="76">
        <v>1.14E-3</v>
      </c>
      <c r="K3811" s="76">
        <v>1.31E-3</v>
      </c>
      <c r="L3811" s="76">
        <v>1.5200000000000001E-3</v>
      </c>
      <c r="M3811" s="76">
        <v>1.64E-3</v>
      </c>
    </row>
    <row r="3812" spans="3:13" x14ac:dyDescent="0.15">
      <c r="C3812" s="76">
        <v>592</v>
      </c>
      <c r="D3812" s="76">
        <v>1.7100000000000001E-4</v>
      </c>
      <c r="E3812" s="76">
        <v>3.3399999999999999E-4</v>
      </c>
      <c r="F3812" s="76">
        <v>4.7800000000000002E-4</v>
      </c>
      <c r="G3812" s="76">
        <v>6.3100000000000005E-4</v>
      </c>
      <c r="H3812" s="76">
        <v>7.6199999999999998E-4</v>
      </c>
      <c r="I3812" s="76">
        <v>9.2500000000000004E-4</v>
      </c>
      <c r="J3812" s="76">
        <v>1.07E-3</v>
      </c>
      <c r="K3812" s="76">
        <v>1.2099999999999999E-3</v>
      </c>
      <c r="L3812" s="76">
        <v>1.3799999999999999E-3</v>
      </c>
      <c r="M3812" s="76">
        <v>1.56E-3</v>
      </c>
    </row>
    <row r="3813" spans="3:13" x14ac:dyDescent="0.15">
      <c r="C3813" s="76">
        <v>594</v>
      </c>
      <c r="D3813" s="76">
        <v>1.63E-4</v>
      </c>
      <c r="E3813" s="76">
        <v>3.0499999999999999E-4</v>
      </c>
      <c r="F3813" s="76">
        <v>4.5399999999999998E-4</v>
      </c>
      <c r="G3813" s="76">
        <v>5.6300000000000002E-4</v>
      </c>
      <c r="H3813" s="76">
        <v>6.8499999999999995E-4</v>
      </c>
      <c r="I3813" s="76">
        <v>8.5599999999999999E-4</v>
      </c>
      <c r="J3813" s="76">
        <v>9.6299999999999999E-4</v>
      </c>
      <c r="K3813" s="76">
        <v>1.07E-3</v>
      </c>
      <c r="L3813" s="76">
        <v>1.32E-3</v>
      </c>
      <c r="M3813" s="76">
        <v>1.41E-3</v>
      </c>
    </row>
    <row r="3814" spans="3:13" x14ac:dyDescent="0.15">
      <c r="C3814" s="76">
        <v>596</v>
      </c>
      <c r="D3814" s="76">
        <v>1.47E-4</v>
      </c>
      <c r="E3814" s="76">
        <v>2.81E-4</v>
      </c>
      <c r="F3814" s="76">
        <v>4.26E-4</v>
      </c>
      <c r="G3814" s="76">
        <v>5.1599999999999997E-4</v>
      </c>
      <c r="H3814" s="76">
        <v>6.4499999999999996E-4</v>
      </c>
      <c r="I3814" s="76">
        <v>8.2799999999999996E-4</v>
      </c>
      <c r="J3814" s="76">
        <v>8.0000000000000004E-4</v>
      </c>
      <c r="K3814" s="76">
        <v>9.5699999999999995E-4</v>
      </c>
      <c r="L3814" s="76">
        <v>1.24E-3</v>
      </c>
      <c r="M3814" s="76">
        <v>1.2899999999999999E-3</v>
      </c>
    </row>
    <row r="3815" spans="3:13" x14ac:dyDescent="0.15">
      <c r="C3815" s="76">
        <v>598</v>
      </c>
      <c r="D3815" s="76">
        <v>1.4100000000000001E-4</v>
      </c>
      <c r="E3815" s="76">
        <v>2.6200000000000003E-4</v>
      </c>
      <c r="F3815" s="76">
        <v>3.7500000000000001E-4</v>
      </c>
      <c r="G3815" s="76">
        <v>4.7600000000000002E-4</v>
      </c>
      <c r="H3815" s="76">
        <v>5.9900000000000003E-4</v>
      </c>
      <c r="I3815" s="76">
        <v>7.6900000000000004E-4</v>
      </c>
      <c r="J3815" s="76">
        <v>7.1599999999999995E-4</v>
      </c>
      <c r="K3815" s="76">
        <v>9.3499999999999996E-4</v>
      </c>
      <c r="L3815" s="76">
        <v>1.07E-3</v>
      </c>
      <c r="M3815" s="76">
        <v>1.16E-3</v>
      </c>
    </row>
    <row r="3816" spans="3:13" x14ac:dyDescent="0.15">
      <c r="C3816" s="76">
        <v>600</v>
      </c>
      <c r="D3816" s="76">
        <v>1.21E-4</v>
      </c>
      <c r="E3816" s="76">
        <v>2.3000000000000001E-4</v>
      </c>
      <c r="F3816" s="76">
        <v>3.3100000000000002E-4</v>
      </c>
      <c r="G3816" s="76">
        <v>4.0099999999999999E-4</v>
      </c>
      <c r="H3816" s="76">
        <v>5.2899999999999996E-4</v>
      </c>
      <c r="I3816" s="76">
        <v>7.0899999999999999E-4</v>
      </c>
      <c r="J3816" s="76">
        <v>6.7699999999999998E-4</v>
      </c>
      <c r="K3816" s="76">
        <v>7.9500000000000003E-4</v>
      </c>
      <c r="L3816" s="76">
        <v>1.1199999999999999E-3</v>
      </c>
      <c r="M3816" s="76">
        <v>1.06E-3</v>
      </c>
    </row>
    <row r="3817" spans="3:13" x14ac:dyDescent="0.15">
      <c r="C3817" s="76">
        <v>602</v>
      </c>
      <c r="D3817" s="76">
        <v>1.13E-4</v>
      </c>
      <c r="E3817" s="76">
        <v>2.1900000000000001E-4</v>
      </c>
      <c r="F3817" s="76">
        <v>3.0699999999999998E-4</v>
      </c>
      <c r="G3817" s="76">
        <v>3.8099999999999999E-4</v>
      </c>
      <c r="H3817" s="76">
        <v>4.8999999999999998E-4</v>
      </c>
      <c r="I3817" s="76">
        <v>6.8800000000000003E-4</v>
      </c>
      <c r="J3817" s="76">
        <v>6.0400000000000004E-4</v>
      </c>
      <c r="K3817" s="76">
        <v>6.3900000000000003E-4</v>
      </c>
      <c r="L3817" s="76">
        <v>9.9099999999999991E-4</v>
      </c>
      <c r="M3817" s="76">
        <v>1.0300000000000001E-3</v>
      </c>
    </row>
    <row r="3818" spans="3:13" x14ac:dyDescent="0.15">
      <c r="C3818" s="76">
        <v>604</v>
      </c>
      <c r="D3818" s="76">
        <v>1.08E-4</v>
      </c>
      <c r="E3818" s="76">
        <v>2.13E-4</v>
      </c>
      <c r="F3818" s="76">
        <v>2.9100000000000003E-4</v>
      </c>
      <c r="G3818" s="76">
        <v>3.3599999999999998E-4</v>
      </c>
      <c r="H3818" s="76">
        <v>4.6200000000000001E-4</v>
      </c>
      <c r="I3818" s="76">
        <v>5.9599999999999996E-4</v>
      </c>
      <c r="J3818" s="76">
        <v>5.4500000000000002E-4</v>
      </c>
      <c r="K3818" s="76">
        <v>6.02E-4</v>
      </c>
      <c r="L3818" s="76">
        <v>9.3000000000000005E-4</v>
      </c>
      <c r="M3818" s="76">
        <v>9.19E-4</v>
      </c>
    </row>
    <row r="3819" spans="3:13" x14ac:dyDescent="0.15">
      <c r="C3819" s="76">
        <v>606</v>
      </c>
      <c r="D3819" s="76">
        <v>9.3300000000000005E-5</v>
      </c>
      <c r="E3819" s="76">
        <v>1.9100000000000001E-4</v>
      </c>
      <c r="F3819" s="76">
        <v>2.5399999999999999E-4</v>
      </c>
      <c r="G3819" s="76">
        <v>3.4000000000000002E-4</v>
      </c>
      <c r="H3819" s="76">
        <v>4.46E-4</v>
      </c>
      <c r="I3819" s="76">
        <v>5.62E-4</v>
      </c>
      <c r="J3819" s="76">
        <v>6.6399999999999999E-4</v>
      </c>
      <c r="K3819" s="76">
        <v>5.7899999999999998E-4</v>
      </c>
      <c r="L3819" s="76">
        <v>8.2899999999999998E-4</v>
      </c>
      <c r="M3819" s="76">
        <v>8.34E-4</v>
      </c>
    </row>
    <row r="3820" spans="3:13" x14ac:dyDescent="0.15">
      <c r="C3820" s="76">
        <v>608</v>
      </c>
      <c r="D3820" s="76">
        <v>8.5900000000000001E-5</v>
      </c>
      <c r="E3820" s="76">
        <v>1.74E-4</v>
      </c>
      <c r="F3820" s="76">
        <v>2.3599999999999999E-4</v>
      </c>
      <c r="G3820" s="76">
        <v>3.1599999999999998E-4</v>
      </c>
      <c r="H3820" s="76">
        <v>4.0000000000000002E-4</v>
      </c>
      <c r="I3820" s="76">
        <v>5.1199999999999998E-4</v>
      </c>
      <c r="J3820" s="76">
        <v>5.2300000000000003E-4</v>
      </c>
      <c r="K3820" s="76">
        <v>4.5800000000000002E-4</v>
      </c>
      <c r="L3820" s="76">
        <v>8.3900000000000001E-4</v>
      </c>
      <c r="M3820" s="76">
        <v>7.4899999999999999E-4</v>
      </c>
    </row>
    <row r="3821" spans="3:13" x14ac:dyDescent="0.15">
      <c r="C3821" s="76">
        <v>610</v>
      </c>
      <c r="D3821" s="76">
        <v>8.2100000000000003E-5</v>
      </c>
      <c r="E3821" s="76">
        <v>1.83E-4</v>
      </c>
      <c r="F3821" s="76">
        <v>2.1699999999999999E-4</v>
      </c>
      <c r="G3821" s="76">
        <v>2.5399999999999999E-4</v>
      </c>
      <c r="H3821" s="76">
        <v>3.8400000000000001E-4</v>
      </c>
      <c r="I3821" s="76">
        <v>4.5800000000000002E-4</v>
      </c>
      <c r="J3821" s="76">
        <v>4.2000000000000002E-4</v>
      </c>
      <c r="K3821" s="76">
        <v>5.1699999999999999E-4</v>
      </c>
      <c r="L3821" s="76">
        <v>7.7399999999999995E-4</v>
      </c>
      <c r="M3821" s="76">
        <v>7.9100000000000004E-4</v>
      </c>
    </row>
    <row r="3822" spans="3:13" x14ac:dyDescent="0.15">
      <c r="C3822" s="76">
        <v>612</v>
      </c>
      <c r="D3822" s="76">
        <v>7.1500000000000003E-5</v>
      </c>
      <c r="E3822" s="76">
        <v>1.4999999999999999E-4</v>
      </c>
      <c r="F3822" s="76">
        <v>2.0799999999999999E-4</v>
      </c>
      <c r="G3822" s="76">
        <v>2.43E-4</v>
      </c>
      <c r="H3822" s="76">
        <v>3.5199999999999999E-4</v>
      </c>
      <c r="I3822" s="76">
        <v>4.2499999999999998E-4</v>
      </c>
      <c r="J3822" s="76">
        <v>4.1100000000000002E-4</v>
      </c>
      <c r="K3822" s="76">
        <v>4.28E-4</v>
      </c>
      <c r="L3822" s="76">
        <v>6.5700000000000003E-4</v>
      </c>
      <c r="M3822" s="76">
        <v>6.0800000000000003E-4</v>
      </c>
    </row>
    <row r="3823" spans="3:13" x14ac:dyDescent="0.15">
      <c r="C3823" s="76">
        <v>614</v>
      </c>
      <c r="D3823" s="76">
        <v>6.5900000000000003E-5</v>
      </c>
      <c r="E3823" s="76">
        <v>1.2999999999999999E-4</v>
      </c>
      <c r="F3823" s="76">
        <v>1.8799999999999999E-4</v>
      </c>
      <c r="G3823" s="76">
        <v>2.12E-4</v>
      </c>
      <c r="H3823" s="76">
        <v>3.3199999999999999E-4</v>
      </c>
      <c r="I3823" s="76">
        <v>3.8200000000000002E-4</v>
      </c>
      <c r="J3823" s="76">
        <v>3.6600000000000001E-4</v>
      </c>
      <c r="K3823" s="76">
        <v>4.1100000000000002E-4</v>
      </c>
      <c r="L3823" s="76">
        <v>6.3500000000000004E-4</v>
      </c>
      <c r="M3823" s="76">
        <v>5.9999999999999995E-4</v>
      </c>
    </row>
    <row r="3824" spans="3:13" x14ac:dyDescent="0.15">
      <c r="C3824" s="76">
        <v>616</v>
      </c>
      <c r="D3824" s="76">
        <v>5.8799999999999999E-5</v>
      </c>
      <c r="E3824" s="76">
        <v>1.27E-4</v>
      </c>
      <c r="F3824" s="76">
        <v>1.5300000000000001E-4</v>
      </c>
      <c r="G3824" s="76">
        <v>2.2000000000000001E-4</v>
      </c>
      <c r="H3824" s="76">
        <v>2.9100000000000003E-4</v>
      </c>
      <c r="I3824" s="76">
        <v>3.0600000000000001E-4</v>
      </c>
      <c r="J3824" s="76">
        <v>4.0499999999999998E-4</v>
      </c>
      <c r="K3824" s="76">
        <v>3.5300000000000002E-4</v>
      </c>
      <c r="L3824" s="76">
        <v>5.8699999999999996E-4</v>
      </c>
      <c r="M3824" s="76">
        <v>5.8399999999999999E-4</v>
      </c>
    </row>
    <row r="3825" spans="3:13" x14ac:dyDescent="0.15">
      <c r="C3825" s="76">
        <v>618</v>
      </c>
      <c r="D3825" s="76">
        <v>5.13E-5</v>
      </c>
      <c r="E3825" s="76">
        <v>1.13E-4</v>
      </c>
      <c r="F3825" s="76">
        <v>1.3999999999999999E-4</v>
      </c>
      <c r="G3825" s="76">
        <v>1.85E-4</v>
      </c>
      <c r="H3825" s="76">
        <v>2.8499999999999999E-4</v>
      </c>
      <c r="I3825" s="76">
        <v>3.21E-4</v>
      </c>
      <c r="J3825" s="76">
        <v>3.3300000000000002E-4</v>
      </c>
      <c r="K3825" s="76">
        <v>3.2000000000000003E-4</v>
      </c>
      <c r="L3825" s="76">
        <v>5.6099999999999998E-4</v>
      </c>
      <c r="M3825" s="76">
        <v>5.31E-4</v>
      </c>
    </row>
    <row r="3826" spans="3:13" x14ac:dyDescent="0.15">
      <c r="C3826" s="76">
        <v>620</v>
      </c>
      <c r="D3826" s="76">
        <v>4.8900000000000003E-5</v>
      </c>
      <c r="E3826" s="76">
        <v>1.21E-4</v>
      </c>
      <c r="F3826" s="76">
        <v>1.3200000000000001E-4</v>
      </c>
      <c r="G3826" s="76">
        <v>1.8699999999999999E-4</v>
      </c>
      <c r="H3826" s="76">
        <v>2.4499999999999999E-4</v>
      </c>
      <c r="I3826" s="76">
        <v>2.9999999999999997E-4</v>
      </c>
      <c r="J3826" s="76">
        <v>3.3199999999999999E-4</v>
      </c>
      <c r="K3826" s="76">
        <v>3.0299999999999999E-4</v>
      </c>
      <c r="L3826" s="76">
        <v>6.5700000000000003E-4</v>
      </c>
      <c r="M3826" s="76">
        <v>4.1399999999999998E-4</v>
      </c>
    </row>
    <row r="3827" spans="3:13" x14ac:dyDescent="0.15">
      <c r="C3827" s="76">
        <v>622</v>
      </c>
      <c r="D3827" s="76">
        <v>4.5399999999999999E-5</v>
      </c>
      <c r="E3827" s="76">
        <v>1.08E-4</v>
      </c>
      <c r="F3827" s="76">
        <v>1.18E-4</v>
      </c>
      <c r="G3827" s="76">
        <v>1.74E-4</v>
      </c>
      <c r="H3827" s="76">
        <v>2.33E-4</v>
      </c>
      <c r="I3827" s="76">
        <v>2.43E-4</v>
      </c>
      <c r="J3827" s="76">
        <v>3.21E-4</v>
      </c>
      <c r="K3827" s="76">
        <v>2.8699999999999998E-4</v>
      </c>
      <c r="L3827" s="76">
        <v>4.5100000000000001E-4</v>
      </c>
      <c r="M3827" s="76">
        <v>4.37E-4</v>
      </c>
    </row>
    <row r="3828" spans="3:13" x14ac:dyDescent="0.15">
      <c r="C3828" s="76">
        <v>624</v>
      </c>
      <c r="D3828" s="76">
        <v>4.1900000000000002E-5</v>
      </c>
      <c r="E3828" s="76">
        <v>8.81E-5</v>
      </c>
      <c r="F3828" s="76">
        <v>1.07E-4</v>
      </c>
      <c r="G3828" s="76">
        <v>1.6699999999999999E-4</v>
      </c>
      <c r="H3828" s="76">
        <v>2.3599999999999999E-4</v>
      </c>
      <c r="I3828" s="76">
        <v>1.93E-4</v>
      </c>
      <c r="J3828" s="76">
        <v>3.2699999999999998E-4</v>
      </c>
      <c r="K3828" s="76">
        <v>2.7900000000000001E-4</v>
      </c>
      <c r="L3828" s="76">
        <v>4.2700000000000002E-4</v>
      </c>
      <c r="M3828" s="76">
        <v>4.1399999999999998E-4</v>
      </c>
    </row>
    <row r="3829" spans="3:13" x14ac:dyDescent="0.15">
      <c r="C3829" s="76">
        <v>626</v>
      </c>
      <c r="D3829" s="76">
        <v>3.6100000000000003E-5</v>
      </c>
      <c r="E3829" s="76">
        <v>8.7000000000000001E-5</v>
      </c>
      <c r="F3829" s="76">
        <v>1.21E-4</v>
      </c>
      <c r="G3829" s="76">
        <v>1.5100000000000001E-4</v>
      </c>
      <c r="H3829" s="76">
        <v>2.0799999999999999E-4</v>
      </c>
      <c r="I3829" s="76">
        <v>1.8100000000000001E-4</v>
      </c>
      <c r="J3829" s="76">
        <v>3.2699999999999998E-4</v>
      </c>
      <c r="K3829" s="76">
        <v>2.8699999999999998E-4</v>
      </c>
      <c r="L3829" s="76">
        <v>3.7199999999999999E-4</v>
      </c>
      <c r="M3829" s="76">
        <v>3.8900000000000002E-4</v>
      </c>
    </row>
    <row r="3830" spans="3:13" x14ac:dyDescent="0.15">
      <c r="C3830" s="76">
        <v>628</v>
      </c>
      <c r="D3830" s="76">
        <v>2.4700000000000001E-5</v>
      </c>
      <c r="E3830" s="76">
        <v>8.1600000000000005E-5</v>
      </c>
      <c r="F3830" s="76">
        <v>1.06E-4</v>
      </c>
      <c r="G3830" s="76">
        <v>1.55E-4</v>
      </c>
      <c r="H3830" s="76">
        <v>2.1800000000000001E-4</v>
      </c>
      <c r="I3830" s="76">
        <v>2.32E-4</v>
      </c>
      <c r="J3830" s="76">
        <v>3.2699999999999998E-4</v>
      </c>
      <c r="K3830" s="76">
        <v>2.4600000000000002E-4</v>
      </c>
      <c r="L3830" s="76">
        <v>3.1700000000000001E-4</v>
      </c>
      <c r="M3830" s="76">
        <v>3.0899999999999998E-4</v>
      </c>
    </row>
    <row r="3831" spans="3:13" x14ac:dyDescent="0.15">
      <c r="C3831" s="76">
        <v>630</v>
      </c>
      <c r="D3831" s="76">
        <v>2.9499999999999999E-5</v>
      </c>
      <c r="E3831" s="76">
        <v>6.9999999999999994E-5</v>
      </c>
      <c r="F3831" s="76">
        <v>7.2700000000000005E-5</v>
      </c>
      <c r="G3831" s="76">
        <v>1.3300000000000001E-4</v>
      </c>
      <c r="H3831" s="76">
        <v>2.1000000000000001E-4</v>
      </c>
      <c r="I3831" s="76">
        <v>1.6899999999999999E-4</v>
      </c>
      <c r="J3831" s="76">
        <v>2.81E-4</v>
      </c>
      <c r="K3831" s="76">
        <v>2.4600000000000002E-4</v>
      </c>
      <c r="L3831" s="76">
        <v>3.3799999999999998E-4</v>
      </c>
      <c r="M3831" s="76">
        <v>3.1100000000000002E-4</v>
      </c>
    </row>
    <row r="3832" spans="3:13" x14ac:dyDescent="0.15">
      <c r="C3832" s="76">
        <v>632</v>
      </c>
      <c r="D3832" s="76">
        <v>2.6699999999999998E-5</v>
      </c>
      <c r="E3832" s="76">
        <v>5.9599999999999999E-5</v>
      </c>
      <c r="F3832" s="76">
        <v>4.5800000000000002E-5</v>
      </c>
      <c r="G3832" s="76">
        <v>1.27E-4</v>
      </c>
      <c r="H3832" s="76">
        <v>1.8599999999999999E-4</v>
      </c>
      <c r="I3832" s="76">
        <v>1.4100000000000001E-4</v>
      </c>
      <c r="J3832" s="76">
        <v>3.3599999999999998E-4</v>
      </c>
      <c r="K3832" s="76">
        <v>2.4399999999999999E-4</v>
      </c>
      <c r="L3832" s="76">
        <v>3.3300000000000002E-4</v>
      </c>
      <c r="M3832" s="76">
        <v>2.5399999999999999E-4</v>
      </c>
    </row>
    <row r="3833" spans="3:13" x14ac:dyDescent="0.15">
      <c r="C3833" s="76">
        <v>634</v>
      </c>
      <c r="D3833" s="76">
        <v>2.8600000000000001E-5</v>
      </c>
      <c r="E3833" s="76">
        <v>6.4300000000000004E-5</v>
      </c>
      <c r="F3833" s="76">
        <v>3.2299999999999999E-5</v>
      </c>
      <c r="G3833" s="76">
        <v>1.6000000000000001E-4</v>
      </c>
      <c r="H3833" s="76">
        <v>1.7699999999999999E-4</v>
      </c>
      <c r="I3833" s="76">
        <v>1.36E-4</v>
      </c>
      <c r="J3833" s="76">
        <v>2.9799999999999998E-4</v>
      </c>
      <c r="K3833" s="76">
        <v>2.3699999999999999E-4</v>
      </c>
      <c r="L3833" s="76">
        <v>3.0600000000000001E-4</v>
      </c>
      <c r="M3833" s="76">
        <v>3.2899999999999997E-4</v>
      </c>
    </row>
    <row r="3834" spans="3:13" x14ac:dyDescent="0.15">
      <c r="C3834" s="76">
        <v>636</v>
      </c>
      <c r="D3834" s="76">
        <v>2.2500000000000001E-5</v>
      </c>
      <c r="E3834" s="76">
        <v>5.9200000000000002E-5</v>
      </c>
      <c r="F3834" s="76">
        <v>6.3600000000000001E-5</v>
      </c>
      <c r="G3834" s="76">
        <v>1.56E-4</v>
      </c>
      <c r="H3834" s="76">
        <v>1.73E-4</v>
      </c>
      <c r="I3834" s="76">
        <v>1.18E-4</v>
      </c>
      <c r="J3834" s="76">
        <v>2.7099999999999997E-4</v>
      </c>
      <c r="K3834" s="76">
        <v>2.34E-4</v>
      </c>
      <c r="L3834" s="76">
        <v>3.2400000000000001E-4</v>
      </c>
      <c r="M3834" s="76">
        <v>3.0800000000000001E-4</v>
      </c>
    </row>
    <row r="3835" spans="3:13" x14ac:dyDescent="0.15">
      <c r="C3835" s="76">
        <v>638</v>
      </c>
      <c r="D3835" s="76">
        <v>2.5999999999999998E-5</v>
      </c>
      <c r="E3835" s="76">
        <v>4.9599999999999999E-5</v>
      </c>
      <c r="F3835" s="76">
        <v>5.3399999999999997E-5</v>
      </c>
      <c r="G3835" s="76">
        <v>1.21E-4</v>
      </c>
      <c r="H3835" s="76">
        <v>1.7799999999999999E-4</v>
      </c>
      <c r="I3835" s="76">
        <v>1.46E-4</v>
      </c>
      <c r="J3835" s="76">
        <v>3.2699999999999998E-4</v>
      </c>
      <c r="K3835" s="76">
        <v>1.8599999999999999E-4</v>
      </c>
      <c r="L3835" s="76">
        <v>2.8200000000000002E-4</v>
      </c>
      <c r="M3835" s="76">
        <v>2.9300000000000002E-4</v>
      </c>
    </row>
    <row r="3836" spans="3:13" x14ac:dyDescent="0.15">
      <c r="C3836" s="76">
        <v>640</v>
      </c>
      <c r="D3836" s="76">
        <v>2.9499999999999999E-5</v>
      </c>
      <c r="E3836" s="76">
        <v>6.1699999999999995E-5</v>
      </c>
      <c r="F3836" s="76">
        <v>4.1900000000000002E-5</v>
      </c>
      <c r="G3836" s="76">
        <v>1.2899999999999999E-4</v>
      </c>
      <c r="H3836" s="76">
        <v>1.5200000000000001E-4</v>
      </c>
      <c r="I3836" s="76">
        <v>1.66E-4</v>
      </c>
      <c r="J3836" s="76">
        <v>2.9100000000000003E-4</v>
      </c>
      <c r="K3836" s="76">
        <v>2.3499999999999999E-4</v>
      </c>
      <c r="L3836" s="76">
        <v>2.5999999999999998E-4</v>
      </c>
      <c r="M3836" s="76">
        <v>2.4600000000000002E-4</v>
      </c>
    </row>
    <row r="3837" spans="3:13" x14ac:dyDescent="0.15">
      <c r="C3837" s="76">
        <v>642</v>
      </c>
      <c r="D3837" s="76">
        <v>2.3600000000000001E-5</v>
      </c>
      <c r="E3837" s="76">
        <v>4.71E-5</v>
      </c>
      <c r="F3837" s="76">
        <v>5.0300000000000003E-5</v>
      </c>
      <c r="G3837" s="76">
        <v>1.3899999999999999E-4</v>
      </c>
      <c r="H3837" s="76">
        <v>1.4799999999999999E-4</v>
      </c>
      <c r="I3837" s="76">
        <v>1.8799999999999999E-4</v>
      </c>
      <c r="J3837" s="76">
        <v>2.8600000000000001E-4</v>
      </c>
      <c r="K3837" s="76">
        <v>1.7000000000000001E-4</v>
      </c>
      <c r="L3837" s="76">
        <v>2.8499999999999999E-4</v>
      </c>
      <c r="M3837" s="76">
        <v>2.5799999999999998E-4</v>
      </c>
    </row>
    <row r="3838" spans="3:13" x14ac:dyDescent="0.15">
      <c r="C3838" s="76">
        <v>644</v>
      </c>
      <c r="D3838" s="76">
        <v>2.6400000000000001E-5</v>
      </c>
      <c r="E3838" s="76">
        <v>4.18E-5</v>
      </c>
      <c r="F3838" s="76">
        <v>5.6100000000000002E-5</v>
      </c>
      <c r="G3838" s="76">
        <v>1.3200000000000001E-4</v>
      </c>
      <c r="H3838" s="76">
        <v>1.5200000000000001E-4</v>
      </c>
      <c r="I3838" s="76">
        <v>1.85E-4</v>
      </c>
      <c r="J3838" s="76">
        <v>2.4399999999999999E-4</v>
      </c>
      <c r="K3838" s="76">
        <v>1.8000000000000001E-4</v>
      </c>
      <c r="L3838" s="76">
        <v>2.8699999999999998E-4</v>
      </c>
      <c r="M3838" s="76">
        <v>2.8899999999999998E-4</v>
      </c>
    </row>
    <row r="3839" spans="3:13" x14ac:dyDescent="0.15">
      <c r="C3839" s="76">
        <v>646</v>
      </c>
      <c r="D3839" s="76">
        <v>1.7099999999999999E-5</v>
      </c>
      <c r="E3839" s="76">
        <v>5.1799999999999999E-5</v>
      </c>
      <c r="F3839" s="76">
        <v>6.0000000000000002E-5</v>
      </c>
      <c r="G3839" s="76">
        <v>1.18E-4</v>
      </c>
      <c r="H3839" s="76">
        <v>1.18E-4</v>
      </c>
      <c r="I3839" s="76">
        <v>1.56E-4</v>
      </c>
      <c r="J3839" s="76">
        <v>2.5300000000000002E-4</v>
      </c>
      <c r="K3839" s="76">
        <v>2.3900000000000001E-4</v>
      </c>
      <c r="L3839" s="76">
        <v>2.8600000000000001E-4</v>
      </c>
      <c r="M3839" s="76">
        <v>2.8800000000000001E-4</v>
      </c>
    </row>
    <row r="3840" spans="3:13" x14ac:dyDescent="0.15">
      <c r="C3840" s="76">
        <v>648</v>
      </c>
      <c r="D3840" s="76">
        <v>2.83E-5</v>
      </c>
      <c r="E3840" s="76">
        <v>3.7400000000000001E-5</v>
      </c>
      <c r="F3840" s="76">
        <v>6.4200000000000002E-5</v>
      </c>
      <c r="G3840" s="76">
        <v>1.4300000000000001E-4</v>
      </c>
      <c r="H3840" s="76">
        <v>1.21E-4</v>
      </c>
      <c r="I3840" s="76">
        <v>2.1499999999999999E-4</v>
      </c>
      <c r="J3840" s="76">
        <v>1.56E-4</v>
      </c>
      <c r="K3840" s="76">
        <v>1.9699999999999999E-4</v>
      </c>
      <c r="L3840" s="76">
        <v>2.5900000000000001E-4</v>
      </c>
      <c r="M3840" s="76">
        <v>2.43E-4</v>
      </c>
    </row>
    <row r="3841" spans="3:13" x14ac:dyDescent="0.15">
      <c r="C3841" s="76">
        <v>650</v>
      </c>
      <c r="D3841" s="76">
        <v>2.9300000000000001E-5</v>
      </c>
      <c r="E3841" s="76">
        <v>4.07E-5</v>
      </c>
      <c r="F3841" s="76">
        <v>5.63E-5</v>
      </c>
      <c r="G3841" s="76">
        <v>1.22E-4</v>
      </c>
      <c r="H3841" s="76">
        <v>1.34E-4</v>
      </c>
      <c r="I3841" s="76">
        <v>1.8599999999999999E-4</v>
      </c>
      <c r="J3841" s="76">
        <v>2.12E-4</v>
      </c>
      <c r="K3841" s="76">
        <v>1.8799999999999999E-4</v>
      </c>
      <c r="L3841" s="76">
        <v>3.1599999999999998E-4</v>
      </c>
      <c r="M3841" s="76">
        <v>2.5999999999999998E-4</v>
      </c>
    </row>
    <row r="3842" spans="3:13" x14ac:dyDescent="0.15">
      <c r="C3842" s="76">
        <v>652</v>
      </c>
      <c r="D3842" s="76">
        <v>2.0000000000000002E-5</v>
      </c>
      <c r="E3842" s="76">
        <v>3.5599999999999998E-5</v>
      </c>
      <c r="F3842" s="76">
        <v>5.3100000000000003E-5</v>
      </c>
      <c r="G3842" s="76">
        <v>1.44E-4</v>
      </c>
      <c r="H3842" s="76">
        <v>1.12E-4</v>
      </c>
      <c r="I3842" s="76">
        <v>1.9000000000000001E-4</v>
      </c>
      <c r="J3842" s="76">
        <v>2.3800000000000001E-4</v>
      </c>
      <c r="K3842" s="76">
        <v>2.0100000000000001E-4</v>
      </c>
      <c r="L3842" s="76">
        <v>3.1599999999999998E-4</v>
      </c>
      <c r="M3842" s="76">
        <v>2.6400000000000002E-4</v>
      </c>
    </row>
    <row r="3843" spans="3:13" x14ac:dyDescent="0.15">
      <c r="C3843" s="76">
        <v>654</v>
      </c>
      <c r="D3843" s="76">
        <v>2.1999999999999999E-5</v>
      </c>
      <c r="E3843" s="76">
        <v>4.35E-5</v>
      </c>
      <c r="F3843" s="76">
        <v>8.1500000000000002E-5</v>
      </c>
      <c r="G3843" s="76">
        <v>1.1400000000000001E-4</v>
      </c>
      <c r="H3843" s="76">
        <v>3.3500000000000001E-5</v>
      </c>
      <c r="I3843" s="76">
        <v>2.2599999999999999E-4</v>
      </c>
      <c r="J3843" s="76">
        <v>2.1599999999999999E-4</v>
      </c>
      <c r="K3843" s="76">
        <v>2.7799999999999998E-4</v>
      </c>
      <c r="L3843" s="76">
        <v>2.52E-4</v>
      </c>
      <c r="M3843" s="76">
        <v>2.41E-4</v>
      </c>
    </row>
    <row r="3844" spans="3:13" x14ac:dyDescent="0.15">
      <c r="C3844" s="76">
        <v>656</v>
      </c>
      <c r="D3844" s="76">
        <v>1.73E-5</v>
      </c>
      <c r="E3844" s="76">
        <v>4.0200000000000001E-5</v>
      </c>
      <c r="F3844" s="76">
        <v>8.5699999999999996E-5</v>
      </c>
      <c r="G3844" s="76">
        <v>1.2999999999999999E-4</v>
      </c>
      <c r="H3844" s="76">
        <v>6.3200000000000005E-5</v>
      </c>
      <c r="I3844" s="76">
        <v>2.43E-4</v>
      </c>
      <c r="J3844" s="76">
        <v>2.34E-4</v>
      </c>
      <c r="K3844" s="76">
        <v>2.34E-4</v>
      </c>
      <c r="L3844" s="76">
        <v>2.32E-4</v>
      </c>
      <c r="M3844" s="76">
        <v>1.75E-4</v>
      </c>
    </row>
    <row r="3845" spans="3:13" x14ac:dyDescent="0.15">
      <c r="C3845" s="76">
        <v>658</v>
      </c>
      <c r="D3845" s="76">
        <v>1.7900000000000001E-5</v>
      </c>
      <c r="E3845" s="76">
        <v>3.04E-5</v>
      </c>
      <c r="F3845" s="76">
        <v>8.6100000000000006E-5</v>
      </c>
      <c r="G3845" s="76">
        <v>1.4799999999999999E-4</v>
      </c>
      <c r="H3845" s="76">
        <v>5.8699999999999997E-5</v>
      </c>
      <c r="I3845" s="76">
        <v>2.5099999999999998E-4</v>
      </c>
      <c r="J3845" s="76">
        <v>2.4899999999999998E-4</v>
      </c>
      <c r="K3845" s="76">
        <v>2.2599999999999999E-4</v>
      </c>
      <c r="L3845" s="76">
        <v>2.6699999999999998E-4</v>
      </c>
      <c r="M3845" s="76">
        <v>2.6499999999999999E-4</v>
      </c>
    </row>
    <row r="3846" spans="3:13" x14ac:dyDescent="0.15">
      <c r="C3846" s="76">
        <v>660</v>
      </c>
      <c r="D3846" s="76">
        <v>2.1800000000000001E-5</v>
      </c>
      <c r="E3846" s="76">
        <v>2.6400000000000001E-5</v>
      </c>
      <c r="F3846" s="76">
        <v>7.9599999999999997E-5</v>
      </c>
      <c r="G3846" s="76">
        <v>1.2799999999999999E-4</v>
      </c>
      <c r="H3846" s="76">
        <v>6.8700000000000003E-5</v>
      </c>
      <c r="I3846" s="76">
        <v>2.8499999999999999E-4</v>
      </c>
      <c r="J3846" s="76">
        <v>1.9799999999999999E-4</v>
      </c>
      <c r="K3846" s="76">
        <v>2.3699999999999999E-4</v>
      </c>
      <c r="L3846" s="76">
        <v>4.2099999999999999E-4</v>
      </c>
      <c r="M3846" s="76">
        <v>2.52E-4</v>
      </c>
    </row>
    <row r="3847" spans="3:13" x14ac:dyDescent="0.15">
      <c r="C3847" s="76">
        <v>662</v>
      </c>
      <c r="D3847" s="76">
        <v>1.77E-5</v>
      </c>
      <c r="E3847" s="76">
        <v>2.7500000000000001E-5</v>
      </c>
      <c r="F3847" s="76">
        <v>9.9199999999999999E-5</v>
      </c>
      <c r="G3847" s="76">
        <v>9.2499999999999999E-5</v>
      </c>
      <c r="H3847" s="76">
        <v>6.4999999999999994E-5</v>
      </c>
      <c r="I3847" s="76">
        <v>2.6200000000000003E-4</v>
      </c>
      <c r="J3847" s="76">
        <v>2.1599999999999999E-4</v>
      </c>
      <c r="K3847" s="76">
        <v>2.2699999999999999E-4</v>
      </c>
      <c r="L3847" s="76">
        <v>2.81E-4</v>
      </c>
      <c r="M3847" s="76">
        <v>2.5599999999999999E-4</v>
      </c>
    </row>
    <row r="3848" spans="3:13" x14ac:dyDescent="0.15">
      <c r="C3848" s="76">
        <v>664</v>
      </c>
      <c r="D3848" s="76">
        <v>1.6900000000000001E-5</v>
      </c>
      <c r="E3848" s="76">
        <v>3.6000000000000001E-5</v>
      </c>
      <c r="F3848" s="76">
        <v>1.2799999999999999E-4</v>
      </c>
      <c r="G3848" s="76">
        <v>9.9400000000000004E-5</v>
      </c>
      <c r="H3848" s="76">
        <v>8.2200000000000006E-5</v>
      </c>
      <c r="I3848" s="76">
        <v>2.2000000000000001E-4</v>
      </c>
      <c r="J3848" s="76">
        <v>2.3699999999999999E-4</v>
      </c>
      <c r="K3848" s="76">
        <v>2.3499999999999999E-4</v>
      </c>
      <c r="L3848" s="76">
        <v>2.0599999999999999E-4</v>
      </c>
      <c r="M3848" s="76">
        <v>2.0799999999999999E-4</v>
      </c>
    </row>
    <row r="3849" spans="3:13" x14ac:dyDescent="0.15">
      <c r="C3849" s="76">
        <v>666</v>
      </c>
      <c r="D3849" s="76">
        <v>2.5599999999999999E-5</v>
      </c>
      <c r="E3849" s="76">
        <v>3.8300000000000003E-5</v>
      </c>
      <c r="F3849" s="76">
        <v>1.0399999999999999E-4</v>
      </c>
      <c r="G3849" s="76">
        <v>1.1E-4</v>
      </c>
      <c r="H3849" s="76">
        <v>5.9599999999999999E-5</v>
      </c>
      <c r="I3849" s="76">
        <v>2.13E-4</v>
      </c>
      <c r="J3849" s="76">
        <v>2.13E-4</v>
      </c>
      <c r="K3849" s="76">
        <v>1.9000000000000001E-4</v>
      </c>
      <c r="L3849" s="76">
        <v>1.7799999999999999E-4</v>
      </c>
      <c r="M3849" s="76">
        <v>2.0699999999999999E-4</v>
      </c>
    </row>
    <row r="3850" spans="3:13" x14ac:dyDescent="0.15">
      <c r="C3850" s="76">
        <v>668</v>
      </c>
      <c r="D3850" s="76">
        <v>2.7100000000000001E-5</v>
      </c>
      <c r="E3850" s="76">
        <v>3.0899999999999999E-5</v>
      </c>
      <c r="F3850" s="76">
        <v>1.3100000000000001E-4</v>
      </c>
      <c r="G3850" s="76">
        <v>8.7499999999999999E-5</v>
      </c>
      <c r="H3850" s="76">
        <v>5.7000000000000003E-5</v>
      </c>
      <c r="I3850" s="76">
        <v>2.7900000000000001E-4</v>
      </c>
      <c r="J3850" s="76">
        <v>2.1000000000000001E-4</v>
      </c>
      <c r="K3850" s="76">
        <v>2.0599999999999999E-4</v>
      </c>
      <c r="L3850" s="76">
        <v>2.13E-4</v>
      </c>
      <c r="M3850" s="76">
        <v>1.76E-4</v>
      </c>
    </row>
    <row r="3851" spans="3:13" x14ac:dyDescent="0.15">
      <c r="C3851" s="76">
        <v>670</v>
      </c>
      <c r="D3851" s="76">
        <v>2.2900000000000001E-5</v>
      </c>
      <c r="E3851" s="76">
        <v>2.3900000000000002E-5</v>
      </c>
      <c r="F3851" s="76">
        <v>1.2799999999999999E-4</v>
      </c>
      <c r="G3851" s="76">
        <v>1.06E-4</v>
      </c>
      <c r="H3851" s="76">
        <v>1.01E-4</v>
      </c>
      <c r="I3851" s="76">
        <v>3.0200000000000002E-4</v>
      </c>
      <c r="J3851" s="76">
        <v>2.0100000000000001E-4</v>
      </c>
      <c r="K3851" s="76">
        <v>1.4799999999999999E-4</v>
      </c>
      <c r="L3851" s="76">
        <v>1.92E-4</v>
      </c>
      <c r="M3851" s="76">
        <v>1.4100000000000001E-4</v>
      </c>
    </row>
    <row r="3852" spans="3:13" x14ac:dyDescent="0.15">
      <c r="C3852" s="76">
        <v>672</v>
      </c>
      <c r="D3852" s="76">
        <v>1.56E-5</v>
      </c>
      <c r="E3852" s="76">
        <v>4.1399999999999997E-5</v>
      </c>
      <c r="F3852" s="76">
        <v>1.2400000000000001E-4</v>
      </c>
      <c r="G3852" s="76">
        <v>8.6399999999999999E-5</v>
      </c>
      <c r="H3852" s="76">
        <v>7.6699999999999994E-5</v>
      </c>
      <c r="I3852" s="76">
        <v>1.84E-4</v>
      </c>
      <c r="J3852" s="76">
        <v>1.85E-4</v>
      </c>
      <c r="K3852" s="76">
        <v>1.66E-4</v>
      </c>
      <c r="L3852" s="76">
        <v>1.3300000000000001E-4</v>
      </c>
      <c r="M3852" s="76">
        <v>2.7E-4</v>
      </c>
    </row>
    <row r="3853" spans="3:13" x14ac:dyDescent="0.15">
      <c r="C3853" s="76">
        <v>674</v>
      </c>
      <c r="D3853" s="76">
        <v>2.3499999999999999E-5</v>
      </c>
      <c r="E3853" s="76">
        <v>5.1999999999999997E-5</v>
      </c>
      <c r="F3853" s="76">
        <v>1.02E-4</v>
      </c>
      <c r="G3853" s="76">
        <v>9.6299999999999996E-5</v>
      </c>
      <c r="H3853" s="76">
        <v>4.3699999999999998E-5</v>
      </c>
      <c r="I3853" s="76">
        <v>1.47E-4</v>
      </c>
      <c r="J3853" s="76">
        <v>1.5200000000000001E-4</v>
      </c>
      <c r="K3853" s="76">
        <v>1.22E-4</v>
      </c>
      <c r="L3853" s="76">
        <v>1.8900000000000001E-4</v>
      </c>
      <c r="M3853" s="76">
        <v>1.3300000000000001E-4</v>
      </c>
    </row>
    <row r="3854" spans="3:13" x14ac:dyDescent="0.15">
      <c r="C3854" s="76">
        <v>676</v>
      </c>
      <c r="D3854" s="76">
        <v>2.5899999999999999E-5</v>
      </c>
      <c r="E3854" s="76">
        <v>3.6000000000000001E-5</v>
      </c>
      <c r="F3854" s="76">
        <v>1.12E-4</v>
      </c>
      <c r="G3854" s="76">
        <v>9.1600000000000004E-5</v>
      </c>
      <c r="H3854" s="76">
        <v>5.8600000000000001E-5</v>
      </c>
      <c r="I3854" s="76">
        <v>1.3999999999999999E-4</v>
      </c>
      <c r="J3854" s="76">
        <v>1.3999999999999999E-4</v>
      </c>
      <c r="K3854" s="76">
        <v>1.4999999999999999E-4</v>
      </c>
      <c r="L3854" s="76">
        <v>1.47E-4</v>
      </c>
      <c r="M3854" s="76">
        <v>1.94E-4</v>
      </c>
    </row>
    <row r="3855" spans="3:13" x14ac:dyDescent="0.15">
      <c r="C3855" s="76">
        <v>678</v>
      </c>
      <c r="D3855" s="76">
        <v>2.0699999999999998E-5</v>
      </c>
      <c r="E3855" s="76">
        <v>5.6400000000000002E-5</v>
      </c>
      <c r="F3855" s="76">
        <v>1.06E-4</v>
      </c>
      <c r="G3855" s="76">
        <v>7.8800000000000004E-5</v>
      </c>
      <c r="H3855" s="76">
        <v>5.7200000000000001E-5</v>
      </c>
      <c r="I3855" s="76">
        <v>2.04E-4</v>
      </c>
      <c r="J3855" s="76">
        <v>1.5300000000000001E-4</v>
      </c>
      <c r="K3855" s="76">
        <v>1.34E-4</v>
      </c>
      <c r="L3855" s="76">
        <v>8.6500000000000002E-5</v>
      </c>
      <c r="M3855" s="76">
        <v>1.8799999999999999E-4</v>
      </c>
    </row>
    <row r="3856" spans="3:13" x14ac:dyDescent="0.15">
      <c r="C3856" s="76">
        <v>680</v>
      </c>
      <c r="D3856" s="76">
        <v>2.0400000000000001E-5</v>
      </c>
      <c r="E3856" s="76">
        <v>6.2299999999999996E-5</v>
      </c>
      <c r="F3856" s="76">
        <v>1.18E-4</v>
      </c>
      <c r="G3856" s="76">
        <v>1.15E-4</v>
      </c>
      <c r="H3856" s="76">
        <v>1.2899999999999999E-4</v>
      </c>
      <c r="I3856" s="76">
        <v>1.9100000000000001E-4</v>
      </c>
      <c r="J3856" s="76">
        <v>1.3799999999999999E-4</v>
      </c>
      <c r="K3856" s="76">
        <v>1.26E-4</v>
      </c>
      <c r="L3856" s="76">
        <v>1.4100000000000001E-4</v>
      </c>
      <c r="M3856" s="76">
        <v>1.4999999999999999E-4</v>
      </c>
    </row>
    <row r="3857" spans="3:13" x14ac:dyDescent="0.15">
      <c r="C3857" s="76">
        <v>682</v>
      </c>
      <c r="D3857" s="76">
        <v>2.58E-5</v>
      </c>
      <c r="E3857" s="76">
        <v>4.1900000000000002E-5</v>
      </c>
      <c r="F3857" s="76">
        <v>9.5799999999999998E-5</v>
      </c>
      <c r="G3857" s="76">
        <v>1.37E-4</v>
      </c>
      <c r="H3857" s="76">
        <v>8.0599999999999994E-5</v>
      </c>
      <c r="I3857" s="76">
        <v>1.06E-4</v>
      </c>
      <c r="J3857" s="76">
        <v>1.4899999999999999E-4</v>
      </c>
      <c r="K3857" s="76">
        <v>7.5599999999999994E-5</v>
      </c>
      <c r="L3857" s="76">
        <v>1.5699999999999999E-4</v>
      </c>
      <c r="M3857" s="76">
        <v>2.1900000000000001E-4</v>
      </c>
    </row>
    <row r="3858" spans="3:13" x14ac:dyDescent="0.15">
      <c r="C3858" s="76">
        <v>684</v>
      </c>
      <c r="D3858" s="76">
        <v>2.6100000000000001E-5</v>
      </c>
      <c r="E3858" s="76">
        <v>5.2200000000000002E-5</v>
      </c>
      <c r="F3858" s="76">
        <v>9.7E-5</v>
      </c>
      <c r="G3858" s="76">
        <v>1.05E-4</v>
      </c>
      <c r="H3858" s="76">
        <v>8.5699999999999996E-5</v>
      </c>
      <c r="I3858" s="76">
        <v>9.4900000000000003E-5</v>
      </c>
      <c r="J3858" s="76">
        <v>1.06E-4</v>
      </c>
      <c r="K3858" s="76">
        <v>3.2799999999999998E-5</v>
      </c>
      <c r="L3858" s="76">
        <v>1.35E-4</v>
      </c>
      <c r="M3858" s="76">
        <v>1.8000000000000001E-4</v>
      </c>
    </row>
    <row r="3859" spans="3:13" x14ac:dyDescent="0.15">
      <c r="C3859" s="76">
        <v>686</v>
      </c>
      <c r="D3859" s="76">
        <v>2.0400000000000001E-5</v>
      </c>
      <c r="E3859" s="76">
        <v>6.0699999999999998E-5</v>
      </c>
      <c r="F3859" s="76">
        <v>8.0900000000000001E-5</v>
      </c>
      <c r="G3859" s="76">
        <v>8.3399999999999994E-5</v>
      </c>
      <c r="H3859" s="76">
        <v>1.07E-4</v>
      </c>
      <c r="I3859" s="76">
        <v>4.4799999999999998E-5</v>
      </c>
      <c r="J3859" s="76">
        <v>1.0900000000000001E-4</v>
      </c>
      <c r="K3859" s="76">
        <v>7.3800000000000005E-5</v>
      </c>
      <c r="L3859" s="76">
        <v>1.2E-4</v>
      </c>
      <c r="M3859" s="76">
        <v>1.2400000000000001E-4</v>
      </c>
    </row>
    <row r="3860" spans="3:13" x14ac:dyDescent="0.15">
      <c r="C3860" s="76">
        <v>688</v>
      </c>
      <c r="D3860" s="76">
        <v>2.6100000000000001E-5</v>
      </c>
      <c r="E3860" s="76">
        <v>6.9599999999999998E-5</v>
      </c>
      <c r="F3860" s="76">
        <v>6.0000000000000002E-5</v>
      </c>
      <c r="G3860" s="76">
        <v>8.4499999999999994E-5</v>
      </c>
      <c r="H3860" s="76">
        <v>8.0699999999999996E-5</v>
      </c>
      <c r="I3860" s="76">
        <v>4.5399999999999999E-5</v>
      </c>
      <c r="J3860" s="76">
        <v>3.19E-4</v>
      </c>
      <c r="K3860" s="76">
        <v>6.4300000000000004E-5</v>
      </c>
      <c r="L3860" s="76">
        <v>9.7499999999999998E-5</v>
      </c>
      <c r="M3860" s="76">
        <v>1.37E-4</v>
      </c>
    </row>
    <row r="3861" spans="3:13" x14ac:dyDescent="0.15">
      <c r="C3861" s="76">
        <v>690</v>
      </c>
      <c r="D3861" s="76">
        <v>2.3900000000000002E-5</v>
      </c>
      <c r="E3861" s="76">
        <v>6.1699999999999995E-5</v>
      </c>
      <c r="F3861" s="76">
        <v>5.94E-5</v>
      </c>
      <c r="G3861" s="76">
        <v>7.8800000000000004E-5</v>
      </c>
      <c r="H3861" s="76">
        <v>6.58E-5</v>
      </c>
      <c r="I3861" s="76">
        <v>3.01E-5</v>
      </c>
      <c r="J3861" s="76">
        <v>1.1900000000000001E-4</v>
      </c>
      <c r="K3861" s="76">
        <v>3.5800000000000003E-5</v>
      </c>
      <c r="L3861" s="76">
        <v>2.9600000000000001E-5</v>
      </c>
      <c r="M3861" s="76">
        <v>4.9499999999999997E-5</v>
      </c>
    </row>
    <row r="3862" spans="3:13" x14ac:dyDescent="0.15">
      <c r="C3862" s="76">
        <v>692</v>
      </c>
      <c r="D3862" s="76">
        <v>1.9899999999999999E-5</v>
      </c>
      <c r="E3862" s="76">
        <v>6.5099999999999997E-5</v>
      </c>
      <c r="F3862" s="76">
        <v>4.1499999999999999E-5</v>
      </c>
      <c r="G3862" s="76">
        <v>5.27E-5</v>
      </c>
      <c r="H3862" s="76">
        <v>6.4700000000000001E-5</v>
      </c>
      <c r="I3862" s="76">
        <v>2.3799999999999999E-5</v>
      </c>
      <c r="J3862" s="76">
        <v>1.1E-4</v>
      </c>
      <c r="K3862" s="76">
        <v>8.0000000000000007E-5</v>
      </c>
      <c r="L3862" s="76">
        <v>1.17E-4</v>
      </c>
      <c r="M3862" s="76">
        <v>6.5300000000000002E-5</v>
      </c>
    </row>
    <row r="3863" spans="3:13" x14ac:dyDescent="0.15">
      <c r="C3863" s="76">
        <v>694</v>
      </c>
      <c r="D3863" s="76">
        <v>2.2900000000000001E-5</v>
      </c>
      <c r="E3863" s="76">
        <v>6.0099999999999997E-5</v>
      </c>
      <c r="F3863" s="76">
        <v>4.5899999999999998E-5</v>
      </c>
      <c r="G3863" s="76">
        <v>6.5900000000000003E-5</v>
      </c>
      <c r="H3863" s="76">
        <v>8.1199999999999995E-5</v>
      </c>
      <c r="I3863" s="76">
        <v>1.56E-5</v>
      </c>
      <c r="J3863" s="76">
        <v>1.15E-4</v>
      </c>
      <c r="K3863" s="76">
        <v>6.2500000000000001E-5</v>
      </c>
      <c r="L3863" s="76">
        <v>1.02E-4</v>
      </c>
      <c r="M3863" s="76">
        <v>3.54E-5</v>
      </c>
    </row>
    <row r="3864" spans="3:13" x14ac:dyDescent="0.15">
      <c r="C3864" s="76">
        <v>696</v>
      </c>
      <c r="D3864" s="76">
        <v>2.4000000000000001E-5</v>
      </c>
      <c r="E3864" s="76">
        <v>4.4199999999999997E-5</v>
      </c>
      <c r="F3864" s="76">
        <v>4.4499999999999997E-5</v>
      </c>
      <c r="G3864" s="76">
        <v>4.3300000000000002E-5</v>
      </c>
      <c r="H3864" s="76">
        <v>8.7700000000000004E-5</v>
      </c>
      <c r="I3864" s="76">
        <v>1.2500000000000001E-5</v>
      </c>
      <c r="J3864" s="76">
        <v>1.6699999999999999E-4</v>
      </c>
      <c r="K3864" s="76">
        <v>7.5599999999999994E-5</v>
      </c>
      <c r="L3864" s="76">
        <v>1.47E-4</v>
      </c>
      <c r="M3864" s="76">
        <v>1.06E-4</v>
      </c>
    </row>
    <row r="3865" spans="3:13" x14ac:dyDescent="0.15">
      <c r="C3865" s="76">
        <v>698</v>
      </c>
      <c r="D3865" s="76">
        <v>3.4900000000000001E-5</v>
      </c>
      <c r="E3865" s="76">
        <v>3.8099999999999998E-5</v>
      </c>
      <c r="F3865" s="76">
        <v>1.2999999999999999E-5</v>
      </c>
      <c r="G3865" s="76">
        <v>3.6600000000000002E-5</v>
      </c>
      <c r="H3865" s="76">
        <v>6.9400000000000006E-5</v>
      </c>
      <c r="I3865" s="76">
        <v>2.2399999999999999E-5</v>
      </c>
      <c r="J3865" s="76">
        <v>1.25E-4</v>
      </c>
      <c r="K3865" s="76">
        <v>1.05E-4</v>
      </c>
      <c r="L3865" s="76">
        <v>8.5599999999999994E-5</v>
      </c>
      <c r="M3865" s="76">
        <v>5.8699999999999997E-5</v>
      </c>
    </row>
    <row r="3866" spans="3:13" x14ac:dyDescent="0.15">
      <c r="C3866" s="76">
        <v>700</v>
      </c>
      <c r="D3866" s="76">
        <v>2.6699999999999998E-5</v>
      </c>
      <c r="E3866" s="76">
        <v>5.0899999999999997E-5</v>
      </c>
      <c r="F3866" s="76">
        <v>2.0100000000000001E-5</v>
      </c>
      <c r="G3866" s="76">
        <v>2.65E-5</v>
      </c>
      <c r="H3866" s="76">
        <v>5.1199999999999998E-5</v>
      </c>
      <c r="I3866" s="76">
        <v>2.2099999999999998E-5</v>
      </c>
      <c r="J3866" s="76">
        <v>1.54E-4</v>
      </c>
      <c r="K3866" s="76">
        <v>7.2999999999999999E-5</v>
      </c>
      <c r="L3866" s="76">
        <v>5.9799999999999997E-5</v>
      </c>
      <c r="M3866" s="76">
        <v>5.7399999999999999E-5</v>
      </c>
    </row>
    <row r="3867" spans="3:13" x14ac:dyDescent="0.15">
      <c r="C3867" s="76">
        <v>702</v>
      </c>
      <c r="D3867" s="76">
        <v>2.2900000000000001E-5</v>
      </c>
      <c r="E3867" s="76">
        <v>4.1699999999999997E-5</v>
      </c>
      <c r="F3867" s="76">
        <v>1.7099999999999999E-5</v>
      </c>
      <c r="G3867" s="76">
        <v>2.7500000000000001E-5</v>
      </c>
      <c r="H3867" s="76">
        <v>5.0500000000000001E-5</v>
      </c>
      <c r="I3867" s="76">
        <v>1.9899999999999999E-5</v>
      </c>
      <c r="J3867" s="76">
        <v>1.4799999999999999E-4</v>
      </c>
      <c r="K3867" s="76">
        <v>1.02E-4</v>
      </c>
      <c r="L3867" s="76">
        <v>5.8799999999999999E-5</v>
      </c>
      <c r="M3867" s="76">
        <v>6.97E-5</v>
      </c>
    </row>
    <row r="3868" spans="3:13" x14ac:dyDescent="0.15">
      <c r="C3868" s="76">
        <v>704</v>
      </c>
      <c r="D3868" s="76">
        <v>2.58E-5</v>
      </c>
      <c r="E3868" s="76">
        <v>3.8000000000000002E-5</v>
      </c>
      <c r="F3868" s="76">
        <v>1.45E-5</v>
      </c>
      <c r="G3868" s="76">
        <v>5.9500000000000003E-5</v>
      </c>
      <c r="H3868" s="76">
        <v>4.5200000000000001E-5</v>
      </c>
      <c r="I3868" s="76">
        <v>1.47E-5</v>
      </c>
      <c r="J3868" s="76">
        <v>1.65E-4</v>
      </c>
      <c r="K3868" s="76">
        <v>1.12E-4</v>
      </c>
      <c r="L3868" s="76">
        <v>1.5799999999999999E-4</v>
      </c>
      <c r="M3868" s="76">
        <v>6.3199999999999996E-6</v>
      </c>
    </row>
    <row r="3869" spans="3:13" x14ac:dyDescent="0.15">
      <c r="C3869" s="76">
        <v>706</v>
      </c>
      <c r="D3869" s="76">
        <v>2.0299999999999999E-5</v>
      </c>
      <c r="E3869" s="76">
        <v>4.7800000000000003E-5</v>
      </c>
      <c r="F3869" s="76">
        <v>8.9700000000000005E-6</v>
      </c>
      <c r="G3869" s="76">
        <v>9.6600000000000003E-5</v>
      </c>
      <c r="H3869" s="76">
        <v>5.0399999999999999E-5</v>
      </c>
      <c r="I3869" s="76">
        <v>4.3699999999999998E-5</v>
      </c>
      <c r="J3869" s="76">
        <v>1.46E-4</v>
      </c>
      <c r="K3869" s="76">
        <v>4.2599999999999999E-5</v>
      </c>
      <c r="L3869" s="76">
        <v>1.2999999999999999E-4</v>
      </c>
      <c r="M3869" s="76">
        <v>1.2E-5</v>
      </c>
    </row>
    <row r="3870" spans="3:13" x14ac:dyDescent="0.15">
      <c r="C3870" s="76">
        <v>708</v>
      </c>
      <c r="D3870" s="76">
        <v>2.0100000000000001E-5</v>
      </c>
      <c r="E3870" s="76">
        <v>3.7700000000000002E-5</v>
      </c>
      <c r="F3870" s="76">
        <v>1.86E-6</v>
      </c>
      <c r="G3870" s="76">
        <v>7.2100000000000004E-5</v>
      </c>
      <c r="H3870" s="76">
        <v>3.7200000000000003E-5</v>
      </c>
      <c r="I3870" s="76">
        <v>7.2899999999999997E-5</v>
      </c>
      <c r="J3870" s="76">
        <v>1.46E-4</v>
      </c>
      <c r="K3870" s="76">
        <v>7.3399999999999995E-5</v>
      </c>
      <c r="L3870" s="76">
        <v>1.03E-4</v>
      </c>
      <c r="M3870" s="76">
        <v>1.8199999999999999E-5</v>
      </c>
    </row>
    <row r="3871" spans="3:13" x14ac:dyDescent="0.15">
      <c r="C3871" s="76">
        <v>710</v>
      </c>
      <c r="D3871" s="76">
        <v>2.2799999999999999E-5</v>
      </c>
      <c r="E3871" s="76">
        <v>4.5800000000000002E-5</v>
      </c>
      <c r="F3871" s="76">
        <v>0</v>
      </c>
      <c r="G3871" s="76">
        <v>8.6299999999999997E-5</v>
      </c>
      <c r="H3871" s="76">
        <v>5.8499999999999999E-5</v>
      </c>
      <c r="I3871" s="76">
        <v>1.05E-4</v>
      </c>
      <c r="J3871" s="76">
        <v>2.0599999999999999E-4</v>
      </c>
      <c r="K3871" s="76">
        <v>1.5200000000000001E-4</v>
      </c>
      <c r="L3871" s="76">
        <v>1.3799999999999999E-4</v>
      </c>
      <c r="M3871" s="76">
        <v>4.1600000000000002E-5</v>
      </c>
    </row>
    <row r="3872" spans="3:13" x14ac:dyDescent="0.15">
      <c r="C3872" s="76">
        <v>712</v>
      </c>
      <c r="D3872" s="76">
        <v>2.05E-5</v>
      </c>
      <c r="E3872" s="76">
        <v>3.3000000000000003E-5</v>
      </c>
      <c r="F3872" s="76">
        <v>1.2E-5</v>
      </c>
      <c r="G3872" s="76">
        <v>7.3899999999999994E-5</v>
      </c>
      <c r="H3872" s="76">
        <v>8.8499999999999996E-5</v>
      </c>
      <c r="I3872" s="76">
        <v>1.0399999999999999E-4</v>
      </c>
      <c r="J3872" s="76">
        <v>1.3899999999999999E-4</v>
      </c>
      <c r="K3872" s="76">
        <v>1.18E-4</v>
      </c>
      <c r="L3872" s="76">
        <v>1.5699999999999999E-4</v>
      </c>
      <c r="M3872" s="76">
        <v>1.11E-4</v>
      </c>
    </row>
    <row r="3873" spans="3:13" x14ac:dyDescent="0.15">
      <c r="C3873" s="76">
        <v>714</v>
      </c>
      <c r="D3873" s="76">
        <v>1.7499999999999998E-5</v>
      </c>
      <c r="E3873" s="76">
        <v>3.2400000000000001E-5</v>
      </c>
      <c r="F3873" s="76">
        <v>0</v>
      </c>
      <c r="G3873" s="76">
        <v>4.8600000000000002E-5</v>
      </c>
      <c r="H3873" s="76">
        <v>8.3200000000000003E-5</v>
      </c>
      <c r="I3873" s="76">
        <v>5.91E-5</v>
      </c>
      <c r="J3873" s="76">
        <v>1.9000000000000001E-4</v>
      </c>
      <c r="K3873" s="76">
        <v>1.74E-4</v>
      </c>
      <c r="L3873" s="76">
        <v>7.2600000000000003E-5</v>
      </c>
      <c r="M3873" s="76">
        <v>6.5500000000000006E-5</v>
      </c>
    </row>
    <row r="3874" spans="3:13" x14ac:dyDescent="0.15">
      <c r="C3874" s="76">
        <v>716</v>
      </c>
      <c r="D3874" s="76">
        <v>1.7499999999999998E-5</v>
      </c>
      <c r="E3874" s="76">
        <v>3.2799999999999998E-5</v>
      </c>
      <c r="F3874" s="76">
        <v>4.0899999999999998E-6</v>
      </c>
      <c r="G3874" s="76">
        <v>5.3499999999999999E-5</v>
      </c>
      <c r="H3874" s="76">
        <v>8.3399999999999994E-5</v>
      </c>
      <c r="I3874" s="76">
        <v>1.35E-4</v>
      </c>
      <c r="J3874" s="76">
        <v>1.64E-4</v>
      </c>
      <c r="K3874" s="76">
        <v>2.1100000000000001E-4</v>
      </c>
      <c r="L3874" s="76">
        <v>1.4799999999999999E-4</v>
      </c>
      <c r="M3874" s="76">
        <v>2.4499999999999999E-5</v>
      </c>
    </row>
    <row r="3875" spans="3:13" x14ac:dyDescent="0.15">
      <c r="C3875" s="76">
        <v>718</v>
      </c>
      <c r="D3875" s="76">
        <v>1.84E-5</v>
      </c>
      <c r="E3875" s="76">
        <v>3.7499999999999997E-5</v>
      </c>
      <c r="F3875" s="76">
        <v>7.6199999999999999E-6</v>
      </c>
      <c r="G3875" s="76">
        <v>8.6899999999999998E-5</v>
      </c>
      <c r="H3875" s="76">
        <v>6.8899999999999994E-5</v>
      </c>
      <c r="I3875" s="76">
        <v>1.4899999999999999E-4</v>
      </c>
      <c r="J3875" s="76">
        <v>1.2999999999999999E-4</v>
      </c>
      <c r="K3875" s="76">
        <v>1.46E-4</v>
      </c>
      <c r="L3875" s="76">
        <v>2.0000000000000001E-4</v>
      </c>
      <c r="M3875" s="76">
        <v>6.1099999999999994E-5</v>
      </c>
    </row>
    <row r="3876" spans="3:13" x14ac:dyDescent="0.15">
      <c r="C3876" s="76">
        <v>720</v>
      </c>
      <c r="D3876" s="76">
        <v>2.0599999999999999E-5</v>
      </c>
      <c r="E3876" s="76">
        <v>4.5800000000000002E-5</v>
      </c>
      <c r="F3876" s="76">
        <v>3.4400000000000001E-7</v>
      </c>
      <c r="G3876" s="76">
        <v>1.1E-4</v>
      </c>
      <c r="H3876" s="76">
        <v>7.2799999999999994E-5</v>
      </c>
      <c r="I3876" s="76">
        <v>1.2899999999999999E-4</v>
      </c>
      <c r="J3876" s="76">
        <v>1.6100000000000001E-4</v>
      </c>
      <c r="K3876" s="76">
        <v>1.6000000000000001E-4</v>
      </c>
      <c r="L3876" s="76">
        <v>6.8999999999999997E-5</v>
      </c>
      <c r="M3876" s="76">
        <v>1.16E-4</v>
      </c>
    </row>
    <row r="3877" spans="3:13" x14ac:dyDescent="0.15">
      <c r="C3877" s="76">
        <v>722</v>
      </c>
      <c r="D3877" s="76">
        <v>2.3499999999999999E-5</v>
      </c>
      <c r="E3877" s="76">
        <v>4.1399999999999997E-5</v>
      </c>
      <c r="F3877" s="76">
        <v>0</v>
      </c>
      <c r="G3877" s="76">
        <v>1.08E-4</v>
      </c>
      <c r="H3877" s="76">
        <v>6.9599999999999998E-5</v>
      </c>
      <c r="I3877" s="76">
        <v>1.5699999999999999E-4</v>
      </c>
      <c r="J3877" s="76">
        <v>1.2899999999999999E-4</v>
      </c>
      <c r="K3877" s="76">
        <v>1.2799999999999999E-4</v>
      </c>
      <c r="L3877" s="76">
        <v>2.4000000000000001E-4</v>
      </c>
      <c r="M3877" s="76">
        <v>1.35E-4</v>
      </c>
    </row>
    <row r="3878" spans="3:13" x14ac:dyDescent="0.15">
      <c r="C3878" s="76">
        <v>724</v>
      </c>
      <c r="D3878" s="76">
        <v>2.1800000000000001E-5</v>
      </c>
      <c r="E3878" s="76">
        <v>3.54E-5</v>
      </c>
      <c r="F3878" s="76">
        <v>0</v>
      </c>
      <c r="G3878" s="76">
        <v>1.1400000000000001E-4</v>
      </c>
      <c r="H3878" s="76">
        <v>8.1299999999999997E-5</v>
      </c>
      <c r="I3878" s="76">
        <v>1.6000000000000001E-4</v>
      </c>
      <c r="J3878" s="76">
        <v>1.1E-4</v>
      </c>
      <c r="K3878" s="76">
        <v>1.45E-4</v>
      </c>
      <c r="L3878" s="76">
        <v>1.94E-4</v>
      </c>
      <c r="M3878" s="76">
        <v>2.03E-4</v>
      </c>
    </row>
    <row r="3879" spans="3:13" x14ac:dyDescent="0.15">
      <c r="C3879" s="76">
        <v>726</v>
      </c>
      <c r="D3879" s="76">
        <v>2.1299999999999999E-5</v>
      </c>
      <c r="E3879" s="76">
        <v>3.93E-5</v>
      </c>
      <c r="F3879" s="76">
        <v>0</v>
      </c>
      <c r="G3879" s="76">
        <v>6.7899999999999997E-5</v>
      </c>
      <c r="H3879" s="76">
        <v>1.16E-4</v>
      </c>
      <c r="I3879" s="76">
        <v>1.37E-4</v>
      </c>
      <c r="J3879" s="76">
        <v>8.6100000000000006E-5</v>
      </c>
      <c r="K3879" s="76">
        <v>1.8100000000000001E-4</v>
      </c>
      <c r="L3879" s="76">
        <v>1.85E-4</v>
      </c>
      <c r="M3879" s="76">
        <v>2.2699999999999999E-4</v>
      </c>
    </row>
    <row r="3880" spans="3:13" x14ac:dyDescent="0.15">
      <c r="C3880" s="76">
        <v>728</v>
      </c>
      <c r="D3880" s="76">
        <v>1.73E-5</v>
      </c>
      <c r="E3880" s="76">
        <v>3.8399999999999998E-5</v>
      </c>
      <c r="F3880" s="76">
        <v>5.0699999999999997E-6</v>
      </c>
      <c r="G3880" s="76">
        <v>9.59E-5</v>
      </c>
      <c r="H3880" s="76">
        <v>8.3100000000000001E-5</v>
      </c>
      <c r="I3880" s="76">
        <v>1.5699999999999999E-4</v>
      </c>
      <c r="J3880" s="76">
        <v>1.9100000000000001E-4</v>
      </c>
      <c r="K3880" s="76">
        <v>1.46E-4</v>
      </c>
      <c r="L3880" s="76">
        <v>2.1699999999999999E-4</v>
      </c>
      <c r="M3880" s="76">
        <v>1.76E-4</v>
      </c>
    </row>
    <row r="3881" spans="3:13" x14ac:dyDescent="0.15">
      <c r="C3881" s="76">
        <v>730</v>
      </c>
      <c r="D3881" s="76">
        <v>1.6099999999999998E-5</v>
      </c>
      <c r="E3881" s="76">
        <v>5.3699999999999997E-5</v>
      </c>
      <c r="F3881" s="76">
        <v>1.2799999999999999E-5</v>
      </c>
      <c r="G3881" s="76">
        <v>8.6899999999999998E-5</v>
      </c>
      <c r="H3881" s="76">
        <v>9.0400000000000002E-5</v>
      </c>
      <c r="I3881" s="76">
        <v>1.56E-4</v>
      </c>
      <c r="J3881" s="76">
        <v>6.9499999999999995E-5</v>
      </c>
      <c r="K3881" s="76">
        <v>4.7899999999999999E-5</v>
      </c>
      <c r="L3881" s="76">
        <v>1.9900000000000001E-4</v>
      </c>
      <c r="M3881" s="76">
        <v>2.22E-4</v>
      </c>
    </row>
    <row r="3882" spans="3:13" x14ac:dyDescent="0.15">
      <c r="C3882" s="76">
        <v>732</v>
      </c>
      <c r="D3882" s="76">
        <v>2.58E-5</v>
      </c>
      <c r="E3882" s="76">
        <v>5.5300000000000002E-5</v>
      </c>
      <c r="F3882" s="76">
        <v>9.8800000000000003E-6</v>
      </c>
      <c r="G3882" s="76">
        <v>1.15E-4</v>
      </c>
      <c r="H3882" s="76">
        <v>1.2300000000000001E-4</v>
      </c>
      <c r="I3882" s="76">
        <v>1.66E-4</v>
      </c>
      <c r="J3882" s="76">
        <v>4.18E-5</v>
      </c>
      <c r="K3882" s="76">
        <v>5.8999999999999998E-5</v>
      </c>
      <c r="L3882" s="76">
        <v>1.5100000000000001E-4</v>
      </c>
      <c r="M3882" s="76">
        <v>1.21E-4</v>
      </c>
    </row>
    <row r="3883" spans="3:13" x14ac:dyDescent="0.15">
      <c r="C3883" s="76">
        <v>734</v>
      </c>
      <c r="D3883" s="76">
        <v>1.52E-5</v>
      </c>
      <c r="E3883" s="76">
        <v>4.3800000000000001E-5</v>
      </c>
      <c r="F3883" s="76">
        <v>2.04E-6</v>
      </c>
      <c r="G3883" s="76">
        <v>7.1099999999999994E-5</v>
      </c>
      <c r="H3883" s="76">
        <v>1.2899999999999999E-4</v>
      </c>
      <c r="I3883" s="76">
        <v>1.65E-4</v>
      </c>
      <c r="J3883" s="76">
        <v>7.3300000000000006E-5</v>
      </c>
      <c r="K3883" s="76">
        <v>8.0500000000000005E-5</v>
      </c>
      <c r="L3883" s="76">
        <v>1.56E-4</v>
      </c>
      <c r="M3883" s="76">
        <v>2.61E-4</v>
      </c>
    </row>
    <row r="3884" spans="3:13" x14ac:dyDescent="0.15">
      <c r="C3884" s="76">
        <v>736</v>
      </c>
      <c r="D3884" s="76">
        <v>1.6399999999999999E-5</v>
      </c>
      <c r="E3884" s="76">
        <v>5.2500000000000002E-5</v>
      </c>
      <c r="F3884" s="76">
        <v>4.5399999999999997E-6</v>
      </c>
      <c r="G3884" s="76">
        <v>4.4400000000000002E-5</v>
      </c>
      <c r="H3884" s="76">
        <v>1.11E-4</v>
      </c>
      <c r="I3884" s="76">
        <v>1.94E-4</v>
      </c>
      <c r="J3884" s="76">
        <v>6.4999999999999994E-5</v>
      </c>
      <c r="K3884" s="76">
        <v>1.95E-4</v>
      </c>
      <c r="L3884" s="76">
        <v>1.8799999999999999E-4</v>
      </c>
      <c r="M3884" s="76">
        <v>2.7999999999999998E-4</v>
      </c>
    </row>
    <row r="3885" spans="3:13" x14ac:dyDescent="0.15">
      <c r="C3885" s="76">
        <v>738</v>
      </c>
      <c r="D3885" s="76">
        <v>2.2099999999999998E-5</v>
      </c>
      <c r="E3885" s="76">
        <v>4.07E-5</v>
      </c>
      <c r="F3885" s="76">
        <v>7.4499999999999998E-6</v>
      </c>
      <c r="G3885" s="76">
        <v>5.5699999999999999E-5</v>
      </c>
      <c r="H3885" s="76">
        <v>1.2400000000000001E-4</v>
      </c>
      <c r="I3885" s="76">
        <v>1.8799999999999999E-4</v>
      </c>
      <c r="J3885" s="76">
        <v>1.1E-4</v>
      </c>
      <c r="K3885" s="76">
        <v>1.45E-4</v>
      </c>
      <c r="L3885" s="76">
        <v>1.5699999999999999E-4</v>
      </c>
      <c r="M3885" s="76">
        <v>2.41E-4</v>
      </c>
    </row>
    <row r="3886" spans="3:13" x14ac:dyDescent="0.15">
      <c r="C3886" s="76">
        <v>740</v>
      </c>
      <c r="D3886" s="76">
        <v>2.8500000000000002E-5</v>
      </c>
      <c r="E3886" s="76">
        <v>3.9700000000000003E-5</v>
      </c>
      <c r="F3886" s="76">
        <v>1.42E-5</v>
      </c>
      <c r="G3886" s="76">
        <v>6.86E-5</v>
      </c>
      <c r="H3886" s="76">
        <v>9.7999999999999997E-5</v>
      </c>
      <c r="I3886" s="76">
        <v>9.2899999999999995E-5</v>
      </c>
      <c r="J3886" s="76">
        <v>7.1699999999999995E-5</v>
      </c>
      <c r="K3886" s="76">
        <v>1.4799999999999999E-4</v>
      </c>
      <c r="L3886" s="76">
        <v>2.8299999999999999E-4</v>
      </c>
      <c r="M3886" s="76">
        <v>2.2800000000000001E-4</v>
      </c>
    </row>
    <row r="3887" spans="3:13" x14ac:dyDescent="0.15">
      <c r="C3887" s="76">
        <v>742</v>
      </c>
      <c r="D3887" s="76">
        <v>2.1999999999999999E-5</v>
      </c>
      <c r="E3887" s="76">
        <v>4.6699999999999997E-5</v>
      </c>
      <c r="F3887" s="76">
        <v>3.8500000000000001E-5</v>
      </c>
      <c r="G3887" s="76">
        <v>4.1499999999999999E-5</v>
      </c>
      <c r="H3887" s="76">
        <v>5.41E-5</v>
      </c>
      <c r="I3887" s="76">
        <v>1.3899999999999999E-4</v>
      </c>
      <c r="J3887" s="76">
        <v>7.7299999999999995E-5</v>
      </c>
      <c r="K3887" s="76">
        <v>1.2799999999999999E-4</v>
      </c>
      <c r="L3887" s="76">
        <v>2.12E-4</v>
      </c>
      <c r="M3887" s="76">
        <v>2.7500000000000002E-4</v>
      </c>
    </row>
    <row r="3888" spans="3:13" x14ac:dyDescent="0.15">
      <c r="C3888" s="76">
        <v>744</v>
      </c>
      <c r="D3888" s="76">
        <v>2.1399999999999998E-5</v>
      </c>
      <c r="E3888" s="76">
        <v>4.1499999999999999E-5</v>
      </c>
      <c r="F3888" s="76">
        <v>1.5999999999999999E-5</v>
      </c>
      <c r="G3888" s="76">
        <v>2.94E-5</v>
      </c>
      <c r="H3888" s="76">
        <v>6.8700000000000003E-5</v>
      </c>
      <c r="I3888" s="76">
        <v>1.7000000000000001E-4</v>
      </c>
      <c r="J3888" s="76">
        <v>4.7500000000000003E-5</v>
      </c>
      <c r="K3888" s="76">
        <v>1.26E-4</v>
      </c>
      <c r="L3888" s="76">
        <v>1.4899999999999999E-4</v>
      </c>
      <c r="M3888" s="76">
        <v>2.8400000000000002E-4</v>
      </c>
    </row>
    <row r="3889" spans="3:13" x14ac:dyDescent="0.15">
      <c r="C3889" s="76">
        <v>746</v>
      </c>
      <c r="D3889" s="76">
        <v>1.7399999999999999E-5</v>
      </c>
      <c r="E3889" s="76">
        <v>4.5399999999999999E-5</v>
      </c>
      <c r="F3889" s="76">
        <v>1.8600000000000001E-5</v>
      </c>
      <c r="G3889" s="76">
        <v>1.6799999999999998E-5</v>
      </c>
      <c r="H3889" s="76">
        <v>8.1699999999999994E-5</v>
      </c>
      <c r="I3889" s="76">
        <v>1.06E-4</v>
      </c>
      <c r="J3889" s="76">
        <v>5.9200000000000002E-5</v>
      </c>
      <c r="K3889" s="76">
        <v>1.27E-4</v>
      </c>
      <c r="L3889" s="76">
        <v>1.37E-4</v>
      </c>
      <c r="M3889" s="76">
        <v>1.8599999999999999E-4</v>
      </c>
    </row>
    <row r="3890" spans="3:13" x14ac:dyDescent="0.15">
      <c r="C3890" s="76">
        <v>748</v>
      </c>
      <c r="D3890" s="76">
        <v>2.5999999999999998E-5</v>
      </c>
      <c r="E3890" s="76">
        <v>3.8000000000000002E-5</v>
      </c>
      <c r="F3890" s="76">
        <v>2.97E-5</v>
      </c>
      <c r="G3890" s="76">
        <v>1.4399999999999999E-5</v>
      </c>
      <c r="H3890" s="76">
        <v>3.8600000000000003E-5</v>
      </c>
      <c r="I3890" s="76">
        <v>9.4199999999999999E-5</v>
      </c>
      <c r="J3890" s="76">
        <v>1.05E-4</v>
      </c>
      <c r="K3890" s="76">
        <v>1.3200000000000001E-4</v>
      </c>
      <c r="L3890" s="76">
        <v>9.2899999999999995E-5</v>
      </c>
      <c r="M3890" s="76">
        <v>1.3899999999999999E-4</v>
      </c>
    </row>
    <row r="3891" spans="3:13" x14ac:dyDescent="0.15">
      <c r="C3891" s="76">
        <v>750</v>
      </c>
      <c r="D3891" s="76">
        <v>2.6699999999999998E-5</v>
      </c>
      <c r="E3891" s="76">
        <v>3.65E-5</v>
      </c>
      <c r="F3891" s="76">
        <v>5.3900000000000002E-5</v>
      </c>
      <c r="G3891" s="76">
        <v>6.02E-6</v>
      </c>
      <c r="H3891" s="76">
        <v>8.3700000000000002E-5</v>
      </c>
      <c r="I3891" s="76">
        <v>1.54E-4</v>
      </c>
      <c r="J3891" s="76">
        <v>5.49E-5</v>
      </c>
      <c r="K3891" s="76">
        <v>1.3100000000000001E-4</v>
      </c>
      <c r="L3891" s="76">
        <v>2.2000000000000001E-4</v>
      </c>
      <c r="M3891" s="76">
        <v>1.25E-4</v>
      </c>
    </row>
    <row r="3892" spans="3:13" x14ac:dyDescent="0.15">
      <c r="C3892" s="76">
        <v>752</v>
      </c>
      <c r="D3892" s="76">
        <v>2.6999999999999999E-5</v>
      </c>
      <c r="E3892" s="76">
        <v>3.93E-5</v>
      </c>
      <c r="F3892" s="76">
        <v>5.27E-5</v>
      </c>
      <c r="G3892" s="76">
        <v>1.9599999999999999E-5</v>
      </c>
      <c r="H3892" s="76">
        <v>6.9499999999999995E-5</v>
      </c>
      <c r="I3892" s="76">
        <v>1.03E-4</v>
      </c>
      <c r="J3892" s="76">
        <v>9.1100000000000005E-5</v>
      </c>
      <c r="K3892" s="76">
        <v>1.26E-4</v>
      </c>
      <c r="L3892" s="76">
        <v>1.16E-4</v>
      </c>
      <c r="M3892" s="76">
        <v>2.1000000000000001E-4</v>
      </c>
    </row>
    <row r="3893" spans="3:13" x14ac:dyDescent="0.15">
      <c r="C3893" s="76">
        <v>754</v>
      </c>
      <c r="D3893" s="76">
        <v>2.41E-5</v>
      </c>
      <c r="E3893" s="76">
        <v>4.6699999999999997E-5</v>
      </c>
      <c r="F3893" s="76">
        <v>4.2200000000000003E-5</v>
      </c>
      <c r="G3893" s="76">
        <v>4.7700000000000001E-6</v>
      </c>
      <c r="H3893" s="76">
        <v>2.9099999999999999E-5</v>
      </c>
      <c r="I3893" s="76">
        <v>1.54E-4</v>
      </c>
      <c r="J3893" s="76">
        <v>1.08E-4</v>
      </c>
      <c r="K3893" s="76">
        <v>1.21E-4</v>
      </c>
      <c r="L3893" s="76">
        <v>1.16E-4</v>
      </c>
      <c r="M3893" s="76">
        <v>2.1900000000000001E-4</v>
      </c>
    </row>
    <row r="3894" spans="3:13" x14ac:dyDescent="0.15">
      <c r="C3894" s="76">
        <v>756</v>
      </c>
      <c r="D3894" s="76">
        <v>2.73E-5</v>
      </c>
      <c r="E3894" s="76">
        <v>3.5200000000000002E-5</v>
      </c>
      <c r="F3894" s="76">
        <v>1.22E-4</v>
      </c>
      <c r="G3894" s="76">
        <v>0</v>
      </c>
      <c r="H3894" s="76">
        <v>1.6099999999999998E-5</v>
      </c>
      <c r="I3894" s="76">
        <v>1.3999999999999999E-4</v>
      </c>
      <c r="J3894" s="76">
        <v>1.8599999999999999E-4</v>
      </c>
      <c r="K3894" s="76">
        <v>1.65E-4</v>
      </c>
      <c r="L3894" s="76">
        <v>1.9100000000000001E-4</v>
      </c>
      <c r="M3894" s="76">
        <v>1.44E-4</v>
      </c>
    </row>
    <row r="3895" spans="3:13" x14ac:dyDescent="0.15">
      <c r="C3895" s="76">
        <v>758</v>
      </c>
      <c r="D3895" s="76">
        <v>1.7900000000000001E-5</v>
      </c>
      <c r="E3895" s="76">
        <v>4.5099999999999998E-5</v>
      </c>
      <c r="F3895" s="76">
        <v>8.5900000000000001E-5</v>
      </c>
      <c r="G3895" s="76">
        <v>0</v>
      </c>
      <c r="H3895" s="76">
        <v>1.63E-5</v>
      </c>
      <c r="I3895" s="76">
        <v>9.1199999999999994E-5</v>
      </c>
      <c r="J3895" s="76">
        <v>1.2899999999999999E-4</v>
      </c>
      <c r="K3895" s="76">
        <v>8.6100000000000006E-5</v>
      </c>
      <c r="L3895" s="76">
        <v>1.7100000000000001E-4</v>
      </c>
      <c r="M3895" s="76">
        <v>7.2000000000000002E-5</v>
      </c>
    </row>
    <row r="3896" spans="3:13" x14ac:dyDescent="0.15">
      <c r="C3896" s="76">
        <v>760</v>
      </c>
      <c r="D3896" s="76">
        <v>2.0100000000000001E-5</v>
      </c>
      <c r="E3896" s="76">
        <v>3.1999999999999999E-5</v>
      </c>
      <c r="F3896" s="76">
        <v>8.2000000000000001E-5</v>
      </c>
      <c r="G3896" s="76">
        <v>0</v>
      </c>
      <c r="H3896" s="76">
        <v>3.5500000000000002E-5</v>
      </c>
      <c r="I3896" s="76">
        <v>9.8999999999999994E-5</v>
      </c>
      <c r="J3896" s="76">
        <v>1.45E-4</v>
      </c>
      <c r="K3896" s="76">
        <v>1.3300000000000001E-4</v>
      </c>
      <c r="L3896" s="76">
        <v>1.8100000000000001E-4</v>
      </c>
      <c r="M3896" s="76">
        <v>7.3399999999999995E-5</v>
      </c>
    </row>
    <row r="3897" spans="3:13" x14ac:dyDescent="0.15">
      <c r="C3897" s="76">
        <v>762</v>
      </c>
      <c r="D3897" s="76">
        <v>2.3799999999999999E-5</v>
      </c>
      <c r="E3897" s="76">
        <v>4.2799999999999997E-5</v>
      </c>
      <c r="F3897" s="76">
        <v>7.0599999999999995E-5</v>
      </c>
      <c r="G3897" s="76">
        <v>4.6800000000000001E-7</v>
      </c>
      <c r="H3897" s="76">
        <v>1.5099999999999999E-5</v>
      </c>
      <c r="I3897" s="76">
        <v>7.6699999999999994E-5</v>
      </c>
      <c r="J3897" s="76">
        <v>1.36E-4</v>
      </c>
      <c r="K3897" s="76">
        <v>1.8000000000000001E-4</v>
      </c>
      <c r="L3897" s="76">
        <v>1.76E-4</v>
      </c>
      <c r="M3897" s="76">
        <v>7.47E-5</v>
      </c>
    </row>
    <row r="3898" spans="3:13" x14ac:dyDescent="0.15">
      <c r="C3898" s="76">
        <v>764</v>
      </c>
      <c r="D3898" s="76">
        <v>2.9499999999999999E-5</v>
      </c>
      <c r="E3898" s="76">
        <v>3.29E-5</v>
      </c>
      <c r="F3898" s="76">
        <v>6.3700000000000003E-5</v>
      </c>
      <c r="G3898" s="76">
        <v>4.34E-6</v>
      </c>
      <c r="H3898" s="76">
        <v>1.7900000000000001E-5</v>
      </c>
      <c r="I3898" s="76">
        <v>4.8099999999999997E-5</v>
      </c>
      <c r="J3898" s="76">
        <v>1.47E-4</v>
      </c>
      <c r="K3898" s="76">
        <v>1.6100000000000001E-4</v>
      </c>
      <c r="L3898" s="76">
        <v>2.2499999999999999E-4</v>
      </c>
      <c r="M3898" s="76">
        <v>5.27E-5</v>
      </c>
    </row>
    <row r="3899" spans="3:13" x14ac:dyDescent="0.15">
      <c r="C3899" s="76">
        <v>766</v>
      </c>
      <c r="D3899" s="76">
        <v>2.2900000000000001E-5</v>
      </c>
      <c r="E3899" s="76">
        <v>2.6400000000000001E-5</v>
      </c>
      <c r="F3899" s="76">
        <v>8.8800000000000004E-5</v>
      </c>
      <c r="G3899" s="76">
        <v>0</v>
      </c>
      <c r="H3899" s="76">
        <v>4.4499999999999997E-5</v>
      </c>
      <c r="I3899" s="76">
        <v>9.4599999999999996E-5</v>
      </c>
      <c r="J3899" s="76">
        <v>1.07E-4</v>
      </c>
      <c r="K3899" s="76">
        <v>1.44E-4</v>
      </c>
      <c r="L3899" s="76">
        <v>3.1300000000000002E-4</v>
      </c>
      <c r="M3899" s="76">
        <v>0</v>
      </c>
    </row>
    <row r="3900" spans="3:13" x14ac:dyDescent="0.15">
      <c r="C3900" s="76">
        <v>768</v>
      </c>
      <c r="D3900" s="76">
        <v>1.49E-5</v>
      </c>
      <c r="E3900" s="76">
        <v>2.4199999999999999E-5</v>
      </c>
      <c r="F3900" s="76">
        <v>6.7000000000000002E-5</v>
      </c>
      <c r="G3900" s="76">
        <v>4.8799999999999999E-6</v>
      </c>
      <c r="H3900" s="76">
        <v>3.3200000000000001E-5</v>
      </c>
      <c r="I3900" s="76">
        <v>2.6800000000000001E-5</v>
      </c>
      <c r="J3900" s="76">
        <v>1.6100000000000001E-4</v>
      </c>
      <c r="K3900" s="76">
        <v>3.3799999999999998E-4</v>
      </c>
      <c r="L3900" s="76">
        <v>2.31E-4</v>
      </c>
      <c r="M3900" s="76">
        <v>0</v>
      </c>
    </row>
    <row r="3901" spans="3:13" x14ac:dyDescent="0.15">
      <c r="C3901" s="76">
        <v>770</v>
      </c>
      <c r="D3901" s="76">
        <v>1.6099999999999998E-5</v>
      </c>
      <c r="E3901" s="76">
        <v>2.2099999999999998E-5</v>
      </c>
      <c r="F3901" s="76">
        <v>8.1799999999999996E-5</v>
      </c>
      <c r="G3901" s="76">
        <v>7.9300000000000003E-6</v>
      </c>
      <c r="H3901" s="76">
        <v>5.4299999999999998E-5</v>
      </c>
      <c r="I3901" s="76">
        <v>7.0400000000000004E-5</v>
      </c>
      <c r="J3901" s="76">
        <v>1.4100000000000001E-4</v>
      </c>
      <c r="K3901" s="76">
        <v>1.9699999999999999E-4</v>
      </c>
      <c r="L3901" s="76">
        <v>1.5300000000000001E-4</v>
      </c>
      <c r="M3901" s="76">
        <v>2.83E-5</v>
      </c>
    </row>
    <row r="3902" spans="3:13" x14ac:dyDescent="0.15">
      <c r="C3902" s="76">
        <v>772</v>
      </c>
      <c r="D3902" s="76">
        <v>1.13E-5</v>
      </c>
      <c r="E3902" s="76">
        <v>1.24E-5</v>
      </c>
      <c r="F3902" s="76">
        <v>8.3399999999999994E-5</v>
      </c>
      <c r="G3902" s="76">
        <v>1.6099999999999998E-5</v>
      </c>
      <c r="H3902" s="76">
        <v>6.3499999999999999E-5</v>
      </c>
      <c r="I3902" s="76">
        <v>2.8099999999999999E-5</v>
      </c>
      <c r="J3902" s="76">
        <v>1.5799999999999999E-4</v>
      </c>
      <c r="K3902" s="76">
        <v>2.2900000000000001E-4</v>
      </c>
      <c r="L3902" s="76">
        <v>2.23E-4</v>
      </c>
      <c r="M3902" s="76">
        <v>8.3499999999999997E-5</v>
      </c>
    </row>
    <row r="3903" spans="3:13" x14ac:dyDescent="0.15">
      <c r="C3903" s="76">
        <v>774</v>
      </c>
      <c r="D3903" s="76">
        <v>2.1699999999999999E-5</v>
      </c>
      <c r="E3903" s="76">
        <v>9.2599999999999994E-6</v>
      </c>
      <c r="F3903" s="76">
        <v>9.2999999999999997E-5</v>
      </c>
      <c r="G3903" s="76">
        <v>2.8900000000000001E-5</v>
      </c>
      <c r="H3903" s="76">
        <v>9.8800000000000003E-5</v>
      </c>
      <c r="I3903" s="76">
        <v>3.2199999999999997E-5</v>
      </c>
      <c r="J3903" s="76">
        <v>1.08E-4</v>
      </c>
      <c r="K3903" s="76">
        <v>2.1900000000000001E-4</v>
      </c>
      <c r="L3903" s="76">
        <v>2.5099999999999998E-4</v>
      </c>
      <c r="M3903" s="76">
        <v>1.0900000000000001E-4</v>
      </c>
    </row>
    <row r="3904" spans="3:13" x14ac:dyDescent="0.15">
      <c r="C3904" s="76">
        <v>776</v>
      </c>
      <c r="D3904" s="76">
        <v>4.5800000000000002E-6</v>
      </c>
      <c r="E3904" s="76">
        <v>6.6900000000000003E-6</v>
      </c>
      <c r="F3904" s="76">
        <v>6.2399999999999999E-5</v>
      </c>
      <c r="G3904" s="76">
        <v>6.8399999999999996E-5</v>
      </c>
      <c r="H3904" s="76">
        <v>8.0000000000000007E-5</v>
      </c>
      <c r="I3904" s="76">
        <v>4.7800000000000003E-5</v>
      </c>
      <c r="J3904" s="76">
        <v>1.66E-4</v>
      </c>
      <c r="K3904" s="76">
        <v>1.8100000000000001E-4</v>
      </c>
      <c r="L3904" s="76">
        <v>3.1199999999999999E-4</v>
      </c>
      <c r="M3904" s="76">
        <v>6.9200000000000002E-5</v>
      </c>
    </row>
    <row r="3905" spans="2:13" x14ac:dyDescent="0.15">
      <c r="C3905" s="76">
        <v>778</v>
      </c>
      <c r="D3905" s="76">
        <v>9.8600000000000005E-6</v>
      </c>
      <c r="E3905" s="76">
        <v>4.9300000000000002E-6</v>
      </c>
      <c r="F3905" s="76">
        <v>6.4300000000000004E-5</v>
      </c>
      <c r="G3905" s="76">
        <v>8.9699999999999998E-5</v>
      </c>
      <c r="H3905" s="76">
        <v>1.47E-4</v>
      </c>
      <c r="I3905" s="76">
        <v>3.0499999999999999E-5</v>
      </c>
      <c r="J3905" s="76">
        <v>1.7000000000000001E-4</v>
      </c>
      <c r="K3905" s="76">
        <v>1.8000000000000001E-4</v>
      </c>
      <c r="L3905" s="76">
        <v>1.8000000000000001E-4</v>
      </c>
      <c r="M3905" s="76">
        <v>1.95E-4</v>
      </c>
    </row>
    <row r="3906" spans="2:13" x14ac:dyDescent="0.15">
      <c r="C3906" s="76">
        <v>780</v>
      </c>
      <c r="D3906" s="76">
        <v>8.8000000000000004E-6</v>
      </c>
      <c r="E3906" s="76">
        <v>1.63E-5</v>
      </c>
      <c r="F3906" s="120">
        <v>7.5099999999999996E-5</v>
      </c>
      <c r="G3906" s="76">
        <v>9.6100000000000005E-5</v>
      </c>
      <c r="H3906" s="76">
        <v>7.6199999999999995E-5</v>
      </c>
      <c r="I3906" s="76">
        <v>0</v>
      </c>
      <c r="J3906" s="76">
        <v>1.8900000000000001E-4</v>
      </c>
      <c r="K3906" s="76">
        <v>2.42E-4</v>
      </c>
      <c r="L3906" s="76">
        <v>1.8000000000000001E-4</v>
      </c>
      <c r="M3906" s="76">
        <v>1.7899999999999999E-4</v>
      </c>
    </row>
    <row r="3907" spans="2:13" x14ac:dyDescent="0.15">
      <c r="B3907" s="76">
        <v>44</v>
      </c>
      <c r="C3907" s="76" t="s">
        <v>561</v>
      </c>
      <c r="D3907" s="76">
        <v>1</v>
      </c>
      <c r="E3907" s="76">
        <v>2</v>
      </c>
      <c r="F3907" s="76">
        <v>3</v>
      </c>
      <c r="G3907" s="76">
        <v>4</v>
      </c>
      <c r="H3907" s="76">
        <v>5</v>
      </c>
      <c r="I3907" s="76">
        <v>6</v>
      </c>
      <c r="J3907" s="76">
        <v>7</v>
      </c>
      <c r="K3907" s="76">
        <v>8</v>
      </c>
      <c r="L3907" s="76">
        <v>9</v>
      </c>
      <c r="M3907" s="76">
        <v>10</v>
      </c>
    </row>
    <row r="3908" spans="2:13" x14ac:dyDescent="0.15">
      <c r="C3908" s="76" t="s">
        <v>556</v>
      </c>
      <c r="D3908" s="76">
        <v>3.5659999999999998</v>
      </c>
      <c r="E3908" s="76">
        <v>3.7010000000000001</v>
      </c>
      <c r="F3908" s="76">
        <v>3.7949999999999999</v>
      </c>
      <c r="G3908" s="76">
        <v>3.8719999999999999</v>
      </c>
      <c r="H3908" s="76">
        <v>3.9390000000000001</v>
      </c>
      <c r="I3908" s="76">
        <v>3.9980000000000002</v>
      </c>
      <c r="J3908" s="76">
        <v>4.0519999999999996</v>
      </c>
      <c r="K3908" s="76">
        <v>4.101</v>
      </c>
      <c r="L3908" s="76">
        <v>4.1470000000000002</v>
      </c>
      <c r="M3908" s="76">
        <v>4.1900000000000004</v>
      </c>
    </row>
    <row r="3909" spans="2:13" x14ac:dyDescent="0.15">
      <c r="C3909" s="76" t="s">
        <v>562</v>
      </c>
      <c r="D3909" s="76">
        <v>0.08</v>
      </c>
      <c r="E3909" s="76">
        <v>0.16</v>
      </c>
      <c r="F3909" s="76">
        <v>0.24</v>
      </c>
      <c r="G3909" s="76">
        <v>0.32</v>
      </c>
      <c r="H3909" s="76">
        <v>0.4</v>
      </c>
      <c r="I3909" s="76">
        <v>0.48</v>
      </c>
      <c r="J3909" s="76">
        <v>0.56000000000000005</v>
      </c>
      <c r="K3909" s="76">
        <v>0.64</v>
      </c>
      <c r="L3909" s="76">
        <v>0.72</v>
      </c>
      <c r="M3909" s="76">
        <v>0.8</v>
      </c>
    </row>
    <row r="3910" spans="2:13" x14ac:dyDescent="0.15">
      <c r="C3910" s="76" t="s">
        <v>557</v>
      </c>
      <c r="D3910" s="76">
        <v>2</v>
      </c>
      <c r="E3910" s="76">
        <v>4</v>
      </c>
      <c r="F3910" s="76">
        <v>6</v>
      </c>
      <c r="G3910" s="76">
        <v>8</v>
      </c>
      <c r="H3910" s="76">
        <v>10</v>
      </c>
      <c r="I3910" s="76">
        <v>12</v>
      </c>
      <c r="J3910" s="76">
        <v>14</v>
      </c>
      <c r="K3910" s="76">
        <v>16</v>
      </c>
      <c r="L3910" s="76">
        <v>18</v>
      </c>
      <c r="M3910" s="76">
        <v>20</v>
      </c>
    </row>
    <row r="3911" spans="2:13" x14ac:dyDescent="0.15">
      <c r="C3911" s="76" t="s">
        <v>560</v>
      </c>
      <c r="D3911" s="76">
        <v>8.2449999999999992</v>
      </c>
      <c r="E3911" s="76">
        <v>8.4109999999999996</v>
      </c>
      <c r="F3911" s="76">
        <v>8.4160000000000004</v>
      </c>
      <c r="G3911" s="76">
        <v>8.407</v>
      </c>
      <c r="H3911" s="76">
        <v>8.39</v>
      </c>
      <c r="I3911" s="76">
        <v>8.3580000000000005</v>
      </c>
      <c r="J3911" s="76">
        <v>8.3420000000000005</v>
      </c>
      <c r="K3911" s="76">
        <v>8.3119999999999994</v>
      </c>
      <c r="L3911" s="76">
        <v>8.3049999999999997</v>
      </c>
      <c r="M3911" s="76">
        <v>8.2750000000000004</v>
      </c>
    </row>
    <row r="3912" spans="2:13" x14ac:dyDescent="0.15">
      <c r="C3912" s="76" t="s">
        <v>563</v>
      </c>
      <c r="D3912" s="76">
        <v>7.2634429999999996</v>
      </c>
      <c r="E3912" s="76">
        <v>7.1404439999999996</v>
      </c>
      <c r="F3912" s="76">
        <v>6.9664679999999999</v>
      </c>
      <c r="G3912" s="76">
        <v>6.8206870000000004</v>
      </c>
      <c r="H3912" s="76">
        <v>6.6922350000000002</v>
      </c>
      <c r="I3912" s="76">
        <v>6.5679780000000001</v>
      </c>
      <c r="J3912" s="76">
        <v>6.4686170000000001</v>
      </c>
      <c r="K3912" s="76">
        <v>6.3674099999999996</v>
      </c>
      <c r="L3912" s="76">
        <v>6.2919900000000002</v>
      </c>
      <c r="M3912" s="76">
        <v>6.20465</v>
      </c>
    </row>
    <row r="3913" spans="2:13" x14ac:dyDescent="0.15">
      <c r="C3913" s="76" t="s">
        <v>564</v>
      </c>
      <c r="D3913" s="76">
        <v>164.9</v>
      </c>
      <c r="E3913" s="76">
        <v>336.5</v>
      </c>
      <c r="F3913" s="76">
        <v>505</v>
      </c>
      <c r="G3913" s="76">
        <v>672.6</v>
      </c>
      <c r="H3913" s="76">
        <v>839.1</v>
      </c>
      <c r="I3913" s="76">
        <v>1003</v>
      </c>
      <c r="J3913" s="76">
        <v>1168</v>
      </c>
      <c r="K3913" s="76">
        <v>1330</v>
      </c>
      <c r="L3913" s="76">
        <v>1495</v>
      </c>
      <c r="M3913" s="76">
        <v>1655</v>
      </c>
    </row>
    <row r="3914" spans="2:13" x14ac:dyDescent="0.15">
      <c r="C3914" s="76" t="s">
        <v>565</v>
      </c>
      <c r="D3914" s="76">
        <v>164.9</v>
      </c>
      <c r="E3914" s="76">
        <v>336.5</v>
      </c>
      <c r="F3914" s="76">
        <v>505</v>
      </c>
      <c r="G3914" s="76">
        <v>672.6</v>
      </c>
      <c r="H3914" s="76">
        <v>839.1</v>
      </c>
      <c r="I3914" s="76">
        <v>1003</v>
      </c>
      <c r="J3914" s="76">
        <v>1168</v>
      </c>
      <c r="K3914" s="76">
        <v>1330</v>
      </c>
      <c r="L3914" s="76">
        <v>1495</v>
      </c>
      <c r="M3914" s="76">
        <v>1655</v>
      </c>
    </row>
    <row r="3915" spans="2:13" x14ac:dyDescent="0.15">
      <c r="C3915" s="76" t="s">
        <v>566</v>
      </c>
      <c r="D3915" s="76">
        <v>0.1356</v>
      </c>
      <c r="E3915" s="76">
        <v>0.13550000000000001</v>
      </c>
      <c r="F3915" s="76">
        <v>0.13539999999999999</v>
      </c>
      <c r="G3915" s="76">
        <v>0.1353</v>
      </c>
      <c r="H3915" s="76">
        <v>0.13550000000000001</v>
      </c>
      <c r="I3915" s="76">
        <v>0.1353</v>
      </c>
      <c r="J3915" s="76">
        <v>0.13550000000000001</v>
      </c>
      <c r="K3915" s="76">
        <v>0.1353</v>
      </c>
      <c r="L3915" s="76">
        <v>0.13550000000000001</v>
      </c>
      <c r="M3915" s="76">
        <v>0.13539999999999999</v>
      </c>
    </row>
    <row r="3916" spans="2:13" x14ac:dyDescent="0.15">
      <c r="C3916" s="76" t="s">
        <v>567</v>
      </c>
      <c r="D3916" s="76">
        <v>0.1179</v>
      </c>
      <c r="E3916" s="76">
        <v>0.1179</v>
      </c>
      <c r="F3916" s="76">
        <v>0.1177</v>
      </c>
      <c r="G3916" s="76">
        <v>0.1177</v>
      </c>
      <c r="H3916" s="76">
        <v>0.1176</v>
      </c>
      <c r="I3916" s="76">
        <v>0.11749999999999999</v>
      </c>
      <c r="J3916" s="76">
        <v>0.11749999999999999</v>
      </c>
      <c r="K3916" s="76">
        <v>0.1174</v>
      </c>
      <c r="L3916" s="76">
        <v>0.11749999999999999</v>
      </c>
      <c r="M3916" s="76">
        <v>0.1174</v>
      </c>
    </row>
    <row r="3917" spans="2:13" x14ac:dyDescent="0.15">
      <c r="C3917" s="76" t="s">
        <v>568</v>
      </c>
      <c r="D3917" s="76">
        <v>9.1274999999999995</v>
      </c>
      <c r="E3917" s="76">
        <v>9.3101000000000003</v>
      </c>
      <c r="F3917" s="76">
        <v>9.3269000000000002</v>
      </c>
      <c r="G3917" s="76">
        <v>9.3209</v>
      </c>
      <c r="H3917" s="76">
        <v>9.2997999999999994</v>
      </c>
      <c r="I3917" s="76">
        <v>9.2722999999999995</v>
      </c>
      <c r="J3917" s="76">
        <v>9.2635000000000005</v>
      </c>
      <c r="K3917" s="76">
        <v>9.2382000000000009</v>
      </c>
      <c r="L3917" s="76">
        <v>9.2212999999999994</v>
      </c>
      <c r="M3917" s="76">
        <v>9.1930999999999994</v>
      </c>
    </row>
    <row r="3918" spans="2:13" x14ac:dyDescent="0.15">
      <c r="C3918" s="76" t="s">
        <v>569</v>
      </c>
    </row>
    <row r="3919" spans="2:13" x14ac:dyDescent="0.15">
      <c r="C3919" s="76" t="s">
        <v>570</v>
      </c>
      <c r="D3919" s="76">
        <v>4</v>
      </c>
      <c r="E3919" s="76">
        <v>4</v>
      </c>
      <c r="F3919" s="76">
        <v>4</v>
      </c>
      <c r="G3919" s="76">
        <v>4</v>
      </c>
      <c r="H3919" s="76">
        <v>4</v>
      </c>
      <c r="I3919" s="76">
        <v>4</v>
      </c>
      <c r="J3919" s="76">
        <v>4</v>
      </c>
      <c r="K3919" s="76">
        <v>4</v>
      </c>
      <c r="L3919" s="76">
        <v>4</v>
      </c>
      <c r="M3919" s="76">
        <v>4</v>
      </c>
    </row>
    <row r="3920" spans="2:13" x14ac:dyDescent="0.15">
      <c r="C3920" s="76" t="s">
        <v>571</v>
      </c>
      <c r="D3920" s="76">
        <v>100</v>
      </c>
      <c r="E3920" s="76">
        <v>100</v>
      </c>
      <c r="F3920" s="76">
        <v>100</v>
      </c>
      <c r="G3920" s="76">
        <v>100</v>
      </c>
      <c r="H3920" s="76">
        <v>100</v>
      </c>
      <c r="I3920" s="76">
        <v>100</v>
      </c>
      <c r="J3920" s="76">
        <v>100</v>
      </c>
      <c r="K3920" s="76">
        <v>100</v>
      </c>
      <c r="L3920" s="76">
        <v>100</v>
      </c>
      <c r="M3920" s="76">
        <v>100</v>
      </c>
    </row>
    <row r="3921" spans="3:13" x14ac:dyDescent="0.15">
      <c r="C3921" s="76" t="s">
        <v>572</v>
      </c>
      <c r="D3921" s="76" t="s">
        <v>574</v>
      </c>
      <c r="E3921" s="76" t="s">
        <v>574</v>
      </c>
      <c r="F3921" s="76" t="s">
        <v>574</v>
      </c>
      <c r="G3921" s="76" t="s">
        <v>574</v>
      </c>
      <c r="H3921" s="76" t="s">
        <v>574</v>
      </c>
      <c r="I3921" s="76" t="s">
        <v>574</v>
      </c>
      <c r="J3921" s="76" t="s">
        <v>574</v>
      </c>
      <c r="K3921" s="76" t="s">
        <v>574</v>
      </c>
      <c r="L3921" s="76" t="s">
        <v>574</v>
      </c>
      <c r="M3921" s="76" t="s">
        <v>574</v>
      </c>
    </row>
    <row r="3922" spans="3:13" x14ac:dyDescent="0.15">
      <c r="C3922" s="76" t="s">
        <v>573</v>
      </c>
      <c r="D3922" s="76">
        <v>1</v>
      </c>
      <c r="E3922" s="76">
        <v>2</v>
      </c>
      <c r="F3922" s="76">
        <v>3</v>
      </c>
      <c r="G3922" s="76">
        <v>4</v>
      </c>
      <c r="H3922" s="76">
        <v>5</v>
      </c>
      <c r="I3922" s="76">
        <v>6</v>
      </c>
      <c r="J3922" s="76">
        <v>7</v>
      </c>
      <c r="K3922" s="76">
        <v>8</v>
      </c>
      <c r="L3922" s="76">
        <v>9</v>
      </c>
      <c r="M3922" s="76">
        <v>10</v>
      </c>
    </row>
    <row r="3923" spans="3:13" x14ac:dyDescent="0.15">
      <c r="C3923" s="76">
        <v>380</v>
      </c>
      <c r="D3923" s="76">
        <v>1.6100000000000001E-4</v>
      </c>
      <c r="E3923" s="76">
        <v>2.3000000000000001E-4</v>
      </c>
      <c r="F3923" s="76">
        <v>4.4900000000000002E-4</v>
      </c>
      <c r="G3923" s="76">
        <v>4.6099999999999998E-4</v>
      </c>
      <c r="H3923" s="76">
        <v>6.6E-4</v>
      </c>
      <c r="I3923" s="76">
        <v>5.6400000000000005E-4</v>
      </c>
      <c r="J3923" s="76">
        <v>1.2099999999999999E-3</v>
      </c>
      <c r="K3923" s="76">
        <v>1.0399999999999999E-3</v>
      </c>
      <c r="L3923" s="76">
        <v>1.48E-3</v>
      </c>
      <c r="M3923" s="76">
        <v>1.2700000000000001E-3</v>
      </c>
    </row>
    <row r="3924" spans="3:13" x14ac:dyDescent="0.15">
      <c r="C3924" s="76">
        <v>382</v>
      </c>
      <c r="D3924" s="76">
        <v>1.4799999999999999E-4</v>
      </c>
      <c r="E3924" s="76">
        <v>2.2699999999999999E-4</v>
      </c>
      <c r="F3924" s="76">
        <v>4.5300000000000001E-4</v>
      </c>
      <c r="G3924" s="76">
        <v>4.9700000000000005E-4</v>
      </c>
      <c r="H3924" s="76">
        <v>7.1699999999999997E-4</v>
      </c>
      <c r="I3924" s="76">
        <v>6.8800000000000003E-4</v>
      </c>
      <c r="J3924" s="76">
        <v>1.5100000000000001E-3</v>
      </c>
      <c r="K3924" s="76">
        <v>8.1499999999999997E-4</v>
      </c>
      <c r="L3924" s="76">
        <v>1.58E-3</v>
      </c>
      <c r="M3924" s="76">
        <v>1.42E-3</v>
      </c>
    </row>
    <row r="3925" spans="3:13" x14ac:dyDescent="0.15">
      <c r="C3925" s="76">
        <v>384</v>
      </c>
      <c r="D3925" s="76">
        <v>1.22E-4</v>
      </c>
      <c r="E3925" s="76">
        <v>2.8800000000000001E-4</v>
      </c>
      <c r="F3925" s="76">
        <v>4.0900000000000002E-4</v>
      </c>
      <c r="G3925" s="76">
        <v>6.2299999999999996E-4</v>
      </c>
      <c r="H3925" s="76">
        <v>6.9200000000000002E-4</v>
      </c>
      <c r="I3925" s="76">
        <v>7.1699999999999997E-4</v>
      </c>
      <c r="J3925" s="76">
        <v>1.32E-3</v>
      </c>
      <c r="K3925" s="76">
        <v>8.2700000000000004E-4</v>
      </c>
      <c r="L3925" s="76">
        <v>1.2899999999999999E-3</v>
      </c>
      <c r="M3925" s="76">
        <v>1.2899999999999999E-3</v>
      </c>
    </row>
    <row r="3926" spans="3:13" x14ac:dyDescent="0.15">
      <c r="C3926" s="76">
        <v>386</v>
      </c>
      <c r="D3926" s="76">
        <v>1.1400000000000001E-4</v>
      </c>
      <c r="E3926" s="76">
        <v>2.9300000000000002E-4</v>
      </c>
      <c r="F3926" s="76">
        <v>3.6200000000000002E-4</v>
      </c>
      <c r="G3926" s="76">
        <v>5.7300000000000005E-4</v>
      </c>
      <c r="H3926" s="76">
        <v>5.8799999999999998E-4</v>
      </c>
      <c r="I3926" s="76">
        <v>6.3000000000000003E-4</v>
      </c>
      <c r="J3926" s="76">
        <v>1.25E-3</v>
      </c>
      <c r="K3926" s="76">
        <v>8.7699999999999996E-4</v>
      </c>
      <c r="L3926" s="76">
        <v>1.1900000000000001E-3</v>
      </c>
      <c r="M3926" s="76">
        <v>1.0200000000000001E-3</v>
      </c>
    </row>
    <row r="3927" spans="3:13" x14ac:dyDescent="0.15">
      <c r="C3927" s="76">
        <v>388</v>
      </c>
      <c r="D3927" s="76">
        <v>1.03E-4</v>
      </c>
      <c r="E3927" s="76">
        <v>2.9799999999999998E-4</v>
      </c>
      <c r="F3927" s="76">
        <v>3.9100000000000002E-4</v>
      </c>
      <c r="G3927" s="76">
        <v>5.5400000000000002E-4</v>
      </c>
      <c r="H3927" s="76">
        <v>4.8799999999999999E-4</v>
      </c>
      <c r="I3927" s="76">
        <v>4.57E-4</v>
      </c>
      <c r="J3927" s="76">
        <v>1.0300000000000001E-3</v>
      </c>
      <c r="K3927" s="76">
        <v>9.1100000000000003E-4</v>
      </c>
      <c r="L3927" s="76">
        <v>1.33E-3</v>
      </c>
      <c r="M3927" s="76">
        <v>1.08E-3</v>
      </c>
    </row>
    <row r="3928" spans="3:13" x14ac:dyDescent="0.15">
      <c r="C3928" s="76">
        <v>390</v>
      </c>
      <c r="D3928" s="76">
        <v>1.06E-4</v>
      </c>
      <c r="E3928" s="76">
        <v>3.0200000000000002E-4</v>
      </c>
      <c r="F3928" s="76">
        <v>4.0200000000000001E-4</v>
      </c>
      <c r="G3928" s="76">
        <v>6.0599999999999998E-4</v>
      </c>
      <c r="H3928" s="76">
        <v>5.0799999999999999E-4</v>
      </c>
      <c r="I3928" s="76">
        <v>6.1700000000000004E-4</v>
      </c>
      <c r="J3928" s="76">
        <v>1.17E-3</v>
      </c>
      <c r="K3928" s="76">
        <v>1.06E-3</v>
      </c>
      <c r="L3928" s="76">
        <v>1.1900000000000001E-3</v>
      </c>
      <c r="M3928" s="76">
        <v>9.3899999999999995E-4</v>
      </c>
    </row>
    <row r="3929" spans="3:13" x14ac:dyDescent="0.15">
      <c r="C3929" s="76">
        <v>392</v>
      </c>
      <c r="D3929" s="76">
        <v>1.17E-4</v>
      </c>
      <c r="E3929" s="76">
        <v>2.3800000000000001E-4</v>
      </c>
      <c r="F3929" s="76">
        <v>3.7100000000000002E-4</v>
      </c>
      <c r="G3929" s="76">
        <v>4.7600000000000002E-4</v>
      </c>
      <c r="H3929" s="76">
        <v>4.35E-4</v>
      </c>
      <c r="I3929" s="76">
        <v>6.8599999999999998E-4</v>
      </c>
      <c r="J3929" s="76">
        <v>9.7799999999999992E-4</v>
      </c>
      <c r="K3929" s="76">
        <v>9.5200000000000005E-4</v>
      </c>
      <c r="L3929" s="76">
        <v>1.1900000000000001E-3</v>
      </c>
      <c r="M3929" s="76">
        <v>1.0499999999999999E-3</v>
      </c>
    </row>
    <row r="3930" spans="3:13" x14ac:dyDescent="0.15">
      <c r="C3930" s="76">
        <v>394</v>
      </c>
      <c r="D3930" s="76">
        <v>1.06E-4</v>
      </c>
      <c r="E3930" s="76">
        <v>3.1199999999999999E-4</v>
      </c>
      <c r="F3930" s="76">
        <v>3.6299999999999999E-4</v>
      </c>
      <c r="G3930" s="76">
        <v>5.4100000000000003E-4</v>
      </c>
      <c r="H3930" s="76">
        <v>4.4900000000000002E-4</v>
      </c>
      <c r="I3930" s="76">
        <v>6.6600000000000003E-4</v>
      </c>
      <c r="J3930" s="76">
        <v>1.0200000000000001E-3</v>
      </c>
      <c r="K3930" s="76">
        <v>6.4700000000000001E-4</v>
      </c>
      <c r="L3930" s="76">
        <v>1.2999999999999999E-3</v>
      </c>
      <c r="M3930" s="76">
        <v>1.1000000000000001E-3</v>
      </c>
    </row>
    <row r="3931" spans="3:13" x14ac:dyDescent="0.15">
      <c r="C3931" s="76">
        <v>396</v>
      </c>
      <c r="D3931" s="76">
        <v>1.3899999999999999E-4</v>
      </c>
      <c r="E3931" s="76">
        <v>2.9100000000000003E-4</v>
      </c>
      <c r="F3931" s="76">
        <v>3.6999999999999999E-4</v>
      </c>
      <c r="G3931" s="76">
        <v>4.0700000000000003E-4</v>
      </c>
      <c r="H3931" s="76">
        <v>5.5800000000000001E-4</v>
      </c>
      <c r="I3931" s="76">
        <v>5.9500000000000004E-4</v>
      </c>
      <c r="J3931" s="76">
        <v>8.9300000000000002E-4</v>
      </c>
      <c r="K3931" s="76">
        <v>7.0500000000000001E-4</v>
      </c>
      <c r="L3931" s="76">
        <v>1.0499999999999999E-3</v>
      </c>
      <c r="M3931" s="76">
        <v>1.1199999999999999E-3</v>
      </c>
    </row>
    <row r="3932" spans="3:13" x14ac:dyDescent="0.15">
      <c r="C3932" s="76">
        <v>398</v>
      </c>
      <c r="D3932" s="76">
        <v>1.2899999999999999E-4</v>
      </c>
      <c r="E3932" s="76">
        <v>2.8200000000000002E-4</v>
      </c>
      <c r="F3932" s="76">
        <v>3.2400000000000001E-4</v>
      </c>
      <c r="G3932" s="76">
        <v>5.1699999999999999E-4</v>
      </c>
      <c r="H3932" s="76">
        <v>3.3700000000000001E-4</v>
      </c>
      <c r="I3932" s="76">
        <v>7.3999999999999999E-4</v>
      </c>
      <c r="J3932" s="76">
        <v>8.6799999999999996E-4</v>
      </c>
      <c r="K3932" s="76">
        <v>8.5899999999999995E-4</v>
      </c>
      <c r="L3932" s="76">
        <v>1.2600000000000001E-3</v>
      </c>
      <c r="M3932" s="76">
        <v>1.3600000000000001E-3</v>
      </c>
    </row>
    <row r="3933" spans="3:13" x14ac:dyDescent="0.15">
      <c r="C3933" s="76">
        <v>400</v>
      </c>
      <c r="D3933" s="76">
        <v>1.2899999999999999E-4</v>
      </c>
      <c r="E3933" s="76">
        <v>2.9700000000000001E-4</v>
      </c>
      <c r="F3933" s="76">
        <v>3.3300000000000002E-4</v>
      </c>
      <c r="G3933" s="76">
        <v>5.4100000000000003E-4</v>
      </c>
      <c r="H3933" s="76">
        <v>4.7399999999999997E-4</v>
      </c>
      <c r="I3933" s="76">
        <v>7.5100000000000004E-4</v>
      </c>
      <c r="J3933" s="76">
        <v>7.3700000000000002E-4</v>
      </c>
      <c r="K3933" s="76">
        <v>8.1899999999999996E-4</v>
      </c>
      <c r="L3933" s="76">
        <v>1.1800000000000001E-3</v>
      </c>
      <c r="M3933" s="76">
        <v>1.4300000000000001E-3</v>
      </c>
    </row>
    <row r="3934" spans="3:13" x14ac:dyDescent="0.15">
      <c r="C3934" s="76">
        <v>402</v>
      </c>
      <c r="D3934" s="76">
        <v>1.5300000000000001E-4</v>
      </c>
      <c r="E3934" s="76">
        <v>3.1E-4</v>
      </c>
      <c r="F3934" s="76">
        <v>3.7199999999999999E-4</v>
      </c>
      <c r="G3934" s="76">
        <v>5.4500000000000002E-4</v>
      </c>
      <c r="H3934" s="76">
        <v>7.18E-4</v>
      </c>
      <c r="I3934" s="76">
        <v>5.0500000000000002E-4</v>
      </c>
      <c r="J3934" s="76">
        <v>9.2400000000000002E-4</v>
      </c>
      <c r="K3934" s="76">
        <v>8.6799999999999996E-4</v>
      </c>
      <c r="L3934" s="76">
        <v>1.2700000000000001E-3</v>
      </c>
      <c r="M3934" s="76">
        <v>1.34E-3</v>
      </c>
    </row>
    <row r="3935" spans="3:13" x14ac:dyDescent="0.15">
      <c r="C3935" s="76">
        <v>404</v>
      </c>
      <c r="D3935" s="76">
        <v>1.54E-4</v>
      </c>
      <c r="E3935" s="76">
        <v>3.0400000000000002E-4</v>
      </c>
      <c r="F3935" s="76">
        <v>4.2700000000000002E-4</v>
      </c>
      <c r="G3935" s="76">
        <v>5.0199999999999995E-4</v>
      </c>
      <c r="H3935" s="76">
        <v>6.4899999999999995E-4</v>
      </c>
      <c r="I3935" s="76">
        <v>5.5699999999999999E-4</v>
      </c>
      <c r="J3935" s="76">
        <v>1.0200000000000001E-3</v>
      </c>
      <c r="K3935" s="76">
        <v>1.0399999999999999E-3</v>
      </c>
      <c r="L3935" s="76">
        <v>1.23E-3</v>
      </c>
      <c r="M3935" s="76">
        <v>1.1100000000000001E-3</v>
      </c>
    </row>
    <row r="3936" spans="3:13" x14ac:dyDescent="0.15">
      <c r="C3936" s="76">
        <v>406</v>
      </c>
      <c r="D3936" s="76">
        <v>1.6699999999999999E-4</v>
      </c>
      <c r="E3936" s="76">
        <v>3.5799999999999997E-4</v>
      </c>
      <c r="F3936" s="76">
        <v>4.1199999999999999E-4</v>
      </c>
      <c r="G3936" s="76">
        <v>5.6999999999999998E-4</v>
      </c>
      <c r="H3936" s="76">
        <v>6.4000000000000005E-4</v>
      </c>
      <c r="I3936" s="76">
        <v>9.1699999999999995E-4</v>
      </c>
      <c r="J3936" s="76">
        <v>8.8999999999999995E-4</v>
      </c>
      <c r="K3936" s="76">
        <v>1.1299999999999999E-3</v>
      </c>
      <c r="L3936" s="76">
        <v>1.34E-3</v>
      </c>
      <c r="M3936" s="76">
        <v>1.4E-3</v>
      </c>
    </row>
    <row r="3937" spans="3:13" x14ac:dyDescent="0.15">
      <c r="C3937" s="76">
        <v>408</v>
      </c>
      <c r="D3937" s="76">
        <v>1.7000000000000001E-4</v>
      </c>
      <c r="E3937" s="76">
        <v>3.2000000000000003E-4</v>
      </c>
      <c r="F3937" s="76">
        <v>4.7100000000000001E-4</v>
      </c>
      <c r="G3937" s="76">
        <v>6.0300000000000002E-4</v>
      </c>
      <c r="H3937" s="76">
        <v>8.1599999999999999E-4</v>
      </c>
      <c r="I3937" s="76">
        <v>9.6599999999999995E-4</v>
      </c>
      <c r="J3937" s="76">
        <v>1.0399999999999999E-3</v>
      </c>
      <c r="K3937" s="76">
        <v>1.23E-3</v>
      </c>
      <c r="L3937" s="76">
        <v>1.3600000000000001E-3</v>
      </c>
      <c r="M3937" s="76">
        <v>1.48E-3</v>
      </c>
    </row>
    <row r="3938" spans="3:13" x14ac:dyDescent="0.15">
      <c r="C3938" s="76">
        <v>410</v>
      </c>
      <c r="D3938" s="76">
        <v>1.94E-4</v>
      </c>
      <c r="E3938" s="76">
        <v>3.4099999999999999E-4</v>
      </c>
      <c r="F3938" s="76">
        <v>4.7899999999999999E-4</v>
      </c>
      <c r="G3938" s="76">
        <v>6.4000000000000005E-4</v>
      </c>
      <c r="H3938" s="76">
        <v>8.1599999999999999E-4</v>
      </c>
      <c r="I3938" s="76">
        <v>8.1300000000000003E-4</v>
      </c>
      <c r="J3938" s="76">
        <v>1.1999999999999999E-3</v>
      </c>
      <c r="K3938" s="76">
        <v>1.5E-3</v>
      </c>
      <c r="L3938" s="76">
        <v>1.57E-3</v>
      </c>
      <c r="M3938" s="76">
        <v>1.74E-3</v>
      </c>
    </row>
    <row r="3939" spans="3:13" x14ac:dyDescent="0.15">
      <c r="C3939" s="76">
        <v>412</v>
      </c>
      <c r="D3939" s="76">
        <v>2.1900000000000001E-4</v>
      </c>
      <c r="E3939" s="76">
        <v>4.2700000000000002E-4</v>
      </c>
      <c r="F3939" s="76">
        <v>5.9100000000000005E-4</v>
      </c>
      <c r="G3939" s="76">
        <v>7.4700000000000005E-4</v>
      </c>
      <c r="H3939" s="76">
        <v>9.5399999999999999E-4</v>
      </c>
      <c r="I3939" s="76">
        <v>1.1900000000000001E-3</v>
      </c>
      <c r="J3939" s="76">
        <v>1.3799999999999999E-3</v>
      </c>
      <c r="K3939" s="76">
        <v>1.7899999999999999E-3</v>
      </c>
      <c r="L3939" s="76">
        <v>1.72E-3</v>
      </c>
      <c r="M3939" s="76">
        <v>2.0300000000000001E-3</v>
      </c>
    </row>
    <row r="3940" spans="3:13" x14ac:dyDescent="0.15">
      <c r="C3940" s="76">
        <v>414</v>
      </c>
      <c r="D3940" s="76">
        <v>2.5500000000000002E-4</v>
      </c>
      <c r="E3940" s="76">
        <v>4.9100000000000001E-4</v>
      </c>
      <c r="F3940" s="76">
        <v>6.6200000000000005E-4</v>
      </c>
      <c r="G3940" s="76">
        <v>9.3099999999999997E-4</v>
      </c>
      <c r="H3940" s="76">
        <v>1.1299999999999999E-3</v>
      </c>
      <c r="I3940" s="76">
        <v>1.4499999999999999E-3</v>
      </c>
      <c r="J3940" s="76">
        <v>1.65E-3</v>
      </c>
      <c r="K3940" s="76">
        <v>1.8400000000000001E-3</v>
      </c>
      <c r="L3940" s="76">
        <v>1.98E-3</v>
      </c>
      <c r="M3940" s="76">
        <v>2.3999999999999998E-3</v>
      </c>
    </row>
    <row r="3941" spans="3:13" x14ac:dyDescent="0.15">
      <c r="C3941" s="76">
        <v>416</v>
      </c>
      <c r="D3941" s="76">
        <v>2.9399999999999999E-4</v>
      </c>
      <c r="E3941" s="76">
        <v>5.8299999999999997E-4</v>
      </c>
      <c r="F3941" s="76">
        <v>7.5199999999999996E-4</v>
      </c>
      <c r="G3941" s="76">
        <v>1.0399999999999999E-3</v>
      </c>
      <c r="H3941" s="76">
        <v>1.39E-3</v>
      </c>
      <c r="I3941" s="76">
        <v>1.7099999999999999E-3</v>
      </c>
      <c r="J3941" s="76">
        <v>1.9E-3</v>
      </c>
      <c r="K3941" s="76">
        <v>2.2599999999999999E-3</v>
      </c>
      <c r="L3941" s="76">
        <v>2.3800000000000002E-3</v>
      </c>
      <c r="M3941" s="76">
        <v>2.8900000000000002E-3</v>
      </c>
    </row>
    <row r="3942" spans="3:13" x14ac:dyDescent="0.15">
      <c r="C3942" s="76">
        <v>418</v>
      </c>
      <c r="D3942" s="76">
        <v>3.3500000000000001E-4</v>
      </c>
      <c r="E3942" s="76">
        <v>6.5600000000000001E-4</v>
      </c>
      <c r="F3942" s="76">
        <v>9.2299999999999999E-4</v>
      </c>
      <c r="G3942" s="76">
        <v>1.2199999999999999E-3</v>
      </c>
      <c r="H3942" s="76">
        <v>1.65E-3</v>
      </c>
      <c r="I3942" s="76">
        <v>1.9400000000000001E-3</v>
      </c>
      <c r="J3942" s="76">
        <v>2.2000000000000001E-3</v>
      </c>
      <c r="K3942" s="76">
        <v>2.7100000000000002E-3</v>
      </c>
      <c r="L3942" s="76">
        <v>2.81E-3</v>
      </c>
      <c r="M3942" s="76">
        <v>3.2799999999999999E-3</v>
      </c>
    </row>
    <row r="3943" spans="3:13" x14ac:dyDescent="0.15">
      <c r="C3943" s="76">
        <v>420</v>
      </c>
      <c r="D3943" s="76">
        <v>4.0200000000000001E-4</v>
      </c>
      <c r="E3943" s="76">
        <v>7.9699999999999997E-4</v>
      </c>
      <c r="F3943" s="76">
        <v>1.17E-3</v>
      </c>
      <c r="G3943" s="76">
        <v>1.5E-3</v>
      </c>
      <c r="H3943" s="76">
        <v>1.9300000000000001E-3</v>
      </c>
      <c r="I3943" s="76">
        <v>2.3400000000000001E-3</v>
      </c>
      <c r="J3943" s="76">
        <v>2.66E-3</v>
      </c>
      <c r="K3943" s="76">
        <v>3.0400000000000002E-3</v>
      </c>
      <c r="L3943" s="76">
        <v>3.31E-3</v>
      </c>
      <c r="M3943" s="76">
        <v>3.9399999999999999E-3</v>
      </c>
    </row>
    <row r="3944" spans="3:13" x14ac:dyDescent="0.15">
      <c r="C3944" s="76">
        <v>422</v>
      </c>
      <c r="D3944" s="76">
        <v>4.6900000000000002E-4</v>
      </c>
      <c r="E3944" s="76">
        <v>9.4200000000000002E-4</v>
      </c>
      <c r="F3944" s="76">
        <v>1.3600000000000001E-3</v>
      </c>
      <c r="G3944" s="76">
        <v>1.83E-3</v>
      </c>
      <c r="H3944" s="76">
        <v>2.31E-3</v>
      </c>
      <c r="I3944" s="76">
        <v>2.82E-3</v>
      </c>
      <c r="J3944" s="76">
        <v>3.29E-3</v>
      </c>
      <c r="K3944" s="76">
        <v>3.7499999999999999E-3</v>
      </c>
      <c r="L3944" s="76">
        <v>4.0800000000000003E-3</v>
      </c>
      <c r="M3944" s="76">
        <v>4.81E-3</v>
      </c>
    </row>
    <row r="3945" spans="3:13" x14ac:dyDescent="0.15">
      <c r="C3945" s="76">
        <v>424</v>
      </c>
      <c r="D3945" s="76">
        <v>5.8200000000000005E-4</v>
      </c>
      <c r="E3945" s="76">
        <v>1.1900000000000001E-3</v>
      </c>
      <c r="F3945" s="76">
        <v>1.75E-3</v>
      </c>
      <c r="G3945" s="76">
        <v>2.3E-3</v>
      </c>
      <c r="H3945" s="76">
        <v>2.98E-3</v>
      </c>
      <c r="I3945" s="76">
        <v>3.5300000000000002E-3</v>
      </c>
      <c r="J3945" s="76">
        <v>4.1099999999999999E-3</v>
      </c>
      <c r="K3945" s="76">
        <v>4.7600000000000003E-3</v>
      </c>
      <c r="L3945" s="76">
        <v>5.1599999999999997E-3</v>
      </c>
      <c r="M3945" s="76">
        <v>5.9500000000000004E-3</v>
      </c>
    </row>
    <row r="3946" spans="3:13" x14ac:dyDescent="0.15">
      <c r="C3946" s="76">
        <v>426</v>
      </c>
      <c r="D3946" s="76">
        <v>7.2300000000000001E-4</v>
      </c>
      <c r="E3946" s="76">
        <v>1.5E-3</v>
      </c>
      <c r="F3946" s="76">
        <v>2.2499999999999998E-3</v>
      </c>
      <c r="G3946" s="76">
        <v>2.97E-3</v>
      </c>
      <c r="H3946" s="76">
        <v>3.79E-3</v>
      </c>
      <c r="I3946" s="76">
        <v>4.5100000000000001E-3</v>
      </c>
      <c r="J3946" s="76">
        <v>5.2100000000000002E-3</v>
      </c>
      <c r="K3946" s="76">
        <v>6.0499999999999998E-3</v>
      </c>
      <c r="L3946" s="76">
        <v>6.7099999999999998E-3</v>
      </c>
      <c r="M3946" s="76">
        <v>7.5799999999999999E-3</v>
      </c>
    </row>
    <row r="3947" spans="3:13" x14ac:dyDescent="0.15">
      <c r="C3947" s="76">
        <v>428</v>
      </c>
      <c r="D3947" s="76">
        <v>9.5200000000000005E-4</v>
      </c>
      <c r="E3947" s="76">
        <v>1.9400000000000001E-3</v>
      </c>
      <c r="F3947" s="76">
        <v>2.9199999999999999E-3</v>
      </c>
      <c r="G3947" s="76">
        <v>3.8500000000000001E-3</v>
      </c>
      <c r="H3947" s="76">
        <v>4.8799999999999998E-3</v>
      </c>
      <c r="I3947" s="76">
        <v>5.8399999999999997E-3</v>
      </c>
      <c r="J3947" s="76">
        <v>6.7400000000000003E-3</v>
      </c>
      <c r="K3947" s="76">
        <v>7.8799999999999999E-3</v>
      </c>
      <c r="L3947" s="76">
        <v>8.8100000000000001E-3</v>
      </c>
      <c r="M3947" s="76">
        <v>9.9100000000000004E-3</v>
      </c>
    </row>
    <row r="3948" spans="3:13" x14ac:dyDescent="0.15">
      <c r="C3948" s="76">
        <v>430</v>
      </c>
      <c r="D3948" s="76">
        <v>1.2700000000000001E-3</v>
      </c>
      <c r="E3948" s="76">
        <v>2.5899999999999999E-3</v>
      </c>
      <c r="F3948" s="76">
        <v>3.8800000000000002E-3</v>
      </c>
      <c r="G3948" s="76">
        <v>5.1999999999999998E-3</v>
      </c>
      <c r="H3948" s="76">
        <v>6.5399999999999998E-3</v>
      </c>
      <c r="I3948" s="76">
        <v>7.8399999999999997E-3</v>
      </c>
      <c r="J3948" s="76">
        <v>9.11E-3</v>
      </c>
      <c r="K3948" s="76">
        <v>1.0500000000000001E-2</v>
      </c>
      <c r="L3948" s="76">
        <v>1.17E-2</v>
      </c>
      <c r="M3948" s="76">
        <v>1.3299999999999999E-2</v>
      </c>
    </row>
    <row r="3949" spans="3:13" x14ac:dyDescent="0.15">
      <c r="C3949" s="76">
        <v>432</v>
      </c>
      <c r="D3949" s="76">
        <v>1.74E-3</v>
      </c>
      <c r="E3949" s="76">
        <v>3.5699999999999998E-3</v>
      </c>
      <c r="F3949" s="76">
        <v>5.3499999999999997E-3</v>
      </c>
      <c r="G3949" s="76">
        <v>7.1199999999999996E-3</v>
      </c>
      <c r="H3949" s="76">
        <v>8.9800000000000001E-3</v>
      </c>
      <c r="I3949" s="76">
        <v>1.0800000000000001E-2</v>
      </c>
      <c r="J3949" s="76">
        <v>1.26E-2</v>
      </c>
      <c r="K3949" s="76">
        <v>1.4500000000000001E-2</v>
      </c>
      <c r="L3949" s="76">
        <v>1.6E-2</v>
      </c>
      <c r="M3949" s="76">
        <v>1.8100000000000002E-2</v>
      </c>
    </row>
    <row r="3950" spans="3:13" x14ac:dyDescent="0.15">
      <c r="C3950" s="76">
        <v>434</v>
      </c>
      <c r="D3950" s="76">
        <v>2.3999999999999998E-3</v>
      </c>
      <c r="E3950" s="76">
        <v>4.9399999999999999E-3</v>
      </c>
      <c r="F3950" s="76">
        <v>7.4000000000000003E-3</v>
      </c>
      <c r="G3950" s="76">
        <v>9.9000000000000008E-3</v>
      </c>
      <c r="H3950" s="76">
        <v>1.2500000000000001E-2</v>
      </c>
      <c r="I3950" s="76">
        <v>1.49E-2</v>
      </c>
      <c r="J3950" s="76">
        <v>1.7500000000000002E-2</v>
      </c>
      <c r="K3950" s="76">
        <v>1.9900000000000001E-2</v>
      </c>
      <c r="L3950" s="76">
        <v>2.24E-2</v>
      </c>
      <c r="M3950" s="76">
        <v>2.4899999999999999E-2</v>
      </c>
    </row>
    <row r="3951" spans="3:13" x14ac:dyDescent="0.15">
      <c r="C3951" s="76">
        <v>436</v>
      </c>
      <c r="D3951" s="76">
        <v>3.4399999999999999E-3</v>
      </c>
      <c r="E3951" s="76">
        <v>7.0299999999999998E-3</v>
      </c>
      <c r="F3951" s="76">
        <v>1.06E-2</v>
      </c>
      <c r="G3951" s="76">
        <v>1.41E-2</v>
      </c>
      <c r="H3951" s="76">
        <v>1.77E-2</v>
      </c>
      <c r="I3951" s="76">
        <v>2.1299999999999999E-2</v>
      </c>
      <c r="J3951" s="76">
        <v>2.4899999999999999E-2</v>
      </c>
      <c r="K3951" s="76">
        <v>2.8400000000000002E-2</v>
      </c>
      <c r="L3951" s="76">
        <v>3.1899999999999998E-2</v>
      </c>
      <c r="M3951" s="76">
        <v>3.56E-2</v>
      </c>
    </row>
    <row r="3952" spans="3:13" x14ac:dyDescent="0.15">
      <c r="C3952" s="76">
        <v>438</v>
      </c>
      <c r="D3952" s="76">
        <v>4.8999999999999998E-3</v>
      </c>
      <c r="E3952" s="76">
        <v>0.01</v>
      </c>
      <c r="F3952" s="76">
        <v>1.5100000000000001E-2</v>
      </c>
      <c r="G3952" s="76">
        <v>2.0199999999999999E-2</v>
      </c>
      <c r="H3952" s="76">
        <v>2.53E-2</v>
      </c>
      <c r="I3952" s="76">
        <v>3.0200000000000001E-2</v>
      </c>
      <c r="J3952" s="76">
        <v>3.5400000000000001E-2</v>
      </c>
      <c r="K3952" s="76">
        <v>4.0500000000000001E-2</v>
      </c>
      <c r="L3952" s="76">
        <v>4.53E-2</v>
      </c>
      <c r="M3952" s="76">
        <v>5.04E-2</v>
      </c>
    </row>
    <row r="3953" spans="3:13" x14ac:dyDescent="0.15">
      <c r="C3953" s="76">
        <v>440</v>
      </c>
      <c r="D3953" s="76">
        <v>6.7499999999999999E-3</v>
      </c>
      <c r="E3953" s="76">
        <v>1.38E-2</v>
      </c>
      <c r="F3953" s="76">
        <v>2.0799999999999999E-2</v>
      </c>
      <c r="G3953" s="76">
        <v>2.7699999999999999E-2</v>
      </c>
      <c r="H3953" s="76">
        <v>3.4799999999999998E-2</v>
      </c>
      <c r="I3953" s="76">
        <v>4.1599999999999998E-2</v>
      </c>
      <c r="J3953" s="76">
        <v>4.8599999999999997E-2</v>
      </c>
      <c r="K3953" s="76">
        <v>5.5599999999999997E-2</v>
      </c>
      <c r="L3953" s="76">
        <v>6.2300000000000001E-2</v>
      </c>
      <c r="M3953" s="76">
        <v>6.9199999999999998E-2</v>
      </c>
    </row>
    <row r="3954" spans="3:13" x14ac:dyDescent="0.15">
      <c r="C3954" s="76">
        <v>442</v>
      </c>
      <c r="D3954" s="76">
        <v>9.0299999999999998E-3</v>
      </c>
      <c r="E3954" s="76">
        <v>1.8499999999999999E-2</v>
      </c>
      <c r="F3954" s="76">
        <v>2.7799999999999998E-2</v>
      </c>
      <c r="G3954" s="76">
        <v>3.7100000000000001E-2</v>
      </c>
      <c r="H3954" s="76">
        <v>4.6399999999999997E-2</v>
      </c>
      <c r="I3954" s="76">
        <v>5.5500000000000001E-2</v>
      </c>
      <c r="J3954" s="76">
        <v>6.4799999999999996E-2</v>
      </c>
      <c r="K3954" s="76">
        <v>7.4099999999999999E-2</v>
      </c>
      <c r="L3954" s="76">
        <v>8.3199999999999996E-2</v>
      </c>
      <c r="M3954" s="76">
        <v>9.2200000000000004E-2</v>
      </c>
    </row>
    <row r="3955" spans="3:13" x14ac:dyDescent="0.15">
      <c r="C3955" s="76">
        <v>444</v>
      </c>
      <c r="D3955" s="76">
        <v>1.17E-2</v>
      </c>
      <c r="E3955" s="76">
        <v>2.4E-2</v>
      </c>
      <c r="F3955" s="76">
        <v>3.61E-2</v>
      </c>
      <c r="G3955" s="76">
        <v>4.82E-2</v>
      </c>
      <c r="H3955" s="76">
        <v>6.0199999999999997E-2</v>
      </c>
      <c r="I3955" s="76">
        <v>7.2099999999999997E-2</v>
      </c>
      <c r="J3955" s="76">
        <v>8.4000000000000005E-2</v>
      </c>
      <c r="K3955" s="76">
        <v>9.6000000000000002E-2</v>
      </c>
      <c r="L3955" s="76">
        <v>0.108</v>
      </c>
      <c r="M3955" s="76">
        <v>0.12</v>
      </c>
    </row>
    <row r="3956" spans="3:13" x14ac:dyDescent="0.15">
      <c r="C3956" s="76">
        <v>446</v>
      </c>
      <c r="D3956" s="76">
        <v>1.4800000000000001E-2</v>
      </c>
      <c r="E3956" s="76">
        <v>3.0200000000000001E-2</v>
      </c>
      <c r="F3956" s="76">
        <v>4.5400000000000003E-2</v>
      </c>
      <c r="G3956" s="76">
        <v>6.0600000000000001E-2</v>
      </c>
      <c r="H3956" s="76">
        <v>7.5700000000000003E-2</v>
      </c>
      <c r="I3956" s="76">
        <v>9.06E-2</v>
      </c>
      <c r="J3956" s="76">
        <v>0.106</v>
      </c>
      <c r="K3956" s="76">
        <v>0.121</v>
      </c>
      <c r="L3956" s="76">
        <v>0.13500000000000001</v>
      </c>
      <c r="M3956" s="76">
        <v>0.15</v>
      </c>
    </row>
    <row r="3957" spans="3:13" x14ac:dyDescent="0.15">
      <c r="C3957" s="76">
        <v>448</v>
      </c>
      <c r="D3957" s="76">
        <v>1.7999999999999999E-2</v>
      </c>
      <c r="E3957" s="76">
        <v>3.6799999999999999E-2</v>
      </c>
      <c r="F3957" s="76">
        <v>5.5300000000000002E-2</v>
      </c>
      <c r="G3957" s="76">
        <v>7.3800000000000004E-2</v>
      </c>
      <c r="H3957" s="76">
        <v>9.2200000000000004E-2</v>
      </c>
      <c r="I3957" s="76">
        <v>0.11</v>
      </c>
      <c r="J3957" s="76">
        <v>0.129</v>
      </c>
      <c r="K3957" s="76">
        <v>0.14699999999999999</v>
      </c>
      <c r="L3957" s="76">
        <v>0.16500000000000001</v>
      </c>
      <c r="M3957" s="76">
        <v>0.183</v>
      </c>
    </row>
    <row r="3958" spans="3:13" x14ac:dyDescent="0.15">
      <c r="C3958" s="76">
        <v>450</v>
      </c>
      <c r="D3958" s="76">
        <v>2.1399999999999999E-2</v>
      </c>
      <c r="E3958" s="76">
        <v>4.3700000000000003E-2</v>
      </c>
      <c r="F3958" s="76">
        <v>6.5799999999999997E-2</v>
      </c>
      <c r="G3958" s="76">
        <v>8.77E-2</v>
      </c>
      <c r="H3958" s="76">
        <v>0.11</v>
      </c>
      <c r="I3958" s="76">
        <v>0.13100000000000001</v>
      </c>
      <c r="J3958" s="76">
        <v>0.153</v>
      </c>
      <c r="K3958" s="76">
        <v>0.17399999999999999</v>
      </c>
      <c r="L3958" s="76">
        <v>0.19500000000000001</v>
      </c>
      <c r="M3958" s="76">
        <v>0.216</v>
      </c>
    </row>
    <row r="3959" spans="3:13" x14ac:dyDescent="0.15">
      <c r="C3959" s="76">
        <v>452</v>
      </c>
      <c r="D3959" s="76">
        <v>2.4299999999999999E-2</v>
      </c>
      <c r="E3959" s="76">
        <v>4.9700000000000001E-2</v>
      </c>
      <c r="F3959" s="76">
        <v>7.4700000000000003E-2</v>
      </c>
      <c r="G3959" s="76">
        <v>9.9500000000000005E-2</v>
      </c>
      <c r="H3959" s="76">
        <v>0.124</v>
      </c>
      <c r="I3959" s="76">
        <v>0.14899999999999999</v>
      </c>
      <c r="J3959" s="76">
        <v>0.17299999999999999</v>
      </c>
      <c r="K3959" s="76">
        <v>0.19700000000000001</v>
      </c>
      <c r="L3959" s="76">
        <v>0.222</v>
      </c>
      <c r="M3959" s="76">
        <v>0.245</v>
      </c>
    </row>
    <row r="3960" spans="3:13" x14ac:dyDescent="0.15">
      <c r="C3960" s="76">
        <v>454</v>
      </c>
      <c r="D3960" s="76">
        <v>2.6599999999999999E-2</v>
      </c>
      <c r="E3960" s="76">
        <v>5.4300000000000001E-2</v>
      </c>
      <c r="F3960" s="76">
        <v>8.1600000000000006E-2</v>
      </c>
      <c r="G3960" s="76">
        <v>0.109</v>
      </c>
      <c r="H3960" s="76">
        <v>0.13600000000000001</v>
      </c>
      <c r="I3960" s="76">
        <v>0.16200000000000001</v>
      </c>
      <c r="J3960" s="76">
        <v>0.189</v>
      </c>
      <c r="K3960" s="76">
        <v>0.215</v>
      </c>
      <c r="L3960" s="76">
        <v>0.24199999999999999</v>
      </c>
      <c r="M3960" s="76">
        <v>0.26800000000000002</v>
      </c>
    </row>
    <row r="3961" spans="3:13" x14ac:dyDescent="0.15">
      <c r="C3961" s="76">
        <v>456</v>
      </c>
      <c r="D3961" s="76">
        <v>2.8199999999999999E-2</v>
      </c>
      <c r="E3961" s="76">
        <v>5.7500000000000002E-2</v>
      </c>
      <c r="F3961" s="76">
        <v>8.6400000000000005E-2</v>
      </c>
      <c r="G3961" s="76">
        <v>0.115</v>
      </c>
      <c r="H3961" s="76">
        <v>0.14399999999999999</v>
      </c>
      <c r="I3961" s="76">
        <v>0.17199999999999999</v>
      </c>
      <c r="J3961" s="76">
        <v>0.2</v>
      </c>
      <c r="K3961" s="76">
        <v>0.22800000000000001</v>
      </c>
      <c r="L3961" s="76">
        <v>0.25600000000000001</v>
      </c>
      <c r="M3961" s="76">
        <v>0.28299999999999997</v>
      </c>
    </row>
    <row r="3962" spans="3:13" x14ac:dyDescent="0.15">
      <c r="C3962" s="76">
        <v>458</v>
      </c>
      <c r="D3962" s="76">
        <v>2.8899999999999999E-2</v>
      </c>
      <c r="E3962" s="76">
        <v>5.8999999999999997E-2</v>
      </c>
      <c r="F3962" s="76">
        <v>8.8700000000000001E-2</v>
      </c>
      <c r="G3962" s="76">
        <v>0.11799999999999999</v>
      </c>
      <c r="H3962" s="76">
        <v>0.14699999999999999</v>
      </c>
      <c r="I3962" s="76">
        <v>0.17599999999999999</v>
      </c>
      <c r="J3962" s="76">
        <v>0.20499999999999999</v>
      </c>
      <c r="K3962" s="76">
        <v>0.23400000000000001</v>
      </c>
      <c r="L3962" s="76">
        <v>0.26300000000000001</v>
      </c>
      <c r="M3962" s="76">
        <v>0.29099999999999998</v>
      </c>
    </row>
    <row r="3963" spans="3:13" x14ac:dyDescent="0.15">
      <c r="C3963" s="76">
        <v>460</v>
      </c>
      <c r="D3963" s="76">
        <v>2.9000000000000001E-2</v>
      </c>
      <c r="E3963" s="76">
        <v>5.9200000000000003E-2</v>
      </c>
      <c r="F3963" s="76">
        <v>8.8999999999999996E-2</v>
      </c>
      <c r="G3963" s="76">
        <v>0.11799999999999999</v>
      </c>
      <c r="H3963" s="76">
        <v>0.14799999999999999</v>
      </c>
      <c r="I3963" s="76">
        <v>0.17699999999999999</v>
      </c>
      <c r="J3963" s="76">
        <v>0.20599999999999999</v>
      </c>
      <c r="K3963" s="76">
        <v>0.23400000000000001</v>
      </c>
      <c r="L3963" s="76">
        <v>0.26300000000000001</v>
      </c>
      <c r="M3963" s="76">
        <v>0.29099999999999998</v>
      </c>
    </row>
    <row r="3964" spans="3:13" x14ac:dyDescent="0.15">
      <c r="C3964" s="76">
        <v>462</v>
      </c>
      <c r="D3964" s="76">
        <v>2.8299999999999999E-2</v>
      </c>
      <c r="E3964" s="76">
        <v>5.7799999999999997E-2</v>
      </c>
      <c r="F3964" s="76">
        <v>8.6900000000000005E-2</v>
      </c>
      <c r="G3964" s="76">
        <v>0.11600000000000001</v>
      </c>
      <c r="H3964" s="76">
        <v>0.14399999999999999</v>
      </c>
      <c r="I3964" s="76">
        <v>0.17299999999999999</v>
      </c>
      <c r="J3964" s="76">
        <v>0.20100000000000001</v>
      </c>
      <c r="K3964" s="76">
        <v>0.22900000000000001</v>
      </c>
      <c r="L3964" s="76">
        <v>0.25700000000000001</v>
      </c>
      <c r="M3964" s="76">
        <v>0.28399999999999997</v>
      </c>
    </row>
    <row r="3965" spans="3:13" x14ac:dyDescent="0.15">
      <c r="C3965" s="76">
        <v>464</v>
      </c>
      <c r="D3965" s="76">
        <v>2.7E-2</v>
      </c>
      <c r="E3965" s="76">
        <v>5.5E-2</v>
      </c>
      <c r="F3965" s="76">
        <v>8.2699999999999996E-2</v>
      </c>
      <c r="G3965" s="76">
        <v>0.11</v>
      </c>
      <c r="H3965" s="76">
        <v>0.13700000000000001</v>
      </c>
      <c r="I3965" s="76">
        <v>0.16400000000000001</v>
      </c>
      <c r="J3965" s="76">
        <v>0.191</v>
      </c>
      <c r="K3965" s="76">
        <v>0.218</v>
      </c>
      <c r="L3965" s="76">
        <v>0.245</v>
      </c>
      <c r="M3965" s="76">
        <v>0.27100000000000002</v>
      </c>
    </row>
    <row r="3966" spans="3:13" x14ac:dyDescent="0.15">
      <c r="C3966" s="76">
        <v>466</v>
      </c>
      <c r="D3966" s="76">
        <v>2.5499999999999998E-2</v>
      </c>
      <c r="E3966" s="76">
        <v>5.1999999999999998E-2</v>
      </c>
      <c r="F3966" s="76">
        <v>7.8200000000000006E-2</v>
      </c>
      <c r="G3966" s="76">
        <v>0.104</v>
      </c>
      <c r="H3966" s="76">
        <v>0.13</v>
      </c>
      <c r="I3966" s="76">
        <v>0.155</v>
      </c>
      <c r="J3966" s="76">
        <v>0.18099999999999999</v>
      </c>
      <c r="K3966" s="76">
        <v>0.20599999999999999</v>
      </c>
      <c r="L3966" s="76">
        <v>0.23100000000000001</v>
      </c>
      <c r="M3966" s="76">
        <v>0.25600000000000001</v>
      </c>
    </row>
    <row r="3967" spans="3:13" x14ac:dyDescent="0.15">
      <c r="C3967" s="76">
        <v>468</v>
      </c>
      <c r="D3967" s="76">
        <v>2.3900000000000001E-2</v>
      </c>
      <c r="E3967" s="76">
        <v>4.8800000000000003E-2</v>
      </c>
      <c r="F3967" s="76">
        <v>7.3400000000000007E-2</v>
      </c>
      <c r="G3967" s="76">
        <v>9.7699999999999995E-2</v>
      </c>
      <c r="H3967" s="76">
        <v>0.122</v>
      </c>
      <c r="I3967" s="76">
        <v>0.14599999999999999</v>
      </c>
      <c r="J3967" s="76">
        <v>0.17</v>
      </c>
      <c r="K3967" s="76">
        <v>0.19400000000000001</v>
      </c>
      <c r="L3967" s="76">
        <v>0.217</v>
      </c>
      <c r="M3967" s="76">
        <v>0.24</v>
      </c>
    </row>
    <row r="3968" spans="3:13" x14ac:dyDescent="0.15">
      <c r="C3968" s="76">
        <v>470</v>
      </c>
      <c r="D3968" s="76">
        <v>2.23E-2</v>
      </c>
      <c r="E3968" s="76">
        <v>4.5600000000000002E-2</v>
      </c>
      <c r="F3968" s="76">
        <v>6.8699999999999997E-2</v>
      </c>
      <c r="G3968" s="76">
        <v>9.1399999999999995E-2</v>
      </c>
      <c r="H3968" s="76">
        <v>0.114</v>
      </c>
      <c r="I3968" s="76">
        <v>0.13600000000000001</v>
      </c>
      <c r="J3968" s="76">
        <v>0.159</v>
      </c>
      <c r="K3968" s="76">
        <v>0.18099999999999999</v>
      </c>
      <c r="L3968" s="76">
        <v>0.20300000000000001</v>
      </c>
      <c r="M3968" s="76">
        <v>0.22500000000000001</v>
      </c>
    </row>
    <row r="3969" spans="3:13" x14ac:dyDescent="0.15">
      <c r="C3969" s="76">
        <v>472</v>
      </c>
      <c r="D3969" s="76">
        <v>2.0899999999999998E-2</v>
      </c>
      <c r="E3969" s="76">
        <v>4.2700000000000002E-2</v>
      </c>
      <c r="F3969" s="76">
        <v>6.4299999999999996E-2</v>
      </c>
      <c r="G3969" s="76">
        <v>8.5599999999999996E-2</v>
      </c>
      <c r="H3969" s="76">
        <v>0.107</v>
      </c>
      <c r="I3969" s="76">
        <v>0.128</v>
      </c>
      <c r="J3969" s="76">
        <v>0.14899999999999999</v>
      </c>
      <c r="K3969" s="76">
        <v>0.17</v>
      </c>
      <c r="L3969" s="76">
        <v>0.19</v>
      </c>
      <c r="M3969" s="76">
        <v>0.21099999999999999</v>
      </c>
    </row>
    <row r="3970" spans="3:13" x14ac:dyDescent="0.15">
      <c r="C3970" s="76">
        <v>474</v>
      </c>
      <c r="D3970" s="76">
        <v>1.9699999999999999E-2</v>
      </c>
      <c r="E3970" s="76">
        <v>4.02E-2</v>
      </c>
      <c r="F3970" s="76">
        <v>6.0600000000000001E-2</v>
      </c>
      <c r="G3970" s="76">
        <v>8.0699999999999994E-2</v>
      </c>
      <c r="H3970" s="76">
        <v>0.10100000000000001</v>
      </c>
      <c r="I3970" s="76">
        <v>0.121</v>
      </c>
      <c r="J3970" s="76">
        <v>0.14000000000000001</v>
      </c>
      <c r="K3970" s="76">
        <v>0.16</v>
      </c>
      <c r="L3970" s="76">
        <v>0.17899999999999999</v>
      </c>
      <c r="M3970" s="76">
        <v>0.19900000000000001</v>
      </c>
    </row>
    <row r="3971" spans="3:13" x14ac:dyDescent="0.15">
      <c r="C3971" s="76">
        <v>476</v>
      </c>
      <c r="D3971" s="76">
        <v>1.8599999999999998E-2</v>
      </c>
      <c r="E3971" s="76">
        <v>3.7900000000000003E-2</v>
      </c>
      <c r="F3971" s="76">
        <v>5.7000000000000002E-2</v>
      </c>
      <c r="G3971" s="76">
        <v>7.5899999999999995E-2</v>
      </c>
      <c r="H3971" s="76">
        <v>9.4700000000000006E-2</v>
      </c>
      <c r="I3971" s="76">
        <v>0.113</v>
      </c>
      <c r="J3971" s="76">
        <v>0.13200000000000001</v>
      </c>
      <c r="K3971" s="76">
        <v>0.15</v>
      </c>
      <c r="L3971" s="76">
        <v>0.16900000000000001</v>
      </c>
      <c r="M3971" s="76">
        <v>0.187</v>
      </c>
    </row>
    <row r="3972" spans="3:13" x14ac:dyDescent="0.15">
      <c r="C3972" s="76">
        <v>478</v>
      </c>
      <c r="D3972" s="76">
        <v>1.78E-2</v>
      </c>
      <c r="E3972" s="76">
        <v>3.6200000000000003E-2</v>
      </c>
      <c r="F3972" s="76">
        <v>5.45E-2</v>
      </c>
      <c r="G3972" s="76">
        <v>7.2599999999999998E-2</v>
      </c>
      <c r="H3972" s="76">
        <v>9.0499999999999997E-2</v>
      </c>
      <c r="I3972" s="76">
        <v>0.109</v>
      </c>
      <c r="J3972" s="76">
        <v>0.126</v>
      </c>
      <c r="K3972" s="76">
        <v>0.14399999999999999</v>
      </c>
      <c r="L3972" s="76">
        <v>0.161</v>
      </c>
      <c r="M3972" s="76">
        <v>0.17899999999999999</v>
      </c>
    </row>
    <row r="3973" spans="3:13" x14ac:dyDescent="0.15">
      <c r="C3973" s="76">
        <v>480</v>
      </c>
      <c r="D3973" s="76">
        <v>1.7100000000000001E-2</v>
      </c>
      <c r="E3973" s="76">
        <v>3.4799999999999998E-2</v>
      </c>
      <c r="F3973" s="76">
        <v>5.2400000000000002E-2</v>
      </c>
      <c r="G3973" s="76">
        <v>6.9699999999999998E-2</v>
      </c>
      <c r="H3973" s="76">
        <v>8.6999999999999994E-2</v>
      </c>
      <c r="I3973" s="76">
        <v>0.104</v>
      </c>
      <c r="J3973" s="76">
        <v>0.121</v>
      </c>
      <c r="K3973" s="76">
        <v>0.13800000000000001</v>
      </c>
      <c r="L3973" s="76">
        <v>0.155</v>
      </c>
      <c r="M3973" s="76">
        <v>0.17199999999999999</v>
      </c>
    </row>
    <row r="3974" spans="3:13" x14ac:dyDescent="0.15">
      <c r="C3974" s="76">
        <v>482</v>
      </c>
      <c r="D3974" s="76">
        <v>1.6500000000000001E-2</v>
      </c>
      <c r="E3974" s="76">
        <v>3.3599999999999998E-2</v>
      </c>
      <c r="F3974" s="76">
        <v>5.0500000000000003E-2</v>
      </c>
      <c r="G3974" s="76">
        <v>6.7199999999999996E-2</v>
      </c>
      <c r="H3974" s="76">
        <v>8.3799999999999999E-2</v>
      </c>
      <c r="I3974" s="76">
        <v>0.1</v>
      </c>
      <c r="J3974" s="76">
        <v>0.11700000000000001</v>
      </c>
      <c r="K3974" s="76">
        <v>0.13300000000000001</v>
      </c>
      <c r="L3974" s="76">
        <v>0.14899999999999999</v>
      </c>
      <c r="M3974" s="76">
        <v>0.16600000000000001</v>
      </c>
    </row>
    <row r="3975" spans="3:13" x14ac:dyDescent="0.15">
      <c r="C3975" s="76">
        <v>484</v>
      </c>
      <c r="D3975" s="76">
        <v>1.5900000000000001E-2</v>
      </c>
      <c r="E3975" s="76">
        <v>3.2300000000000002E-2</v>
      </c>
      <c r="F3975" s="76">
        <v>4.8599999999999997E-2</v>
      </c>
      <c r="G3975" s="76">
        <v>6.4699999999999994E-2</v>
      </c>
      <c r="H3975" s="76">
        <v>8.0699999999999994E-2</v>
      </c>
      <c r="I3975" s="76">
        <v>9.6699999999999994E-2</v>
      </c>
      <c r="J3975" s="76">
        <v>0.113</v>
      </c>
      <c r="K3975" s="76">
        <v>0.128</v>
      </c>
      <c r="L3975" s="76">
        <v>0.14399999999999999</v>
      </c>
      <c r="M3975" s="76">
        <v>0.16</v>
      </c>
    </row>
    <row r="3976" spans="3:13" x14ac:dyDescent="0.15">
      <c r="C3976" s="76">
        <v>486</v>
      </c>
      <c r="D3976" s="76">
        <v>1.52E-2</v>
      </c>
      <c r="E3976" s="76">
        <v>3.1E-2</v>
      </c>
      <c r="F3976" s="76">
        <v>4.6600000000000003E-2</v>
      </c>
      <c r="G3976" s="76">
        <v>6.2100000000000002E-2</v>
      </c>
      <c r="H3976" s="76">
        <v>7.7299999999999994E-2</v>
      </c>
      <c r="I3976" s="76">
        <v>9.2799999999999994E-2</v>
      </c>
      <c r="J3976" s="76">
        <v>0.108</v>
      </c>
      <c r="K3976" s="76">
        <v>0.123</v>
      </c>
      <c r="L3976" s="76">
        <v>0.13800000000000001</v>
      </c>
      <c r="M3976" s="76">
        <v>0.153</v>
      </c>
    </row>
    <row r="3977" spans="3:13" x14ac:dyDescent="0.15">
      <c r="C3977" s="76">
        <v>488</v>
      </c>
      <c r="D3977" s="76">
        <v>1.44E-2</v>
      </c>
      <c r="E3977" s="76">
        <v>2.9399999999999999E-2</v>
      </c>
      <c r="F3977" s="76">
        <v>4.41E-2</v>
      </c>
      <c r="G3977" s="76">
        <v>5.8700000000000002E-2</v>
      </c>
      <c r="H3977" s="76">
        <v>7.3300000000000004E-2</v>
      </c>
      <c r="I3977" s="76">
        <v>8.77E-2</v>
      </c>
      <c r="J3977" s="76">
        <v>0.10199999999999999</v>
      </c>
      <c r="K3977" s="76">
        <v>0.11600000000000001</v>
      </c>
      <c r="L3977" s="76">
        <v>0.13</v>
      </c>
      <c r="M3977" s="76">
        <v>0.14499999999999999</v>
      </c>
    </row>
    <row r="3978" spans="3:13" x14ac:dyDescent="0.15">
      <c r="C3978" s="76">
        <v>490</v>
      </c>
      <c r="D3978" s="76">
        <v>1.3599999999999999E-2</v>
      </c>
      <c r="E3978" s="76">
        <v>2.7699999999999999E-2</v>
      </c>
      <c r="F3978" s="76">
        <v>4.1599999999999998E-2</v>
      </c>
      <c r="G3978" s="76">
        <v>5.5399999999999998E-2</v>
      </c>
      <c r="H3978" s="76">
        <v>6.9099999999999995E-2</v>
      </c>
      <c r="I3978" s="76">
        <v>8.3000000000000004E-2</v>
      </c>
      <c r="J3978" s="76">
        <v>9.6299999999999997E-2</v>
      </c>
      <c r="K3978" s="76">
        <v>0.11</v>
      </c>
      <c r="L3978" s="76">
        <v>0.123</v>
      </c>
      <c r="M3978" s="76">
        <v>0.13700000000000001</v>
      </c>
    </row>
    <row r="3979" spans="3:13" x14ac:dyDescent="0.15">
      <c r="C3979" s="76">
        <v>492</v>
      </c>
      <c r="D3979" s="76">
        <v>1.2699999999999999E-2</v>
      </c>
      <c r="E3979" s="76">
        <v>2.5999999999999999E-2</v>
      </c>
      <c r="F3979" s="76">
        <v>3.9E-2</v>
      </c>
      <c r="G3979" s="76">
        <v>5.1999999999999998E-2</v>
      </c>
      <c r="H3979" s="76">
        <v>6.4799999999999996E-2</v>
      </c>
      <c r="I3979" s="76">
        <v>7.7600000000000002E-2</v>
      </c>
      <c r="J3979" s="76">
        <v>9.0300000000000005E-2</v>
      </c>
      <c r="K3979" s="76">
        <v>0.10299999999999999</v>
      </c>
      <c r="L3979" s="76">
        <v>0.115</v>
      </c>
      <c r="M3979" s="76">
        <v>0.128</v>
      </c>
    </row>
    <row r="3980" spans="3:13" x14ac:dyDescent="0.15">
      <c r="C3980" s="76">
        <v>494</v>
      </c>
      <c r="D3980" s="76">
        <v>1.18E-2</v>
      </c>
      <c r="E3980" s="76">
        <v>2.4199999999999999E-2</v>
      </c>
      <c r="F3980" s="76">
        <v>3.6299999999999999E-2</v>
      </c>
      <c r="G3980" s="76">
        <v>4.8399999999999999E-2</v>
      </c>
      <c r="H3980" s="76">
        <v>6.0299999999999999E-2</v>
      </c>
      <c r="I3980" s="76">
        <v>7.22E-2</v>
      </c>
      <c r="J3980" s="76">
        <v>8.4099999999999994E-2</v>
      </c>
      <c r="K3980" s="76">
        <v>9.5699999999999993E-2</v>
      </c>
      <c r="L3980" s="76">
        <v>0.107</v>
      </c>
      <c r="M3980" s="76">
        <v>0.11899999999999999</v>
      </c>
    </row>
    <row r="3981" spans="3:13" x14ac:dyDescent="0.15">
      <c r="C3981" s="76">
        <v>496</v>
      </c>
      <c r="D3981" s="76">
        <v>1.0999999999999999E-2</v>
      </c>
      <c r="E3981" s="76">
        <v>2.24E-2</v>
      </c>
      <c r="F3981" s="76">
        <v>3.3599999999999998E-2</v>
      </c>
      <c r="G3981" s="76">
        <v>4.48E-2</v>
      </c>
      <c r="H3981" s="76">
        <v>5.5800000000000002E-2</v>
      </c>
      <c r="I3981" s="76">
        <v>6.6900000000000001E-2</v>
      </c>
      <c r="J3981" s="76">
        <v>7.7899999999999997E-2</v>
      </c>
      <c r="K3981" s="76">
        <v>8.8900000000000007E-2</v>
      </c>
      <c r="L3981" s="76">
        <v>9.9400000000000002E-2</v>
      </c>
      <c r="M3981" s="76">
        <v>0.11</v>
      </c>
    </row>
    <row r="3982" spans="3:13" x14ac:dyDescent="0.15">
      <c r="C3982" s="76">
        <v>498</v>
      </c>
      <c r="D3982" s="76">
        <v>1.01E-2</v>
      </c>
      <c r="E3982" s="76">
        <v>2.0500000000000001E-2</v>
      </c>
      <c r="F3982" s="76">
        <v>3.09E-2</v>
      </c>
      <c r="G3982" s="76">
        <v>4.1099999999999998E-2</v>
      </c>
      <c r="H3982" s="76">
        <v>5.1299999999999998E-2</v>
      </c>
      <c r="I3982" s="76">
        <v>6.1499999999999999E-2</v>
      </c>
      <c r="J3982" s="76">
        <v>7.1400000000000005E-2</v>
      </c>
      <c r="K3982" s="76">
        <v>8.1299999999999997E-2</v>
      </c>
      <c r="L3982" s="76">
        <v>9.1200000000000003E-2</v>
      </c>
      <c r="M3982" s="76">
        <v>0.10100000000000001</v>
      </c>
    </row>
    <row r="3983" spans="3:13" x14ac:dyDescent="0.15">
      <c r="C3983" s="76">
        <v>500</v>
      </c>
      <c r="D3983" s="76">
        <v>9.1400000000000006E-3</v>
      </c>
      <c r="E3983" s="76">
        <v>1.8599999999999998E-2</v>
      </c>
      <c r="F3983" s="76">
        <v>2.8000000000000001E-2</v>
      </c>
      <c r="G3983" s="76">
        <v>3.73E-2</v>
      </c>
      <c r="H3983" s="76">
        <v>4.65E-2</v>
      </c>
      <c r="I3983" s="76">
        <v>5.57E-2</v>
      </c>
      <c r="J3983" s="76">
        <v>6.4799999999999996E-2</v>
      </c>
      <c r="K3983" s="76">
        <v>7.3800000000000004E-2</v>
      </c>
      <c r="L3983" s="76">
        <v>8.2799999999999999E-2</v>
      </c>
      <c r="M3983" s="76">
        <v>9.1600000000000001E-2</v>
      </c>
    </row>
    <row r="3984" spans="3:13" x14ac:dyDescent="0.15">
      <c r="C3984" s="76">
        <v>502</v>
      </c>
      <c r="D3984" s="76">
        <v>8.2500000000000004E-3</v>
      </c>
      <c r="E3984" s="76">
        <v>1.6799999999999999E-2</v>
      </c>
      <c r="F3984" s="76">
        <v>2.53E-2</v>
      </c>
      <c r="G3984" s="76">
        <v>3.3700000000000001E-2</v>
      </c>
      <c r="H3984" s="76">
        <v>4.2000000000000003E-2</v>
      </c>
      <c r="I3984" s="76">
        <v>5.0299999999999997E-2</v>
      </c>
      <c r="J3984" s="76">
        <v>5.8500000000000003E-2</v>
      </c>
      <c r="K3984" s="76">
        <v>6.6600000000000006E-2</v>
      </c>
      <c r="L3984" s="76">
        <v>7.4700000000000003E-2</v>
      </c>
      <c r="M3984" s="76">
        <v>8.2799999999999999E-2</v>
      </c>
    </row>
    <row r="3985" spans="3:13" x14ac:dyDescent="0.15">
      <c r="C3985" s="76">
        <v>504</v>
      </c>
      <c r="D3985" s="76">
        <v>7.4700000000000001E-3</v>
      </c>
      <c r="E3985" s="76">
        <v>1.52E-2</v>
      </c>
      <c r="F3985" s="76">
        <v>2.29E-2</v>
      </c>
      <c r="G3985" s="76">
        <v>3.0499999999999999E-2</v>
      </c>
      <c r="H3985" s="76">
        <v>3.7999999999999999E-2</v>
      </c>
      <c r="I3985" s="76">
        <v>4.5600000000000002E-2</v>
      </c>
      <c r="J3985" s="76">
        <v>5.2999999999999999E-2</v>
      </c>
      <c r="K3985" s="76">
        <v>6.0299999999999999E-2</v>
      </c>
      <c r="L3985" s="76">
        <v>6.7599999999999993E-2</v>
      </c>
      <c r="M3985" s="76">
        <v>7.4999999999999997E-2</v>
      </c>
    </row>
    <row r="3986" spans="3:13" x14ac:dyDescent="0.15">
      <c r="C3986" s="76">
        <v>506</v>
      </c>
      <c r="D3986" s="76">
        <v>6.77E-3</v>
      </c>
      <c r="E3986" s="76">
        <v>1.38E-2</v>
      </c>
      <c r="F3986" s="76">
        <v>2.07E-2</v>
      </c>
      <c r="G3986" s="76">
        <v>2.76E-2</v>
      </c>
      <c r="H3986" s="76">
        <v>3.44E-2</v>
      </c>
      <c r="I3986" s="76">
        <v>4.1200000000000001E-2</v>
      </c>
      <c r="J3986" s="76">
        <v>4.8000000000000001E-2</v>
      </c>
      <c r="K3986" s="76">
        <v>5.4699999999999999E-2</v>
      </c>
      <c r="L3986" s="76">
        <v>6.13E-2</v>
      </c>
      <c r="M3986" s="76">
        <v>6.7900000000000002E-2</v>
      </c>
    </row>
    <row r="3987" spans="3:13" x14ac:dyDescent="0.15">
      <c r="C3987" s="76">
        <v>508</v>
      </c>
      <c r="D3987" s="76">
        <v>6.1199999999999996E-3</v>
      </c>
      <c r="E3987" s="76">
        <v>1.2500000000000001E-2</v>
      </c>
      <c r="F3987" s="76">
        <v>1.8700000000000001E-2</v>
      </c>
      <c r="G3987" s="76">
        <v>2.5000000000000001E-2</v>
      </c>
      <c r="H3987" s="76">
        <v>3.1199999999999999E-2</v>
      </c>
      <c r="I3987" s="76">
        <v>3.7400000000000003E-2</v>
      </c>
      <c r="J3987" s="76">
        <v>4.3499999999999997E-2</v>
      </c>
      <c r="K3987" s="76">
        <v>4.9500000000000002E-2</v>
      </c>
      <c r="L3987" s="76">
        <v>5.5500000000000001E-2</v>
      </c>
      <c r="M3987" s="76">
        <v>6.1499999999999999E-2</v>
      </c>
    </row>
    <row r="3988" spans="3:13" x14ac:dyDescent="0.15">
      <c r="C3988" s="76">
        <v>510</v>
      </c>
      <c r="D3988" s="76">
        <v>5.5599999999999998E-3</v>
      </c>
      <c r="E3988" s="76">
        <v>1.1299999999999999E-2</v>
      </c>
      <c r="F3988" s="76">
        <v>1.7000000000000001E-2</v>
      </c>
      <c r="G3988" s="76">
        <v>2.2700000000000001E-2</v>
      </c>
      <c r="H3988" s="76">
        <v>2.8299999999999999E-2</v>
      </c>
      <c r="I3988" s="76">
        <v>3.39E-2</v>
      </c>
      <c r="J3988" s="76">
        <v>3.95E-2</v>
      </c>
      <c r="K3988" s="76">
        <v>4.4999999999999998E-2</v>
      </c>
      <c r="L3988" s="76">
        <v>5.04E-2</v>
      </c>
      <c r="M3988" s="76">
        <v>5.5899999999999998E-2</v>
      </c>
    </row>
    <row r="3989" spans="3:13" x14ac:dyDescent="0.15">
      <c r="C3989" s="76">
        <v>512</v>
      </c>
      <c r="D3989" s="76">
        <v>5.0099999999999997E-3</v>
      </c>
      <c r="E3989" s="76">
        <v>1.03E-2</v>
      </c>
      <c r="F3989" s="76">
        <v>1.54E-2</v>
      </c>
      <c r="G3989" s="76">
        <v>2.0500000000000001E-2</v>
      </c>
      <c r="H3989" s="76">
        <v>2.5600000000000001E-2</v>
      </c>
      <c r="I3989" s="76">
        <v>3.0599999999999999E-2</v>
      </c>
      <c r="J3989" s="76">
        <v>3.56E-2</v>
      </c>
      <c r="K3989" s="76">
        <v>4.0599999999999997E-2</v>
      </c>
      <c r="L3989" s="76">
        <v>4.5400000000000003E-2</v>
      </c>
      <c r="M3989" s="76">
        <v>5.0500000000000003E-2</v>
      </c>
    </row>
    <row r="3990" spans="3:13" x14ac:dyDescent="0.15">
      <c r="C3990" s="76">
        <v>514</v>
      </c>
      <c r="D3990" s="76">
        <v>4.5799999999999999E-3</v>
      </c>
      <c r="E3990" s="76">
        <v>9.3699999999999999E-3</v>
      </c>
      <c r="F3990" s="76">
        <v>1.4E-2</v>
      </c>
      <c r="G3990" s="76">
        <v>1.8700000000000001E-2</v>
      </c>
      <c r="H3990" s="76">
        <v>2.3300000000000001E-2</v>
      </c>
      <c r="I3990" s="76">
        <v>2.7900000000000001E-2</v>
      </c>
      <c r="J3990" s="76">
        <v>3.2500000000000001E-2</v>
      </c>
      <c r="K3990" s="76">
        <v>3.6999999999999998E-2</v>
      </c>
      <c r="L3990" s="76">
        <v>4.1500000000000002E-2</v>
      </c>
      <c r="M3990" s="76">
        <v>4.5999999999999999E-2</v>
      </c>
    </row>
    <row r="3991" spans="3:13" x14ac:dyDescent="0.15">
      <c r="C3991" s="76">
        <v>516</v>
      </c>
      <c r="D3991" s="76">
        <v>4.2100000000000002E-3</v>
      </c>
      <c r="E3991" s="76">
        <v>8.6300000000000005E-3</v>
      </c>
      <c r="F3991" s="76">
        <v>1.29E-2</v>
      </c>
      <c r="G3991" s="76">
        <v>1.72E-2</v>
      </c>
      <c r="H3991" s="76">
        <v>2.1499999999999998E-2</v>
      </c>
      <c r="I3991" s="76">
        <v>2.5700000000000001E-2</v>
      </c>
      <c r="J3991" s="76">
        <v>2.9899999999999999E-2</v>
      </c>
      <c r="K3991" s="76">
        <v>3.4000000000000002E-2</v>
      </c>
      <c r="L3991" s="76">
        <v>3.8199999999999998E-2</v>
      </c>
      <c r="M3991" s="76">
        <v>4.2299999999999997E-2</v>
      </c>
    </row>
    <row r="3992" spans="3:13" x14ac:dyDescent="0.15">
      <c r="C3992" s="76">
        <v>518</v>
      </c>
      <c r="D3992" s="76">
        <v>3.8800000000000002E-3</v>
      </c>
      <c r="E3992" s="76">
        <v>7.9600000000000001E-3</v>
      </c>
      <c r="F3992" s="76">
        <v>1.1900000000000001E-2</v>
      </c>
      <c r="G3992" s="76">
        <v>1.5900000000000001E-2</v>
      </c>
      <c r="H3992" s="76">
        <v>1.9800000000000002E-2</v>
      </c>
      <c r="I3992" s="76">
        <v>2.3699999999999999E-2</v>
      </c>
      <c r="J3992" s="76">
        <v>2.76E-2</v>
      </c>
      <c r="K3992" s="76">
        <v>3.1399999999999997E-2</v>
      </c>
      <c r="L3992" s="76">
        <v>3.5200000000000002E-2</v>
      </c>
      <c r="M3992" s="76">
        <v>3.9100000000000003E-2</v>
      </c>
    </row>
    <row r="3993" spans="3:13" x14ac:dyDescent="0.15">
      <c r="C3993" s="76">
        <v>520</v>
      </c>
      <c r="D3993" s="76">
        <v>3.5899999999999999E-3</v>
      </c>
      <c r="E3993" s="76">
        <v>7.3800000000000003E-3</v>
      </c>
      <c r="F3993" s="76">
        <v>1.0999999999999999E-2</v>
      </c>
      <c r="G3993" s="76">
        <v>1.47E-2</v>
      </c>
      <c r="H3993" s="76">
        <v>1.84E-2</v>
      </c>
      <c r="I3993" s="76">
        <v>2.1999999999999999E-2</v>
      </c>
      <c r="J3993" s="76">
        <v>2.5499999999999998E-2</v>
      </c>
      <c r="K3993" s="76">
        <v>2.9100000000000001E-2</v>
      </c>
      <c r="L3993" s="76">
        <v>3.2599999999999997E-2</v>
      </c>
      <c r="M3993" s="76">
        <v>3.6200000000000003E-2</v>
      </c>
    </row>
    <row r="3994" spans="3:13" x14ac:dyDescent="0.15">
      <c r="C3994" s="76">
        <v>522</v>
      </c>
      <c r="D3994" s="76">
        <v>3.3300000000000001E-3</v>
      </c>
      <c r="E3994" s="76">
        <v>6.8500000000000002E-3</v>
      </c>
      <c r="F3994" s="76">
        <v>1.0200000000000001E-2</v>
      </c>
      <c r="G3994" s="76">
        <v>1.3599999999999999E-2</v>
      </c>
      <c r="H3994" s="76">
        <v>1.7000000000000001E-2</v>
      </c>
      <c r="I3994" s="76">
        <v>2.0299999999999999E-2</v>
      </c>
      <c r="J3994" s="76">
        <v>2.3599999999999999E-2</v>
      </c>
      <c r="K3994" s="76">
        <v>2.7E-2</v>
      </c>
      <c r="L3994" s="76">
        <v>3.0200000000000001E-2</v>
      </c>
      <c r="M3994" s="76">
        <v>3.3500000000000002E-2</v>
      </c>
    </row>
    <row r="3995" spans="3:13" x14ac:dyDescent="0.15">
      <c r="C3995" s="76">
        <v>524</v>
      </c>
      <c r="D3995" s="76">
        <v>3.0500000000000002E-3</v>
      </c>
      <c r="E3995" s="76">
        <v>6.2599999999999999E-3</v>
      </c>
      <c r="F3995" s="76">
        <v>9.3600000000000003E-3</v>
      </c>
      <c r="G3995" s="76">
        <v>1.2500000000000001E-2</v>
      </c>
      <c r="H3995" s="76">
        <v>1.5599999999999999E-2</v>
      </c>
      <c r="I3995" s="76">
        <v>1.8599999999999998E-2</v>
      </c>
      <c r="J3995" s="76">
        <v>2.1600000000000001E-2</v>
      </c>
      <c r="K3995" s="76">
        <v>2.47E-2</v>
      </c>
      <c r="L3995" s="76">
        <v>2.7699999999999999E-2</v>
      </c>
      <c r="M3995" s="76">
        <v>3.0599999999999999E-2</v>
      </c>
    </row>
    <row r="3996" spans="3:13" x14ac:dyDescent="0.15">
      <c r="C3996" s="76">
        <v>526</v>
      </c>
      <c r="D3996" s="76">
        <v>2.82E-3</v>
      </c>
      <c r="E3996" s="76">
        <v>5.79E-3</v>
      </c>
      <c r="F3996" s="76">
        <v>8.6400000000000001E-3</v>
      </c>
      <c r="G3996" s="76">
        <v>1.15E-2</v>
      </c>
      <c r="H3996" s="76">
        <v>1.44E-2</v>
      </c>
      <c r="I3996" s="76">
        <v>1.7299999999999999E-2</v>
      </c>
      <c r="J3996" s="76">
        <v>0.02</v>
      </c>
      <c r="K3996" s="76">
        <v>2.2800000000000001E-2</v>
      </c>
      <c r="L3996" s="76">
        <v>2.5600000000000001E-2</v>
      </c>
      <c r="M3996" s="76">
        <v>2.8299999999999999E-2</v>
      </c>
    </row>
    <row r="3997" spans="3:13" x14ac:dyDescent="0.15">
      <c r="C3997" s="76">
        <v>528</v>
      </c>
      <c r="D3997" s="76">
        <v>2.5999999999999999E-3</v>
      </c>
      <c r="E3997" s="76">
        <v>5.3499999999999997E-3</v>
      </c>
      <c r="F3997" s="76">
        <v>8.0000000000000002E-3</v>
      </c>
      <c r="G3997" s="76">
        <v>1.0699999999999999E-2</v>
      </c>
      <c r="H3997" s="76">
        <v>1.3299999999999999E-2</v>
      </c>
      <c r="I3997" s="76">
        <v>1.5900000000000001E-2</v>
      </c>
      <c r="J3997" s="76">
        <v>1.8499999999999999E-2</v>
      </c>
      <c r="K3997" s="76">
        <v>2.1000000000000001E-2</v>
      </c>
      <c r="L3997" s="76">
        <v>2.3699999999999999E-2</v>
      </c>
      <c r="M3997" s="76">
        <v>2.6200000000000001E-2</v>
      </c>
    </row>
    <row r="3998" spans="3:13" x14ac:dyDescent="0.15">
      <c r="C3998" s="76">
        <v>530</v>
      </c>
      <c r="D3998" s="76">
        <v>2.3900000000000002E-3</v>
      </c>
      <c r="E3998" s="76">
        <v>4.9199999999999999E-3</v>
      </c>
      <c r="F3998" s="76">
        <v>7.3600000000000002E-3</v>
      </c>
      <c r="G3998" s="76">
        <v>9.7900000000000001E-3</v>
      </c>
      <c r="H3998" s="76">
        <v>1.23E-2</v>
      </c>
      <c r="I3998" s="76">
        <v>1.47E-2</v>
      </c>
      <c r="J3998" s="76">
        <v>1.7000000000000001E-2</v>
      </c>
      <c r="K3998" s="76">
        <v>1.9400000000000001E-2</v>
      </c>
      <c r="L3998" s="76">
        <v>2.18E-2</v>
      </c>
      <c r="M3998" s="76">
        <v>2.41E-2</v>
      </c>
    </row>
    <row r="3999" spans="3:13" x14ac:dyDescent="0.15">
      <c r="C3999" s="76">
        <v>532</v>
      </c>
      <c r="D3999" s="76">
        <v>2.2000000000000001E-3</v>
      </c>
      <c r="E3999" s="76">
        <v>4.4999999999999997E-3</v>
      </c>
      <c r="F3999" s="76">
        <v>6.7299999999999999E-3</v>
      </c>
      <c r="G3999" s="76">
        <v>8.9800000000000001E-3</v>
      </c>
      <c r="H3999" s="76">
        <v>1.1299999999999999E-2</v>
      </c>
      <c r="I3999" s="76">
        <v>1.3299999999999999E-2</v>
      </c>
      <c r="J3999" s="76">
        <v>1.55E-2</v>
      </c>
      <c r="K3999" s="76">
        <v>1.78E-2</v>
      </c>
      <c r="L3999" s="76">
        <v>0.02</v>
      </c>
      <c r="M3999" s="76">
        <v>2.2100000000000002E-2</v>
      </c>
    </row>
    <row r="4000" spans="3:13" x14ac:dyDescent="0.15">
      <c r="C4000" s="76">
        <v>534</v>
      </c>
      <c r="D4000" s="76">
        <v>2.0100000000000001E-3</v>
      </c>
      <c r="E4000" s="76">
        <v>4.1000000000000003E-3</v>
      </c>
      <c r="F4000" s="76">
        <v>6.1500000000000001E-3</v>
      </c>
      <c r="G4000" s="76">
        <v>8.2000000000000007E-3</v>
      </c>
      <c r="H4000" s="76">
        <v>1.03E-2</v>
      </c>
      <c r="I4000" s="76">
        <v>1.2200000000000001E-2</v>
      </c>
      <c r="J4000" s="76">
        <v>1.4200000000000001E-2</v>
      </c>
      <c r="K4000" s="76">
        <v>1.6199999999999999E-2</v>
      </c>
      <c r="L4000" s="76">
        <v>1.8200000000000001E-2</v>
      </c>
      <c r="M4000" s="76">
        <v>2.0400000000000001E-2</v>
      </c>
    </row>
    <row r="4001" spans="3:13" x14ac:dyDescent="0.15">
      <c r="C4001" s="76">
        <v>536</v>
      </c>
      <c r="D4001" s="76">
        <v>1.81E-3</v>
      </c>
      <c r="E4001" s="76">
        <v>3.7000000000000002E-3</v>
      </c>
      <c r="F4001" s="76">
        <v>5.5399999999999998E-3</v>
      </c>
      <c r="G4001" s="76">
        <v>7.4000000000000003E-3</v>
      </c>
      <c r="H4001" s="76">
        <v>9.2300000000000004E-3</v>
      </c>
      <c r="I4001" s="76">
        <v>1.0999999999999999E-2</v>
      </c>
      <c r="J4001" s="76">
        <v>1.2800000000000001E-2</v>
      </c>
      <c r="K4001" s="76">
        <v>1.46E-2</v>
      </c>
      <c r="L4001" s="76">
        <v>1.6400000000000001E-2</v>
      </c>
      <c r="M4001" s="76">
        <v>1.8200000000000001E-2</v>
      </c>
    </row>
    <row r="4002" spans="3:13" x14ac:dyDescent="0.15">
      <c r="C4002" s="76">
        <v>538</v>
      </c>
      <c r="D4002" s="76">
        <v>1.65E-3</v>
      </c>
      <c r="E4002" s="76">
        <v>3.3600000000000001E-3</v>
      </c>
      <c r="F4002" s="76">
        <v>5.0400000000000002E-3</v>
      </c>
      <c r="G4002" s="76">
        <v>6.7299999999999999E-3</v>
      </c>
      <c r="H4002" s="76">
        <v>8.4100000000000008E-3</v>
      </c>
      <c r="I4002" s="76">
        <v>9.9799999999999993E-3</v>
      </c>
      <c r="J4002" s="76">
        <v>1.1599999999999999E-2</v>
      </c>
      <c r="K4002" s="76">
        <v>1.3299999999999999E-2</v>
      </c>
      <c r="L4002" s="76">
        <v>1.4999999999999999E-2</v>
      </c>
      <c r="M4002" s="76">
        <v>1.6500000000000001E-2</v>
      </c>
    </row>
    <row r="4003" spans="3:13" x14ac:dyDescent="0.15">
      <c r="C4003" s="76">
        <v>540</v>
      </c>
      <c r="D4003" s="76">
        <v>1.5E-3</v>
      </c>
      <c r="E4003" s="76">
        <v>3.0599999999999998E-3</v>
      </c>
      <c r="F4003" s="76">
        <v>4.5700000000000003E-3</v>
      </c>
      <c r="G4003" s="76">
        <v>6.1199999999999996E-3</v>
      </c>
      <c r="H4003" s="76">
        <v>7.6899999999999998E-3</v>
      </c>
      <c r="I4003" s="76">
        <v>9.0399999999999994E-3</v>
      </c>
      <c r="J4003" s="76">
        <v>1.06E-2</v>
      </c>
      <c r="K4003" s="76">
        <v>1.2E-2</v>
      </c>
      <c r="L4003" s="76">
        <v>1.3599999999999999E-2</v>
      </c>
      <c r="M4003" s="76">
        <v>1.4999999999999999E-2</v>
      </c>
    </row>
    <row r="4004" spans="3:13" x14ac:dyDescent="0.15">
      <c r="C4004" s="76">
        <v>542</v>
      </c>
      <c r="D4004" s="76">
        <v>1.3600000000000001E-3</v>
      </c>
      <c r="E4004" s="76">
        <v>2.7799999999999999E-3</v>
      </c>
      <c r="F4004" s="76">
        <v>4.1599999999999996E-3</v>
      </c>
      <c r="G4004" s="76">
        <v>5.5700000000000003E-3</v>
      </c>
      <c r="H4004" s="76">
        <v>6.9800000000000001E-3</v>
      </c>
      <c r="I4004" s="76">
        <v>8.3000000000000001E-3</v>
      </c>
      <c r="J4004" s="76">
        <v>9.6100000000000005E-3</v>
      </c>
      <c r="K4004" s="76">
        <v>1.0999999999999999E-2</v>
      </c>
      <c r="L4004" s="76">
        <v>1.24E-2</v>
      </c>
      <c r="M4004" s="76">
        <v>1.3599999999999999E-2</v>
      </c>
    </row>
    <row r="4005" spans="3:13" x14ac:dyDescent="0.15">
      <c r="C4005" s="76">
        <v>544</v>
      </c>
      <c r="D4005" s="76">
        <v>1.25E-3</v>
      </c>
      <c r="E4005" s="76">
        <v>2.5200000000000001E-3</v>
      </c>
      <c r="F4005" s="76">
        <v>3.7799999999999999E-3</v>
      </c>
      <c r="G4005" s="76">
        <v>5.0899999999999999E-3</v>
      </c>
      <c r="H4005" s="76">
        <v>6.3400000000000001E-3</v>
      </c>
      <c r="I4005" s="76">
        <v>7.5599999999999999E-3</v>
      </c>
      <c r="J4005" s="76">
        <v>8.7600000000000004E-3</v>
      </c>
      <c r="K4005" s="76">
        <v>1.01E-2</v>
      </c>
      <c r="L4005" s="76">
        <v>1.1299999999999999E-2</v>
      </c>
      <c r="M4005" s="76">
        <v>1.24E-2</v>
      </c>
    </row>
    <row r="4006" spans="3:13" x14ac:dyDescent="0.15">
      <c r="C4006" s="76">
        <v>546</v>
      </c>
      <c r="D4006" s="76">
        <v>1.1299999999999999E-3</v>
      </c>
      <c r="E4006" s="76">
        <v>2.2899999999999999E-3</v>
      </c>
      <c r="F4006" s="76">
        <v>3.4199999999999999E-3</v>
      </c>
      <c r="G4006" s="76">
        <v>4.5999999999999999E-3</v>
      </c>
      <c r="H4006" s="76">
        <v>5.7099999999999998E-3</v>
      </c>
      <c r="I4006" s="76">
        <v>6.77E-3</v>
      </c>
      <c r="J4006" s="76">
        <v>7.8799999999999999E-3</v>
      </c>
      <c r="K4006" s="76">
        <v>9.0500000000000008E-3</v>
      </c>
      <c r="L4006" s="76">
        <v>1.0200000000000001E-2</v>
      </c>
      <c r="M4006" s="76">
        <v>1.1299999999999999E-2</v>
      </c>
    </row>
    <row r="4007" spans="3:13" x14ac:dyDescent="0.15">
      <c r="C4007" s="76">
        <v>548</v>
      </c>
      <c r="D4007" s="76">
        <v>1.01E-3</v>
      </c>
      <c r="E4007" s="76">
        <v>2.0500000000000002E-3</v>
      </c>
      <c r="F4007" s="76">
        <v>3.1099999999999999E-3</v>
      </c>
      <c r="G4007" s="76">
        <v>4.1900000000000001E-3</v>
      </c>
      <c r="H4007" s="76">
        <v>5.1599999999999997E-3</v>
      </c>
      <c r="I4007" s="76">
        <v>6.1199999999999996E-3</v>
      </c>
      <c r="J4007" s="76">
        <v>7.1799999999999998E-3</v>
      </c>
      <c r="K4007" s="76">
        <v>8.2199999999999999E-3</v>
      </c>
      <c r="L4007" s="76">
        <v>9.2399999999999999E-3</v>
      </c>
      <c r="M4007" s="76">
        <v>1.01E-2</v>
      </c>
    </row>
    <row r="4008" spans="3:13" x14ac:dyDescent="0.15">
      <c r="C4008" s="76">
        <v>550</v>
      </c>
      <c r="D4008" s="76">
        <v>9.2800000000000001E-4</v>
      </c>
      <c r="E4008" s="76">
        <v>1.9E-3</v>
      </c>
      <c r="F4008" s="76">
        <v>2.8300000000000001E-3</v>
      </c>
      <c r="G4008" s="76">
        <v>3.82E-3</v>
      </c>
      <c r="H4008" s="76">
        <v>4.7099999999999998E-3</v>
      </c>
      <c r="I4008" s="76">
        <v>5.5999999999999999E-3</v>
      </c>
      <c r="J4008" s="76">
        <v>6.5100000000000002E-3</v>
      </c>
      <c r="K4008" s="76">
        <v>7.4799999999999997E-3</v>
      </c>
      <c r="L4008" s="76">
        <v>8.43E-3</v>
      </c>
      <c r="M4008" s="76">
        <v>9.3100000000000006E-3</v>
      </c>
    </row>
    <row r="4009" spans="3:13" x14ac:dyDescent="0.15">
      <c r="C4009" s="76">
        <v>552</v>
      </c>
      <c r="D4009" s="76">
        <v>8.4599999999999996E-4</v>
      </c>
      <c r="E4009" s="76">
        <v>1.72E-3</v>
      </c>
      <c r="F4009" s="76">
        <v>2.5799999999999998E-3</v>
      </c>
      <c r="G4009" s="76">
        <v>3.49E-3</v>
      </c>
      <c r="H4009" s="76">
        <v>4.28E-3</v>
      </c>
      <c r="I4009" s="76">
        <v>5.1000000000000004E-3</v>
      </c>
      <c r="J4009" s="76">
        <v>5.9199999999999999E-3</v>
      </c>
      <c r="K4009" s="76">
        <v>6.8500000000000002E-3</v>
      </c>
      <c r="L4009" s="76">
        <v>7.6400000000000001E-3</v>
      </c>
      <c r="M4009" s="76">
        <v>8.43E-3</v>
      </c>
    </row>
    <row r="4010" spans="3:13" x14ac:dyDescent="0.15">
      <c r="C4010" s="76">
        <v>554</v>
      </c>
      <c r="D4010" s="76">
        <v>7.76E-4</v>
      </c>
      <c r="E4010" s="76">
        <v>1.57E-3</v>
      </c>
      <c r="F4010" s="76">
        <v>2.3500000000000001E-3</v>
      </c>
      <c r="G4010" s="76">
        <v>3.1700000000000001E-3</v>
      </c>
      <c r="H4010" s="76">
        <v>3.9100000000000003E-3</v>
      </c>
      <c r="I4010" s="76">
        <v>4.6600000000000001E-3</v>
      </c>
      <c r="J4010" s="76">
        <v>5.3600000000000002E-3</v>
      </c>
      <c r="K4010" s="76">
        <v>6.2399999999999999E-3</v>
      </c>
      <c r="L4010" s="76">
        <v>6.96E-3</v>
      </c>
      <c r="M4010" s="76">
        <v>7.7099999999999998E-3</v>
      </c>
    </row>
    <row r="4011" spans="3:13" x14ac:dyDescent="0.15">
      <c r="C4011" s="76">
        <v>556</v>
      </c>
      <c r="D4011" s="76">
        <v>7.0600000000000003E-4</v>
      </c>
      <c r="E4011" s="76">
        <v>1.4400000000000001E-3</v>
      </c>
      <c r="F4011" s="76">
        <v>2.14E-3</v>
      </c>
      <c r="G4011" s="76">
        <v>2.8900000000000002E-3</v>
      </c>
      <c r="H4011" s="76">
        <v>3.5400000000000002E-3</v>
      </c>
      <c r="I4011" s="76">
        <v>4.2399999999999998E-3</v>
      </c>
      <c r="J4011" s="76">
        <v>4.9399999999999999E-3</v>
      </c>
      <c r="K4011" s="76">
        <v>5.6800000000000002E-3</v>
      </c>
      <c r="L4011" s="76">
        <v>6.4099999999999999E-3</v>
      </c>
      <c r="M4011" s="76">
        <v>7.0299999999999998E-3</v>
      </c>
    </row>
    <row r="4012" spans="3:13" x14ac:dyDescent="0.15">
      <c r="C4012" s="76">
        <v>558</v>
      </c>
      <c r="D4012" s="76">
        <v>6.3500000000000004E-4</v>
      </c>
      <c r="E4012" s="76">
        <v>1.2800000000000001E-3</v>
      </c>
      <c r="F4012" s="76">
        <v>1.9400000000000001E-3</v>
      </c>
      <c r="G4012" s="76">
        <v>2.5999999999999999E-3</v>
      </c>
      <c r="H4012" s="76">
        <v>3.2100000000000002E-3</v>
      </c>
      <c r="I4012" s="76">
        <v>3.8500000000000001E-3</v>
      </c>
      <c r="J4012" s="76">
        <v>4.5300000000000002E-3</v>
      </c>
      <c r="K4012" s="76">
        <v>5.1500000000000001E-3</v>
      </c>
      <c r="L4012" s="76">
        <v>5.8399999999999997E-3</v>
      </c>
      <c r="M4012" s="76">
        <v>6.4099999999999999E-3</v>
      </c>
    </row>
    <row r="4013" spans="3:13" x14ac:dyDescent="0.15">
      <c r="C4013" s="76">
        <v>560</v>
      </c>
      <c r="D4013" s="76">
        <v>5.7700000000000004E-4</v>
      </c>
      <c r="E4013" s="76">
        <v>1.1900000000000001E-3</v>
      </c>
      <c r="F4013" s="76">
        <v>1.8E-3</v>
      </c>
      <c r="G4013" s="76">
        <v>2.3999999999999998E-3</v>
      </c>
      <c r="H4013" s="76">
        <v>2.9399999999999999E-3</v>
      </c>
      <c r="I4013" s="76">
        <v>3.5200000000000001E-3</v>
      </c>
      <c r="J4013" s="76">
        <v>4.13E-3</v>
      </c>
      <c r="K4013" s="76">
        <v>4.7699999999999999E-3</v>
      </c>
      <c r="L4013" s="76">
        <v>5.3600000000000002E-3</v>
      </c>
      <c r="M4013" s="76">
        <v>5.8799999999999998E-3</v>
      </c>
    </row>
    <row r="4014" spans="3:13" x14ac:dyDescent="0.15">
      <c r="C4014" s="76">
        <v>562</v>
      </c>
      <c r="D4014" s="76">
        <v>5.4000000000000001E-4</v>
      </c>
      <c r="E4014" s="76">
        <v>1.09E-3</v>
      </c>
      <c r="F4014" s="76">
        <v>1.65E-3</v>
      </c>
      <c r="G4014" s="76">
        <v>2.2000000000000001E-3</v>
      </c>
      <c r="H4014" s="76">
        <v>2.6800000000000001E-3</v>
      </c>
      <c r="I4014" s="76">
        <v>3.2599999999999999E-3</v>
      </c>
      <c r="J4014" s="76">
        <v>3.79E-3</v>
      </c>
      <c r="K4014" s="76">
        <v>4.3299999999999996E-3</v>
      </c>
      <c r="L4014" s="76">
        <v>4.8799999999999998E-3</v>
      </c>
      <c r="M4014" s="76">
        <v>5.3400000000000001E-3</v>
      </c>
    </row>
    <row r="4015" spans="3:13" x14ac:dyDescent="0.15">
      <c r="C4015" s="76">
        <v>564</v>
      </c>
      <c r="D4015" s="76">
        <v>4.95E-4</v>
      </c>
      <c r="E4015" s="76">
        <v>1.01E-3</v>
      </c>
      <c r="F4015" s="76">
        <v>1.5100000000000001E-3</v>
      </c>
      <c r="G4015" s="76">
        <v>2.0500000000000002E-3</v>
      </c>
      <c r="H4015" s="76">
        <v>2.4499999999999999E-3</v>
      </c>
      <c r="I4015" s="76">
        <v>2.96E-3</v>
      </c>
      <c r="J4015" s="76">
        <v>3.4399999999999999E-3</v>
      </c>
      <c r="K4015" s="76">
        <v>3.9399999999999999E-3</v>
      </c>
      <c r="L4015" s="76">
        <v>4.5100000000000001E-3</v>
      </c>
      <c r="M4015" s="76">
        <v>4.9399999999999999E-3</v>
      </c>
    </row>
    <row r="4016" spans="3:13" x14ac:dyDescent="0.15">
      <c r="C4016" s="76">
        <v>566</v>
      </c>
      <c r="D4016" s="76">
        <v>4.5600000000000003E-4</v>
      </c>
      <c r="E4016" s="76">
        <v>9.2299999999999999E-4</v>
      </c>
      <c r="F4016" s="76">
        <v>1.42E-3</v>
      </c>
      <c r="G4016" s="76">
        <v>1.8799999999999999E-3</v>
      </c>
      <c r="H4016" s="76">
        <v>2.2899999999999999E-3</v>
      </c>
      <c r="I4016" s="76">
        <v>2.7299999999999998E-3</v>
      </c>
      <c r="J4016" s="76">
        <v>3.2200000000000002E-3</v>
      </c>
      <c r="K4016" s="76">
        <v>3.63E-3</v>
      </c>
      <c r="L4016" s="76">
        <v>4.1000000000000003E-3</v>
      </c>
      <c r="M4016" s="76">
        <v>4.5799999999999999E-3</v>
      </c>
    </row>
    <row r="4017" spans="3:13" x14ac:dyDescent="0.15">
      <c r="C4017" s="76">
        <v>568</v>
      </c>
      <c r="D4017" s="76">
        <v>4.15E-4</v>
      </c>
      <c r="E4017" s="76">
        <v>8.5400000000000005E-4</v>
      </c>
      <c r="F4017" s="76">
        <v>1.2899999999999999E-3</v>
      </c>
      <c r="G4017" s="76">
        <v>1.6900000000000001E-3</v>
      </c>
      <c r="H4017" s="76">
        <v>2.0300000000000001E-3</v>
      </c>
      <c r="I4017" s="76">
        <v>2.5000000000000001E-3</v>
      </c>
      <c r="J4017" s="76">
        <v>2.98E-3</v>
      </c>
      <c r="K4017" s="76">
        <v>3.3700000000000002E-3</v>
      </c>
      <c r="L4017" s="76">
        <v>3.8400000000000001E-3</v>
      </c>
      <c r="M4017" s="76">
        <v>4.2199999999999998E-3</v>
      </c>
    </row>
    <row r="4018" spans="3:13" x14ac:dyDescent="0.15">
      <c r="C4018" s="76">
        <v>570</v>
      </c>
      <c r="D4018" s="76">
        <v>3.7800000000000003E-4</v>
      </c>
      <c r="E4018" s="76">
        <v>7.8600000000000002E-4</v>
      </c>
      <c r="F4018" s="76">
        <v>1.1999999999999999E-3</v>
      </c>
      <c r="G4018" s="76">
        <v>1.6000000000000001E-3</v>
      </c>
      <c r="H4018" s="76">
        <v>1.92E-3</v>
      </c>
      <c r="I4018" s="76">
        <v>2.2899999999999999E-3</v>
      </c>
      <c r="J4018" s="76">
        <v>2.7499999999999998E-3</v>
      </c>
      <c r="K4018" s="76">
        <v>3.0799999999999998E-3</v>
      </c>
      <c r="L4018" s="76">
        <v>3.5500000000000002E-3</v>
      </c>
      <c r="M4018" s="76">
        <v>3.9100000000000003E-3</v>
      </c>
    </row>
    <row r="4019" spans="3:13" x14ac:dyDescent="0.15">
      <c r="C4019" s="76">
        <v>572</v>
      </c>
      <c r="D4019" s="76">
        <v>3.5599999999999998E-4</v>
      </c>
      <c r="E4019" s="76">
        <v>7.3099999999999999E-4</v>
      </c>
      <c r="F4019" s="76">
        <v>1.1199999999999999E-3</v>
      </c>
      <c r="G4019" s="76">
        <v>1.47E-3</v>
      </c>
      <c r="H4019" s="76">
        <v>1.7799999999999999E-3</v>
      </c>
      <c r="I4019" s="76">
        <v>2.16E-3</v>
      </c>
      <c r="J4019" s="76">
        <v>2.5799999999999998E-3</v>
      </c>
      <c r="K4019" s="76">
        <v>2.8300000000000001E-3</v>
      </c>
      <c r="L4019" s="76">
        <v>3.3E-3</v>
      </c>
      <c r="M4019" s="76">
        <v>3.62E-3</v>
      </c>
    </row>
    <row r="4020" spans="3:13" x14ac:dyDescent="0.15">
      <c r="C4020" s="76">
        <v>574</v>
      </c>
      <c r="D4020" s="76">
        <v>3.3300000000000002E-4</v>
      </c>
      <c r="E4020" s="76">
        <v>6.8499999999999995E-4</v>
      </c>
      <c r="F4020" s="76">
        <v>1.0499999999999999E-3</v>
      </c>
      <c r="G4020" s="76">
        <v>1.3699999999999999E-3</v>
      </c>
      <c r="H4020" s="76">
        <v>1.6299999999999999E-3</v>
      </c>
      <c r="I4020" s="76">
        <v>2.0699999999999998E-3</v>
      </c>
      <c r="J4020" s="76">
        <v>2.4099999999999998E-3</v>
      </c>
      <c r="K4020" s="76">
        <v>2.6199999999999999E-3</v>
      </c>
      <c r="L4020" s="76">
        <v>3.0500000000000002E-3</v>
      </c>
      <c r="M4020" s="76">
        <v>3.3800000000000002E-3</v>
      </c>
    </row>
    <row r="4021" spans="3:13" x14ac:dyDescent="0.15">
      <c r="C4021" s="76">
        <v>576</v>
      </c>
      <c r="D4021" s="76">
        <v>3.0899999999999998E-4</v>
      </c>
      <c r="E4021" s="76">
        <v>6.3599999999999996E-4</v>
      </c>
      <c r="F4021" s="76">
        <v>9.6299999999999999E-4</v>
      </c>
      <c r="G4021" s="76">
        <v>1.2600000000000001E-3</v>
      </c>
      <c r="H4021" s="76">
        <v>1.5200000000000001E-3</v>
      </c>
      <c r="I4021" s="76">
        <v>1.8600000000000001E-3</v>
      </c>
      <c r="J4021" s="76">
        <v>2.2200000000000002E-3</v>
      </c>
      <c r="K4021" s="76">
        <v>2.4099999999999998E-3</v>
      </c>
      <c r="L4021" s="76">
        <v>2.82E-3</v>
      </c>
      <c r="M4021" s="76">
        <v>3.2799999999999999E-3</v>
      </c>
    </row>
    <row r="4022" spans="3:13" x14ac:dyDescent="0.15">
      <c r="C4022" s="76">
        <v>578</v>
      </c>
      <c r="D4022" s="76">
        <v>2.8400000000000002E-4</v>
      </c>
      <c r="E4022" s="76">
        <v>5.9999999999999995E-4</v>
      </c>
      <c r="F4022" s="76">
        <v>9.0700000000000004E-4</v>
      </c>
      <c r="G4022" s="76">
        <v>1.14E-3</v>
      </c>
      <c r="H4022" s="76">
        <v>1.39E-3</v>
      </c>
      <c r="I4022" s="76">
        <v>1.72E-3</v>
      </c>
      <c r="J4022" s="76">
        <v>2.0699999999999998E-3</v>
      </c>
      <c r="K4022" s="76">
        <v>2.2100000000000002E-3</v>
      </c>
      <c r="L4022" s="76">
        <v>2.5400000000000002E-3</v>
      </c>
      <c r="M4022" s="76">
        <v>2.8500000000000001E-3</v>
      </c>
    </row>
    <row r="4023" spans="3:13" x14ac:dyDescent="0.15">
      <c r="C4023" s="76">
        <v>580</v>
      </c>
      <c r="D4023" s="76">
        <v>2.6800000000000001E-4</v>
      </c>
      <c r="E4023" s="76">
        <v>5.4199999999999995E-4</v>
      </c>
      <c r="F4023" s="76">
        <v>8.2799999999999996E-4</v>
      </c>
      <c r="G4023" s="76">
        <v>1.0300000000000001E-3</v>
      </c>
      <c r="H4023" s="76">
        <v>1.2700000000000001E-3</v>
      </c>
      <c r="I4023" s="76">
        <v>1.58E-3</v>
      </c>
      <c r="J4023" s="76">
        <v>1.9400000000000001E-3</v>
      </c>
      <c r="K4023" s="76">
        <v>1.99E-3</v>
      </c>
      <c r="L4023" s="76">
        <v>2.3800000000000002E-3</v>
      </c>
      <c r="M4023" s="76">
        <v>2.5999999999999999E-3</v>
      </c>
    </row>
    <row r="4024" spans="3:13" x14ac:dyDescent="0.15">
      <c r="C4024" s="76">
        <v>582</v>
      </c>
      <c r="D4024" s="76">
        <v>2.4699999999999999E-4</v>
      </c>
      <c r="E4024" s="76">
        <v>4.9299999999999995E-4</v>
      </c>
      <c r="F4024" s="76">
        <v>7.7200000000000001E-4</v>
      </c>
      <c r="G4024" s="76">
        <v>9.6599999999999995E-4</v>
      </c>
      <c r="H4024" s="76">
        <v>1.1900000000000001E-3</v>
      </c>
      <c r="I4024" s="76">
        <v>1.56E-3</v>
      </c>
      <c r="J4024" s="76">
        <v>1.75E-3</v>
      </c>
      <c r="K4024" s="76">
        <v>1.7700000000000001E-3</v>
      </c>
      <c r="L4024" s="76">
        <v>2.1800000000000001E-3</v>
      </c>
      <c r="M4024" s="76">
        <v>2.4299999999999999E-3</v>
      </c>
    </row>
    <row r="4025" spans="3:13" x14ac:dyDescent="0.15">
      <c r="C4025" s="76">
        <v>584</v>
      </c>
      <c r="D4025" s="76">
        <v>2.2599999999999999E-4</v>
      </c>
      <c r="E4025" s="76">
        <v>4.5100000000000001E-4</v>
      </c>
      <c r="F4025" s="76">
        <v>7.1000000000000002E-4</v>
      </c>
      <c r="G4025" s="76">
        <v>8.4999999999999995E-4</v>
      </c>
      <c r="H4025" s="76">
        <v>1.14E-3</v>
      </c>
      <c r="I4025" s="76">
        <v>1.33E-3</v>
      </c>
      <c r="J4025" s="76">
        <v>1.6299999999999999E-3</v>
      </c>
      <c r="K4025" s="76">
        <v>1.65E-3</v>
      </c>
      <c r="L4025" s="76">
        <v>1.9400000000000001E-3</v>
      </c>
      <c r="M4025" s="76">
        <v>2.2100000000000002E-3</v>
      </c>
    </row>
    <row r="4026" spans="3:13" x14ac:dyDescent="0.15">
      <c r="C4026" s="76">
        <v>586</v>
      </c>
      <c r="D4026" s="76">
        <v>2.1800000000000001E-4</v>
      </c>
      <c r="E4026" s="76">
        <v>4.2700000000000002E-4</v>
      </c>
      <c r="F4026" s="76">
        <v>6.5200000000000002E-4</v>
      </c>
      <c r="G4026" s="76">
        <v>8.1300000000000003E-4</v>
      </c>
      <c r="H4026" s="76">
        <v>1.0200000000000001E-3</v>
      </c>
      <c r="I4026" s="76">
        <v>1.25E-3</v>
      </c>
      <c r="J4026" s="76">
        <v>1.48E-3</v>
      </c>
      <c r="K4026" s="76">
        <v>1.5E-3</v>
      </c>
      <c r="L4026" s="76">
        <v>1.7799999999999999E-3</v>
      </c>
      <c r="M4026" s="76">
        <v>1.9599999999999999E-3</v>
      </c>
    </row>
    <row r="4027" spans="3:13" x14ac:dyDescent="0.15">
      <c r="C4027" s="76">
        <v>588</v>
      </c>
      <c r="D4027" s="76">
        <v>1.9599999999999999E-4</v>
      </c>
      <c r="E4027" s="76">
        <v>3.8999999999999999E-4</v>
      </c>
      <c r="F4027" s="76">
        <v>5.8299999999999997E-4</v>
      </c>
      <c r="G4027" s="76">
        <v>7.5000000000000002E-4</v>
      </c>
      <c r="H4027" s="76">
        <v>9.3099999999999997E-4</v>
      </c>
      <c r="I4027" s="76">
        <v>1.1199999999999999E-3</v>
      </c>
      <c r="J4027" s="76">
        <v>1.3500000000000001E-3</v>
      </c>
      <c r="K4027" s="76">
        <v>1.3699999999999999E-3</v>
      </c>
      <c r="L4027" s="76">
        <v>1.64E-3</v>
      </c>
      <c r="M4027" s="76">
        <v>1.8400000000000001E-3</v>
      </c>
    </row>
    <row r="4028" spans="3:13" x14ac:dyDescent="0.15">
      <c r="C4028" s="76">
        <v>590</v>
      </c>
      <c r="D4028" s="76">
        <v>1.7799999999999999E-4</v>
      </c>
      <c r="E4028" s="76">
        <v>3.5199999999999999E-4</v>
      </c>
      <c r="F4028" s="76">
        <v>5.31E-4</v>
      </c>
      <c r="G4028" s="76">
        <v>6.78E-4</v>
      </c>
      <c r="H4028" s="76">
        <v>8.6600000000000002E-4</v>
      </c>
      <c r="I4028" s="76">
        <v>9.77E-4</v>
      </c>
      <c r="J4028" s="76">
        <v>1.1800000000000001E-3</v>
      </c>
      <c r="K4028" s="76">
        <v>1.2600000000000001E-3</v>
      </c>
      <c r="L4028" s="76">
        <v>1.5E-3</v>
      </c>
      <c r="M4028" s="76">
        <v>1.66E-3</v>
      </c>
    </row>
    <row r="4029" spans="3:13" x14ac:dyDescent="0.15">
      <c r="C4029" s="76">
        <v>592</v>
      </c>
      <c r="D4029" s="76">
        <v>1.64E-4</v>
      </c>
      <c r="E4029" s="76">
        <v>3.3E-4</v>
      </c>
      <c r="F4029" s="76">
        <v>4.9299999999999995E-4</v>
      </c>
      <c r="G4029" s="76">
        <v>6.2100000000000002E-4</v>
      </c>
      <c r="H4029" s="76">
        <v>7.6800000000000002E-4</v>
      </c>
      <c r="I4029" s="76">
        <v>9.1799999999999998E-4</v>
      </c>
      <c r="J4029" s="76">
        <v>1.14E-3</v>
      </c>
      <c r="K4029" s="76">
        <v>1.1900000000000001E-3</v>
      </c>
      <c r="L4029" s="76">
        <v>1.31E-3</v>
      </c>
      <c r="M4029" s="76">
        <v>1.4599999999999999E-3</v>
      </c>
    </row>
    <row r="4030" spans="3:13" x14ac:dyDescent="0.15">
      <c r="C4030" s="76">
        <v>594</v>
      </c>
      <c r="D4030" s="76">
        <v>1.5300000000000001E-4</v>
      </c>
      <c r="E4030" s="76">
        <v>3.1E-4</v>
      </c>
      <c r="F4030" s="76">
        <v>4.4099999999999999E-4</v>
      </c>
      <c r="G4030" s="76">
        <v>5.5400000000000002E-4</v>
      </c>
      <c r="H4030" s="76">
        <v>7.3700000000000002E-4</v>
      </c>
      <c r="I4030" s="76">
        <v>8.2700000000000004E-4</v>
      </c>
      <c r="J4030" s="76">
        <v>1.01E-3</v>
      </c>
      <c r="K4030" s="76">
        <v>1.06E-3</v>
      </c>
      <c r="L4030" s="76">
        <v>1.1999999999999999E-3</v>
      </c>
      <c r="M4030" s="76">
        <v>1.2999999999999999E-3</v>
      </c>
    </row>
    <row r="4031" spans="3:13" x14ac:dyDescent="0.15">
      <c r="C4031" s="76">
        <v>596</v>
      </c>
      <c r="D4031" s="76">
        <v>1.4799999999999999E-4</v>
      </c>
      <c r="E4031" s="76">
        <v>2.9599999999999998E-4</v>
      </c>
      <c r="F4031" s="76">
        <v>3.9899999999999999E-4</v>
      </c>
      <c r="G4031" s="76">
        <v>4.9799999999999996E-4</v>
      </c>
      <c r="H4031" s="76">
        <v>6.9700000000000003E-4</v>
      </c>
      <c r="I4031" s="76">
        <v>7.6800000000000002E-4</v>
      </c>
      <c r="J4031" s="76">
        <v>9.1200000000000005E-4</v>
      </c>
      <c r="K4031" s="76">
        <v>9.6599999999999995E-4</v>
      </c>
      <c r="L4031" s="76">
        <v>1.08E-3</v>
      </c>
      <c r="M4031" s="76">
        <v>1.1800000000000001E-3</v>
      </c>
    </row>
    <row r="4032" spans="3:13" x14ac:dyDescent="0.15">
      <c r="C4032" s="76">
        <v>598</v>
      </c>
      <c r="D4032" s="76">
        <v>1.27E-4</v>
      </c>
      <c r="E4032" s="76">
        <v>2.6499999999999999E-4</v>
      </c>
      <c r="F4032" s="76">
        <v>3.7300000000000001E-4</v>
      </c>
      <c r="G4032" s="76">
        <v>4.6200000000000001E-4</v>
      </c>
      <c r="H4032" s="76">
        <v>6.3699999999999998E-4</v>
      </c>
      <c r="I4032" s="76">
        <v>6.6500000000000001E-4</v>
      </c>
      <c r="J4032" s="76">
        <v>8.3100000000000003E-4</v>
      </c>
      <c r="K4032" s="76">
        <v>8.8199999999999997E-4</v>
      </c>
      <c r="L4032" s="76">
        <v>9.9799999999999997E-4</v>
      </c>
      <c r="M4032" s="76">
        <v>1.15E-3</v>
      </c>
    </row>
    <row r="4033" spans="3:13" x14ac:dyDescent="0.15">
      <c r="C4033" s="76">
        <v>600</v>
      </c>
      <c r="D4033" s="76">
        <v>1.2999999999999999E-4</v>
      </c>
      <c r="E4033" s="76">
        <v>2.4899999999999998E-4</v>
      </c>
      <c r="F4033" s="76">
        <v>3.4499999999999998E-4</v>
      </c>
      <c r="G4033" s="76">
        <v>4.28E-4</v>
      </c>
      <c r="H4033" s="76">
        <v>6.02E-4</v>
      </c>
      <c r="I4033" s="76">
        <v>6.2500000000000001E-4</v>
      </c>
      <c r="J4033" s="76">
        <v>7.7499999999999997E-4</v>
      </c>
      <c r="K4033" s="76">
        <v>8.3699999999999996E-4</v>
      </c>
      <c r="L4033" s="76">
        <v>9.6100000000000005E-4</v>
      </c>
      <c r="M4033" s="76">
        <v>1E-3</v>
      </c>
    </row>
    <row r="4034" spans="3:13" x14ac:dyDescent="0.15">
      <c r="C4034" s="76">
        <v>602</v>
      </c>
      <c r="D4034" s="76">
        <v>1.2400000000000001E-4</v>
      </c>
      <c r="E4034" s="76">
        <v>2.2699999999999999E-4</v>
      </c>
      <c r="F4034" s="76">
        <v>3.1100000000000002E-4</v>
      </c>
      <c r="G4034" s="76">
        <v>3.6299999999999999E-4</v>
      </c>
      <c r="H4034" s="76">
        <v>5.8299999999999997E-4</v>
      </c>
      <c r="I4034" s="76">
        <v>5.5000000000000003E-4</v>
      </c>
      <c r="J4034" s="76">
        <v>7.3399999999999995E-4</v>
      </c>
      <c r="K4034" s="76">
        <v>7.7099999999999998E-4</v>
      </c>
      <c r="L4034" s="76">
        <v>9.0200000000000002E-4</v>
      </c>
      <c r="M4034" s="76">
        <v>9.2000000000000003E-4</v>
      </c>
    </row>
    <row r="4035" spans="3:13" x14ac:dyDescent="0.15">
      <c r="C4035" s="76">
        <v>604</v>
      </c>
      <c r="D4035" s="76">
        <v>1.1400000000000001E-4</v>
      </c>
      <c r="E4035" s="76">
        <v>2.05E-4</v>
      </c>
      <c r="F4035" s="76">
        <v>2.8499999999999999E-4</v>
      </c>
      <c r="G4035" s="76">
        <v>3.4200000000000002E-4</v>
      </c>
      <c r="H4035" s="76">
        <v>5.6099999999999998E-4</v>
      </c>
      <c r="I4035" s="76">
        <v>5.4600000000000004E-4</v>
      </c>
      <c r="J4035" s="76">
        <v>6.5899999999999997E-4</v>
      </c>
      <c r="K4035" s="76">
        <v>7.4899999999999999E-4</v>
      </c>
      <c r="L4035" s="76">
        <v>8.4400000000000002E-4</v>
      </c>
      <c r="M4035" s="76">
        <v>8.8599999999999996E-4</v>
      </c>
    </row>
    <row r="4036" spans="3:13" x14ac:dyDescent="0.15">
      <c r="C4036" s="76">
        <v>606</v>
      </c>
      <c r="D4036" s="76">
        <v>1.05E-4</v>
      </c>
      <c r="E4036" s="76">
        <v>1.9799999999999999E-4</v>
      </c>
      <c r="F4036" s="76">
        <v>2.4399999999999999E-4</v>
      </c>
      <c r="G4036" s="76">
        <v>2.7999999999999998E-4</v>
      </c>
      <c r="H4036" s="76">
        <v>5.3899999999999998E-4</v>
      </c>
      <c r="I4036" s="76">
        <v>5.2400000000000005E-4</v>
      </c>
      <c r="J4036" s="76">
        <v>6.2200000000000005E-4</v>
      </c>
      <c r="K4036" s="76">
        <v>7.0699999999999995E-4</v>
      </c>
      <c r="L4036" s="76">
        <v>7.5500000000000003E-4</v>
      </c>
      <c r="M4036" s="76">
        <v>8.0699999999999999E-4</v>
      </c>
    </row>
    <row r="4037" spans="3:13" x14ac:dyDescent="0.15">
      <c r="C4037" s="76">
        <v>608</v>
      </c>
      <c r="D4037" s="76">
        <v>1.0399999999999999E-4</v>
      </c>
      <c r="E4037" s="76">
        <v>1.66E-4</v>
      </c>
      <c r="F4037" s="76">
        <v>2.3800000000000001E-4</v>
      </c>
      <c r="G4037" s="76">
        <v>2.9700000000000001E-4</v>
      </c>
      <c r="H4037" s="76">
        <v>5.7499999999999999E-4</v>
      </c>
      <c r="I4037" s="76">
        <v>4.4799999999999999E-4</v>
      </c>
      <c r="J4037" s="76">
        <v>5.3899999999999998E-4</v>
      </c>
      <c r="K4037" s="76">
        <v>6.0700000000000001E-4</v>
      </c>
      <c r="L4037" s="76">
        <v>7.3800000000000005E-4</v>
      </c>
      <c r="M4037" s="76">
        <v>7.6499999999999995E-4</v>
      </c>
    </row>
    <row r="4038" spans="3:13" x14ac:dyDescent="0.15">
      <c r="C4038" s="76">
        <v>610</v>
      </c>
      <c r="D4038" s="76">
        <v>9.3200000000000002E-5</v>
      </c>
      <c r="E4038" s="76">
        <v>1.6000000000000001E-4</v>
      </c>
      <c r="F4038" s="76">
        <v>2.1000000000000001E-4</v>
      </c>
      <c r="G4038" s="76">
        <v>2.8299999999999999E-4</v>
      </c>
      <c r="H4038" s="76">
        <v>3.6600000000000001E-4</v>
      </c>
      <c r="I4038" s="76">
        <v>4.0099999999999999E-4</v>
      </c>
      <c r="J4038" s="76">
        <v>5.1000000000000004E-4</v>
      </c>
      <c r="K4038" s="76">
        <v>5.8100000000000003E-4</v>
      </c>
      <c r="L4038" s="76">
        <v>6.7400000000000001E-4</v>
      </c>
      <c r="M4038" s="76">
        <v>7.5100000000000004E-4</v>
      </c>
    </row>
    <row r="4039" spans="3:13" x14ac:dyDescent="0.15">
      <c r="C4039" s="76">
        <v>612</v>
      </c>
      <c r="D4039" s="76">
        <v>8.8900000000000006E-5</v>
      </c>
      <c r="E4039" s="76">
        <v>1.46E-4</v>
      </c>
      <c r="F4039" s="76">
        <v>1.84E-4</v>
      </c>
      <c r="G4039" s="76">
        <v>2.1699999999999999E-4</v>
      </c>
      <c r="H4039" s="76">
        <v>4.2700000000000002E-4</v>
      </c>
      <c r="I4039" s="76">
        <v>4.0700000000000003E-4</v>
      </c>
      <c r="J4039" s="76">
        <v>4.8299999999999998E-4</v>
      </c>
      <c r="K4039" s="76">
        <v>5.0199999999999995E-4</v>
      </c>
      <c r="L4039" s="76">
        <v>5.9900000000000003E-4</v>
      </c>
      <c r="M4039" s="76">
        <v>6.7699999999999998E-4</v>
      </c>
    </row>
    <row r="4040" spans="3:13" x14ac:dyDescent="0.15">
      <c r="C4040" s="76">
        <v>614</v>
      </c>
      <c r="D4040" s="76">
        <v>8.4099999999999998E-5</v>
      </c>
      <c r="E4040" s="76">
        <v>1.3300000000000001E-4</v>
      </c>
      <c r="F4040" s="76">
        <v>1.7200000000000001E-4</v>
      </c>
      <c r="G4040" s="76">
        <v>1.9900000000000001E-4</v>
      </c>
      <c r="H4040" s="76">
        <v>3.9100000000000002E-4</v>
      </c>
      <c r="I4040" s="76">
        <v>3.97E-4</v>
      </c>
      <c r="J4040" s="76">
        <v>4.6000000000000001E-4</v>
      </c>
      <c r="K4040" s="76">
        <v>5.0100000000000003E-4</v>
      </c>
      <c r="L4040" s="76">
        <v>6.0899999999999995E-4</v>
      </c>
      <c r="M4040" s="76">
        <v>5.8299999999999997E-4</v>
      </c>
    </row>
    <row r="4041" spans="3:13" x14ac:dyDescent="0.15">
      <c r="C4041" s="76">
        <v>616</v>
      </c>
      <c r="D4041" s="76">
        <v>7.5500000000000006E-5</v>
      </c>
      <c r="E4041" s="76">
        <v>1.1E-4</v>
      </c>
      <c r="F4041" s="76">
        <v>1.5200000000000001E-4</v>
      </c>
      <c r="G4041" s="76">
        <v>1.9799999999999999E-4</v>
      </c>
      <c r="H4041" s="76">
        <v>4.06E-4</v>
      </c>
      <c r="I4041" s="76">
        <v>2.24E-4</v>
      </c>
      <c r="J4041" s="76">
        <v>3.4900000000000003E-4</v>
      </c>
      <c r="K4041" s="76">
        <v>5.0699999999999996E-4</v>
      </c>
      <c r="L4041" s="76">
        <v>5.3700000000000004E-4</v>
      </c>
      <c r="M4041" s="76">
        <v>5.9599999999999996E-4</v>
      </c>
    </row>
    <row r="4042" spans="3:13" x14ac:dyDescent="0.15">
      <c r="C4042" s="76">
        <v>618</v>
      </c>
      <c r="D4042" s="76">
        <v>6.6299999999999999E-5</v>
      </c>
      <c r="E4042" s="76">
        <v>9.8300000000000004E-5</v>
      </c>
      <c r="F4042" s="76">
        <v>1.4300000000000001E-4</v>
      </c>
      <c r="G4042" s="76">
        <v>1.7799999999999999E-4</v>
      </c>
      <c r="H4042" s="76">
        <v>3.5300000000000002E-4</v>
      </c>
      <c r="I4042" s="76">
        <v>2.9799999999999998E-4</v>
      </c>
      <c r="J4042" s="76">
        <v>3.5E-4</v>
      </c>
      <c r="K4042" s="76">
        <v>4.6900000000000002E-4</v>
      </c>
      <c r="L4042" s="76">
        <v>4.6000000000000001E-4</v>
      </c>
      <c r="M4042" s="76">
        <v>4.2000000000000002E-4</v>
      </c>
    </row>
    <row r="4043" spans="3:13" x14ac:dyDescent="0.15">
      <c r="C4043" s="76">
        <v>620</v>
      </c>
      <c r="D4043" s="76">
        <v>6.2299999999999996E-5</v>
      </c>
      <c r="E4043" s="76">
        <v>1.03E-4</v>
      </c>
      <c r="F4043" s="76">
        <v>1.34E-4</v>
      </c>
      <c r="G4043" s="76">
        <v>2.02E-4</v>
      </c>
      <c r="H4043" s="76">
        <v>2.8699999999999998E-4</v>
      </c>
      <c r="I4043" s="76">
        <v>3.0800000000000001E-4</v>
      </c>
      <c r="J4043" s="76">
        <v>3.3199999999999999E-4</v>
      </c>
      <c r="K4043" s="76">
        <v>4.5399999999999998E-4</v>
      </c>
      <c r="L4043" s="76">
        <v>5.0100000000000003E-4</v>
      </c>
      <c r="M4043" s="76">
        <v>5.0699999999999996E-4</v>
      </c>
    </row>
    <row r="4044" spans="3:13" x14ac:dyDescent="0.15">
      <c r="C4044" s="76">
        <v>622</v>
      </c>
      <c r="D4044" s="76">
        <v>5.8999999999999998E-5</v>
      </c>
      <c r="E4044" s="76">
        <v>8.6399999999999999E-5</v>
      </c>
      <c r="F4044" s="76">
        <v>1.11E-4</v>
      </c>
      <c r="G4044" s="76">
        <v>1.64E-4</v>
      </c>
      <c r="H4044" s="76">
        <v>2.9700000000000001E-4</v>
      </c>
      <c r="I4044" s="76">
        <v>2.5799999999999998E-4</v>
      </c>
      <c r="J4044" s="76">
        <v>3.1799999999999998E-4</v>
      </c>
      <c r="K4044" s="76">
        <v>2.24E-4</v>
      </c>
      <c r="L4044" s="76">
        <v>4.6999999999999999E-4</v>
      </c>
      <c r="M4044" s="76">
        <v>5.53E-4</v>
      </c>
    </row>
    <row r="4045" spans="3:13" x14ac:dyDescent="0.15">
      <c r="C4045" s="76">
        <v>624</v>
      </c>
      <c r="D4045" s="76">
        <v>5.5999999999999999E-5</v>
      </c>
      <c r="E4045" s="76">
        <v>8.5400000000000002E-5</v>
      </c>
      <c r="F4045" s="76">
        <v>1.13E-4</v>
      </c>
      <c r="G4045" s="76">
        <v>1.7000000000000001E-4</v>
      </c>
      <c r="H4045" s="76">
        <v>2.6600000000000001E-4</v>
      </c>
      <c r="I4045" s="76">
        <v>2.3800000000000001E-4</v>
      </c>
      <c r="J4045" s="76">
        <v>2.7799999999999998E-4</v>
      </c>
      <c r="K4045" s="76">
        <v>3.1599999999999998E-4</v>
      </c>
      <c r="L4045" s="76">
        <v>4.1300000000000001E-4</v>
      </c>
      <c r="M4045" s="76">
        <v>4.6299999999999998E-4</v>
      </c>
    </row>
    <row r="4046" spans="3:13" x14ac:dyDescent="0.15">
      <c r="C4046" s="76">
        <v>626</v>
      </c>
      <c r="D4046" s="76">
        <v>4.3300000000000002E-5</v>
      </c>
      <c r="E4046" s="76">
        <v>8.8499999999999996E-5</v>
      </c>
      <c r="F4046" s="76">
        <v>1.11E-4</v>
      </c>
      <c r="G4046" s="76">
        <v>1.94E-4</v>
      </c>
      <c r="H4046" s="76">
        <v>2.3699999999999999E-4</v>
      </c>
      <c r="I4046" s="76">
        <v>2.81E-4</v>
      </c>
      <c r="J4046" s="76">
        <v>2.8400000000000002E-4</v>
      </c>
      <c r="K4046" s="76">
        <v>4.7399999999999997E-4</v>
      </c>
      <c r="L4046" s="76">
        <v>4.26E-4</v>
      </c>
      <c r="M4046" s="76">
        <v>4.5199999999999998E-4</v>
      </c>
    </row>
    <row r="4047" spans="3:13" x14ac:dyDescent="0.15">
      <c r="C4047" s="76">
        <v>628</v>
      </c>
      <c r="D4047" s="76">
        <v>4.2599999999999999E-5</v>
      </c>
      <c r="E4047" s="76">
        <v>8.3800000000000004E-5</v>
      </c>
      <c r="F4047" s="76">
        <v>8.5599999999999994E-5</v>
      </c>
      <c r="G4047" s="76">
        <v>1.5799999999999999E-4</v>
      </c>
      <c r="H4047" s="76">
        <v>2.4000000000000001E-4</v>
      </c>
      <c r="I4047" s="76">
        <v>2.61E-4</v>
      </c>
      <c r="J4047" s="76">
        <v>2.6899999999999998E-4</v>
      </c>
      <c r="K4047" s="76">
        <v>4.06E-4</v>
      </c>
      <c r="L4047" s="76">
        <v>4.2000000000000002E-4</v>
      </c>
      <c r="M4047" s="76">
        <v>4.64E-4</v>
      </c>
    </row>
    <row r="4048" spans="3:13" x14ac:dyDescent="0.15">
      <c r="C4048" s="76">
        <v>630</v>
      </c>
      <c r="D4048" s="76">
        <v>3.68E-5</v>
      </c>
      <c r="E4048" s="76">
        <v>6.9900000000000005E-5</v>
      </c>
      <c r="F4048" s="76">
        <v>7.0699999999999997E-5</v>
      </c>
      <c r="G4048" s="76">
        <v>1.66E-4</v>
      </c>
      <c r="H4048" s="76">
        <v>2.41E-4</v>
      </c>
      <c r="I4048" s="76">
        <v>2.52E-4</v>
      </c>
      <c r="J4048" s="76">
        <v>2.6200000000000003E-4</v>
      </c>
      <c r="K4048" s="76">
        <v>3.6400000000000001E-4</v>
      </c>
      <c r="L4048" s="76">
        <v>4.3600000000000003E-4</v>
      </c>
      <c r="M4048" s="76">
        <v>4.0499999999999998E-4</v>
      </c>
    </row>
    <row r="4049" spans="3:13" x14ac:dyDescent="0.15">
      <c r="C4049" s="76">
        <v>632</v>
      </c>
      <c r="D4049" s="76">
        <v>3.7799999999999997E-5</v>
      </c>
      <c r="E4049" s="76">
        <v>7.6199999999999995E-5</v>
      </c>
      <c r="F4049" s="76">
        <v>6.8499999999999998E-5</v>
      </c>
      <c r="G4049" s="76">
        <v>1.46E-4</v>
      </c>
      <c r="H4049" s="76">
        <v>2.0100000000000001E-4</v>
      </c>
      <c r="I4049" s="76">
        <v>2.3800000000000001E-4</v>
      </c>
      <c r="J4049" s="76">
        <v>2.7099999999999997E-4</v>
      </c>
      <c r="K4049" s="76">
        <v>3.3100000000000002E-4</v>
      </c>
      <c r="L4049" s="76">
        <v>3.88E-4</v>
      </c>
      <c r="M4049" s="76">
        <v>3.7399999999999998E-4</v>
      </c>
    </row>
    <row r="4050" spans="3:13" x14ac:dyDescent="0.15">
      <c r="C4050" s="76">
        <v>634</v>
      </c>
      <c r="D4050" s="76">
        <v>3.8300000000000003E-5</v>
      </c>
      <c r="E4050" s="76">
        <v>8.5699999999999996E-5</v>
      </c>
      <c r="F4050" s="76">
        <v>6.4599999999999998E-5</v>
      </c>
      <c r="G4050" s="76">
        <v>1.37E-4</v>
      </c>
      <c r="H4050" s="76">
        <v>1.44E-4</v>
      </c>
      <c r="I4050" s="76">
        <v>2.1800000000000001E-4</v>
      </c>
      <c r="J4050" s="76">
        <v>2.5999999999999998E-4</v>
      </c>
      <c r="K4050" s="76">
        <v>3.3100000000000002E-4</v>
      </c>
      <c r="L4050" s="76">
        <v>4.0099999999999999E-4</v>
      </c>
      <c r="M4050" s="76">
        <v>3.1100000000000002E-4</v>
      </c>
    </row>
    <row r="4051" spans="3:13" x14ac:dyDescent="0.15">
      <c r="C4051" s="76">
        <v>636</v>
      </c>
      <c r="D4051" s="76">
        <v>2.6400000000000001E-5</v>
      </c>
      <c r="E4051" s="76">
        <v>6.2799999999999995E-5</v>
      </c>
      <c r="F4051" s="76">
        <v>6.8399999999999996E-5</v>
      </c>
      <c r="G4051" s="76">
        <v>1.3999999999999999E-4</v>
      </c>
      <c r="H4051" s="76">
        <v>1.3300000000000001E-4</v>
      </c>
      <c r="I4051" s="76">
        <v>2.3599999999999999E-4</v>
      </c>
      <c r="J4051" s="76">
        <v>2.34E-4</v>
      </c>
      <c r="K4051" s="76">
        <v>3.1300000000000002E-4</v>
      </c>
      <c r="L4051" s="76">
        <v>3.2000000000000003E-4</v>
      </c>
      <c r="M4051" s="76">
        <v>3.7500000000000001E-4</v>
      </c>
    </row>
    <row r="4052" spans="3:13" x14ac:dyDescent="0.15">
      <c r="C4052" s="76">
        <v>638</v>
      </c>
      <c r="D4052" s="76">
        <v>2.8399999999999999E-5</v>
      </c>
      <c r="E4052" s="76">
        <v>6.0600000000000003E-5</v>
      </c>
      <c r="F4052" s="76">
        <v>6.6699999999999995E-5</v>
      </c>
      <c r="G4052" s="76">
        <v>1.63E-4</v>
      </c>
      <c r="H4052" s="76">
        <v>1.2999999999999999E-4</v>
      </c>
      <c r="I4052" s="76">
        <v>2.0699999999999999E-4</v>
      </c>
      <c r="J4052" s="76">
        <v>2.7500000000000002E-4</v>
      </c>
      <c r="K4052" s="76">
        <v>2.7500000000000002E-4</v>
      </c>
      <c r="L4052" s="76">
        <v>3.68E-4</v>
      </c>
      <c r="M4052" s="76">
        <v>3.3799999999999998E-4</v>
      </c>
    </row>
    <row r="4053" spans="3:13" x14ac:dyDescent="0.15">
      <c r="C4053" s="76">
        <v>640</v>
      </c>
      <c r="D4053" s="76">
        <v>2.5700000000000001E-5</v>
      </c>
      <c r="E4053" s="76">
        <v>5.6700000000000003E-5</v>
      </c>
      <c r="F4053" s="76">
        <v>5.1199999999999998E-5</v>
      </c>
      <c r="G4053" s="76">
        <v>1.4200000000000001E-4</v>
      </c>
      <c r="H4053" s="76">
        <v>1.0399999999999999E-4</v>
      </c>
      <c r="I4053" s="76">
        <v>2.2499999999999999E-4</v>
      </c>
      <c r="J4053" s="76">
        <v>2.7099999999999997E-4</v>
      </c>
      <c r="K4053" s="76">
        <v>2.7900000000000001E-4</v>
      </c>
      <c r="L4053" s="76">
        <v>3.0699999999999998E-4</v>
      </c>
      <c r="M4053" s="76">
        <v>3.6900000000000002E-4</v>
      </c>
    </row>
    <row r="4054" spans="3:13" x14ac:dyDescent="0.15">
      <c r="C4054" s="76">
        <v>642</v>
      </c>
      <c r="D4054" s="76">
        <v>2.5299999999999998E-5</v>
      </c>
      <c r="E4054" s="76">
        <v>5.6100000000000002E-5</v>
      </c>
      <c r="F4054" s="76">
        <v>6.9900000000000005E-5</v>
      </c>
      <c r="G4054" s="76">
        <v>1.5699999999999999E-4</v>
      </c>
      <c r="H4054" s="76">
        <v>9.9400000000000004E-5</v>
      </c>
      <c r="I4054" s="76">
        <v>2.23E-4</v>
      </c>
      <c r="J4054" s="76">
        <v>2.7999999999999998E-4</v>
      </c>
      <c r="K4054" s="76">
        <v>2.61E-4</v>
      </c>
      <c r="L4054" s="76">
        <v>3.28E-4</v>
      </c>
      <c r="M4054" s="76">
        <v>3.4099999999999999E-4</v>
      </c>
    </row>
    <row r="4055" spans="3:13" x14ac:dyDescent="0.15">
      <c r="C4055" s="76">
        <v>644</v>
      </c>
      <c r="D4055" s="76">
        <v>1.9300000000000002E-5</v>
      </c>
      <c r="E4055" s="76">
        <v>6.41E-5</v>
      </c>
      <c r="F4055" s="76">
        <v>6.5699999999999998E-5</v>
      </c>
      <c r="G4055" s="76">
        <v>1.5300000000000001E-4</v>
      </c>
      <c r="H4055" s="76">
        <v>7.0400000000000004E-5</v>
      </c>
      <c r="I4055" s="76">
        <v>2.0799999999999999E-4</v>
      </c>
      <c r="J4055" s="76">
        <v>3.0499999999999999E-4</v>
      </c>
      <c r="K4055" s="76">
        <v>2.9100000000000003E-4</v>
      </c>
      <c r="L4055" s="76">
        <v>3.2000000000000003E-4</v>
      </c>
      <c r="M4055" s="76">
        <v>3.8900000000000002E-4</v>
      </c>
    </row>
    <row r="4056" spans="3:13" x14ac:dyDescent="0.15">
      <c r="C4056" s="76">
        <v>646</v>
      </c>
      <c r="D4056" s="76">
        <v>8.32E-6</v>
      </c>
      <c r="E4056" s="76">
        <v>5.8100000000000003E-5</v>
      </c>
      <c r="F4056" s="76">
        <v>7.2000000000000002E-5</v>
      </c>
      <c r="G4056" s="76">
        <v>1.44E-4</v>
      </c>
      <c r="H4056" s="76">
        <v>7.9099999999999998E-5</v>
      </c>
      <c r="I4056" s="76">
        <v>1.7100000000000001E-4</v>
      </c>
      <c r="J4056" s="76">
        <v>3.21E-4</v>
      </c>
      <c r="K4056" s="76">
        <v>2.5000000000000001E-4</v>
      </c>
      <c r="L4056" s="76">
        <v>3.28E-4</v>
      </c>
      <c r="M4056" s="76">
        <v>2.8600000000000001E-4</v>
      </c>
    </row>
    <row r="4057" spans="3:13" x14ac:dyDescent="0.15">
      <c r="C4057" s="76">
        <v>648</v>
      </c>
      <c r="D4057" s="76">
        <v>1.6500000000000001E-5</v>
      </c>
      <c r="E4057" s="76">
        <v>6.0900000000000003E-5</v>
      </c>
      <c r="F4057" s="76">
        <v>7.1099999999999994E-5</v>
      </c>
      <c r="G4057" s="76">
        <v>1.7200000000000001E-4</v>
      </c>
      <c r="H4057" s="76">
        <v>9.0000000000000006E-5</v>
      </c>
      <c r="I4057" s="76">
        <v>2.1000000000000001E-4</v>
      </c>
      <c r="J4057" s="76">
        <v>2.5300000000000002E-4</v>
      </c>
      <c r="K4057" s="76">
        <v>2.4800000000000001E-4</v>
      </c>
      <c r="L4057" s="76">
        <v>2.9E-4</v>
      </c>
      <c r="M4057" s="76">
        <v>2.8600000000000001E-4</v>
      </c>
    </row>
    <row r="4058" spans="3:13" x14ac:dyDescent="0.15">
      <c r="C4058" s="76">
        <v>650</v>
      </c>
      <c r="D4058" s="76">
        <v>2.3900000000000002E-5</v>
      </c>
      <c r="E4058" s="76">
        <v>6.3399999999999996E-5</v>
      </c>
      <c r="F4058" s="76">
        <v>7.7600000000000002E-5</v>
      </c>
      <c r="G4058" s="76">
        <v>1.4899999999999999E-4</v>
      </c>
      <c r="H4058" s="76">
        <v>6.8800000000000005E-5</v>
      </c>
      <c r="I4058" s="76">
        <v>1.9599999999999999E-4</v>
      </c>
      <c r="J4058" s="76">
        <v>2.4899999999999998E-4</v>
      </c>
      <c r="K4058" s="76">
        <v>2.5999999999999998E-4</v>
      </c>
      <c r="L4058" s="76">
        <v>3.01E-4</v>
      </c>
      <c r="M4058" s="76">
        <v>3.1300000000000002E-4</v>
      </c>
    </row>
    <row r="4059" spans="3:13" x14ac:dyDescent="0.15">
      <c r="C4059" s="76">
        <v>652</v>
      </c>
      <c r="D4059" s="76">
        <v>2.1500000000000001E-5</v>
      </c>
      <c r="E4059" s="76">
        <v>5.5099999999999998E-5</v>
      </c>
      <c r="F4059" s="76">
        <v>8.8800000000000004E-5</v>
      </c>
      <c r="G4059" s="76">
        <v>1.56E-4</v>
      </c>
      <c r="H4059" s="76">
        <v>5.7399999999999999E-5</v>
      </c>
      <c r="I4059" s="76">
        <v>1.6799999999999999E-4</v>
      </c>
      <c r="J4059" s="76">
        <v>2.9399999999999999E-4</v>
      </c>
      <c r="K4059" s="76">
        <v>2.5500000000000002E-4</v>
      </c>
      <c r="L4059" s="76">
        <v>3.0899999999999998E-4</v>
      </c>
      <c r="M4059" s="76">
        <v>3.77E-4</v>
      </c>
    </row>
    <row r="4060" spans="3:13" x14ac:dyDescent="0.15">
      <c r="C4060" s="76">
        <v>654</v>
      </c>
      <c r="D4060" s="76">
        <v>1.8099999999999999E-5</v>
      </c>
      <c r="E4060" s="76">
        <v>4.32E-5</v>
      </c>
      <c r="F4060" s="76">
        <v>1.2E-4</v>
      </c>
      <c r="G4060" s="76">
        <v>1.4799999999999999E-4</v>
      </c>
      <c r="H4060" s="76">
        <v>7.2399999999999998E-5</v>
      </c>
      <c r="I4060" s="76">
        <v>2.1000000000000001E-4</v>
      </c>
      <c r="J4060" s="76">
        <v>2.8600000000000001E-4</v>
      </c>
      <c r="K4060" s="76">
        <v>2.52E-4</v>
      </c>
      <c r="L4060" s="76">
        <v>2.61E-4</v>
      </c>
      <c r="M4060" s="76">
        <v>3.8900000000000002E-4</v>
      </c>
    </row>
    <row r="4061" spans="3:13" x14ac:dyDescent="0.15">
      <c r="C4061" s="76">
        <v>656</v>
      </c>
      <c r="D4061" s="76">
        <v>1.8099999999999999E-5</v>
      </c>
      <c r="E4061" s="76">
        <v>3.57E-5</v>
      </c>
      <c r="F4061" s="76">
        <v>1.2E-4</v>
      </c>
      <c r="G4061" s="76">
        <v>1.2799999999999999E-4</v>
      </c>
      <c r="H4061" s="76">
        <v>3.5299999999999997E-5</v>
      </c>
      <c r="I4061" s="76">
        <v>1.1400000000000001E-4</v>
      </c>
      <c r="J4061" s="76">
        <v>2.7300000000000002E-4</v>
      </c>
      <c r="K4061" s="76">
        <v>2.34E-4</v>
      </c>
      <c r="L4061" s="76">
        <v>2.7300000000000002E-4</v>
      </c>
      <c r="M4061" s="76">
        <v>3.9399999999999998E-4</v>
      </c>
    </row>
    <row r="4062" spans="3:13" x14ac:dyDescent="0.15">
      <c r="C4062" s="76">
        <v>658</v>
      </c>
      <c r="D4062" s="76">
        <v>2.5999999999999998E-5</v>
      </c>
      <c r="E4062" s="76">
        <v>4.0299999999999997E-5</v>
      </c>
      <c r="F4062" s="76">
        <v>1.35E-4</v>
      </c>
      <c r="G4062" s="76">
        <v>9.1299999999999997E-5</v>
      </c>
      <c r="H4062" s="76">
        <v>4.2799999999999997E-5</v>
      </c>
      <c r="I4062" s="76">
        <v>8.9800000000000001E-5</v>
      </c>
      <c r="J4062" s="76">
        <v>2.7900000000000001E-4</v>
      </c>
      <c r="K4062" s="76">
        <v>1.95E-4</v>
      </c>
      <c r="L4062" s="76">
        <v>3.1700000000000001E-4</v>
      </c>
      <c r="M4062" s="76">
        <v>5.1900000000000004E-4</v>
      </c>
    </row>
    <row r="4063" spans="3:13" x14ac:dyDescent="0.15">
      <c r="C4063" s="76">
        <v>660</v>
      </c>
      <c r="D4063" s="76">
        <v>2.65E-5</v>
      </c>
      <c r="E4063" s="76">
        <v>2.9E-5</v>
      </c>
      <c r="F4063" s="76">
        <v>1.4799999999999999E-4</v>
      </c>
      <c r="G4063" s="76">
        <v>1.13E-4</v>
      </c>
      <c r="H4063" s="76">
        <v>3.6999999999999998E-5</v>
      </c>
      <c r="I4063" s="76">
        <v>1.6000000000000001E-4</v>
      </c>
      <c r="J4063" s="76">
        <v>2.2499999999999999E-4</v>
      </c>
      <c r="K4063" s="76">
        <v>2.0799999999999999E-4</v>
      </c>
      <c r="L4063" s="76">
        <v>2.7300000000000002E-4</v>
      </c>
      <c r="M4063" s="76">
        <v>4.3100000000000001E-4</v>
      </c>
    </row>
    <row r="4064" spans="3:13" x14ac:dyDescent="0.15">
      <c r="C4064" s="76">
        <v>662</v>
      </c>
      <c r="D4064" s="76">
        <v>2.9300000000000001E-5</v>
      </c>
      <c r="E4064" s="76">
        <v>4.2899999999999999E-5</v>
      </c>
      <c r="F4064" s="76">
        <v>1.16E-4</v>
      </c>
      <c r="G4064" s="76">
        <v>1.3999999999999999E-4</v>
      </c>
      <c r="H4064" s="76">
        <v>9.4599999999999996E-5</v>
      </c>
      <c r="I4064" s="76">
        <v>1.65E-4</v>
      </c>
      <c r="J4064" s="76">
        <v>2.04E-4</v>
      </c>
      <c r="K4064" s="76">
        <v>2.4800000000000001E-4</v>
      </c>
      <c r="L4064" s="76">
        <v>2.7599999999999999E-4</v>
      </c>
      <c r="M4064" s="76">
        <v>2.8600000000000001E-4</v>
      </c>
    </row>
    <row r="4065" spans="3:13" x14ac:dyDescent="0.15">
      <c r="C4065" s="76">
        <v>664</v>
      </c>
      <c r="D4065" s="76">
        <v>3.3599999999999997E-5</v>
      </c>
      <c r="E4065" s="76">
        <v>4.9599999999999999E-5</v>
      </c>
      <c r="F4065" s="76">
        <v>1.21E-4</v>
      </c>
      <c r="G4065" s="76">
        <v>8.2200000000000006E-5</v>
      </c>
      <c r="H4065" s="76">
        <v>4.1699999999999997E-5</v>
      </c>
      <c r="I4065" s="76">
        <v>2.0100000000000001E-5</v>
      </c>
      <c r="J4065" s="76">
        <v>1.7899999999999999E-4</v>
      </c>
      <c r="K4065" s="76">
        <v>5.0699999999999996E-4</v>
      </c>
      <c r="L4065" s="76">
        <v>2.8600000000000001E-4</v>
      </c>
      <c r="M4065" s="76">
        <v>4.0000000000000002E-4</v>
      </c>
    </row>
    <row r="4066" spans="3:13" x14ac:dyDescent="0.15">
      <c r="C4066" s="76">
        <v>666</v>
      </c>
      <c r="D4066" s="76">
        <v>3.3000000000000003E-5</v>
      </c>
      <c r="E4066" s="76">
        <v>4.6400000000000003E-5</v>
      </c>
      <c r="F4066" s="76">
        <v>1.03E-4</v>
      </c>
      <c r="G4066" s="76">
        <v>1.17E-4</v>
      </c>
      <c r="H4066" s="76">
        <v>5.0800000000000002E-5</v>
      </c>
      <c r="I4066" s="76">
        <v>1.01E-4</v>
      </c>
      <c r="J4066" s="76">
        <v>1.85E-4</v>
      </c>
      <c r="K4066" s="76">
        <v>7.2899999999999997E-5</v>
      </c>
      <c r="L4066" s="76">
        <v>2.2499999999999999E-4</v>
      </c>
      <c r="M4066" s="76">
        <v>3.9399999999999998E-4</v>
      </c>
    </row>
    <row r="4067" spans="3:13" x14ac:dyDescent="0.15">
      <c r="C4067" s="76">
        <v>668</v>
      </c>
      <c r="D4067" s="76">
        <v>2.9200000000000002E-5</v>
      </c>
      <c r="E4067" s="76">
        <v>3.8800000000000001E-5</v>
      </c>
      <c r="F4067" s="76">
        <v>1.17E-4</v>
      </c>
      <c r="G4067" s="76">
        <v>1.13E-4</v>
      </c>
      <c r="H4067" s="76">
        <v>9.6199999999999994E-5</v>
      </c>
      <c r="I4067" s="76">
        <v>8.4400000000000005E-5</v>
      </c>
      <c r="J4067" s="76">
        <v>1.63E-4</v>
      </c>
      <c r="K4067" s="76">
        <v>1.4300000000000001E-4</v>
      </c>
      <c r="L4067" s="76">
        <v>2.4600000000000002E-4</v>
      </c>
      <c r="M4067" s="76">
        <v>3.2400000000000001E-4</v>
      </c>
    </row>
    <row r="4068" spans="3:13" x14ac:dyDescent="0.15">
      <c r="C4068" s="76">
        <v>670</v>
      </c>
      <c r="D4068" s="76">
        <v>2.9E-5</v>
      </c>
      <c r="E4068" s="76">
        <v>5.6900000000000001E-5</v>
      </c>
      <c r="F4068" s="76">
        <v>1.01E-4</v>
      </c>
      <c r="G4068" s="76">
        <v>7.8200000000000003E-5</v>
      </c>
      <c r="H4068" s="76">
        <v>9.2499999999999999E-5</v>
      </c>
      <c r="I4068" s="76">
        <v>9.4500000000000007E-5</v>
      </c>
      <c r="J4068" s="76">
        <v>1.9900000000000001E-4</v>
      </c>
      <c r="K4068" s="76">
        <v>1.3200000000000001E-4</v>
      </c>
      <c r="L4068" s="76">
        <v>2.6600000000000001E-4</v>
      </c>
      <c r="M4068" s="76">
        <v>2.43E-4</v>
      </c>
    </row>
    <row r="4069" spans="3:13" x14ac:dyDescent="0.15">
      <c r="C4069" s="76">
        <v>672</v>
      </c>
      <c r="D4069" s="76">
        <v>3.8899999999999997E-5</v>
      </c>
      <c r="E4069" s="76">
        <v>3.8099999999999998E-5</v>
      </c>
      <c r="F4069" s="76">
        <v>1.2E-4</v>
      </c>
      <c r="G4069" s="76">
        <v>6.05E-5</v>
      </c>
      <c r="H4069" s="76">
        <v>6.6699999999999995E-5</v>
      </c>
      <c r="I4069" s="76">
        <v>5.2599999999999998E-5</v>
      </c>
      <c r="J4069" s="76">
        <v>1.05E-4</v>
      </c>
      <c r="K4069" s="76">
        <v>1.5899999999999999E-4</v>
      </c>
      <c r="L4069" s="76">
        <v>2.6200000000000003E-4</v>
      </c>
      <c r="M4069" s="76">
        <v>2.6499999999999999E-4</v>
      </c>
    </row>
    <row r="4070" spans="3:13" x14ac:dyDescent="0.15">
      <c r="C4070" s="76">
        <v>674</v>
      </c>
      <c r="D4070" s="76">
        <v>3.1999999999999999E-5</v>
      </c>
      <c r="E4070" s="76">
        <v>3.7700000000000002E-5</v>
      </c>
      <c r="F4070" s="76">
        <v>9.9400000000000004E-5</v>
      </c>
      <c r="G4070" s="76">
        <v>3.8500000000000001E-5</v>
      </c>
      <c r="H4070" s="76">
        <v>7.1699999999999995E-5</v>
      </c>
      <c r="I4070" s="76">
        <v>8.7700000000000004E-5</v>
      </c>
      <c r="J4070" s="76">
        <v>9.9300000000000001E-5</v>
      </c>
      <c r="K4070" s="76">
        <v>1.73E-4</v>
      </c>
      <c r="L4070" s="76">
        <v>2.0599999999999999E-4</v>
      </c>
      <c r="M4070" s="76">
        <v>2.03E-4</v>
      </c>
    </row>
    <row r="4071" spans="3:13" x14ac:dyDescent="0.15">
      <c r="C4071" s="76">
        <v>676</v>
      </c>
      <c r="D4071" s="76">
        <v>3.1900000000000003E-5</v>
      </c>
      <c r="E4071" s="76">
        <v>3.65E-5</v>
      </c>
      <c r="F4071" s="76">
        <v>1.03E-4</v>
      </c>
      <c r="G4071" s="76">
        <v>5.41E-5</v>
      </c>
      <c r="H4071" s="76">
        <v>3.9799999999999998E-5</v>
      </c>
      <c r="I4071" s="76">
        <v>3.7200000000000003E-5</v>
      </c>
      <c r="J4071" s="76">
        <v>1.25E-4</v>
      </c>
      <c r="K4071" s="76">
        <v>1.64E-4</v>
      </c>
      <c r="L4071" s="76">
        <v>2.4699999999999999E-4</v>
      </c>
      <c r="M4071" s="76">
        <v>2.34E-4</v>
      </c>
    </row>
    <row r="4072" spans="3:13" x14ac:dyDescent="0.15">
      <c r="C4072" s="76">
        <v>678</v>
      </c>
      <c r="D4072" s="76">
        <v>2.6599999999999999E-5</v>
      </c>
      <c r="E4072" s="76">
        <v>3.65E-5</v>
      </c>
      <c r="F4072" s="76">
        <v>8.9400000000000005E-5</v>
      </c>
      <c r="G4072" s="76">
        <v>6.9900000000000005E-5</v>
      </c>
      <c r="H4072" s="76">
        <v>6.8499999999999998E-5</v>
      </c>
      <c r="I4072" s="76">
        <v>6.1099999999999994E-5</v>
      </c>
      <c r="J4072" s="76">
        <v>1.66E-4</v>
      </c>
      <c r="K4072" s="76">
        <v>1.37E-4</v>
      </c>
      <c r="L4072" s="76">
        <v>2.3599999999999999E-4</v>
      </c>
      <c r="M4072" s="76">
        <v>1.9100000000000001E-4</v>
      </c>
    </row>
    <row r="4073" spans="3:13" x14ac:dyDescent="0.15">
      <c r="C4073" s="76">
        <v>680</v>
      </c>
      <c r="D4073" s="76">
        <v>1.6699999999999999E-5</v>
      </c>
      <c r="E4073" s="76">
        <v>3.3899999999999997E-5</v>
      </c>
      <c r="F4073" s="76">
        <v>7.6199999999999995E-5</v>
      </c>
      <c r="G4073" s="76">
        <v>6.6199999999999996E-5</v>
      </c>
      <c r="H4073" s="76">
        <v>8.0699999999999996E-5</v>
      </c>
      <c r="I4073" s="76">
        <v>2.5599999999999999E-5</v>
      </c>
      <c r="J4073" s="76">
        <v>1.08E-4</v>
      </c>
      <c r="K4073" s="76">
        <v>1.7000000000000001E-4</v>
      </c>
      <c r="L4073" s="76">
        <v>2.0000000000000001E-4</v>
      </c>
      <c r="M4073" s="76">
        <v>1.9100000000000001E-4</v>
      </c>
    </row>
    <row r="4074" spans="3:13" x14ac:dyDescent="0.15">
      <c r="C4074" s="76">
        <v>682</v>
      </c>
      <c r="D4074" s="76">
        <v>2.4199999999999999E-5</v>
      </c>
      <c r="E4074" s="76">
        <v>2.3900000000000002E-5</v>
      </c>
      <c r="F4074" s="76">
        <v>7.3800000000000005E-5</v>
      </c>
      <c r="G4074" s="76">
        <v>8.25E-5</v>
      </c>
      <c r="H4074" s="76">
        <v>8.5900000000000001E-5</v>
      </c>
      <c r="I4074" s="76">
        <v>6.1299999999999999E-5</v>
      </c>
      <c r="J4074" s="76">
        <v>6.3200000000000005E-5</v>
      </c>
      <c r="K4074" s="76">
        <v>9.1600000000000004E-5</v>
      </c>
      <c r="L4074" s="76">
        <v>1.9900000000000001E-4</v>
      </c>
      <c r="M4074" s="76">
        <v>2.23E-4</v>
      </c>
    </row>
    <row r="4075" spans="3:13" x14ac:dyDescent="0.15">
      <c r="C4075" s="76">
        <v>684</v>
      </c>
      <c r="D4075" s="76">
        <v>2.0699999999999998E-5</v>
      </c>
      <c r="E4075" s="76">
        <v>3.5200000000000002E-5</v>
      </c>
      <c r="F4075" s="76">
        <v>5.5699999999999999E-5</v>
      </c>
      <c r="G4075" s="76">
        <v>4.7599999999999998E-5</v>
      </c>
      <c r="H4075" s="76">
        <v>7.0900000000000002E-5</v>
      </c>
      <c r="I4075" s="76">
        <v>3.18E-5</v>
      </c>
      <c r="J4075" s="76">
        <v>7.7600000000000002E-5</v>
      </c>
      <c r="K4075" s="76">
        <v>1.3999999999999999E-4</v>
      </c>
      <c r="L4075" s="76">
        <v>7.7600000000000002E-5</v>
      </c>
      <c r="M4075" s="76">
        <v>1.74E-4</v>
      </c>
    </row>
    <row r="4076" spans="3:13" x14ac:dyDescent="0.15">
      <c r="C4076" s="76">
        <v>686</v>
      </c>
      <c r="D4076" s="76">
        <v>2.0699999999999998E-5</v>
      </c>
      <c r="E4076" s="76">
        <v>4.0000000000000003E-5</v>
      </c>
      <c r="F4076" s="76">
        <v>5.02E-5</v>
      </c>
      <c r="G4076" s="76">
        <v>7.9099999999999998E-5</v>
      </c>
      <c r="H4076" s="76">
        <v>7.2700000000000005E-5</v>
      </c>
      <c r="I4076" s="76">
        <v>4.6E-5</v>
      </c>
      <c r="J4076" s="76">
        <v>8.6700000000000007E-5</v>
      </c>
      <c r="K4076" s="76">
        <v>1.2999999999999999E-4</v>
      </c>
      <c r="L4076" s="76">
        <v>1.03E-4</v>
      </c>
      <c r="M4076" s="76">
        <v>2.05E-4</v>
      </c>
    </row>
    <row r="4077" spans="3:13" x14ac:dyDescent="0.15">
      <c r="C4077" s="76">
        <v>688</v>
      </c>
      <c r="D4077" s="76">
        <v>1.5400000000000002E-5</v>
      </c>
      <c r="E4077" s="76">
        <v>6.0399999999999998E-5</v>
      </c>
      <c r="F4077" s="76">
        <v>3.9900000000000001E-5</v>
      </c>
      <c r="G4077" s="76">
        <v>8.2299999999999995E-5</v>
      </c>
      <c r="H4077" s="76">
        <v>7.5500000000000006E-5</v>
      </c>
      <c r="I4077" s="76">
        <v>4.0800000000000002E-5</v>
      </c>
      <c r="J4077" s="76">
        <v>1.6799999999999998E-5</v>
      </c>
      <c r="K4077" s="76">
        <v>1.2E-4</v>
      </c>
      <c r="L4077" s="76">
        <v>9.3300000000000005E-5</v>
      </c>
      <c r="M4077" s="76">
        <v>9.9099999999999996E-5</v>
      </c>
    </row>
    <row r="4078" spans="3:13" x14ac:dyDescent="0.15">
      <c r="C4078" s="76">
        <v>690</v>
      </c>
      <c r="D4078" s="76">
        <v>1.13E-5</v>
      </c>
      <c r="E4078" s="76">
        <v>4.1300000000000001E-5</v>
      </c>
      <c r="F4078" s="76">
        <v>5.7399999999999999E-5</v>
      </c>
      <c r="G4078" s="76">
        <v>6.86E-5</v>
      </c>
      <c r="H4078" s="76">
        <v>8.6000000000000003E-5</v>
      </c>
      <c r="I4078" s="76">
        <v>2.0000000000000002E-5</v>
      </c>
      <c r="J4078" s="76">
        <v>1.0399999999999999E-4</v>
      </c>
      <c r="K4078" s="76">
        <v>1.0900000000000001E-4</v>
      </c>
      <c r="L4078" s="76">
        <v>1.17E-4</v>
      </c>
      <c r="M4078" s="76">
        <v>1.0900000000000001E-4</v>
      </c>
    </row>
    <row r="4079" spans="3:13" x14ac:dyDescent="0.15">
      <c r="C4079" s="76">
        <v>692</v>
      </c>
      <c r="D4079" s="76">
        <v>7.0700000000000001E-6</v>
      </c>
      <c r="E4079" s="76">
        <v>3.6300000000000001E-5</v>
      </c>
      <c r="F4079" s="76">
        <v>3.6100000000000003E-5</v>
      </c>
      <c r="G4079" s="76">
        <v>5.6499999999999998E-5</v>
      </c>
      <c r="H4079" s="76">
        <v>1.13E-4</v>
      </c>
      <c r="I4079" s="76">
        <v>3.9700000000000003E-5</v>
      </c>
      <c r="J4079" s="76">
        <v>1.1900000000000001E-4</v>
      </c>
      <c r="K4079" s="76">
        <v>1.07E-4</v>
      </c>
      <c r="L4079" s="76">
        <v>1.4100000000000001E-4</v>
      </c>
      <c r="M4079" s="76">
        <v>7.5799999999999999E-5</v>
      </c>
    </row>
    <row r="4080" spans="3:13" x14ac:dyDescent="0.15">
      <c r="C4080" s="76">
        <v>694</v>
      </c>
      <c r="D4080" s="76">
        <v>7.1400000000000002E-6</v>
      </c>
      <c r="E4080" s="76">
        <v>3.7299999999999999E-5</v>
      </c>
      <c r="F4080" s="76">
        <v>2.0100000000000001E-5</v>
      </c>
      <c r="G4080" s="76">
        <v>6.6600000000000006E-5</v>
      </c>
      <c r="H4080" s="76">
        <v>1.05E-4</v>
      </c>
      <c r="I4080" s="76">
        <v>3.6000000000000001E-5</v>
      </c>
      <c r="J4080" s="76">
        <v>9.8499999999999995E-5</v>
      </c>
      <c r="K4080" s="76">
        <v>1.7000000000000001E-4</v>
      </c>
      <c r="L4080" s="76">
        <v>7.5699999999999997E-5</v>
      </c>
      <c r="M4080" s="76">
        <v>1.45E-4</v>
      </c>
    </row>
    <row r="4081" spans="3:13" x14ac:dyDescent="0.15">
      <c r="C4081" s="76">
        <v>696</v>
      </c>
      <c r="D4081" s="76">
        <v>8.9900000000000003E-6</v>
      </c>
      <c r="E4081" s="76">
        <v>2.9799999999999999E-5</v>
      </c>
      <c r="F4081" s="76">
        <v>4.8899999999999998E-6</v>
      </c>
      <c r="G4081" s="76">
        <v>5.3900000000000002E-5</v>
      </c>
      <c r="H4081" s="76">
        <v>8.0400000000000003E-5</v>
      </c>
      <c r="I4081" s="76">
        <v>6.8899999999999994E-5</v>
      </c>
      <c r="J4081" s="76">
        <v>1.03E-4</v>
      </c>
      <c r="K4081" s="76">
        <v>1.7100000000000001E-4</v>
      </c>
      <c r="L4081" s="76">
        <v>4.0800000000000002E-5</v>
      </c>
      <c r="M4081" s="76">
        <v>1.46E-4</v>
      </c>
    </row>
    <row r="4082" spans="3:13" x14ac:dyDescent="0.15">
      <c r="C4082" s="76">
        <v>698</v>
      </c>
      <c r="D4082" s="76">
        <v>6.1800000000000001E-6</v>
      </c>
      <c r="E4082" s="76">
        <v>2.7800000000000001E-5</v>
      </c>
      <c r="F4082" s="76">
        <v>2.61E-6</v>
      </c>
      <c r="G4082" s="76">
        <v>5.1700000000000003E-5</v>
      </c>
      <c r="H4082" s="76">
        <v>7.5300000000000001E-5</v>
      </c>
      <c r="I4082" s="76">
        <v>1.5899999999999999E-4</v>
      </c>
      <c r="J4082" s="76">
        <v>6.5199999999999999E-5</v>
      </c>
      <c r="K4082" s="76">
        <v>8.7600000000000002E-5</v>
      </c>
      <c r="L4082" s="76">
        <v>0</v>
      </c>
      <c r="M4082" s="76">
        <v>2.0599999999999999E-4</v>
      </c>
    </row>
    <row r="4083" spans="3:13" x14ac:dyDescent="0.15">
      <c r="C4083" s="76">
        <v>700</v>
      </c>
      <c r="D4083" s="76">
        <v>3.6200000000000001E-6</v>
      </c>
      <c r="E4083" s="76">
        <v>2.0100000000000001E-5</v>
      </c>
      <c r="F4083" s="76">
        <v>0</v>
      </c>
      <c r="G4083" s="76">
        <v>5.3300000000000001E-5</v>
      </c>
      <c r="H4083" s="76">
        <v>1.08E-4</v>
      </c>
      <c r="I4083" s="76">
        <v>7.3899999999999994E-5</v>
      </c>
      <c r="J4083" s="76">
        <v>7.0199999999999999E-5</v>
      </c>
      <c r="K4083" s="76">
        <v>1.66E-4</v>
      </c>
      <c r="L4083" s="76">
        <v>0</v>
      </c>
      <c r="M4083" s="76">
        <v>2.7900000000000001E-4</v>
      </c>
    </row>
    <row r="4084" spans="3:13" x14ac:dyDescent="0.15">
      <c r="C4084" s="76">
        <v>702</v>
      </c>
      <c r="D4084" s="76">
        <v>8.3599999999999996E-6</v>
      </c>
      <c r="E4084" s="76">
        <v>1.17E-5</v>
      </c>
      <c r="F4084" s="76">
        <v>0</v>
      </c>
      <c r="G4084" s="76">
        <v>5.1999999999999997E-5</v>
      </c>
      <c r="H4084" s="76">
        <v>1.34E-4</v>
      </c>
      <c r="I4084" s="76">
        <v>1.3999999999999999E-4</v>
      </c>
      <c r="J4084" s="76">
        <v>8.3499999999999997E-5</v>
      </c>
      <c r="K4084" s="76">
        <v>1.7799999999999999E-4</v>
      </c>
      <c r="L4084" s="76">
        <v>0</v>
      </c>
      <c r="M4084" s="76">
        <v>1.08E-4</v>
      </c>
    </row>
    <row r="4085" spans="3:13" x14ac:dyDescent="0.15">
      <c r="C4085" s="76">
        <v>704</v>
      </c>
      <c r="D4085" s="76">
        <v>8.8100000000000004E-6</v>
      </c>
      <c r="E4085" s="76">
        <v>9.5200000000000003E-6</v>
      </c>
      <c r="F4085" s="76">
        <v>0</v>
      </c>
      <c r="G4085" s="76">
        <v>5.1700000000000003E-5</v>
      </c>
      <c r="H4085" s="76">
        <v>1.25E-4</v>
      </c>
      <c r="I4085" s="76">
        <v>2.05E-4</v>
      </c>
      <c r="J4085" s="76">
        <v>5.1600000000000001E-5</v>
      </c>
      <c r="K4085" s="76">
        <v>3.5599999999999998E-4</v>
      </c>
      <c r="L4085" s="76">
        <v>0</v>
      </c>
      <c r="M4085" s="76">
        <v>1.4999999999999999E-4</v>
      </c>
    </row>
    <row r="4086" spans="3:13" x14ac:dyDescent="0.15">
      <c r="C4086" s="76">
        <v>706</v>
      </c>
      <c r="D4086" s="76">
        <v>7.34E-6</v>
      </c>
      <c r="E4086" s="76">
        <v>1.9000000000000001E-5</v>
      </c>
      <c r="F4086" s="76">
        <v>0</v>
      </c>
      <c r="G4086" s="76">
        <v>3.4700000000000003E-5</v>
      </c>
      <c r="H4086" s="76">
        <v>1.3999999999999999E-4</v>
      </c>
      <c r="I4086" s="76">
        <v>1.56E-4</v>
      </c>
      <c r="J4086" s="76">
        <v>8.6799999999999996E-5</v>
      </c>
      <c r="K4086" s="76">
        <v>1.15E-4</v>
      </c>
      <c r="L4086" s="76">
        <v>6.46E-6</v>
      </c>
      <c r="M4086" s="76">
        <v>1.3300000000000001E-4</v>
      </c>
    </row>
    <row r="4087" spans="3:13" x14ac:dyDescent="0.15">
      <c r="C4087" s="76">
        <v>708</v>
      </c>
      <c r="D4087" s="76">
        <v>4.4599999999999996E-6</v>
      </c>
      <c r="E4087" s="76">
        <v>7.61E-6</v>
      </c>
      <c r="F4087" s="76">
        <v>0</v>
      </c>
      <c r="G4087" s="76">
        <v>3.9900000000000001E-5</v>
      </c>
      <c r="H4087" s="76">
        <v>1.11E-4</v>
      </c>
      <c r="I4087" s="76">
        <v>1.1400000000000001E-4</v>
      </c>
      <c r="J4087" s="76">
        <v>4.6999999999999997E-5</v>
      </c>
      <c r="K4087" s="76">
        <v>2.0000000000000001E-4</v>
      </c>
      <c r="L4087" s="76">
        <v>1.08E-5</v>
      </c>
      <c r="M4087" s="76">
        <v>1.3899999999999999E-4</v>
      </c>
    </row>
    <row r="4088" spans="3:13" x14ac:dyDescent="0.15">
      <c r="C4088" s="76">
        <v>710</v>
      </c>
      <c r="D4088" s="76">
        <v>6.9199999999999998E-6</v>
      </c>
      <c r="E4088" s="76">
        <v>1.06E-5</v>
      </c>
      <c r="F4088" s="76">
        <v>0</v>
      </c>
      <c r="G4088" s="76">
        <v>5.9200000000000002E-5</v>
      </c>
      <c r="H4088" s="76">
        <v>9.5699999999999995E-5</v>
      </c>
      <c r="I4088" s="76">
        <v>1.13E-4</v>
      </c>
      <c r="J4088" s="76">
        <v>7.9499999999999994E-5</v>
      </c>
      <c r="K4088" s="76">
        <v>1.9599999999999999E-4</v>
      </c>
      <c r="L4088" s="76">
        <v>3.8699999999999999E-5</v>
      </c>
      <c r="M4088" s="76">
        <v>9.3700000000000001E-5</v>
      </c>
    </row>
    <row r="4089" spans="3:13" x14ac:dyDescent="0.15">
      <c r="C4089" s="76">
        <v>712</v>
      </c>
      <c r="D4089" s="76">
        <v>1.06E-5</v>
      </c>
      <c r="E4089" s="76">
        <v>1.06E-5</v>
      </c>
      <c r="F4089" s="76">
        <v>3.0000000000000001E-6</v>
      </c>
      <c r="G4089" s="76">
        <v>6.0000000000000002E-5</v>
      </c>
      <c r="H4089" s="76">
        <v>1.06E-4</v>
      </c>
      <c r="I4089" s="76">
        <v>1.11E-4</v>
      </c>
      <c r="J4089" s="76">
        <v>1.15E-4</v>
      </c>
      <c r="K4089" s="76">
        <v>1.9100000000000001E-4</v>
      </c>
      <c r="L4089" s="76">
        <v>3.4700000000000003E-5</v>
      </c>
      <c r="M4089" s="76">
        <v>9.5299999999999999E-5</v>
      </c>
    </row>
    <row r="4090" spans="3:13" x14ac:dyDescent="0.15">
      <c r="C4090" s="76">
        <v>714</v>
      </c>
      <c r="D4090" s="76">
        <v>9.8099999999999992E-6</v>
      </c>
      <c r="E4090" s="76">
        <v>2.9099999999999999E-5</v>
      </c>
      <c r="F4090" s="76">
        <v>0</v>
      </c>
      <c r="G4090" s="76">
        <v>4.3699999999999998E-5</v>
      </c>
      <c r="H4090" s="76">
        <v>1.4200000000000001E-4</v>
      </c>
      <c r="I4090" s="76">
        <v>1.46E-4</v>
      </c>
      <c r="J4090" s="76">
        <v>4.88E-5</v>
      </c>
      <c r="K4090" s="76">
        <v>2.0699999999999999E-4</v>
      </c>
      <c r="L4090" s="76">
        <v>2.5700000000000001E-5</v>
      </c>
      <c r="M4090" s="76">
        <v>1.7100000000000001E-4</v>
      </c>
    </row>
    <row r="4091" spans="3:13" x14ac:dyDescent="0.15">
      <c r="C4091" s="76">
        <v>716</v>
      </c>
      <c r="D4091" s="76">
        <v>1.33E-5</v>
      </c>
      <c r="E4091" s="76">
        <v>2.26E-5</v>
      </c>
      <c r="F4091" s="76">
        <v>6.1299999999999998E-6</v>
      </c>
      <c r="G4091" s="76">
        <v>4.7299999999999998E-5</v>
      </c>
      <c r="H4091" s="76">
        <v>1.25E-4</v>
      </c>
      <c r="I4091" s="76">
        <v>1.4999999999999999E-4</v>
      </c>
      <c r="J4091" s="76">
        <v>3.6100000000000003E-5</v>
      </c>
      <c r="K4091" s="76">
        <v>1.66E-4</v>
      </c>
      <c r="L4091" s="76">
        <v>3.4600000000000001E-5</v>
      </c>
      <c r="M4091" s="76">
        <v>1.5699999999999999E-4</v>
      </c>
    </row>
    <row r="4092" spans="3:13" x14ac:dyDescent="0.15">
      <c r="C4092" s="76">
        <v>718</v>
      </c>
      <c r="D4092" s="76">
        <v>1.13E-5</v>
      </c>
      <c r="E4092" s="76">
        <v>2.3200000000000001E-5</v>
      </c>
      <c r="F4092" s="76">
        <v>1.43E-5</v>
      </c>
      <c r="G4092" s="76">
        <v>4.4299999999999999E-5</v>
      </c>
      <c r="H4092" s="76">
        <v>1.4899999999999999E-4</v>
      </c>
      <c r="I4092" s="76">
        <v>1.6799999999999999E-4</v>
      </c>
      <c r="J4092" s="76">
        <v>4.5300000000000003E-5</v>
      </c>
      <c r="K4092" s="76">
        <v>2.0000000000000001E-4</v>
      </c>
      <c r="L4092" s="76">
        <v>7.1400000000000001E-5</v>
      </c>
      <c r="M4092" s="76">
        <v>1.5899999999999999E-4</v>
      </c>
    </row>
    <row r="4093" spans="3:13" x14ac:dyDescent="0.15">
      <c r="C4093" s="76">
        <v>720</v>
      </c>
      <c r="D4093" s="76">
        <v>9.8200000000000008E-6</v>
      </c>
      <c r="E4093" s="76">
        <v>1.1599999999999999E-6</v>
      </c>
      <c r="F4093" s="76">
        <v>2.4899999999999999E-5</v>
      </c>
      <c r="G4093" s="76">
        <v>6.6600000000000006E-5</v>
      </c>
      <c r="H4093" s="76">
        <v>1.5100000000000001E-4</v>
      </c>
      <c r="I4093" s="76">
        <v>1.3799999999999999E-4</v>
      </c>
      <c r="J4093" s="76">
        <v>1.05E-4</v>
      </c>
      <c r="K4093" s="76">
        <v>2.1599999999999999E-4</v>
      </c>
      <c r="L4093" s="76">
        <v>1.43E-5</v>
      </c>
      <c r="M4093" s="76">
        <v>1.64E-4</v>
      </c>
    </row>
    <row r="4094" spans="3:13" x14ac:dyDescent="0.15">
      <c r="C4094" s="76">
        <v>722</v>
      </c>
      <c r="D4094" s="76">
        <v>2.1299999999999999E-5</v>
      </c>
      <c r="E4094" s="76">
        <v>6.7599999999999997E-6</v>
      </c>
      <c r="F4094" s="76">
        <v>1.6200000000000001E-5</v>
      </c>
      <c r="G4094" s="76">
        <v>5.5399999999999998E-5</v>
      </c>
      <c r="H4094" s="76">
        <v>1.01E-4</v>
      </c>
      <c r="I4094" s="76">
        <v>1.3799999999999999E-4</v>
      </c>
      <c r="J4094" s="76">
        <v>1.3200000000000001E-4</v>
      </c>
      <c r="K4094" s="76">
        <v>1.7000000000000001E-4</v>
      </c>
      <c r="L4094" s="76">
        <v>8.2399999999999997E-5</v>
      </c>
      <c r="M4094" s="76">
        <v>1.6100000000000001E-4</v>
      </c>
    </row>
    <row r="4095" spans="3:13" x14ac:dyDescent="0.15">
      <c r="C4095" s="76">
        <v>724</v>
      </c>
      <c r="D4095" s="76">
        <v>2.37E-5</v>
      </c>
      <c r="E4095" s="76">
        <v>1.8E-5</v>
      </c>
      <c r="F4095" s="76">
        <v>2.0299999999999999E-5</v>
      </c>
      <c r="G4095" s="76">
        <v>6.4200000000000002E-5</v>
      </c>
      <c r="H4095" s="76">
        <v>9.0500000000000004E-5</v>
      </c>
      <c r="I4095" s="76">
        <v>1.3200000000000001E-4</v>
      </c>
      <c r="J4095" s="76">
        <v>7.2799999999999994E-5</v>
      </c>
      <c r="K4095" s="76">
        <v>1.4300000000000001E-4</v>
      </c>
      <c r="L4095" s="76">
        <v>1.4200000000000001E-4</v>
      </c>
      <c r="M4095" s="76">
        <v>1.2999999999999999E-4</v>
      </c>
    </row>
    <row r="4096" spans="3:13" x14ac:dyDescent="0.15">
      <c r="C4096" s="76">
        <v>726</v>
      </c>
      <c r="D4096" s="76">
        <v>2.2099999999999998E-5</v>
      </c>
      <c r="E4096" s="76">
        <v>2.41E-5</v>
      </c>
      <c r="F4096" s="76">
        <v>3.8999999999999999E-5</v>
      </c>
      <c r="G4096" s="76">
        <v>5.8400000000000003E-5</v>
      </c>
      <c r="H4096" s="76">
        <v>7.5099999999999996E-5</v>
      </c>
      <c r="I4096" s="76">
        <v>2.1699999999999999E-4</v>
      </c>
      <c r="J4096" s="76">
        <v>1.2400000000000001E-4</v>
      </c>
      <c r="K4096" s="76">
        <v>1.9100000000000001E-4</v>
      </c>
      <c r="L4096" s="76">
        <v>1.2899999999999999E-4</v>
      </c>
      <c r="M4096" s="76">
        <v>1.6200000000000001E-4</v>
      </c>
    </row>
    <row r="4097" spans="3:13" x14ac:dyDescent="0.15">
      <c r="C4097" s="76">
        <v>728</v>
      </c>
      <c r="D4097" s="76">
        <v>2.5999999999999998E-5</v>
      </c>
      <c r="E4097" s="76">
        <v>2.4499999999999999E-5</v>
      </c>
      <c r="F4097" s="76">
        <v>7.0300000000000001E-5</v>
      </c>
      <c r="G4097" s="76">
        <v>6.6400000000000001E-5</v>
      </c>
      <c r="H4097" s="76">
        <v>7.2600000000000003E-5</v>
      </c>
      <c r="I4097" s="76">
        <v>1.21E-4</v>
      </c>
      <c r="J4097" s="76">
        <v>9.8800000000000003E-5</v>
      </c>
      <c r="K4097" s="76">
        <v>1.73E-4</v>
      </c>
      <c r="L4097" s="76">
        <v>1.2899999999999999E-4</v>
      </c>
      <c r="M4097" s="76">
        <v>2.0400000000000001E-5</v>
      </c>
    </row>
    <row r="4098" spans="3:13" x14ac:dyDescent="0.15">
      <c r="C4098" s="76">
        <v>730</v>
      </c>
      <c r="D4098" s="76">
        <v>2.9200000000000002E-5</v>
      </c>
      <c r="E4098" s="76">
        <v>3.18E-5</v>
      </c>
      <c r="F4098" s="76">
        <v>6.1099999999999994E-5</v>
      </c>
      <c r="G4098" s="76">
        <v>7.0300000000000001E-5</v>
      </c>
      <c r="H4098" s="76">
        <v>7.6199999999999995E-5</v>
      </c>
      <c r="I4098" s="76">
        <v>1.0399999999999999E-4</v>
      </c>
      <c r="J4098" s="76">
        <v>1.54E-4</v>
      </c>
      <c r="K4098" s="76">
        <v>1.6200000000000001E-4</v>
      </c>
      <c r="L4098" s="76">
        <v>1.92E-4</v>
      </c>
      <c r="M4098" s="76">
        <v>1.18E-4</v>
      </c>
    </row>
    <row r="4099" spans="3:13" x14ac:dyDescent="0.15">
      <c r="C4099" s="76">
        <v>732</v>
      </c>
      <c r="D4099" s="76">
        <v>2.2900000000000001E-5</v>
      </c>
      <c r="E4099" s="76">
        <v>3.82E-5</v>
      </c>
      <c r="F4099" s="76">
        <v>8.1600000000000005E-5</v>
      </c>
      <c r="G4099" s="76">
        <v>6.0600000000000003E-5</v>
      </c>
      <c r="H4099" s="76">
        <v>9.3499999999999996E-5</v>
      </c>
      <c r="I4099" s="76">
        <v>7.9699999999999999E-5</v>
      </c>
      <c r="J4099" s="76">
        <v>2.03E-4</v>
      </c>
      <c r="K4099" s="76">
        <v>1.8100000000000001E-4</v>
      </c>
      <c r="L4099" s="76">
        <v>1.65E-4</v>
      </c>
      <c r="M4099" s="76">
        <v>1.36E-4</v>
      </c>
    </row>
    <row r="4100" spans="3:13" x14ac:dyDescent="0.15">
      <c r="C4100" s="76">
        <v>734</v>
      </c>
      <c r="D4100" s="76">
        <v>2.8799999999999999E-5</v>
      </c>
      <c r="E4100" s="76">
        <v>2.6299999999999999E-5</v>
      </c>
      <c r="F4100" s="76">
        <v>7.4099999999999999E-5</v>
      </c>
      <c r="G4100" s="76">
        <v>6.2899999999999997E-5</v>
      </c>
      <c r="H4100" s="76">
        <v>2.2799999999999999E-5</v>
      </c>
      <c r="I4100" s="76">
        <v>1.12E-4</v>
      </c>
      <c r="J4100" s="76">
        <v>2.42E-4</v>
      </c>
      <c r="K4100" s="76">
        <v>1.2999999999999999E-4</v>
      </c>
      <c r="L4100" s="76">
        <v>2.0599999999999999E-4</v>
      </c>
      <c r="M4100" s="76">
        <v>1.2799999999999999E-4</v>
      </c>
    </row>
    <row r="4101" spans="3:13" x14ac:dyDescent="0.15">
      <c r="C4101" s="76">
        <v>736</v>
      </c>
      <c r="D4101" s="76">
        <v>2.7100000000000001E-5</v>
      </c>
      <c r="E4101" s="76">
        <v>2.3200000000000001E-5</v>
      </c>
      <c r="F4101" s="76">
        <v>9.31E-5</v>
      </c>
      <c r="G4101" s="76">
        <v>5.5099999999999998E-5</v>
      </c>
      <c r="H4101" s="76">
        <v>1.12E-4</v>
      </c>
      <c r="I4101" s="76">
        <v>1.18E-4</v>
      </c>
      <c r="J4101" s="76">
        <v>2.1699999999999999E-4</v>
      </c>
      <c r="K4101" s="76">
        <v>1.7799999999999999E-4</v>
      </c>
      <c r="L4101" s="76">
        <v>2.61E-4</v>
      </c>
      <c r="M4101" s="76">
        <v>1.1400000000000001E-4</v>
      </c>
    </row>
    <row r="4102" spans="3:13" x14ac:dyDescent="0.15">
      <c r="C4102" s="76">
        <v>738</v>
      </c>
      <c r="D4102" s="76">
        <v>2.6599999999999999E-5</v>
      </c>
      <c r="E4102" s="76">
        <v>2.4700000000000001E-5</v>
      </c>
      <c r="F4102" s="76">
        <v>1.06E-4</v>
      </c>
      <c r="G4102" s="76">
        <v>5.3100000000000003E-5</v>
      </c>
      <c r="H4102" s="76">
        <v>2.4499999999999999E-5</v>
      </c>
      <c r="I4102" s="76">
        <v>2.0000000000000001E-4</v>
      </c>
      <c r="J4102" s="76">
        <v>1.35E-4</v>
      </c>
      <c r="K4102" s="76">
        <v>2.3000000000000001E-4</v>
      </c>
      <c r="L4102" s="76">
        <v>2.5500000000000002E-4</v>
      </c>
      <c r="M4102" s="76">
        <v>6.0000000000000002E-5</v>
      </c>
    </row>
    <row r="4103" spans="3:13" x14ac:dyDescent="0.15">
      <c r="C4103" s="76">
        <v>740</v>
      </c>
      <c r="D4103" s="76">
        <v>2.4300000000000001E-5</v>
      </c>
      <c r="E4103" s="76">
        <v>2.4300000000000001E-5</v>
      </c>
      <c r="F4103" s="76">
        <v>9.2600000000000001E-5</v>
      </c>
      <c r="G4103" s="76">
        <v>6.3499999999999999E-5</v>
      </c>
      <c r="H4103" s="76">
        <v>3.7299999999999999E-5</v>
      </c>
      <c r="I4103" s="76">
        <v>6.9200000000000002E-5</v>
      </c>
      <c r="J4103" s="76">
        <v>1.92E-4</v>
      </c>
      <c r="K4103" s="76">
        <v>2.22E-4</v>
      </c>
      <c r="L4103" s="76">
        <v>2.5700000000000001E-4</v>
      </c>
      <c r="M4103" s="76">
        <v>1.2799999999999999E-4</v>
      </c>
    </row>
    <row r="4104" spans="3:13" x14ac:dyDescent="0.15">
      <c r="C4104" s="76">
        <v>742</v>
      </c>
      <c r="D4104" s="76">
        <v>1.73E-5</v>
      </c>
      <c r="E4104" s="76">
        <v>6.3200000000000005E-5</v>
      </c>
      <c r="F4104" s="76">
        <v>8.8499999999999996E-5</v>
      </c>
      <c r="G4104" s="76">
        <v>8.1500000000000002E-5</v>
      </c>
      <c r="H4104" s="76">
        <v>3.7700000000000002E-5</v>
      </c>
      <c r="I4104" s="76">
        <v>1.2899999999999999E-4</v>
      </c>
      <c r="J4104" s="76">
        <v>1.2999999999999999E-4</v>
      </c>
      <c r="K4104" s="76">
        <v>1.0399999999999999E-4</v>
      </c>
      <c r="L4104" s="76">
        <v>2.8600000000000001E-4</v>
      </c>
      <c r="M4104" s="76">
        <v>1.8100000000000001E-4</v>
      </c>
    </row>
    <row r="4105" spans="3:13" x14ac:dyDescent="0.15">
      <c r="C4105" s="76">
        <v>744</v>
      </c>
      <c r="D4105" s="76">
        <v>2.7100000000000001E-5</v>
      </c>
      <c r="E4105" s="76">
        <v>5.2200000000000002E-5</v>
      </c>
      <c r="F4105" s="76">
        <v>9.3599999999999998E-5</v>
      </c>
      <c r="G4105" s="76">
        <v>8.8800000000000004E-5</v>
      </c>
      <c r="H4105" s="76">
        <v>0</v>
      </c>
      <c r="I4105" s="76">
        <v>1.74E-4</v>
      </c>
      <c r="J4105" s="76">
        <v>1.9900000000000001E-4</v>
      </c>
      <c r="K4105" s="76">
        <v>8.14E-5</v>
      </c>
      <c r="L4105" s="76">
        <v>2.63E-4</v>
      </c>
      <c r="M4105" s="76">
        <v>2.1900000000000001E-4</v>
      </c>
    </row>
    <row r="4106" spans="3:13" x14ac:dyDescent="0.15">
      <c r="C4106" s="76">
        <v>746</v>
      </c>
      <c r="D4106" s="76">
        <v>2.2500000000000001E-5</v>
      </c>
      <c r="E4106" s="76">
        <v>4.2899999999999999E-5</v>
      </c>
      <c r="F4106" s="76">
        <v>1.02E-4</v>
      </c>
      <c r="G4106" s="76">
        <v>9.9699999999999998E-5</v>
      </c>
      <c r="H4106" s="76">
        <v>0</v>
      </c>
      <c r="I4106" s="76">
        <v>2.7900000000000001E-5</v>
      </c>
      <c r="J4106" s="76">
        <v>2.13E-4</v>
      </c>
      <c r="K4106" s="76">
        <v>6.3300000000000004E-6</v>
      </c>
      <c r="L4106" s="76">
        <v>3.0200000000000002E-4</v>
      </c>
      <c r="M4106" s="76">
        <v>1.4300000000000001E-4</v>
      </c>
    </row>
    <row r="4107" spans="3:13" x14ac:dyDescent="0.15">
      <c r="C4107" s="76">
        <v>748</v>
      </c>
      <c r="D4107" s="76">
        <v>2.1699999999999999E-5</v>
      </c>
      <c r="E4107" s="76">
        <v>3.7100000000000001E-5</v>
      </c>
      <c r="F4107" s="76">
        <v>7.1299999999999998E-5</v>
      </c>
      <c r="G4107" s="76">
        <v>8.1299999999999997E-5</v>
      </c>
      <c r="H4107" s="76">
        <v>6.3899999999999995E-5</v>
      </c>
      <c r="I4107" s="76">
        <v>5.1599999999999997E-6</v>
      </c>
      <c r="J4107" s="76">
        <v>2.0799999999999999E-4</v>
      </c>
      <c r="K4107" s="76">
        <v>7.5099999999999996E-5</v>
      </c>
      <c r="L4107" s="76">
        <v>3.6400000000000001E-4</v>
      </c>
      <c r="M4107" s="76">
        <v>1.5200000000000001E-4</v>
      </c>
    </row>
    <row r="4108" spans="3:13" x14ac:dyDescent="0.15">
      <c r="C4108" s="76">
        <v>750</v>
      </c>
      <c r="D4108" s="76">
        <v>1.5400000000000002E-5</v>
      </c>
      <c r="E4108" s="76">
        <v>2.9099999999999999E-5</v>
      </c>
      <c r="F4108" s="76">
        <v>7.4599999999999997E-5</v>
      </c>
      <c r="G4108" s="76">
        <v>4.8900000000000003E-5</v>
      </c>
      <c r="H4108" s="76">
        <v>2.73E-5</v>
      </c>
      <c r="I4108" s="76">
        <v>5.3100000000000003E-5</v>
      </c>
      <c r="J4108" s="76">
        <v>1.9599999999999999E-4</v>
      </c>
      <c r="K4108" s="76">
        <v>1.47E-4</v>
      </c>
      <c r="L4108" s="76">
        <v>3.1100000000000002E-4</v>
      </c>
      <c r="M4108" s="76">
        <v>1.5300000000000001E-4</v>
      </c>
    </row>
    <row r="4109" spans="3:13" x14ac:dyDescent="0.15">
      <c r="C4109" s="76">
        <v>752</v>
      </c>
      <c r="D4109" s="76">
        <v>1.2799999999999999E-5</v>
      </c>
      <c r="E4109" s="76">
        <v>4.5599999999999997E-5</v>
      </c>
      <c r="F4109" s="76">
        <v>6.1199999999999997E-5</v>
      </c>
      <c r="G4109" s="76">
        <v>9.48E-5</v>
      </c>
      <c r="H4109" s="76">
        <v>3.4600000000000001E-5</v>
      </c>
      <c r="I4109" s="76">
        <v>6.6000000000000005E-5</v>
      </c>
      <c r="J4109" s="76">
        <v>2.0599999999999999E-4</v>
      </c>
      <c r="K4109" s="76">
        <v>1.9100000000000001E-4</v>
      </c>
      <c r="L4109" s="76">
        <v>3.0400000000000002E-4</v>
      </c>
      <c r="M4109" s="76">
        <v>1.9699999999999999E-4</v>
      </c>
    </row>
    <row r="4110" spans="3:13" x14ac:dyDescent="0.15">
      <c r="C4110" s="76">
        <v>754</v>
      </c>
      <c r="D4110" s="76">
        <v>1.24E-5</v>
      </c>
      <c r="E4110" s="76">
        <v>4.6100000000000002E-5</v>
      </c>
      <c r="F4110" s="76">
        <v>1.3200000000000001E-5</v>
      </c>
      <c r="G4110" s="76">
        <v>1.02E-4</v>
      </c>
      <c r="H4110" s="76">
        <v>3.7299999999999999E-5</v>
      </c>
      <c r="I4110" s="76">
        <v>4.3000000000000002E-5</v>
      </c>
      <c r="J4110" s="76">
        <v>1.3899999999999999E-4</v>
      </c>
      <c r="K4110" s="76">
        <v>1.8100000000000001E-4</v>
      </c>
      <c r="L4110" s="76">
        <v>2.8899999999999998E-4</v>
      </c>
      <c r="M4110" s="76">
        <v>1.4200000000000001E-4</v>
      </c>
    </row>
    <row r="4111" spans="3:13" x14ac:dyDescent="0.15">
      <c r="C4111" s="76">
        <v>756</v>
      </c>
      <c r="D4111" s="76">
        <v>1.42E-5</v>
      </c>
      <c r="E4111" s="76">
        <v>3.79E-5</v>
      </c>
      <c r="F4111" s="76">
        <v>3.7299999999999999E-5</v>
      </c>
      <c r="G4111" s="76">
        <v>9.1899999999999998E-5</v>
      </c>
      <c r="H4111" s="76">
        <v>1.2500000000000001E-5</v>
      </c>
      <c r="I4111" s="76">
        <v>1.9E-6</v>
      </c>
      <c r="J4111" s="76">
        <v>1.5699999999999999E-4</v>
      </c>
      <c r="K4111" s="76">
        <v>1.4100000000000001E-4</v>
      </c>
      <c r="L4111" s="76">
        <v>2.7999999999999998E-4</v>
      </c>
      <c r="M4111" s="76">
        <v>2.4000000000000001E-4</v>
      </c>
    </row>
    <row r="4112" spans="3:13" x14ac:dyDescent="0.15">
      <c r="C4112" s="76">
        <v>758</v>
      </c>
      <c r="D4112" s="76">
        <v>9.0599999999999997E-6</v>
      </c>
      <c r="E4112" s="76">
        <v>3.4499999999999998E-5</v>
      </c>
      <c r="F4112" s="76">
        <v>4.0299999999999997E-5</v>
      </c>
      <c r="G4112" s="76">
        <v>5.7000000000000003E-5</v>
      </c>
      <c r="H4112" s="76">
        <v>4.3999999999999999E-5</v>
      </c>
      <c r="I4112" s="76">
        <v>2.0800000000000001E-5</v>
      </c>
      <c r="J4112" s="76">
        <v>1.3200000000000001E-4</v>
      </c>
      <c r="K4112" s="76">
        <v>1.4100000000000001E-4</v>
      </c>
      <c r="L4112" s="76">
        <v>2.6400000000000002E-4</v>
      </c>
      <c r="M4112" s="76">
        <v>3.1700000000000001E-4</v>
      </c>
    </row>
    <row r="4113" spans="2:13" x14ac:dyDescent="0.15">
      <c r="C4113" s="76">
        <v>760</v>
      </c>
      <c r="D4113" s="76">
        <v>2.0599999999999999E-5</v>
      </c>
      <c r="E4113" s="76">
        <v>3.3200000000000001E-5</v>
      </c>
      <c r="F4113" s="76">
        <v>4.3800000000000001E-5</v>
      </c>
      <c r="G4113" s="76">
        <v>4.3099999999999997E-5</v>
      </c>
      <c r="H4113" s="76">
        <v>4.88E-5</v>
      </c>
      <c r="I4113" s="76">
        <v>6.4599999999999998E-5</v>
      </c>
      <c r="J4113" s="76">
        <v>1.47E-4</v>
      </c>
      <c r="K4113" s="76">
        <v>1.64E-4</v>
      </c>
      <c r="L4113" s="76">
        <v>1.7100000000000001E-4</v>
      </c>
      <c r="M4113" s="76">
        <v>2.61E-4</v>
      </c>
    </row>
    <row r="4114" spans="2:13" x14ac:dyDescent="0.15">
      <c r="C4114" s="76">
        <v>762</v>
      </c>
      <c r="D4114" s="76">
        <v>1.52E-5</v>
      </c>
      <c r="E4114" s="76">
        <v>2.34E-5</v>
      </c>
      <c r="F4114" s="76">
        <v>7.0199999999999997E-6</v>
      </c>
      <c r="G4114" s="76">
        <v>4.5399999999999999E-5</v>
      </c>
      <c r="H4114" s="76">
        <v>1.9300000000000002E-5</v>
      </c>
      <c r="I4114" s="76">
        <v>1.1E-5</v>
      </c>
      <c r="J4114" s="76">
        <v>3.9499999999999998E-5</v>
      </c>
      <c r="K4114" s="76">
        <v>1.5300000000000001E-4</v>
      </c>
      <c r="L4114" s="76">
        <v>2.5000000000000001E-4</v>
      </c>
      <c r="M4114" s="76">
        <v>2.0900000000000001E-4</v>
      </c>
    </row>
    <row r="4115" spans="2:13" x14ac:dyDescent="0.15">
      <c r="C4115" s="76">
        <v>764</v>
      </c>
      <c r="D4115" s="76">
        <v>4.9200000000000003E-6</v>
      </c>
      <c r="E4115" s="76">
        <v>4.35E-5</v>
      </c>
      <c r="F4115" s="76">
        <v>1.29E-5</v>
      </c>
      <c r="G4115" s="76">
        <v>9.5000000000000005E-5</v>
      </c>
      <c r="H4115" s="76">
        <v>3.0300000000000001E-5</v>
      </c>
      <c r="I4115" s="76">
        <v>8.4200000000000007E-6</v>
      </c>
      <c r="J4115" s="76">
        <v>4.1999999999999998E-5</v>
      </c>
      <c r="K4115" s="76">
        <v>1.4200000000000001E-4</v>
      </c>
      <c r="L4115" s="76">
        <v>1.6799999999999999E-4</v>
      </c>
      <c r="M4115" s="76">
        <v>2.4499999999999999E-4</v>
      </c>
    </row>
    <row r="4116" spans="2:13" x14ac:dyDescent="0.15">
      <c r="C4116" s="76">
        <v>766</v>
      </c>
      <c r="D4116" s="76">
        <v>7.6599999999999995E-6</v>
      </c>
      <c r="E4116" s="76">
        <v>1.77E-5</v>
      </c>
      <c r="F4116" s="76">
        <v>2.0000000000000002E-5</v>
      </c>
      <c r="G4116" s="76">
        <v>8.6799999999999996E-5</v>
      </c>
      <c r="H4116" s="76">
        <v>5.13E-5</v>
      </c>
      <c r="I4116" s="76">
        <v>2.3E-5</v>
      </c>
      <c r="J4116" s="76">
        <v>3.04E-5</v>
      </c>
      <c r="K4116" s="76">
        <v>1.74E-4</v>
      </c>
      <c r="L4116" s="76">
        <v>1.94E-4</v>
      </c>
      <c r="M4116" s="76">
        <v>1.84E-4</v>
      </c>
    </row>
    <row r="4117" spans="2:13" x14ac:dyDescent="0.15">
      <c r="C4117" s="76">
        <v>768</v>
      </c>
      <c r="D4117" s="76">
        <v>1.1800000000000001E-5</v>
      </c>
      <c r="E4117" s="76">
        <v>3.6300000000000001E-5</v>
      </c>
      <c r="F4117" s="76">
        <v>0</v>
      </c>
      <c r="G4117" s="76">
        <v>6.3999999999999997E-5</v>
      </c>
      <c r="H4117" s="76">
        <v>7.3800000000000005E-5</v>
      </c>
      <c r="I4117" s="76">
        <v>1.8899999999999999E-5</v>
      </c>
      <c r="J4117" s="76">
        <v>5.0399999999999999E-5</v>
      </c>
      <c r="K4117" s="76">
        <v>1.9699999999999999E-4</v>
      </c>
      <c r="L4117" s="76">
        <v>1.45E-4</v>
      </c>
      <c r="M4117" s="76">
        <v>2.4600000000000002E-4</v>
      </c>
    </row>
    <row r="4118" spans="2:13" x14ac:dyDescent="0.15">
      <c r="C4118" s="76">
        <v>770</v>
      </c>
      <c r="D4118" s="76">
        <v>3.58E-6</v>
      </c>
      <c r="E4118" s="76">
        <v>2.73E-5</v>
      </c>
      <c r="F4118" s="76">
        <v>2.6299999999999999E-5</v>
      </c>
      <c r="G4118" s="76">
        <v>6.8300000000000007E-5</v>
      </c>
      <c r="H4118" s="76">
        <v>6.5500000000000006E-5</v>
      </c>
      <c r="I4118" s="76">
        <v>4.71E-5</v>
      </c>
      <c r="J4118" s="76">
        <v>4.0200000000000003E-7</v>
      </c>
      <c r="K4118" s="76">
        <v>1.16E-4</v>
      </c>
      <c r="L4118" s="76">
        <v>2.2900000000000001E-4</v>
      </c>
      <c r="M4118" s="76">
        <v>2.23E-4</v>
      </c>
    </row>
    <row r="4119" spans="2:13" x14ac:dyDescent="0.15">
      <c r="C4119" s="76">
        <v>772</v>
      </c>
      <c r="D4119" s="76">
        <v>1.15E-5</v>
      </c>
      <c r="E4119" s="76">
        <v>1.7799999999999999E-5</v>
      </c>
      <c r="F4119" s="76">
        <v>0</v>
      </c>
      <c r="G4119" s="76">
        <v>6.7700000000000006E-5</v>
      </c>
      <c r="H4119" s="76">
        <v>5.2800000000000003E-5</v>
      </c>
      <c r="I4119" s="76">
        <v>1.2300000000000001E-4</v>
      </c>
      <c r="J4119" s="76">
        <v>0</v>
      </c>
      <c r="K4119" s="76">
        <v>1.66E-4</v>
      </c>
      <c r="L4119" s="76">
        <v>9.9699999999999998E-5</v>
      </c>
      <c r="M4119" s="76">
        <v>1.9900000000000001E-4</v>
      </c>
    </row>
    <row r="4120" spans="2:13" x14ac:dyDescent="0.15">
      <c r="C4120" s="76">
        <v>774</v>
      </c>
      <c r="D4120" s="76">
        <v>4.1799999999999998E-6</v>
      </c>
      <c r="E4120" s="76">
        <v>3.3699999999999999E-6</v>
      </c>
      <c r="F4120" s="76">
        <v>0</v>
      </c>
      <c r="G4120" s="76">
        <v>7.4599999999999997E-5</v>
      </c>
      <c r="H4120" s="76">
        <v>7.3399999999999995E-5</v>
      </c>
      <c r="I4120" s="76">
        <v>9.0699999999999996E-5</v>
      </c>
      <c r="J4120" s="76">
        <v>2.3499999999999999E-5</v>
      </c>
      <c r="K4120" s="76">
        <v>1.4999999999999999E-4</v>
      </c>
      <c r="L4120" s="76">
        <v>1.01E-4</v>
      </c>
      <c r="M4120" s="76">
        <v>2.6200000000000003E-4</v>
      </c>
    </row>
    <row r="4121" spans="2:13" x14ac:dyDescent="0.15">
      <c r="C4121" s="76">
        <v>776</v>
      </c>
      <c r="D4121" s="76">
        <v>5.7899999999999996E-6</v>
      </c>
      <c r="E4121" s="76">
        <v>3.9100000000000002E-5</v>
      </c>
      <c r="F4121" s="76">
        <v>9.38E-6</v>
      </c>
      <c r="G4121" s="76">
        <v>9.1799999999999995E-5</v>
      </c>
      <c r="H4121" s="76">
        <v>1.4200000000000001E-4</v>
      </c>
      <c r="I4121" s="76">
        <v>2.8500000000000002E-5</v>
      </c>
      <c r="J4121" s="76">
        <v>2.6599999999999999E-6</v>
      </c>
      <c r="K4121" s="76">
        <v>1.12E-4</v>
      </c>
      <c r="L4121" s="76">
        <v>7.8599999999999993E-6</v>
      </c>
      <c r="M4121" s="76">
        <v>1.7100000000000001E-4</v>
      </c>
    </row>
    <row r="4122" spans="2:13" x14ac:dyDescent="0.15">
      <c r="C4122" s="76">
        <v>778</v>
      </c>
      <c r="D4122" s="76">
        <v>1.15E-5</v>
      </c>
      <c r="E4122" s="76">
        <v>1.9000000000000001E-5</v>
      </c>
      <c r="F4122" s="76">
        <v>2.3799999999999999E-5</v>
      </c>
      <c r="G4122" s="76">
        <v>7.1699999999999995E-5</v>
      </c>
      <c r="H4122" s="76">
        <v>7.7600000000000002E-5</v>
      </c>
      <c r="I4122" s="76">
        <v>1.36E-4</v>
      </c>
      <c r="J4122" s="76">
        <v>0</v>
      </c>
      <c r="K4122" s="76">
        <v>1.4799999999999999E-4</v>
      </c>
      <c r="L4122" s="76">
        <v>0</v>
      </c>
      <c r="M4122" s="76">
        <v>1.27E-4</v>
      </c>
    </row>
    <row r="4123" spans="2:13" x14ac:dyDescent="0.15">
      <c r="C4123" s="76">
        <v>780</v>
      </c>
      <c r="D4123" s="76">
        <v>8.3999999999999992E-6</v>
      </c>
      <c r="E4123" s="120">
        <v>2.2199999999999999E-6</v>
      </c>
      <c r="F4123" s="76">
        <v>1.95E-6</v>
      </c>
      <c r="G4123" s="120">
        <v>7.2700000000000005E-5</v>
      </c>
      <c r="H4123" s="120">
        <v>1.12E-4</v>
      </c>
      <c r="I4123" s="76">
        <v>8.81E-5</v>
      </c>
      <c r="J4123" s="76">
        <v>0</v>
      </c>
      <c r="K4123" s="76">
        <v>1.5899999999999999E-4</v>
      </c>
      <c r="L4123" s="76">
        <v>3.79E-5</v>
      </c>
      <c r="M4123" s="76">
        <v>2.1000000000000001E-4</v>
      </c>
    </row>
    <row r="4124" spans="2:13" x14ac:dyDescent="0.15">
      <c r="B4124" s="76">
        <v>45</v>
      </c>
      <c r="C4124" s="76" t="s">
        <v>561</v>
      </c>
      <c r="D4124" s="76">
        <v>1</v>
      </c>
      <c r="E4124" s="76">
        <v>2</v>
      </c>
      <c r="F4124" s="76">
        <v>3</v>
      </c>
      <c r="G4124" s="76">
        <v>4</v>
      </c>
      <c r="H4124" s="76">
        <v>5</v>
      </c>
      <c r="I4124" s="76">
        <v>6</v>
      </c>
      <c r="J4124" s="76">
        <v>7</v>
      </c>
      <c r="K4124" s="76">
        <v>8</v>
      </c>
      <c r="L4124" s="76">
        <v>9</v>
      </c>
      <c r="M4124" s="76">
        <v>10</v>
      </c>
    </row>
    <row r="4125" spans="2:13" x14ac:dyDescent="0.15">
      <c r="C4125" s="76" t="s">
        <v>556</v>
      </c>
      <c r="D4125" s="76">
        <v>3.5569999999999999</v>
      </c>
      <c r="E4125" s="76">
        <v>3.6920000000000002</v>
      </c>
      <c r="F4125" s="76">
        <v>3.7839999999999998</v>
      </c>
      <c r="G4125" s="76">
        <v>3.8620000000000001</v>
      </c>
      <c r="H4125" s="76">
        <v>3.9279999999999999</v>
      </c>
      <c r="I4125" s="76">
        <v>3.9870000000000001</v>
      </c>
      <c r="J4125" s="76">
        <v>4.0410000000000004</v>
      </c>
      <c r="K4125" s="76">
        <v>4.0880000000000001</v>
      </c>
      <c r="L4125" s="76">
        <v>4.1340000000000003</v>
      </c>
      <c r="M4125" s="76">
        <v>4.1849999999999996</v>
      </c>
    </row>
    <row r="4126" spans="2:13" x14ac:dyDescent="0.15">
      <c r="C4126" s="76" t="s">
        <v>562</v>
      </c>
      <c r="D4126" s="76">
        <v>0.08</v>
      </c>
      <c r="E4126" s="76">
        <v>0.16</v>
      </c>
      <c r="F4126" s="76">
        <v>0.24</v>
      </c>
      <c r="G4126" s="76">
        <v>0.32</v>
      </c>
      <c r="H4126" s="76">
        <v>0.4</v>
      </c>
      <c r="I4126" s="76">
        <v>0.48</v>
      </c>
      <c r="J4126" s="76">
        <v>0.56000000000000005</v>
      </c>
      <c r="K4126" s="76">
        <v>0.64</v>
      </c>
      <c r="L4126" s="76">
        <v>0.72</v>
      </c>
      <c r="M4126" s="76">
        <v>0.8</v>
      </c>
    </row>
    <row r="4127" spans="2:13" x14ac:dyDescent="0.15">
      <c r="C4127" s="76" t="s">
        <v>557</v>
      </c>
      <c r="D4127" s="76">
        <v>2</v>
      </c>
      <c r="E4127" s="76">
        <v>4</v>
      </c>
      <c r="F4127" s="76">
        <v>6</v>
      </c>
      <c r="G4127" s="76">
        <v>8</v>
      </c>
      <c r="H4127" s="76">
        <v>10</v>
      </c>
      <c r="I4127" s="76">
        <v>12</v>
      </c>
      <c r="J4127" s="76">
        <v>14</v>
      </c>
      <c r="K4127" s="76">
        <v>16</v>
      </c>
      <c r="L4127" s="76">
        <v>18</v>
      </c>
      <c r="M4127" s="76">
        <v>20</v>
      </c>
    </row>
    <row r="4128" spans="2:13" x14ac:dyDescent="0.15">
      <c r="C4128" s="76" t="s">
        <v>560</v>
      </c>
      <c r="D4128" s="76">
        <v>7.87</v>
      </c>
      <c r="E4128" s="76">
        <v>8.1639999999999997</v>
      </c>
      <c r="F4128" s="76">
        <v>8.0180000000000007</v>
      </c>
      <c r="G4128" s="76">
        <v>8.0779999999999994</v>
      </c>
      <c r="H4128" s="76">
        <v>8.0640000000000001</v>
      </c>
      <c r="I4128" s="76">
        <v>8.0779999999999994</v>
      </c>
      <c r="J4128" s="76">
        <v>8.0500000000000007</v>
      </c>
      <c r="K4128" s="76">
        <v>7.9249999999999998</v>
      </c>
      <c r="L4128" s="76">
        <v>8.1440000000000001</v>
      </c>
      <c r="M4128" s="76">
        <v>8.09</v>
      </c>
    </row>
    <row r="4129" spans="3:13" x14ac:dyDescent="0.15">
      <c r="C4129" s="76" t="s">
        <v>563</v>
      </c>
      <c r="D4129" s="76">
        <v>6.9511950000000002</v>
      </c>
      <c r="E4129" s="76">
        <v>6.9461000000000004</v>
      </c>
      <c r="F4129" s="76">
        <v>6.6569789999999998</v>
      </c>
      <c r="G4129" s="76">
        <v>6.5705450000000001</v>
      </c>
      <c r="H4129" s="76">
        <v>6.4503789999999999</v>
      </c>
      <c r="I4129" s="76">
        <v>6.3644600000000002</v>
      </c>
      <c r="J4129" s="76">
        <v>6.2579029999999998</v>
      </c>
      <c r="K4129" s="76">
        <v>6.0894409999999999</v>
      </c>
      <c r="L4129" s="76">
        <v>6.188968</v>
      </c>
      <c r="M4129" s="76">
        <v>6.0728669999999996</v>
      </c>
    </row>
    <row r="4130" spans="3:13" x14ac:dyDescent="0.15">
      <c r="C4130" s="76" t="s">
        <v>564</v>
      </c>
      <c r="D4130" s="76">
        <v>157.4</v>
      </c>
      <c r="E4130" s="76">
        <v>326.60000000000002</v>
      </c>
      <c r="F4130" s="76">
        <v>481.1</v>
      </c>
      <c r="G4130" s="76">
        <v>646.29999999999995</v>
      </c>
      <c r="H4130" s="76">
        <v>806.5</v>
      </c>
      <c r="I4130" s="76">
        <v>969.4</v>
      </c>
      <c r="J4130" s="76">
        <v>1127</v>
      </c>
      <c r="K4130" s="76">
        <v>1268</v>
      </c>
      <c r="L4130" s="76">
        <v>1466</v>
      </c>
      <c r="M4130" s="76">
        <v>1618</v>
      </c>
    </row>
    <row r="4131" spans="3:13" x14ac:dyDescent="0.15">
      <c r="C4131" s="76" t="s">
        <v>565</v>
      </c>
      <c r="D4131" s="76">
        <v>157.4</v>
      </c>
      <c r="E4131" s="76">
        <v>326.60000000000002</v>
      </c>
      <c r="F4131" s="76">
        <v>481.1</v>
      </c>
      <c r="G4131" s="76">
        <v>646.29999999999995</v>
      </c>
      <c r="H4131" s="76">
        <v>806.5</v>
      </c>
      <c r="I4131" s="76">
        <v>969.4</v>
      </c>
      <c r="J4131" s="76">
        <v>1127</v>
      </c>
      <c r="K4131" s="76">
        <v>1268</v>
      </c>
      <c r="L4131" s="76">
        <v>1466</v>
      </c>
      <c r="M4131" s="76">
        <v>1618</v>
      </c>
    </row>
    <row r="4132" spans="3:13" x14ac:dyDescent="0.15">
      <c r="C4132" s="76" t="s">
        <v>566</v>
      </c>
      <c r="D4132" s="76">
        <v>0.1356</v>
      </c>
      <c r="E4132" s="76">
        <v>0.1356</v>
      </c>
      <c r="F4132" s="76">
        <v>0.13550000000000001</v>
      </c>
      <c r="G4132" s="76">
        <v>0.13550000000000001</v>
      </c>
      <c r="H4132" s="76">
        <v>0.13550000000000001</v>
      </c>
      <c r="I4132" s="76">
        <v>0.1356</v>
      </c>
      <c r="J4132" s="76">
        <v>0.13550000000000001</v>
      </c>
      <c r="K4132" s="76">
        <v>0.1356</v>
      </c>
      <c r="L4132" s="76">
        <v>0.1356</v>
      </c>
      <c r="M4132" s="76">
        <v>0.13550000000000001</v>
      </c>
    </row>
    <row r="4133" spans="3:13" x14ac:dyDescent="0.15">
      <c r="C4133" s="76" t="s">
        <v>567</v>
      </c>
      <c r="D4133" s="76">
        <v>0.1178</v>
      </c>
      <c r="E4133" s="76">
        <v>0.1176</v>
      </c>
      <c r="F4133" s="76">
        <v>0.1174</v>
      </c>
      <c r="G4133" s="76">
        <v>0.1173</v>
      </c>
      <c r="H4133" s="76">
        <v>0.1173</v>
      </c>
      <c r="I4133" s="76">
        <v>0.1172</v>
      </c>
      <c r="J4133" s="76">
        <v>0.1171</v>
      </c>
      <c r="K4133" s="76">
        <v>0.1172</v>
      </c>
      <c r="L4133" s="76">
        <v>0.1171</v>
      </c>
      <c r="M4133" s="76">
        <v>0.11700000000000001</v>
      </c>
    </row>
    <row r="4134" spans="3:13" x14ac:dyDescent="0.15">
      <c r="C4134" s="76" t="s">
        <v>568</v>
      </c>
      <c r="D4134" s="76">
        <v>8.7141000000000002</v>
      </c>
      <c r="E4134" s="76">
        <v>9.0541</v>
      </c>
      <c r="F4134" s="76">
        <v>8.9030000000000005</v>
      </c>
      <c r="G4134" s="76">
        <v>8.9777000000000005</v>
      </c>
      <c r="H4134" s="76">
        <v>8.9585000000000008</v>
      </c>
      <c r="I4134" s="76">
        <v>8.9723000000000006</v>
      </c>
      <c r="J4134" s="76">
        <v>8.9543999999999997</v>
      </c>
      <c r="K4134" s="76">
        <v>8.8085000000000004</v>
      </c>
      <c r="L4134" s="76">
        <v>9.0649999999999995</v>
      </c>
      <c r="M4134" s="76">
        <v>9.0091999999999999</v>
      </c>
    </row>
    <row r="4135" spans="3:13" x14ac:dyDescent="0.15">
      <c r="C4135" s="76" t="s">
        <v>569</v>
      </c>
    </row>
    <row r="4136" spans="3:13" x14ac:dyDescent="0.15">
      <c r="C4136" s="76" t="s">
        <v>570</v>
      </c>
      <c r="D4136" s="76">
        <v>4</v>
      </c>
      <c r="E4136" s="76">
        <v>4</v>
      </c>
      <c r="F4136" s="76">
        <v>4</v>
      </c>
      <c r="G4136" s="76">
        <v>4</v>
      </c>
      <c r="H4136" s="76">
        <v>4</v>
      </c>
      <c r="I4136" s="76">
        <v>4</v>
      </c>
      <c r="J4136" s="76">
        <v>4</v>
      </c>
      <c r="K4136" s="76">
        <v>4</v>
      </c>
      <c r="L4136" s="76">
        <v>4</v>
      </c>
      <c r="M4136" s="76">
        <v>4</v>
      </c>
    </row>
    <row r="4137" spans="3:13" x14ac:dyDescent="0.15">
      <c r="C4137" s="76" t="s">
        <v>571</v>
      </c>
      <c r="D4137" s="76">
        <v>100</v>
      </c>
      <c r="E4137" s="76">
        <v>100</v>
      </c>
      <c r="F4137" s="76">
        <v>100</v>
      </c>
      <c r="G4137" s="76">
        <v>100</v>
      </c>
      <c r="H4137" s="76">
        <v>100</v>
      </c>
      <c r="I4137" s="76">
        <v>100</v>
      </c>
      <c r="J4137" s="76">
        <v>100</v>
      </c>
      <c r="K4137" s="76">
        <v>100</v>
      </c>
      <c r="L4137" s="76">
        <v>100</v>
      </c>
      <c r="M4137" s="76">
        <v>100</v>
      </c>
    </row>
    <row r="4138" spans="3:13" x14ac:dyDescent="0.15">
      <c r="C4138" s="76" t="s">
        <v>572</v>
      </c>
      <c r="D4138" s="76" t="s">
        <v>574</v>
      </c>
      <c r="E4138" s="76" t="s">
        <v>574</v>
      </c>
      <c r="F4138" s="76" t="s">
        <v>574</v>
      </c>
      <c r="G4138" s="76" t="s">
        <v>574</v>
      </c>
      <c r="H4138" s="76" t="s">
        <v>574</v>
      </c>
      <c r="I4138" s="76" t="s">
        <v>574</v>
      </c>
      <c r="J4138" s="76" t="s">
        <v>574</v>
      </c>
      <c r="K4138" s="76" t="s">
        <v>574</v>
      </c>
      <c r="L4138" s="76" t="s">
        <v>574</v>
      </c>
      <c r="M4138" s="76" t="s">
        <v>574</v>
      </c>
    </row>
    <row r="4139" spans="3:13" x14ac:dyDescent="0.15">
      <c r="C4139" s="76" t="s">
        <v>573</v>
      </c>
      <c r="D4139" s="76">
        <v>1</v>
      </c>
      <c r="E4139" s="76">
        <v>2</v>
      </c>
      <c r="F4139" s="76">
        <v>3</v>
      </c>
      <c r="G4139" s="76">
        <v>4</v>
      </c>
      <c r="H4139" s="76">
        <v>5</v>
      </c>
      <c r="I4139" s="76">
        <v>6</v>
      </c>
      <c r="J4139" s="76">
        <v>7</v>
      </c>
      <c r="K4139" s="76">
        <v>8</v>
      </c>
      <c r="L4139" s="76">
        <v>9</v>
      </c>
      <c r="M4139" s="76">
        <v>10</v>
      </c>
    </row>
    <row r="4140" spans="3:13" x14ac:dyDescent="0.15">
      <c r="C4140" s="76">
        <v>380</v>
      </c>
      <c r="D4140" s="76">
        <v>1.1900000000000001E-4</v>
      </c>
      <c r="E4140" s="76">
        <v>1.56E-4</v>
      </c>
      <c r="F4140" s="76">
        <v>3.3199999999999999E-4</v>
      </c>
      <c r="G4140" s="76">
        <v>3.2600000000000001E-4</v>
      </c>
      <c r="H4140" s="76">
        <v>5.8900000000000001E-4</v>
      </c>
      <c r="I4140" s="76">
        <v>3.2899999999999997E-4</v>
      </c>
      <c r="J4140" s="76">
        <v>1.5499999999999999E-3</v>
      </c>
      <c r="K4140" s="76">
        <v>8.3100000000000003E-4</v>
      </c>
      <c r="L4140" s="76">
        <v>7.3499999999999998E-4</v>
      </c>
      <c r="M4140" s="76">
        <v>2.3900000000000002E-3</v>
      </c>
    </row>
    <row r="4141" spans="3:13" x14ac:dyDescent="0.15">
      <c r="C4141" s="76">
        <v>382</v>
      </c>
      <c r="D4141" s="76">
        <v>1.3999999999999999E-4</v>
      </c>
      <c r="E4141" s="76">
        <v>1.7000000000000001E-4</v>
      </c>
      <c r="F4141" s="76">
        <v>4.4200000000000001E-4</v>
      </c>
      <c r="G4141" s="76">
        <v>3.5100000000000002E-4</v>
      </c>
      <c r="H4141" s="76">
        <v>6.2699999999999995E-4</v>
      </c>
      <c r="I4141" s="76">
        <v>8.83E-4</v>
      </c>
      <c r="J4141" s="76">
        <v>1.39E-3</v>
      </c>
      <c r="K4141" s="76">
        <v>7.9500000000000003E-4</v>
      </c>
      <c r="L4141" s="76">
        <v>9.3800000000000003E-4</v>
      </c>
      <c r="M4141" s="76">
        <v>1.91E-3</v>
      </c>
    </row>
    <row r="4142" spans="3:13" x14ac:dyDescent="0.15">
      <c r="C4142" s="76">
        <v>384</v>
      </c>
      <c r="D4142" s="76">
        <v>1.3300000000000001E-4</v>
      </c>
      <c r="E4142" s="76">
        <v>2.3000000000000001E-4</v>
      </c>
      <c r="F4142" s="76">
        <v>3.3799999999999998E-4</v>
      </c>
      <c r="G4142" s="76">
        <v>2.5500000000000002E-4</v>
      </c>
      <c r="H4142" s="76">
        <v>5.2800000000000004E-4</v>
      </c>
      <c r="I4142" s="76">
        <v>7.9600000000000005E-4</v>
      </c>
      <c r="J4142" s="76">
        <v>1.2600000000000001E-3</v>
      </c>
      <c r="K4142" s="76">
        <v>8.3699999999999996E-4</v>
      </c>
      <c r="L4142" s="76">
        <v>9.7199999999999999E-4</v>
      </c>
      <c r="M4142" s="76">
        <v>1.6199999999999999E-3</v>
      </c>
    </row>
    <row r="4143" spans="3:13" x14ac:dyDescent="0.15">
      <c r="C4143" s="76">
        <v>386</v>
      </c>
      <c r="D4143" s="76">
        <v>1.3200000000000001E-4</v>
      </c>
      <c r="E4143" s="76">
        <v>1.9100000000000001E-4</v>
      </c>
      <c r="F4143" s="76">
        <v>4.2299999999999998E-4</v>
      </c>
      <c r="G4143" s="76">
        <v>3.48E-4</v>
      </c>
      <c r="H4143" s="76">
        <v>6.5300000000000004E-4</v>
      </c>
      <c r="I4143" s="76">
        <v>5.9400000000000002E-4</v>
      </c>
      <c r="J4143" s="76">
        <v>1.1299999999999999E-3</v>
      </c>
      <c r="K4143" s="76">
        <v>9.0799999999999995E-4</v>
      </c>
      <c r="L4143" s="76">
        <v>9.2800000000000001E-4</v>
      </c>
      <c r="M4143" s="76">
        <v>1.32E-3</v>
      </c>
    </row>
    <row r="4144" spans="3:13" x14ac:dyDescent="0.15">
      <c r="C4144" s="76">
        <v>388</v>
      </c>
      <c r="D4144" s="76">
        <v>1.34E-4</v>
      </c>
      <c r="E4144" s="76">
        <v>1.7200000000000001E-4</v>
      </c>
      <c r="F4144" s="76">
        <v>4.0499999999999998E-4</v>
      </c>
      <c r="G4144" s="76">
        <v>4.3899999999999999E-4</v>
      </c>
      <c r="H4144" s="76">
        <v>5.8200000000000005E-4</v>
      </c>
      <c r="I4144" s="76">
        <v>6.6600000000000003E-4</v>
      </c>
      <c r="J4144" s="76">
        <v>1.07E-3</v>
      </c>
      <c r="K4144" s="76">
        <v>9.859999999999999E-4</v>
      </c>
      <c r="L4144" s="76">
        <v>8.6399999999999997E-4</v>
      </c>
      <c r="M4144" s="76">
        <v>1.5200000000000001E-3</v>
      </c>
    </row>
    <row r="4145" spans="3:13" x14ac:dyDescent="0.15">
      <c r="C4145" s="76">
        <v>390</v>
      </c>
      <c r="D4145" s="76">
        <v>1.21E-4</v>
      </c>
      <c r="E4145" s="76">
        <v>1.8200000000000001E-4</v>
      </c>
      <c r="F4145" s="76">
        <v>3.4099999999999999E-4</v>
      </c>
      <c r="G4145" s="76">
        <v>4.9399999999999997E-4</v>
      </c>
      <c r="H4145" s="76">
        <v>5.1999999999999995E-4</v>
      </c>
      <c r="I4145" s="76">
        <v>4.46E-4</v>
      </c>
      <c r="J4145" s="76">
        <v>1.0499999999999999E-3</v>
      </c>
      <c r="K4145" s="76">
        <v>5.9199999999999997E-4</v>
      </c>
      <c r="L4145" s="76">
        <v>1.01E-3</v>
      </c>
      <c r="M4145" s="76">
        <v>1.57E-3</v>
      </c>
    </row>
    <row r="4146" spans="3:13" x14ac:dyDescent="0.15">
      <c r="C4146" s="76">
        <v>392</v>
      </c>
      <c r="D4146" s="76">
        <v>1.37E-4</v>
      </c>
      <c r="E4146" s="76">
        <v>1.6899999999999999E-4</v>
      </c>
      <c r="F4146" s="76">
        <v>3.4200000000000002E-4</v>
      </c>
      <c r="G4146" s="76">
        <v>4.7899999999999999E-4</v>
      </c>
      <c r="H4146" s="76">
        <v>5.1000000000000004E-4</v>
      </c>
      <c r="I4146" s="76">
        <v>4.7699999999999999E-4</v>
      </c>
      <c r="J4146" s="76">
        <v>1.0499999999999999E-3</v>
      </c>
      <c r="K4146" s="76">
        <v>5.8100000000000003E-4</v>
      </c>
      <c r="L4146" s="76">
        <v>1.1000000000000001E-3</v>
      </c>
      <c r="M4146" s="76">
        <v>1.17E-3</v>
      </c>
    </row>
    <row r="4147" spans="3:13" x14ac:dyDescent="0.15">
      <c r="C4147" s="76">
        <v>394</v>
      </c>
      <c r="D4147" s="76">
        <v>1.25E-4</v>
      </c>
      <c r="E4147" s="76">
        <v>1.8200000000000001E-4</v>
      </c>
      <c r="F4147" s="76">
        <v>3.6699999999999998E-4</v>
      </c>
      <c r="G4147" s="76">
        <v>4.8799999999999999E-4</v>
      </c>
      <c r="H4147" s="76">
        <v>5.5000000000000003E-4</v>
      </c>
      <c r="I4147" s="76">
        <v>5.6400000000000005E-4</v>
      </c>
      <c r="J4147" s="76">
        <v>1.01E-3</v>
      </c>
      <c r="K4147" s="76">
        <v>8.2700000000000004E-4</v>
      </c>
      <c r="L4147" s="76">
        <v>1.07E-3</v>
      </c>
      <c r="M4147" s="76">
        <v>1.39E-3</v>
      </c>
    </row>
    <row r="4148" spans="3:13" x14ac:dyDescent="0.15">
      <c r="C4148" s="76">
        <v>396</v>
      </c>
      <c r="D4148" s="76">
        <v>1.6000000000000001E-4</v>
      </c>
      <c r="E4148" s="76">
        <v>1.9000000000000001E-4</v>
      </c>
      <c r="F4148" s="76">
        <v>3.5300000000000002E-4</v>
      </c>
      <c r="G4148" s="76">
        <v>5.0299999999999997E-4</v>
      </c>
      <c r="H4148" s="76">
        <v>5.4000000000000001E-4</v>
      </c>
      <c r="I4148" s="76">
        <v>7.3300000000000004E-4</v>
      </c>
      <c r="J4148" s="76">
        <v>8.6300000000000005E-4</v>
      </c>
      <c r="K4148" s="76">
        <v>9.2299999999999999E-4</v>
      </c>
      <c r="L4148" s="76">
        <v>1.33E-3</v>
      </c>
      <c r="M4148" s="76">
        <v>1.34E-3</v>
      </c>
    </row>
    <row r="4149" spans="3:13" x14ac:dyDescent="0.15">
      <c r="C4149" s="76">
        <v>398</v>
      </c>
      <c r="D4149" s="76">
        <v>1.5100000000000001E-4</v>
      </c>
      <c r="E4149" s="76">
        <v>2.2800000000000001E-4</v>
      </c>
      <c r="F4149" s="76">
        <v>3.0899999999999998E-4</v>
      </c>
      <c r="G4149" s="76">
        <v>5.2999999999999998E-4</v>
      </c>
      <c r="H4149" s="76">
        <v>5.7300000000000005E-4</v>
      </c>
      <c r="I4149" s="76">
        <v>6.2399999999999999E-4</v>
      </c>
      <c r="J4149" s="76">
        <v>8.3699999999999996E-4</v>
      </c>
      <c r="K4149" s="76">
        <v>7.7700000000000002E-4</v>
      </c>
      <c r="L4149" s="76">
        <v>1.3600000000000001E-3</v>
      </c>
      <c r="M4149" s="76">
        <v>1.32E-3</v>
      </c>
    </row>
    <row r="4150" spans="3:13" x14ac:dyDescent="0.15">
      <c r="C4150" s="76">
        <v>400</v>
      </c>
      <c r="D4150" s="76">
        <v>1.5699999999999999E-4</v>
      </c>
      <c r="E4150" s="76">
        <v>2.24E-4</v>
      </c>
      <c r="F4150" s="76">
        <v>3.59E-4</v>
      </c>
      <c r="G4150" s="76">
        <v>5.0100000000000003E-4</v>
      </c>
      <c r="H4150" s="76">
        <v>5.8399999999999999E-4</v>
      </c>
      <c r="I4150" s="76">
        <v>6.11E-4</v>
      </c>
      <c r="J4150" s="76">
        <v>8.4999999999999995E-4</v>
      </c>
      <c r="K4150" s="76">
        <v>9.0499999999999999E-4</v>
      </c>
      <c r="L4150" s="76">
        <v>1.32E-3</v>
      </c>
      <c r="M4150" s="76">
        <v>1.17E-3</v>
      </c>
    </row>
    <row r="4151" spans="3:13" x14ac:dyDescent="0.15">
      <c r="C4151" s="76">
        <v>402</v>
      </c>
      <c r="D4151" s="76">
        <v>1.4799999999999999E-4</v>
      </c>
      <c r="E4151" s="76">
        <v>2.2000000000000001E-4</v>
      </c>
      <c r="F4151" s="76">
        <v>3.4499999999999998E-4</v>
      </c>
      <c r="G4151" s="76">
        <v>5.22E-4</v>
      </c>
      <c r="H4151" s="76">
        <v>6.1700000000000004E-4</v>
      </c>
      <c r="I4151" s="76">
        <v>6.38E-4</v>
      </c>
      <c r="J4151" s="76">
        <v>7.2099999999999996E-4</v>
      </c>
      <c r="K4151" s="76">
        <v>1.14E-3</v>
      </c>
      <c r="L4151" s="76">
        <v>1.32E-3</v>
      </c>
      <c r="M4151" s="76">
        <v>1.1999999999999999E-3</v>
      </c>
    </row>
    <row r="4152" spans="3:13" x14ac:dyDescent="0.15">
      <c r="C4152" s="76">
        <v>404</v>
      </c>
      <c r="D4152" s="76">
        <v>1.45E-4</v>
      </c>
      <c r="E4152" s="76">
        <v>2.5500000000000002E-4</v>
      </c>
      <c r="F4152" s="76">
        <v>3.79E-4</v>
      </c>
      <c r="G4152" s="76">
        <v>5.8699999999999996E-4</v>
      </c>
      <c r="H4152" s="76">
        <v>7.2999999999999996E-4</v>
      </c>
      <c r="I4152" s="76">
        <v>8.2100000000000001E-4</v>
      </c>
      <c r="J4152" s="76">
        <v>6.7500000000000004E-4</v>
      </c>
      <c r="K4152" s="76">
        <v>1.23E-3</v>
      </c>
      <c r="L4152" s="76">
        <v>1.9300000000000001E-3</v>
      </c>
      <c r="M4152" s="76">
        <v>1.33E-3</v>
      </c>
    </row>
    <row r="4153" spans="3:13" x14ac:dyDescent="0.15">
      <c r="C4153" s="76">
        <v>406</v>
      </c>
      <c r="D4153" s="76">
        <v>1.46E-4</v>
      </c>
      <c r="E4153" s="76">
        <v>2.6200000000000003E-4</v>
      </c>
      <c r="F4153" s="76">
        <v>4.0700000000000003E-4</v>
      </c>
      <c r="G4153" s="76">
        <v>6.69E-4</v>
      </c>
      <c r="H4153" s="76">
        <v>7.8299999999999995E-4</v>
      </c>
      <c r="I4153" s="76">
        <v>7.4200000000000004E-4</v>
      </c>
      <c r="J4153" s="76">
        <v>7.7300000000000003E-4</v>
      </c>
      <c r="K4153" s="76">
        <v>1.1299999999999999E-3</v>
      </c>
      <c r="L4153" s="76">
        <v>1.99E-3</v>
      </c>
      <c r="M4153" s="76">
        <v>1.3500000000000001E-3</v>
      </c>
    </row>
    <row r="4154" spans="3:13" x14ac:dyDescent="0.15">
      <c r="C4154" s="76">
        <v>408</v>
      </c>
      <c r="D4154" s="76">
        <v>1.7000000000000001E-4</v>
      </c>
      <c r="E4154" s="76">
        <v>2.9500000000000001E-4</v>
      </c>
      <c r="F4154" s="76">
        <v>4.08E-4</v>
      </c>
      <c r="G4154" s="76">
        <v>6.4400000000000004E-4</v>
      </c>
      <c r="H4154" s="76">
        <v>7.36E-4</v>
      </c>
      <c r="I4154" s="76">
        <v>7.7499999999999997E-4</v>
      </c>
      <c r="J4154" s="76">
        <v>8.8500000000000004E-4</v>
      </c>
      <c r="K4154" s="76">
        <v>1.3500000000000001E-3</v>
      </c>
      <c r="L4154" s="76">
        <v>1.6900000000000001E-3</v>
      </c>
      <c r="M4154" s="76">
        <v>1.6199999999999999E-3</v>
      </c>
    </row>
    <row r="4155" spans="3:13" x14ac:dyDescent="0.15">
      <c r="C4155" s="76">
        <v>410</v>
      </c>
      <c r="D4155" s="76">
        <v>1.8000000000000001E-4</v>
      </c>
      <c r="E4155" s="76">
        <v>3.6600000000000001E-4</v>
      </c>
      <c r="F4155" s="76">
        <v>5.0500000000000002E-4</v>
      </c>
      <c r="G4155" s="76">
        <v>7.67E-4</v>
      </c>
      <c r="H4155" s="76">
        <v>8.4000000000000003E-4</v>
      </c>
      <c r="I4155" s="76">
        <v>9.2699999999999998E-4</v>
      </c>
      <c r="J4155" s="76">
        <v>9.4300000000000004E-4</v>
      </c>
      <c r="K4155" s="76">
        <v>1.49E-3</v>
      </c>
      <c r="L4155" s="76">
        <v>1.72E-3</v>
      </c>
      <c r="M4155" s="76">
        <v>1.8699999999999999E-3</v>
      </c>
    </row>
    <row r="4156" spans="3:13" x14ac:dyDescent="0.15">
      <c r="C4156" s="76">
        <v>412</v>
      </c>
      <c r="D4156" s="76">
        <v>2.02E-4</v>
      </c>
      <c r="E4156" s="76">
        <v>3.77E-4</v>
      </c>
      <c r="F4156" s="76">
        <v>5.62E-4</v>
      </c>
      <c r="G4156" s="76">
        <v>8.2100000000000001E-4</v>
      </c>
      <c r="H4156" s="76">
        <v>9.810000000000001E-4</v>
      </c>
      <c r="I4156" s="76">
        <v>1.14E-3</v>
      </c>
      <c r="J4156" s="76">
        <v>1.09E-3</v>
      </c>
      <c r="K4156" s="76">
        <v>1.56E-3</v>
      </c>
      <c r="L4156" s="76">
        <v>2.16E-3</v>
      </c>
      <c r="M4156" s="76">
        <v>1.8600000000000001E-3</v>
      </c>
    </row>
    <row r="4157" spans="3:13" x14ac:dyDescent="0.15">
      <c r="C4157" s="76">
        <v>414</v>
      </c>
      <c r="D4157" s="76">
        <v>2.1499999999999999E-4</v>
      </c>
      <c r="E4157" s="76">
        <v>4.5899999999999999E-4</v>
      </c>
      <c r="F4157" s="76">
        <v>6.5099999999999999E-4</v>
      </c>
      <c r="G4157" s="76">
        <v>9.5100000000000002E-4</v>
      </c>
      <c r="H4157" s="76">
        <v>1.06E-3</v>
      </c>
      <c r="I4157" s="76">
        <v>1.3500000000000001E-3</v>
      </c>
      <c r="J4157" s="76">
        <v>1.42E-3</v>
      </c>
      <c r="K4157" s="76">
        <v>1.83E-3</v>
      </c>
      <c r="L4157" s="76">
        <v>2.3999999999999998E-3</v>
      </c>
      <c r="M4157" s="76">
        <v>2.1299999999999999E-3</v>
      </c>
    </row>
    <row r="4158" spans="3:13" x14ac:dyDescent="0.15">
      <c r="C4158" s="76">
        <v>416</v>
      </c>
      <c r="D4158" s="76">
        <v>2.5500000000000002E-4</v>
      </c>
      <c r="E4158" s="76">
        <v>5.5199999999999997E-4</v>
      </c>
      <c r="F4158" s="76">
        <v>7.7700000000000002E-4</v>
      </c>
      <c r="G4158" s="76">
        <v>1.1199999999999999E-3</v>
      </c>
      <c r="H4158" s="76">
        <v>1.2600000000000001E-3</v>
      </c>
      <c r="I4158" s="76">
        <v>1.6199999999999999E-3</v>
      </c>
      <c r="J4158" s="76">
        <v>1.6800000000000001E-3</v>
      </c>
      <c r="K4158" s="76">
        <v>2.2000000000000001E-3</v>
      </c>
      <c r="L4158" s="76">
        <v>2.7499999999999998E-3</v>
      </c>
      <c r="M4158" s="76">
        <v>2.5500000000000002E-3</v>
      </c>
    </row>
    <row r="4159" spans="3:13" x14ac:dyDescent="0.15">
      <c r="C4159" s="76">
        <v>418</v>
      </c>
      <c r="D4159" s="76">
        <v>3.1199999999999999E-4</v>
      </c>
      <c r="E4159" s="76">
        <v>6.29E-4</v>
      </c>
      <c r="F4159" s="76">
        <v>9.3000000000000005E-4</v>
      </c>
      <c r="G4159" s="76">
        <v>1.2999999999999999E-3</v>
      </c>
      <c r="H4159" s="76">
        <v>1.56E-3</v>
      </c>
      <c r="I4159" s="76">
        <v>1.92E-3</v>
      </c>
      <c r="J4159" s="76">
        <v>1.98E-3</v>
      </c>
      <c r="K4159" s="76">
        <v>2.6199999999999999E-3</v>
      </c>
      <c r="L4159" s="76">
        <v>3.2000000000000002E-3</v>
      </c>
      <c r="M4159" s="76">
        <v>3.0799999999999998E-3</v>
      </c>
    </row>
    <row r="4160" spans="3:13" x14ac:dyDescent="0.15">
      <c r="C4160" s="76">
        <v>420</v>
      </c>
      <c r="D4160" s="76">
        <v>3.7199999999999999E-4</v>
      </c>
      <c r="E4160" s="76">
        <v>7.54E-4</v>
      </c>
      <c r="F4160" s="76">
        <v>1.09E-3</v>
      </c>
      <c r="G4160" s="76">
        <v>1.5499999999999999E-3</v>
      </c>
      <c r="H4160" s="76">
        <v>1.81E-3</v>
      </c>
      <c r="I4160" s="76">
        <v>2.2799999999999999E-3</v>
      </c>
      <c r="J4160" s="76">
        <v>2.5200000000000001E-3</v>
      </c>
      <c r="K4160" s="76">
        <v>3.0100000000000001E-3</v>
      </c>
      <c r="L4160" s="76">
        <v>3.6800000000000001E-3</v>
      </c>
      <c r="M4160" s="76">
        <v>3.62E-3</v>
      </c>
    </row>
    <row r="4161" spans="3:13" x14ac:dyDescent="0.15">
      <c r="C4161" s="76">
        <v>422</v>
      </c>
      <c r="D4161" s="76">
        <v>4.4099999999999999E-4</v>
      </c>
      <c r="E4161" s="76">
        <v>8.9700000000000001E-4</v>
      </c>
      <c r="F4161" s="76">
        <v>1.32E-3</v>
      </c>
      <c r="G4161" s="76">
        <v>1.8699999999999999E-3</v>
      </c>
      <c r="H4161" s="76">
        <v>2.3E-3</v>
      </c>
      <c r="I4161" s="76">
        <v>2.7799999999999999E-3</v>
      </c>
      <c r="J4161" s="76">
        <v>3.0699999999999998E-3</v>
      </c>
      <c r="K4161" s="76">
        <v>3.7299999999999998E-3</v>
      </c>
      <c r="L4161" s="76">
        <v>4.4299999999999999E-3</v>
      </c>
      <c r="M4161" s="76">
        <v>4.5399999999999998E-3</v>
      </c>
    </row>
    <row r="4162" spans="3:13" x14ac:dyDescent="0.15">
      <c r="C4162" s="76">
        <v>424</v>
      </c>
      <c r="D4162" s="76">
        <v>5.2999999999999998E-4</v>
      </c>
      <c r="E4162" s="76">
        <v>1.14E-3</v>
      </c>
      <c r="F4162" s="76">
        <v>1.67E-3</v>
      </c>
      <c r="G4162" s="76">
        <v>2.33E-3</v>
      </c>
      <c r="H4162" s="76">
        <v>2.8600000000000001E-3</v>
      </c>
      <c r="I4162" s="76">
        <v>3.4499999999999999E-3</v>
      </c>
      <c r="J4162" s="76">
        <v>3.7799999999999999E-3</v>
      </c>
      <c r="K4162" s="76">
        <v>4.7099999999999998E-3</v>
      </c>
      <c r="L4162" s="76">
        <v>5.4400000000000004E-3</v>
      </c>
      <c r="M4162" s="76">
        <v>5.6699999999999997E-3</v>
      </c>
    </row>
    <row r="4163" spans="3:13" x14ac:dyDescent="0.15">
      <c r="C4163" s="76">
        <v>426</v>
      </c>
      <c r="D4163" s="76">
        <v>6.9399999999999996E-4</v>
      </c>
      <c r="E4163" s="76">
        <v>1.4599999999999999E-3</v>
      </c>
      <c r="F4163" s="76">
        <v>2.1199999999999999E-3</v>
      </c>
      <c r="G4163" s="76">
        <v>2.9199999999999999E-3</v>
      </c>
      <c r="H4163" s="76">
        <v>3.6700000000000001E-3</v>
      </c>
      <c r="I4163" s="76">
        <v>4.4200000000000003E-3</v>
      </c>
      <c r="J4163" s="76">
        <v>5.0200000000000002E-3</v>
      </c>
      <c r="K4163" s="76">
        <v>5.8500000000000002E-3</v>
      </c>
      <c r="L4163" s="76">
        <v>6.94E-3</v>
      </c>
      <c r="M4163" s="76">
        <v>7.28E-3</v>
      </c>
    </row>
    <row r="4164" spans="3:13" x14ac:dyDescent="0.15">
      <c r="C4164" s="76">
        <v>428</v>
      </c>
      <c r="D4164" s="76">
        <v>8.8099999999999995E-4</v>
      </c>
      <c r="E4164" s="76">
        <v>1.91E-3</v>
      </c>
      <c r="F4164" s="76">
        <v>2.7899999999999999E-3</v>
      </c>
      <c r="G4164" s="76">
        <v>3.79E-3</v>
      </c>
      <c r="H4164" s="76">
        <v>4.7299999999999998E-3</v>
      </c>
      <c r="I4164" s="76">
        <v>5.7600000000000004E-3</v>
      </c>
      <c r="J4164" s="76">
        <v>6.5700000000000003E-3</v>
      </c>
      <c r="K4164" s="76">
        <v>7.5599999999999999E-3</v>
      </c>
      <c r="L4164" s="76">
        <v>9.0100000000000006E-3</v>
      </c>
      <c r="M4164" s="76">
        <v>9.4900000000000002E-3</v>
      </c>
    </row>
    <row r="4165" spans="3:13" x14ac:dyDescent="0.15">
      <c r="C4165" s="76">
        <v>430</v>
      </c>
      <c r="D4165" s="76">
        <v>1.1999999999999999E-3</v>
      </c>
      <c r="E4165" s="76">
        <v>2.5400000000000002E-3</v>
      </c>
      <c r="F4165" s="76">
        <v>3.7200000000000002E-3</v>
      </c>
      <c r="G4165" s="76">
        <v>5.0600000000000003E-3</v>
      </c>
      <c r="H4165" s="76">
        <v>6.3699999999999998E-3</v>
      </c>
      <c r="I4165" s="76">
        <v>7.7999999999999996E-3</v>
      </c>
      <c r="J4165" s="76">
        <v>8.8500000000000002E-3</v>
      </c>
      <c r="K4165" s="76">
        <v>1.01E-2</v>
      </c>
      <c r="L4165" s="76">
        <v>1.18E-2</v>
      </c>
      <c r="M4165" s="76">
        <v>1.2800000000000001E-2</v>
      </c>
    </row>
    <row r="4166" spans="3:13" x14ac:dyDescent="0.15">
      <c r="C4166" s="76">
        <v>432</v>
      </c>
      <c r="D4166" s="76">
        <v>1.65E-3</v>
      </c>
      <c r="E4166" s="76">
        <v>3.46E-3</v>
      </c>
      <c r="F4166" s="76">
        <v>5.0899999999999999E-3</v>
      </c>
      <c r="G4166" s="76">
        <v>6.8999999999999999E-3</v>
      </c>
      <c r="H4166" s="76">
        <v>8.6099999999999996E-3</v>
      </c>
      <c r="I4166" s="76">
        <v>1.0500000000000001E-2</v>
      </c>
      <c r="J4166" s="76">
        <v>1.21E-2</v>
      </c>
      <c r="K4166" s="76">
        <v>1.38E-2</v>
      </c>
      <c r="L4166" s="76">
        <v>1.61E-2</v>
      </c>
      <c r="M4166" s="76">
        <v>1.7500000000000002E-2</v>
      </c>
    </row>
    <row r="4167" spans="3:13" x14ac:dyDescent="0.15">
      <c r="C4167" s="76">
        <v>434</v>
      </c>
      <c r="D4167" s="76">
        <v>2.2899999999999999E-3</v>
      </c>
      <c r="E4167" s="76">
        <v>4.81E-3</v>
      </c>
      <c r="F4167" s="76">
        <v>7.1199999999999996E-3</v>
      </c>
      <c r="G4167" s="76">
        <v>9.6200000000000001E-3</v>
      </c>
      <c r="H4167" s="76">
        <v>1.2E-2</v>
      </c>
      <c r="I4167" s="76">
        <v>1.46E-2</v>
      </c>
      <c r="J4167" s="76">
        <v>1.6899999999999998E-2</v>
      </c>
      <c r="K4167" s="76">
        <v>1.9199999999999998E-2</v>
      </c>
      <c r="L4167" s="76">
        <v>2.23E-2</v>
      </c>
      <c r="M4167" s="76">
        <v>2.4500000000000001E-2</v>
      </c>
    </row>
    <row r="4168" spans="3:13" x14ac:dyDescent="0.15">
      <c r="C4168" s="76">
        <v>436</v>
      </c>
      <c r="D4168" s="76">
        <v>3.2799999999999999E-3</v>
      </c>
      <c r="E4168" s="76">
        <v>6.8599999999999998E-3</v>
      </c>
      <c r="F4168" s="76">
        <v>1.0200000000000001E-2</v>
      </c>
      <c r="G4168" s="76">
        <v>1.38E-2</v>
      </c>
      <c r="H4168" s="76">
        <v>1.72E-2</v>
      </c>
      <c r="I4168" s="76">
        <v>2.0799999999999999E-2</v>
      </c>
      <c r="J4168" s="76">
        <v>2.4199999999999999E-2</v>
      </c>
      <c r="K4168" s="76">
        <v>2.7300000000000001E-2</v>
      </c>
      <c r="L4168" s="76">
        <v>3.1600000000000003E-2</v>
      </c>
      <c r="M4168" s="76">
        <v>3.49E-2</v>
      </c>
    </row>
    <row r="4169" spans="3:13" x14ac:dyDescent="0.15">
      <c r="C4169" s="76">
        <v>438</v>
      </c>
      <c r="D4169" s="76">
        <v>4.6800000000000001E-3</v>
      </c>
      <c r="E4169" s="76">
        <v>9.7999999999999997E-3</v>
      </c>
      <c r="F4169" s="76">
        <v>1.4500000000000001E-2</v>
      </c>
      <c r="G4169" s="76">
        <v>1.95E-2</v>
      </c>
      <c r="H4169" s="76">
        <v>2.4500000000000001E-2</v>
      </c>
      <c r="I4169" s="76">
        <v>2.9499999999999998E-2</v>
      </c>
      <c r="J4169" s="76">
        <v>3.44E-2</v>
      </c>
      <c r="K4169" s="76">
        <v>3.8699999999999998E-2</v>
      </c>
      <c r="L4169" s="76">
        <v>4.4900000000000002E-2</v>
      </c>
      <c r="M4169" s="76">
        <v>4.9700000000000001E-2</v>
      </c>
    </row>
    <row r="4170" spans="3:13" x14ac:dyDescent="0.15">
      <c r="C4170" s="76">
        <v>440</v>
      </c>
      <c r="D4170" s="76">
        <v>6.4599999999999996E-3</v>
      </c>
      <c r="E4170" s="76">
        <v>1.35E-2</v>
      </c>
      <c r="F4170" s="76">
        <v>1.9900000000000001E-2</v>
      </c>
      <c r="G4170" s="76">
        <v>2.69E-2</v>
      </c>
      <c r="H4170" s="76">
        <v>3.3599999999999998E-2</v>
      </c>
      <c r="I4170" s="76">
        <v>4.0599999999999997E-2</v>
      </c>
      <c r="J4170" s="76">
        <v>4.7300000000000002E-2</v>
      </c>
      <c r="K4170" s="76">
        <v>5.3199999999999997E-2</v>
      </c>
      <c r="L4170" s="76">
        <v>6.1600000000000002E-2</v>
      </c>
      <c r="M4170" s="76">
        <v>6.8099999999999994E-2</v>
      </c>
    </row>
    <row r="4171" spans="3:13" x14ac:dyDescent="0.15">
      <c r="C4171" s="76">
        <v>442</v>
      </c>
      <c r="D4171" s="76">
        <v>8.6499999999999997E-3</v>
      </c>
      <c r="E4171" s="76">
        <v>1.8100000000000002E-2</v>
      </c>
      <c r="F4171" s="76">
        <v>2.6700000000000002E-2</v>
      </c>
      <c r="G4171" s="76">
        <v>3.5900000000000001E-2</v>
      </c>
      <c r="H4171" s="76">
        <v>4.4900000000000002E-2</v>
      </c>
      <c r="I4171" s="76">
        <v>5.4100000000000002E-2</v>
      </c>
      <c r="J4171" s="76">
        <v>6.3100000000000003E-2</v>
      </c>
      <c r="K4171" s="76">
        <v>7.0800000000000002E-2</v>
      </c>
      <c r="L4171" s="76">
        <v>8.2199999999999995E-2</v>
      </c>
      <c r="M4171" s="76">
        <v>9.0800000000000006E-2</v>
      </c>
    </row>
    <row r="4172" spans="3:13" x14ac:dyDescent="0.15">
      <c r="C4172" s="76">
        <v>444</v>
      </c>
      <c r="D4172" s="76">
        <v>1.1299999999999999E-2</v>
      </c>
      <c r="E4172" s="76">
        <v>2.3400000000000001E-2</v>
      </c>
      <c r="F4172" s="76">
        <v>3.4700000000000002E-2</v>
      </c>
      <c r="G4172" s="76">
        <v>4.6600000000000003E-2</v>
      </c>
      <c r="H4172" s="76">
        <v>5.8200000000000002E-2</v>
      </c>
      <c r="I4172" s="76">
        <v>7.0199999999999999E-2</v>
      </c>
      <c r="J4172" s="76">
        <v>8.1900000000000001E-2</v>
      </c>
      <c r="K4172" s="76">
        <v>9.1800000000000007E-2</v>
      </c>
      <c r="L4172" s="76">
        <v>0.107</v>
      </c>
      <c r="M4172" s="76">
        <v>0.11799999999999999</v>
      </c>
    </row>
    <row r="4173" spans="3:13" x14ac:dyDescent="0.15">
      <c r="C4173" s="76">
        <v>446</v>
      </c>
      <c r="D4173" s="76">
        <v>1.4200000000000001E-2</v>
      </c>
      <c r="E4173" s="76">
        <v>2.9499999999999998E-2</v>
      </c>
      <c r="F4173" s="76">
        <v>4.36E-2</v>
      </c>
      <c r="G4173" s="76">
        <v>5.8599999999999999E-2</v>
      </c>
      <c r="H4173" s="76">
        <v>7.3200000000000001E-2</v>
      </c>
      <c r="I4173" s="76">
        <v>8.8200000000000001E-2</v>
      </c>
      <c r="J4173" s="76">
        <v>0.10299999999999999</v>
      </c>
      <c r="K4173" s="76">
        <v>0.115</v>
      </c>
      <c r="L4173" s="76">
        <v>0.13400000000000001</v>
      </c>
      <c r="M4173" s="76">
        <v>0.14799999999999999</v>
      </c>
    </row>
    <row r="4174" spans="3:13" x14ac:dyDescent="0.15">
      <c r="C4174" s="76">
        <v>448</v>
      </c>
      <c r="D4174" s="76">
        <v>1.7299999999999999E-2</v>
      </c>
      <c r="E4174" s="76">
        <v>3.5900000000000001E-2</v>
      </c>
      <c r="F4174" s="76">
        <v>5.2999999999999999E-2</v>
      </c>
      <c r="G4174" s="76">
        <v>7.1300000000000002E-2</v>
      </c>
      <c r="H4174" s="76">
        <v>8.9099999999999999E-2</v>
      </c>
      <c r="I4174" s="76">
        <v>0.107</v>
      </c>
      <c r="J4174" s="76">
        <v>0.125</v>
      </c>
      <c r="K4174" s="76">
        <v>0.14000000000000001</v>
      </c>
      <c r="L4174" s="76">
        <v>0.16200000000000001</v>
      </c>
      <c r="M4174" s="76">
        <v>0.17899999999999999</v>
      </c>
    </row>
    <row r="4175" spans="3:13" x14ac:dyDescent="0.15">
      <c r="C4175" s="76">
        <v>450</v>
      </c>
      <c r="D4175" s="76">
        <v>2.0500000000000001E-2</v>
      </c>
      <c r="E4175" s="76">
        <v>4.2700000000000002E-2</v>
      </c>
      <c r="F4175" s="76">
        <v>6.3E-2</v>
      </c>
      <c r="G4175" s="76">
        <v>8.4699999999999998E-2</v>
      </c>
      <c r="H4175" s="76">
        <v>0.106</v>
      </c>
      <c r="I4175" s="76">
        <v>0.127</v>
      </c>
      <c r="J4175" s="76">
        <v>0.14799999999999999</v>
      </c>
      <c r="K4175" s="76">
        <v>0.16700000000000001</v>
      </c>
      <c r="L4175" s="76">
        <v>0.193</v>
      </c>
      <c r="M4175" s="76">
        <v>0.21299999999999999</v>
      </c>
    </row>
    <row r="4176" spans="3:13" x14ac:dyDescent="0.15">
      <c r="C4176" s="76">
        <v>452</v>
      </c>
      <c r="D4176" s="76">
        <v>2.3300000000000001E-2</v>
      </c>
      <c r="E4176" s="76">
        <v>4.8500000000000001E-2</v>
      </c>
      <c r="F4176" s="76">
        <v>7.1599999999999997E-2</v>
      </c>
      <c r="G4176" s="76">
        <v>9.6100000000000005E-2</v>
      </c>
      <c r="H4176" s="76">
        <v>0.12</v>
      </c>
      <c r="I4176" s="76">
        <v>0.14399999999999999</v>
      </c>
      <c r="J4176" s="76">
        <v>0.16800000000000001</v>
      </c>
      <c r="K4176" s="76">
        <v>0.189</v>
      </c>
      <c r="L4176" s="76">
        <v>0.218</v>
      </c>
      <c r="M4176" s="76">
        <v>0.24099999999999999</v>
      </c>
    </row>
    <row r="4177" spans="3:13" x14ac:dyDescent="0.15">
      <c r="C4177" s="76">
        <v>454</v>
      </c>
      <c r="D4177" s="76">
        <v>2.5499999999999998E-2</v>
      </c>
      <c r="E4177" s="76">
        <v>5.2900000000000003E-2</v>
      </c>
      <c r="F4177" s="76">
        <v>7.8100000000000003E-2</v>
      </c>
      <c r="G4177" s="76">
        <v>0.105</v>
      </c>
      <c r="H4177" s="76">
        <v>0.13100000000000001</v>
      </c>
      <c r="I4177" s="76">
        <v>0.158</v>
      </c>
      <c r="J4177" s="76">
        <v>0.184</v>
      </c>
      <c r="K4177" s="76">
        <v>0.20599999999999999</v>
      </c>
      <c r="L4177" s="76">
        <v>0.23799999999999999</v>
      </c>
      <c r="M4177" s="76">
        <v>0.26300000000000001</v>
      </c>
    </row>
    <row r="4178" spans="3:13" x14ac:dyDescent="0.15">
      <c r="C4178" s="76">
        <v>456</v>
      </c>
      <c r="D4178" s="76">
        <v>2.7E-2</v>
      </c>
      <c r="E4178" s="76">
        <v>5.6000000000000001E-2</v>
      </c>
      <c r="F4178" s="76">
        <v>8.2699999999999996E-2</v>
      </c>
      <c r="G4178" s="76">
        <v>0.111</v>
      </c>
      <c r="H4178" s="76">
        <v>0.13900000000000001</v>
      </c>
      <c r="I4178" s="76">
        <v>0.16700000000000001</v>
      </c>
      <c r="J4178" s="76">
        <v>0.19400000000000001</v>
      </c>
      <c r="K4178" s="76">
        <v>0.218</v>
      </c>
      <c r="L4178" s="76">
        <v>0.252</v>
      </c>
      <c r="M4178" s="76">
        <v>0.27900000000000003</v>
      </c>
    </row>
    <row r="4179" spans="3:13" x14ac:dyDescent="0.15">
      <c r="C4179" s="76">
        <v>458</v>
      </c>
      <c r="D4179" s="76">
        <v>2.7699999999999999E-2</v>
      </c>
      <c r="E4179" s="76">
        <v>5.7500000000000002E-2</v>
      </c>
      <c r="F4179" s="76">
        <v>8.4900000000000003E-2</v>
      </c>
      <c r="G4179" s="76">
        <v>0.114</v>
      </c>
      <c r="H4179" s="76">
        <v>0.14199999999999999</v>
      </c>
      <c r="I4179" s="76">
        <v>0.17100000000000001</v>
      </c>
      <c r="J4179" s="76">
        <v>0.19900000000000001</v>
      </c>
      <c r="K4179" s="76">
        <v>0.224</v>
      </c>
      <c r="L4179" s="76">
        <v>0.25800000000000001</v>
      </c>
      <c r="M4179" s="76">
        <v>0.28599999999999998</v>
      </c>
    </row>
    <row r="4180" spans="3:13" x14ac:dyDescent="0.15">
      <c r="C4180" s="76">
        <v>460</v>
      </c>
      <c r="D4180" s="76">
        <v>2.7699999999999999E-2</v>
      </c>
      <c r="E4180" s="76">
        <v>5.7599999999999998E-2</v>
      </c>
      <c r="F4180" s="76">
        <v>8.5099999999999995E-2</v>
      </c>
      <c r="G4180" s="76">
        <v>0.114</v>
      </c>
      <c r="H4180" s="76">
        <v>0.14299999999999999</v>
      </c>
      <c r="I4180" s="76">
        <v>0.17100000000000001</v>
      </c>
      <c r="J4180" s="76">
        <v>0.2</v>
      </c>
      <c r="K4180" s="76">
        <v>0.224</v>
      </c>
      <c r="L4180" s="76">
        <v>0.25900000000000001</v>
      </c>
      <c r="M4180" s="76">
        <v>0.28599999999999998</v>
      </c>
    </row>
    <row r="4181" spans="3:13" x14ac:dyDescent="0.15">
      <c r="C4181" s="76">
        <v>462</v>
      </c>
      <c r="D4181" s="76">
        <v>2.7099999999999999E-2</v>
      </c>
      <c r="E4181" s="76">
        <v>5.6300000000000003E-2</v>
      </c>
      <c r="F4181" s="76">
        <v>8.3099999999999993E-2</v>
      </c>
      <c r="G4181" s="76">
        <v>0.112</v>
      </c>
      <c r="H4181" s="76">
        <v>0.13900000000000001</v>
      </c>
      <c r="I4181" s="76">
        <v>0.16700000000000001</v>
      </c>
      <c r="J4181" s="76">
        <v>0.19500000000000001</v>
      </c>
      <c r="K4181" s="76">
        <v>0.219</v>
      </c>
      <c r="L4181" s="76">
        <v>0.253</v>
      </c>
      <c r="M4181" s="76">
        <v>0.28000000000000003</v>
      </c>
    </row>
    <row r="4182" spans="3:13" x14ac:dyDescent="0.15">
      <c r="C4182" s="76">
        <v>464</v>
      </c>
      <c r="D4182" s="76">
        <v>2.58E-2</v>
      </c>
      <c r="E4182" s="76">
        <v>5.3499999999999999E-2</v>
      </c>
      <c r="F4182" s="76">
        <v>7.9000000000000001E-2</v>
      </c>
      <c r="G4182" s="76">
        <v>0.106</v>
      </c>
      <c r="H4182" s="76">
        <v>0.13200000000000001</v>
      </c>
      <c r="I4182" s="76">
        <v>0.159</v>
      </c>
      <c r="J4182" s="76">
        <v>0.185</v>
      </c>
      <c r="K4182" s="76">
        <v>0.20799999999999999</v>
      </c>
      <c r="L4182" s="76">
        <v>0.24</v>
      </c>
      <c r="M4182" s="76">
        <v>0.26600000000000001</v>
      </c>
    </row>
    <row r="4183" spans="3:13" x14ac:dyDescent="0.15">
      <c r="C4183" s="76">
        <v>466</v>
      </c>
      <c r="D4183" s="76">
        <v>2.4299999999999999E-2</v>
      </c>
      <c r="E4183" s="76">
        <v>5.0599999999999999E-2</v>
      </c>
      <c r="F4183" s="76">
        <v>7.46E-2</v>
      </c>
      <c r="G4183" s="76">
        <v>0.1</v>
      </c>
      <c r="H4183" s="76">
        <v>0.125</v>
      </c>
      <c r="I4183" s="76">
        <v>0.15</v>
      </c>
      <c r="J4183" s="76">
        <v>0.17499999999999999</v>
      </c>
      <c r="K4183" s="76">
        <v>0.19700000000000001</v>
      </c>
      <c r="L4183" s="76">
        <v>0.22700000000000001</v>
      </c>
      <c r="M4183" s="76">
        <v>0.251</v>
      </c>
    </row>
    <row r="4184" spans="3:13" x14ac:dyDescent="0.15">
      <c r="C4184" s="76">
        <v>468</v>
      </c>
      <c r="D4184" s="76">
        <v>2.2800000000000001E-2</v>
      </c>
      <c r="E4184" s="76">
        <v>4.7399999999999998E-2</v>
      </c>
      <c r="F4184" s="76">
        <v>7.0099999999999996E-2</v>
      </c>
      <c r="G4184" s="76">
        <v>9.4100000000000003E-2</v>
      </c>
      <c r="H4184" s="76">
        <v>0.11700000000000001</v>
      </c>
      <c r="I4184" s="76">
        <v>0.14099999999999999</v>
      </c>
      <c r="J4184" s="76">
        <v>0.16400000000000001</v>
      </c>
      <c r="K4184" s="76">
        <v>0.185</v>
      </c>
      <c r="L4184" s="76">
        <v>0.21299999999999999</v>
      </c>
      <c r="M4184" s="76">
        <v>0.23599999999999999</v>
      </c>
    </row>
    <row r="4185" spans="3:13" x14ac:dyDescent="0.15">
      <c r="C4185" s="76">
        <v>470</v>
      </c>
      <c r="D4185" s="76">
        <v>2.1299999999999999E-2</v>
      </c>
      <c r="E4185" s="76">
        <v>4.4299999999999999E-2</v>
      </c>
      <c r="F4185" s="76">
        <v>6.54E-2</v>
      </c>
      <c r="G4185" s="76">
        <v>8.7900000000000006E-2</v>
      </c>
      <c r="H4185" s="76">
        <v>0.11</v>
      </c>
      <c r="I4185" s="76">
        <v>0.13200000000000001</v>
      </c>
      <c r="J4185" s="76">
        <v>0.154</v>
      </c>
      <c r="K4185" s="76">
        <v>0.17199999999999999</v>
      </c>
      <c r="L4185" s="76">
        <v>0.19900000000000001</v>
      </c>
      <c r="M4185" s="76">
        <v>0.221</v>
      </c>
    </row>
    <row r="4186" spans="3:13" x14ac:dyDescent="0.15">
      <c r="C4186" s="76">
        <v>472</v>
      </c>
      <c r="D4186" s="76">
        <v>0.02</v>
      </c>
      <c r="E4186" s="76">
        <v>4.1500000000000002E-2</v>
      </c>
      <c r="F4186" s="76">
        <v>6.13E-2</v>
      </c>
      <c r="G4186" s="76">
        <v>8.2199999999999995E-2</v>
      </c>
      <c r="H4186" s="76">
        <v>0.10299999999999999</v>
      </c>
      <c r="I4186" s="76">
        <v>0.123</v>
      </c>
      <c r="J4186" s="76">
        <v>0.14399999999999999</v>
      </c>
      <c r="K4186" s="76">
        <v>0.161</v>
      </c>
      <c r="L4186" s="76">
        <v>0.187</v>
      </c>
      <c r="M4186" s="76">
        <v>0.20599999999999999</v>
      </c>
    </row>
    <row r="4187" spans="3:13" x14ac:dyDescent="0.15">
      <c r="C4187" s="76">
        <v>474</v>
      </c>
      <c r="D4187" s="76">
        <v>1.8800000000000001E-2</v>
      </c>
      <c r="E4187" s="76">
        <v>3.9100000000000003E-2</v>
      </c>
      <c r="F4187" s="76">
        <v>5.7700000000000001E-2</v>
      </c>
      <c r="G4187" s="76">
        <v>7.7499999999999999E-2</v>
      </c>
      <c r="H4187" s="76">
        <v>9.6699999999999994E-2</v>
      </c>
      <c r="I4187" s="76">
        <v>0.11600000000000001</v>
      </c>
      <c r="J4187" s="76">
        <v>0.13500000000000001</v>
      </c>
      <c r="K4187" s="76">
        <v>0.152</v>
      </c>
      <c r="L4187" s="76">
        <v>0.17599999999999999</v>
      </c>
      <c r="M4187" s="76">
        <v>0.19500000000000001</v>
      </c>
    </row>
    <row r="4188" spans="3:13" x14ac:dyDescent="0.15">
      <c r="C4188" s="76">
        <v>476</v>
      </c>
      <c r="D4188" s="76">
        <v>1.77E-2</v>
      </c>
      <c r="E4188" s="76">
        <v>3.6799999999999999E-2</v>
      </c>
      <c r="F4188" s="76">
        <v>5.4300000000000001E-2</v>
      </c>
      <c r="G4188" s="76">
        <v>7.2900000000000006E-2</v>
      </c>
      <c r="H4188" s="76">
        <v>9.0899999999999995E-2</v>
      </c>
      <c r="I4188" s="76">
        <v>0.109</v>
      </c>
      <c r="J4188" s="76">
        <v>0.127</v>
      </c>
      <c r="K4188" s="76">
        <v>0.14299999999999999</v>
      </c>
      <c r="L4188" s="76">
        <v>0.16500000000000001</v>
      </c>
      <c r="M4188" s="76">
        <v>0.183</v>
      </c>
    </row>
    <row r="4189" spans="3:13" x14ac:dyDescent="0.15">
      <c r="C4189" s="76">
        <v>478</v>
      </c>
      <c r="D4189" s="76">
        <v>1.6899999999999998E-2</v>
      </c>
      <c r="E4189" s="76">
        <v>3.5200000000000002E-2</v>
      </c>
      <c r="F4189" s="76">
        <v>5.1900000000000002E-2</v>
      </c>
      <c r="G4189" s="76">
        <v>6.9699999999999998E-2</v>
      </c>
      <c r="H4189" s="76">
        <v>8.6900000000000005E-2</v>
      </c>
      <c r="I4189" s="76">
        <v>0.105</v>
      </c>
      <c r="J4189" s="76">
        <v>0.122</v>
      </c>
      <c r="K4189" s="76">
        <v>0.13700000000000001</v>
      </c>
      <c r="L4189" s="76">
        <v>0.158</v>
      </c>
      <c r="M4189" s="76">
        <v>0.17499999999999999</v>
      </c>
    </row>
    <row r="4190" spans="3:13" x14ac:dyDescent="0.15">
      <c r="C4190" s="76">
        <v>480</v>
      </c>
      <c r="D4190" s="76">
        <v>1.6299999999999999E-2</v>
      </c>
      <c r="E4190" s="76">
        <v>3.3799999999999997E-2</v>
      </c>
      <c r="F4190" s="76">
        <v>4.9799999999999997E-2</v>
      </c>
      <c r="G4190" s="76">
        <v>6.6900000000000001E-2</v>
      </c>
      <c r="H4190" s="76">
        <v>8.3500000000000005E-2</v>
      </c>
      <c r="I4190" s="76">
        <v>0.1</v>
      </c>
      <c r="J4190" s="76">
        <v>0.11700000000000001</v>
      </c>
      <c r="K4190" s="76">
        <v>0.13100000000000001</v>
      </c>
      <c r="L4190" s="76">
        <v>0.152</v>
      </c>
      <c r="M4190" s="76">
        <v>0.16800000000000001</v>
      </c>
    </row>
    <row r="4191" spans="3:13" x14ac:dyDescent="0.15">
      <c r="C4191" s="76">
        <v>482</v>
      </c>
      <c r="D4191" s="76">
        <v>1.5699999999999999E-2</v>
      </c>
      <c r="E4191" s="76">
        <v>3.2500000000000001E-2</v>
      </c>
      <c r="F4191" s="76">
        <v>4.8099999999999997E-2</v>
      </c>
      <c r="G4191" s="76">
        <v>6.4600000000000005E-2</v>
      </c>
      <c r="H4191" s="76">
        <v>8.0500000000000002E-2</v>
      </c>
      <c r="I4191" s="76">
        <v>9.6799999999999997E-2</v>
      </c>
      <c r="J4191" s="76">
        <v>0.113</v>
      </c>
      <c r="K4191" s="76">
        <v>0.127</v>
      </c>
      <c r="L4191" s="76">
        <v>0.14599999999999999</v>
      </c>
      <c r="M4191" s="76">
        <v>0.16200000000000001</v>
      </c>
    </row>
    <row r="4192" spans="3:13" x14ac:dyDescent="0.15">
      <c r="C4192" s="76">
        <v>484</v>
      </c>
      <c r="D4192" s="76">
        <v>1.5100000000000001E-2</v>
      </c>
      <c r="E4192" s="76">
        <v>3.1300000000000001E-2</v>
      </c>
      <c r="F4192" s="76">
        <v>4.6199999999999998E-2</v>
      </c>
      <c r="G4192" s="76">
        <v>6.2100000000000002E-2</v>
      </c>
      <c r="H4192" s="76">
        <v>7.7499999999999999E-2</v>
      </c>
      <c r="I4192" s="76">
        <v>9.3100000000000002E-2</v>
      </c>
      <c r="J4192" s="76">
        <v>0.108</v>
      </c>
      <c r="K4192" s="76">
        <v>0.122</v>
      </c>
      <c r="L4192" s="76">
        <v>0.14099999999999999</v>
      </c>
      <c r="M4192" s="76">
        <v>0.156</v>
      </c>
    </row>
    <row r="4193" spans="3:13" x14ac:dyDescent="0.15">
      <c r="C4193" s="76">
        <v>486</v>
      </c>
      <c r="D4193" s="76">
        <v>1.4500000000000001E-2</v>
      </c>
      <c r="E4193" s="76">
        <v>3.0099999999999998E-2</v>
      </c>
      <c r="F4193" s="76">
        <v>4.4400000000000002E-2</v>
      </c>
      <c r="G4193" s="76">
        <v>5.96E-2</v>
      </c>
      <c r="H4193" s="76">
        <v>7.4399999999999994E-2</v>
      </c>
      <c r="I4193" s="76">
        <v>8.9300000000000004E-2</v>
      </c>
      <c r="J4193" s="76">
        <v>0.104</v>
      </c>
      <c r="K4193" s="76">
        <v>0.11700000000000001</v>
      </c>
      <c r="L4193" s="76">
        <v>0.13500000000000001</v>
      </c>
      <c r="M4193" s="76">
        <v>0.14899999999999999</v>
      </c>
    </row>
    <row r="4194" spans="3:13" x14ac:dyDescent="0.15">
      <c r="C4194" s="76">
        <v>488</v>
      </c>
      <c r="D4194" s="76">
        <v>1.37E-2</v>
      </c>
      <c r="E4194" s="76">
        <v>2.8400000000000002E-2</v>
      </c>
      <c r="F4194" s="76">
        <v>4.2000000000000003E-2</v>
      </c>
      <c r="G4194" s="76">
        <v>5.6399999999999999E-2</v>
      </c>
      <c r="H4194" s="76">
        <v>7.0300000000000001E-2</v>
      </c>
      <c r="I4194" s="76">
        <v>8.4500000000000006E-2</v>
      </c>
      <c r="J4194" s="76">
        <v>9.8199999999999996E-2</v>
      </c>
      <c r="K4194" s="76">
        <v>0.111</v>
      </c>
      <c r="L4194" s="76">
        <v>0.128</v>
      </c>
      <c r="M4194" s="76">
        <v>0.14099999999999999</v>
      </c>
    </row>
    <row r="4195" spans="3:13" x14ac:dyDescent="0.15">
      <c r="C4195" s="76">
        <v>490</v>
      </c>
      <c r="D4195" s="76">
        <v>1.29E-2</v>
      </c>
      <c r="E4195" s="76">
        <v>2.6800000000000001E-2</v>
      </c>
      <c r="F4195" s="76">
        <v>3.9600000000000003E-2</v>
      </c>
      <c r="G4195" s="76">
        <v>5.3199999999999997E-2</v>
      </c>
      <c r="H4195" s="76">
        <v>6.6400000000000001E-2</v>
      </c>
      <c r="I4195" s="76">
        <v>7.9699999999999993E-2</v>
      </c>
      <c r="J4195" s="76">
        <v>9.2700000000000005E-2</v>
      </c>
      <c r="K4195" s="76">
        <v>0.104</v>
      </c>
      <c r="L4195" s="76">
        <v>0.121</v>
      </c>
      <c r="M4195" s="76">
        <v>0.13300000000000001</v>
      </c>
    </row>
    <row r="4196" spans="3:13" x14ac:dyDescent="0.15">
      <c r="C4196" s="76">
        <v>492</v>
      </c>
      <c r="D4196" s="76">
        <v>1.21E-2</v>
      </c>
      <c r="E4196" s="76">
        <v>2.52E-2</v>
      </c>
      <c r="F4196" s="76">
        <v>3.7100000000000001E-2</v>
      </c>
      <c r="G4196" s="76">
        <v>4.99E-2</v>
      </c>
      <c r="H4196" s="76">
        <v>6.2300000000000001E-2</v>
      </c>
      <c r="I4196" s="76">
        <v>7.4700000000000003E-2</v>
      </c>
      <c r="J4196" s="76">
        <v>8.6900000000000005E-2</v>
      </c>
      <c r="K4196" s="76">
        <v>9.7799999999999998E-2</v>
      </c>
      <c r="L4196" s="76">
        <v>0.113</v>
      </c>
      <c r="M4196" s="76">
        <v>0.125</v>
      </c>
    </row>
    <row r="4197" spans="3:13" x14ac:dyDescent="0.15">
      <c r="C4197" s="76">
        <v>494</v>
      </c>
      <c r="D4197" s="76">
        <v>1.1299999999999999E-2</v>
      </c>
      <c r="E4197" s="76">
        <v>2.3400000000000001E-2</v>
      </c>
      <c r="F4197" s="76">
        <v>3.4500000000000003E-2</v>
      </c>
      <c r="G4197" s="76">
        <v>4.6399999999999997E-2</v>
      </c>
      <c r="H4197" s="76">
        <v>5.79E-2</v>
      </c>
      <c r="I4197" s="76">
        <v>6.9500000000000006E-2</v>
      </c>
      <c r="J4197" s="76">
        <v>8.0799999999999997E-2</v>
      </c>
      <c r="K4197" s="76">
        <v>9.0899999999999995E-2</v>
      </c>
      <c r="L4197" s="76">
        <v>0.105</v>
      </c>
      <c r="M4197" s="76">
        <v>0.11600000000000001</v>
      </c>
    </row>
    <row r="4198" spans="3:13" x14ac:dyDescent="0.15">
      <c r="C4198" s="76">
        <v>496</v>
      </c>
      <c r="D4198" s="76">
        <v>1.04E-2</v>
      </c>
      <c r="E4198" s="76">
        <v>2.1700000000000001E-2</v>
      </c>
      <c r="F4198" s="76">
        <v>3.2000000000000001E-2</v>
      </c>
      <c r="G4198" s="76">
        <v>4.2999999999999997E-2</v>
      </c>
      <c r="H4198" s="76">
        <v>5.3600000000000002E-2</v>
      </c>
      <c r="I4198" s="76">
        <v>6.4399999999999999E-2</v>
      </c>
      <c r="J4198" s="76">
        <v>7.4899999999999994E-2</v>
      </c>
      <c r="K4198" s="76">
        <v>8.43E-2</v>
      </c>
      <c r="L4198" s="76">
        <v>9.7500000000000003E-2</v>
      </c>
      <c r="M4198" s="76">
        <v>0.108</v>
      </c>
    </row>
    <row r="4199" spans="3:13" x14ac:dyDescent="0.15">
      <c r="C4199" s="76">
        <v>498</v>
      </c>
      <c r="D4199" s="76">
        <v>9.5899999999999996E-3</v>
      </c>
      <c r="E4199" s="76">
        <v>1.9900000000000001E-2</v>
      </c>
      <c r="F4199" s="76">
        <v>2.9399999999999999E-2</v>
      </c>
      <c r="G4199" s="76">
        <v>3.95E-2</v>
      </c>
      <c r="H4199" s="76">
        <v>4.9200000000000001E-2</v>
      </c>
      <c r="I4199" s="76">
        <v>5.91E-2</v>
      </c>
      <c r="J4199" s="76">
        <v>6.8699999999999997E-2</v>
      </c>
      <c r="K4199" s="76">
        <v>7.7399999999999997E-2</v>
      </c>
      <c r="L4199" s="76">
        <v>8.9499999999999996E-2</v>
      </c>
      <c r="M4199" s="76">
        <v>9.8799999999999999E-2</v>
      </c>
    </row>
    <row r="4200" spans="3:13" x14ac:dyDescent="0.15">
      <c r="C4200" s="76">
        <v>500</v>
      </c>
      <c r="D4200" s="76">
        <v>8.6899999999999998E-3</v>
      </c>
      <c r="E4200" s="76">
        <v>1.8100000000000002E-2</v>
      </c>
      <c r="F4200" s="76">
        <v>2.6599999999999999E-2</v>
      </c>
      <c r="G4200" s="76">
        <v>3.5799999999999998E-2</v>
      </c>
      <c r="H4200" s="76">
        <v>4.4699999999999997E-2</v>
      </c>
      <c r="I4200" s="76">
        <v>5.3499999999999999E-2</v>
      </c>
      <c r="J4200" s="76">
        <v>6.2399999999999997E-2</v>
      </c>
      <c r="K4200" s="76">
        <v>7.0199999999999999E-2</v>
      </c>
      <c r="L4200" s="76">
        <v>8.1199999999999994E-2</v>
      </c>
      <c r="M4200" s="76">
        <v>8.9499999999999996E-2</v>
      </c>
    </row>
    <row r="4201" spans="3:13" x14ac:dyDescent="0.15">
      <c r="C4201" s="76">
        <v>502</v>
      </c>
      <c r="D4201" s="76">
        <v>7.8399999999999997E-3</v>
      </c>
      <c r="E4201" s="76">
        <v>1.6299999999999999E-2</v>
      </c>
      <c r="F4201" s="76">
        <v>2.41E-2</v>
      </c>
      <c r="G4201" s="76">
        <v>3.2399999999999998E-2</v>
      </c>
      <c r="H4201" s="76">
        <v>4.0500000000000001E-2</v>
      </c>
      <c r="I4201" s="76">
        <v>4.8399999999999999E-2</v>
      </c>
      <c r="J4201" s="76">
        <v>5.6300000000000003E-2</v>
      </c>
      <c r="K4201" s="76">
        <v>6.3399999999999998E-2</v>
      </c>
      <c r="L4201" s="76">
        <v>7.3300000000000004E-2</v>
      </c>
      <c r="M4201" s="76">
        <v>8.0799999999999997E-2</v>
      </c>
    </row>
    <row r="4202" spans="3:13" x14ac:dyDescent="0.15">
      <c r="C4202" s="76">
        <v>504</v>
      </c>
      <c r="D4202" s="76">
        <v>7.11E-3</v>
      </c>
      <c r="E4202" s="76">
        <v>1.4800000000000001E-2</v>
      </c>
      <c r="F4202" s="76">
        <v>2.18E-2</v>
      </c>
      <c r="G4202" s="76">
        <v>2.93E-2</v>
      </c>
      <c r="H4202" s="76">
        <v>3.6600000000000001E-2</v>
      </c>
      <c r="I4202" s="76">
        <v>4.3799999999999999E-2</v>
      </c>
      <c r="J4202" s="76">
        <v>5.0999999999999997E-2</v>
      </c>
      <c r="K4202" s="76">
        <v>5.74E-2</v>
      </c>
      <c r="L4202" s="76">
        <v>6.6400000000000001E-2</v>
      </c>
      <c r="M4202" s="76">
        <v>7.3200000000000001E-2</v>
      </c>
    </row>
    <row r="4203" spans="3:13" x14ac:dyDescent="0.15">
      <c r="C4203" s="76">
        <v>506</v>
      </c>
      <c r="D4203" s="76">
        <v>6.45E-3</v>
      </c>
      <c r="E4203" s="76">
        <v>1.34E-2</v>
      </c>
      <c r="F4203" s="76">
        <v>1.9699999999999999E-2</v>
      </c>
      <c r="G4203" s="76">
        <v>2.6599999999999999E-2</v>
      </c>
      <c r="H4203" s="76">
        <v>3.32E-2</v>
      </c>
      <c r="I4203" s="76">
        <v>3.9699999999999999E-2</v>
      </c>
      <c r="J4203" s="76">
        <v>4.6199999999999998E-2</v>
      </c>
      <c r="K4203" s="76">
        <v>5.21E-2</v>
      </c>
      <c r="L4203" s="76">
        <v>6.0100000000000001E-2</v>
      </c>
      <c r="M4203" s="76">
        <v>6.6299999999999998E-2</v>
      </c>
    </row>
    <row r="4204" spans="3:13" x14ac:dyDescent="0.15">
      <c r="C4204" s="76">
        <v>508</v>
      </c>
      <c r="D4204" s="76">
        <v>5.8300000000000001E-3</v>
      </c>
      <c r="E4204" s="76">
        <v>1.21E-2</v>
      </c>
      <c r="F4204" s="76">
        <v>1.7899999999999999E-2</v>
      </c>
      <c r="G4204" s="76">
        <v>2.41E-2</v>
      </c>
      <c r="H4204" s="76">
        <v>3.0099999999999998E-2</v>
      </c>
      <c r="I4204" s="76">
        <v>3.5999999999999997E-2</v>
      </c>
      <c r="J4204" s="76">
        <v>4.19E-2</v>
      </c>
      <c r="K4204" s="76">
        <v>4.7100000000000003E-2</v>
      </c>
      <c r="L4204" s="76">
        <v>5.45E-2</v>
      </c>
      <c r="M4204" s="76">
        <v>0.06</v>
      </c>
    </row>
    <row r="4205" spans="3:13" x14ac:dyDescent="0.15">
      <c r="C4205" s="76">
        <v>510</v>
      </c>
      <c r="D4205" s="76">
        <v>5.3E-3</v>
      </c>
      <c r="E4205" s="76">
        <v>1.0999999999999999E-2</v>
      </c>
      <c r="F4205" s="76">
        <v>1.6199999999999999E-2</v>
      </c>
      <c r="G4205" s="76">
        <v>2.18E-2</v>
      </c>
      <c r="H4205" s="76">
        <v>2.7300000000000001E-2</v>
      </c>
      <c r="I4205" s="76">
        <v>3.27E-2</v>
      </c>
      <c r="J4205" s="76">
        <v>3.7999999999999999E-2</v>
      </c>
      <c r="K4205" s="76">
        <v>4.2799999999999998E-2</v>
      </c>
      <c r="L4205" s="76">
        <v>4.9500000000000002E-2</v>
      </c>
      <c r="M4205" s="76">
        <v>5.4600000000000003E-2</v>
      </c>
    </row>
    <row r="4206" spans="3:13" x14ac:dyDescent="0.15">
      <c r="C4206" s="76">
        <v>512</v>
      </c>
      <c r="D4206" s="76">
        <v>4.79E-3</v>
      </c>
      <c r="E4206" s="76">
        <v>9.9399999999999992E-3</v>
      </c>
      <c r="F4206" s="76">
        <v>1.47E-2</v>
      </c>
      <c r="G4206" s="76">
        <v>1.9699999999999999E-2</v>
      </c>
      <c r="H4206" s="76">
        <v>2.46E-2</v>
      </c>
      <c r="I4206" s="76">
        <v>2.9399999999999999E-2</v>
      </c>
      <c r="J4206" s="76">
        <v>3.4299999999999997E-2</v>
      </c>
      <c r="K4206" s="76">
        <v>3.8600000000000002E-2</v>
      </c>
      <c r="L4206" s="76">
        <v>4.4699999999999997E-2</v>
      </c>
      <c r="M4206" s="76">
        <v>4.9200000000000001E-2</v>
      </c>
    </row>
    <row r="4207" spans="3:13" x14ac:dyDescent="0.15">
      <c r="C4207" s="76">
        <v>514</v>
      </c>
      <c r="D4207" s="76">
        <v>4.3400000000000001E-3</v>
      </c>
      <c r="E4207" s="76">
        <v>9.0699999999999999E-3</v>
      </c>
      <c r="F4207" s="76">
        <v>1.34E-2</v>
      </c>
      <c r="G4207" s="76">
        <v>1.7999999999999999E-2</v>
      </c>
      <c r="H4207" s="76">
        <v>2.2499999999999999E-2</v>
      </c>
      <c r="I4207" s="76">
        <v>2.69E-2</v>
      </c>
      <c r="J4207" s="76">
        <v>3.1399999999999997E-2</v>
      </c>
      <c r="K4207" s="76">
        <v>3.5299999999999998E-2</v>
      </c>
      <c r="L4207" s="76">
        <v>4.0800000000000003E-2</v>
      </c>
      <c r="M4207" s="76">
        <v>4.4999999999999998E-2</v>
      </c>
    </row>
    <row r="4208" spans="3:13" x14ac:dyDescent="0.15">
      <c r="C4208" s="76">
        <v>516</v>
      </c>
      <c r="D4208" s="76">
        <v>4.0099999999999997E-3</v>
      </c>
      <c r="E4208" s="76">
        <v>8.3499999999999998E-3</v>
      </c>
      <c r="F4208" s="76">
        <v>1.23E-2</v>
      </c>
      <c r="G4208" s="76">
        <v>1.66E-2</v>
      </c>
      <c r="H4208" s="76">
        <v>2.07E-2</v>
      </c>
      <c r="I4208" s="76">
        <v>2.47E-2</v>
      </c>
      <c r="J4208" s="76">
        <v>2.8799999999999999E-2</v>
      </c>
      <c r="K4208" s="76">
        <v>3.2399999999999998E-2</v>
      </c>
      <c r="L4208" s="76">
        <v>3.7499999999999999E-2</v>
      </c>
      <c r="M4208" s="76">
        <v>4.1300000000000003E-2</v>
      </c>
    </row>
    <row r="4209" spans="3:13" x14ac:dyDescent="0.15">
      <c r="C4209" s="76">
        <v>518</v>
      </c>
      <c r="D4209" s="76">
        <v>3.7100000000000002E-3</v>
      </c>
      <c r="E4209" s="76">
        <v>7.6899999999999998E-3</v>
      </c>
      <c r="F4209" s="76">
        <v>1.14E-2</v>
      </c>
      <c r="G4209" s="76">
        <v>1.5299999999999999E-2</v>
      </c>
      <c r="H4209" s="76">
        <v>1.9099999999999999E-2</v>
      </c>
      <c r="I4209" s="76">
        <v>2.2800000000000001E-2</v>
      </c>
      <c r="J4209" s="76">
        <v>2.6599999999999999E-2</v>
      </c>
      <c r="K4209" s="76">
        <v>2.9899999999999999E-2</v>
      </c>
      <c r="L4209" s="76">
        <v>3.4599999999999999E-2</v>
      </c>
      <c r="M4209" s="76">
        <v>3.8199999999999998E-2</v>
      </c>
    </row>
    <row r="4210" spans="3:13" x14ac:dyDescent="0.15">
      <c r="C4210" s="76">
        <v>520</v>
      </c>
      <c r="D4210" s="76">
        <v>3.4299999999999999E-3</v>
      </c>
      <c r="E4210" s="76">
        <v>7.1399999999999996E-3</v>
      </c>
      <c r="F4210" s="76">
        <v>1.0500000000000001E-2</v>
      </c>
      <c r="G4210" s="76">
        <v>1.41E-2</v>
      </c>
      <c r="H4210" s="76">
        <v>1.7600000000000001E-2</v>
      </c>
      <c r="I4210" s="76">
        <v>2.1100000000000001E-2</v>
      </c>
      <c r="J4210" s="76">
        <v>2.46E-2</v>
      </c>
      <c r="K4210" s="76">
        <v>2.76E-2</v>
      </c>
      <c r="L4210" s="76">
        <v>3.2099999999999997E-2</v>
      </c>
      <c r="M4210" s="76">
        <v>3.5299999999999998E-2</v>
      </c>
    </row>
    <row r="4211" spans="3:13" x14ac:dyDescent="0.15">
      <c r="C4211" s="76">
        <v>522</v>
      </c>
      <c r="D4211" s="76">
        <v>3.1800000000000001E-3</v>
      </c>
      <c r="E4211" s="76">
        <v>6.6E-3</v>
      </c>
      <c r="F4211" s="76">
        <v>9.7000000000000003E-3</v>
      </c>
      <c r="G4211" s="76">
        <v>1.3100000000000001E-2</v>
      </c>
      <c r="H4211" s="76">
        <v>1.6400000000000001E-2</v>
      </c>
      <c r="I4211" s="76">
        <v>1.9599999999999999E-2</v>
      </c>
      <c r="J4211" s="76">
        <v>2.2800000000000001E-2</v>
      </c>
      <c r="K4211" s="76">
        <v>2.5700000000000001E-2</v>
      </c>
      <c r="L4211" s="76">
        <v>2.9700000000000001E-2</v>
      </c>
      <c r="M4211" s="76">
        <v>3.27E-2</v>
      </c>
    </row>
    <row r="4212" spans="3:13" x14ac:dyDescent="0.15">
      <c r="C4212" s="76">
        <v>524</v>
      </c>
      <c r="D4212" s="76">
        <v>2.9099999999999998E-3</v>
      </c>
      <c r="E4212" s="76">
        <v>6.0400000000000002E-3</v>
      </c>
      <c r="F4212" s="76">
        <v>8.94E-3</v>
      </c>
      <c r="G4212" s="76">
        <v>1.2E-2</v>
      </c>
      <c r="H4212" s="76">
        <v>1.4999999999999999E-2</v>
      </c>
      <c r="I4212" s="76">
        <v>1.7899999999999999E-2</v>
      </c>
      <c r="J4212" s="76">
        <v>2.0899999999999998E-2</v>
      </c>
      <c r="K4212" s="76">
        <v>2.35E-2</v>
      </c>
      <c r="L4212" s="76">
        <v>2.7199999999999998E-2</v>
      </c>
      <c r="M4212" s="76">
        <v>0.03</v>
      </c>
    </row>
    <row r="4213" spans="3:13" x14ac:dyDescent="0.15">
      <c r="C4213" s="76">
        <v>526</v>
      </c>
      <c r="D4213" s="76">
        <v>2.6900000000000001E-3</v>
      </c>
      <c r="E4213" s="76">
        <v>5.5900000000000004E-3</v>
      </c>
      <c r="F4213" s="76">
        <v>8.2000000000000007E-3</v>
      </c>
      <c r="G4213" s="76">
        <v>1.11E-2</v>
      </c>
      <c r="H4213" s="76">
        <v>1.38E-2</v>
      </c>
      <c r="I4213" s="76">
        <v>1.66E-2</v>
      </c>
      <c r="J4213" s="76">
        <v>1.9400000000000001E-2</v>
      </c>
      <c r="K4213" s="76">
        <v>2.1700000000000001E-2</v>
      </c>
      <c r="L4213" s="76">
        <v>2.5100000000000001E-2</v>
      </c>
      <c r="M4213" s="76">
        <v>2.7699999999999999E-2</v>
      </c>
    </row>
    <row r="4214" spans="3:13" x14ac:dyDescent="0.15">
      <c r="C4214" s="76">
        <v>528</v>
      </c>
      <c r="D4214" s="76">
        <v>2.49E-3</v>
      </c>
      <c r="E4214" s="76">
        <v>5.1700000000000001E-3</v>
      </c>
      <c r="F4214" s="76">
        <v>7.6099999999999996E-3</v>
      </c>
      <c r="G4214" s="76">
        <v>1.0200000000000001E-2</v>
      </c>
      <c r="H4214" s="76">
        <v>1.2800000000000001E-2</v>
      </c>
      <c r="I4214" s="76">
        <v>1.5299999999999999E-2</v>
      </c>
      <c r="J4214" s="76">
        <v>1.7899999999999999E-2</v>
      </c>
      <c r="K4214" s="76">
        <v>0.02</v>
      </c>
      <c r="L4214" s="76">
        <v>2.3199999999999998E-2</v>
      </c>
      <c r="M4214" s="76">
        <v>2.5600000000000001E-2</v>
      </c>
    </row>
    <row r="4215" spans="3:13" x14ac:dyDescent="0.15">
      <c r="C4215" s="76">
        <v>530</v>
      </c>
      <c r="D4215" s="76">
        <v>2.3E-3</v>
      </c>
      <c r="E4215" s="76">
        <v>4.7600000000000003E-3</v>
      </c>
      <c r="F4215" s="76">
        <v>6.9800000000000001E-3</v>
      </c>
      <c r="G4215" s="76">
        <v>9.4199999999999996E-3</v>
      </c>
      <c r="H4215" s="76">
        <v>1.17E-2</v>
      </c>
      <c r="I4215" s="76">
        <v>1.41E-2</v>
      </c>
      <c r="J4215" s="76">
        <v>1.6500000000000001E-2</v>
      </c>
      <c r="K4215" s="76">
        <v>1.84E-2</v>
      </c>
      <c r="L4215" s="76">
        <v>2.1299999999999999E-2</v>
      </c>
      <c r="M4215" s="76">
        <v>2.35E-2</v>
      </c>
    </row>
    <row r="4216" spans="3:13" x14ac:dyDescent="0.15">
      <c r="C4216" s="76">
        <v>532</v>
      </c>
      <c r="D4216" s="76">
        <v>2.0999999999999999E-3</v>
      </c>
      <c r="E4216" s="76">
        <v>4.3499999999999997E-3</v>
      </c>
      <c r="F4216" s="76">
        <v>6.4200000000000004E-3</v>
      </c>
      <c r="G4216" s="76">
        <v>8.6300000000000005E-3</v>
      </c>
      <c r="H4216" s="76">
        <v>1.0699999999999999E-2</v>
      </c>
      <c r="I4216" s="76">
        <v>1.29E-2</v>
      </c>
      <c r="J4216" s="76">
        <v>1.5100000000000001E-2</v>
      </c>
      <c r="K4216" s="76">
        <v>1.6899999999999998E-2</v>
      </c>
      <c r="L4216" s="76">
        <v>1.95E-2</v>
      </c>
      <c r="M4216" s="76">
        <v>2.1600000000000001E-2</v>
      </c>
    </row>
    <row r="4217" spans="3:13" x14ac:dyDescent="0.15">
      <c r="C4217" s="76">
        <v>534</v>
      </c>
      <c r="D4217" s="76">
        <v>1.92E-3</v>
      </c>
      <c r="E4217" s="76">
        <v>3.9699999999999996E-3</v>
      </c>
      <c r="F4217" s="76">
        <v>5.8500000000000002E-3</v>
      </c>
      <c r="G4217" s="76">
        <v>7.8700000000000003E-3</v>
      </c>
      <c r="H4217" s="76">
        <v>9.7900000000000001E-3</v>
      </c>
      <c r="I4217" s="76">
        <v>1.17E-2</v>
      </c>
      <c r="J4217" s="76">
        <v>1.38E-2</v>
      </c>
      <c r="K4217" s="76">
        <v>1.54E-2</v>
      </c>
      <c r="L4217" s="76">
        <v>1.78E-2</v>
      </c>
      <c r="M4217" s="76">
        <v>1.9800000000000002E-2</v>
      </c>
    </row>
    <row r="4218" spans="3:13" x14ac:dyDescent="0.15">
      <c r="C4218" s="76">
        <v>536</v>
      </c>
      <c r="D4218" s="76">
        <v>1.72E-3</v>
      </c>
      <c r="E4218" s="76">
        <v>3.5999999999999999E-3</v>
      </c>
      <c r="F4218" s="76">
        <v>5.2700000000000004E-3</v>
      </c>
      <c r="G4218" s="76">
        <v>7.0800000000000004E-3</v>
      </c>
      <c r="H4218" s="76">
        <v>8.8000000000000005E-3</v>
      </c>
      <c r="I4218" s="76">
        <v>1.0699999999999999E-2</v>
      </c>
      <c r="J4218" s="76">
        <v>1.2500000000000001E-2</v>
      </c>
      <c r="K4218" s="76">
        <v>1.3899999999999999E-2</v>
      </c>
      <c r="L4218" s="76">
        <v>1.6E-2</v>
      </c>
      <c r="M4218" s="76">
        <v>1.78E-2</v>
      </c>
    </row>
    <row r="4219" spans="3:13" x14ac:dyDescent="0.15">
      <c r="C4219" s="76">
        <v>538</v>
      </c>
      <c r="D4219" s="76">
        <v>1.57E-3</v>
      </c>
      <c r="E4219" s="76">
        <v>3.2699999999999999E-3</v>
      </c>
      <c r="F4219" s="76">
        <v>4.81E-3</v>
      </c>
      <c r="G4219" s="76">
        <v>6.43E-3</v>
      </c>
      <c r="H4219" s="76">
        <v>8.0000000000000002E-3</v>
      </c>
      <c r="I4219" s="76">
        <v>9.6699999999999998E-3</v>
      </c>
      <c r="J4219" s="76">
        <v>1.1299999999999999E-2</v>
      </c>
      <c r="K4219" s="76">
        <v>1.26E-2</v>
      </c>
      <c r="L4219" s="76">
        <v>1.46E-2</v>
      </c>
      <c r="M4219" s="76">
        <v>1.6199999999999999E-2</v>
      </c>
    </row>
    <row r="4220" spans="3:13" x14ac:dyDescent="0.15">
      <c r="C4220" s="76">
        <v>540</v>
      </c>
      <c r="D4220" s="76">
        <v>1.4300000000000001E-3</v>
      </c>
      <c r="E4220" s="76">
        <v>2.98E-3</v>
      </c>
      <c r="F4220" s="76">
        <v>4.3699999999999998E-3</v>
      </c>
      <c r="G4220" s="76">
        <v>5.8399999999999997E-3</v>
      </c>
      <c r="H4220" s="76">
        <v>7.26E-3</v>
      </c>
      <c r="I4220" s="76">
        <v>8.7899999999999992E-3</v>
      </c>
      <c r="J4220" s="76">
        <v>1.03E-2</v>
      </c>
      <c r="K4220" s="76">
        <v>1.15E-2</v>
      </c>
      <c r="L4220" s="76">
        <v>1.32E-2</v>
      </c>
      <c r="M4220" s="76">
        <v>1.47E-2</v>
      </c>
    </row>
    <row r="4221" spans="3:13" x14ac:dyDescent="0.15">
      <c r="C4221" s="76">
        <v>542</v>
      </c>
      <c r="D4221" s="76">
        <v>1.2999999999999999E-3</v>
      </c>
      <c r="E4221" s="76">
        <v>2.7100000000000002E-3</v>
      </c>
      <c r="F4221" s="76">
        <v>3.9699999999999996E-3</v>
      </c>
      <c r="G4221" s="76">
        <v>5.3200000000000001E-3</v>
      </c>
      <c r="H4221" s="76">
        <v>6.5900000000000004E-3</v>
      </c>
      <c r="I4221" s="76">
        <v>7.9900000000000006E-3</v>
      </c>
      <c r="J4221" s="76">
        <v>9.3699999999999999E-3</v>
      </c>
      <c r="K4221" s="76">
        <v>1.04E-2</v>
      </c>
      <c r="L4221" s="76">
        <v>1.21E-2</v>
      </c>
      <c r="M4221" s="76">
        <v>1.34E-2</v>
      </c>
    </row>
    <row r="4222" spans="3:13" x14ac:dyDescent="0.15">
      <c r="C4222" s="76">
        <v>544</v>
      </c>
      <c r="D4222" s="76">
        <v>1.1800000000000001E-3</v>
      </c>
      <c r="E4222" s="76">
        <v>2.47E-3</v>
      </c>
      <c r="F4222" s="76">
        <v>3.63E-3</v>
      </c>
      <c r="G4222" s="76">
        <v>4.8500000000000001E-3</v>
      </c>
      <c r="H4222" s="76">
        <v>5.9800000000000001E-3</v>
      </c>
      <c r="I4222" s="76">
        <v>7.2899999999999996E-3</v>
      </c>
      <c r="J4222" s="76">
        <v>8.5400000000000007E-3</v>
      </c>
      <c r="K4222" s="76">
        <v>9.4999999999999998E-3</v>
      </c>
      <c r="L4222" s="76">
        <v>1.0999999999999999E-2</v>
      </c>
      <c r="M4222" s="76">
        <v>1.21E-2</v>
      </c>
    </row>
    <row r="4223" spans="3:13" x14ac:dyDescent="0.15">
      <c r="C4223" s="76">
        <v>546</v>
      </c>
      <c r="D4223" s="76">
        <v>1.07E-3</v>
      </c>
      <c r="E4223" s="76">
        <v>2.2399999999999998E-3</v>
      </c>
      <c r="F4223" s="76">
        <v>3.3E-3</v>
      </c>
      <c r="G4223" s="76">
        <v>4.3800000000000002E-3</v>
      </c>
      <c r="H4223" s="76">
        <v>5.4299999999999999E-3</v>
      </c>
      <c r="I4223" s="76">
        <v>6.6E-3</v>
      </c>
      <c r="J4223" s="76">
        <v>7.7200000000000003E-3</v>
      </c>
      <c r="K4223" s="76">
        <v>8.5800000000000008E-3</v>
      </c>
      <c r="L4223" s="76">
        <v>9.9500000000000005E-3</v>
      </c>
      <c r="M4223" s="76">
        <v>1.11E-2</v>
      </c>
    </row>
    <row r="4224" spans="3:13" x14ac:dyDescent="0.15">
      <c r="C4224" s="76">
        <v>548</v>
      </c>
      <c r="D4224" s="76">
        <v>9.7300000000000002E-4</v>
      </c>
      <c r="E4224" s="76">
        <v>2.0300000000000001E-3</v>
      </c>
      <c r="F4224" s="76">
        <v>2.98E-3</v>
      </c>
      <c r="G4224" s="76">
        <v>3.96E-3</v>
      </c>
      <c r="H4224" s="76">
        <v>4.8700000000000002E-3</v>
      </c>
      <c r="I4224" s="76">
        <v>5.9899999999999997E-3</v>
      </c>
      <c r="J4224" s="76">
        <v>6.94E-3</v>
      </c>
      <c r="K4224" s="76">
        <v>7.7499999999999999E-3</v>
      </c>
      <c r="L4224" s="76">
        <v>8.9599999999999992E-3</v>
      </c>
      <c r="M4224" s="76">
        <v>9.9799999999999993E-3</v>
      </c>
    </row>
    <row r="4225" spans="3:13" x14ac:dyDescent="0.15">
      <c r="C4225" s="76">
        <v>550</v>
      </c>
      <c r="D4225" s="76">
        <v>8.8999999999999995E-4</v>
      </c>
      <c r="E4225" s="76">
        <v>1.8600000000000001E-3</v>
      </c>
      <c r="F4225" s="76">
        <v>2.7000000000000001E-3</v>
      </c>
      <c r="G4225" s="76">
        <v>3.5899999999999999E-3</v>
      </c>
      <c r="H4225" s="76">
        <v>4.4299999999999999E-3</v>
      </c>
      <c r="I4225" s="76">
        <v>5.4400000000000004E-3</v>
      </c>
      <c r="J4225" s="76">
        <v>6.3499999999999997E-3</v>
      </c>
      <c r="K4225" s="76">
        <v>7.0800000000000004E-3</v>
      </c>
      <c r="L4225" s="76">
        <v>8.1799999999999998E-3</v>
      </c>
      <c r="M4225" s="76">
        <v>9.0699999999999999E-3</v>
      </c>
    </row>
    <row r="4226" spans="3:13" x14ac:dyDescent="0.15">
      <c r="C4226" s="76">
        <v>552</v>
      </c>
      <c r="D4226" s="76">
        <v>8.1899999999999996E-4</v>
      </c>
      <c r="E4226" s="76">
        <v>1.6900000000000001E-3</v>
      </c>
      <c r="F4226" s="76">
        <v>2.47E-3</v>
      </c>
      <c r="G4226" s="76">
        <v>3.3E-3</v>
      </c>
      <c r="H4226" s="76">
        <v>4.0800000000000003E-3</v>
      </c>
      <c r="I4226" s="76">
        <v>4.9800000000000001E-3</v>
      </c>
      <c r="J4226" s="76">
        <v>5.7299999999999999E-3</v>
      </c>
      <c r="K4226" s="76">
        <v>6.4400000000000004E-3</v>
      </c>
      <c r="L4226" s="76">
        <v>7.4900000000000001E-3</v>
      </c>
      <c r="M4226" s="76">
        <v>8.2500000000000004E-3</v>
      </c>
    </row>
    <row r="4227" spans="3:13" x14ac:dyDescent="0.15">
      <c r="C4227" s="76">
        <v>554</v>
      </c>
      <c r="D4227" s="76">
        <v>7.5199999999999996E-4</v>
      </c>
      <c r="E4227" s="76">
        <v>1.5399999999999999E-3</v>
      </c>
      <c r="F4227" s="76">
        <v>2.2699999999999999E-3</v>
      </c>
      <c r="G4227" s="76">
        <v>3.0000000000000001E-3</v>
      </c>
      <c r="H4227" s="76">
        <v>3.7100000000000002E-3</v>
      </c>
      <c r="I4227" s="76">
        <v>4.5399999999999998E-3</v>
      </c>
      <c r="J4227" s="76">
        <v>5.2300000000000003E-3</v>
      </c>
      <c r="K4227" s="76">
        <v>5.9199999999999999E-3</v>
      </c>
      <c r="L4227" s="76">
        <v>6.8199999999999997E-3</v>
      </c>
      <c r="M4227" s="76">
        <v>7.5799999999999999E-3</v>
      </c>
    </row>
    <row r="4228" spans="3:13" x14ac:dyDescent="0.15">
      <c r="C4228" s="76">
        <v>556</v>
      </c>
      <c r="D4228" s="76">
        <v>6.7400000000000001E-4</v>
      </c>
      <c r="E4228" s="76">
        <v>1.4E-3</v>
      </c>
      <c r="F4228" s="76">
        <v>2.0799999999999998E-3</v>
      </c>
      <c r="G4228" s="76">
        <v>2.7299999999999998E-3</v>
      </c>
      <c r="H4228" s="76">
        <v>3.3700000000000002E-3</v>
      </c>
      <c r="I4228" s="76">
        <v>4.1700000000000001E-3</v>
      </c>
      <c r="J4228" s="76">
        <v>4.7600000000000003E-3</v>
      </c>
      <c r="K4228" s="76">
        <v>5.4099999999999999E-3</v>
      </c>
      <c r="L4228" s="76">
        <v>6.2300000000000003E-3</v>
      </c>
      <c r="M4228" s="76">
        <v>6.8999999999999999E-3</v>
      </c>
    </row>
    <row r="4229" spans="3:13" x14ac:dyDescent="0.15">
      <c r="C4229" s="76">
        <v>558</v>
      </c>
      <c r="D4229" s="76">
        <v>6.1899999999999998E-4</v>
      </c>
      <c r="E4229" s="76">
        <v>1.2800000000000001E-3</v>
      </c>
      <c r="F4229" s="76">
        <v>1.8699999999999999E-3</v>
      </c>
      <c r="G4229" s="76">
        <v>2.49E-3</v>
      </c>
      <c r="H4229" s="76">
        <v>3.0699999999999998E-3</v>
      </c>
      <c r="I4229" s="76">
        <v>3.7599999999999999E-3</v>
      </c>
      <c r="J4229" s="76">
        <v>4.3099999999999996E-3</v>
      </c>
      <c r="K4229" s="76">
        <v>4.8999999999999998E-3</v>
      </c>
      <c r="L4229" s="76">
        <v>5.6899999999999997E-3</v>
      </c>
      <c r="M4229" s="76">
        <v>6.1700000000000001E-3</v>
      </c>
    </row>
    <row r="4230" spans="3:13" x14ac:dyDescent="0.15">
      <c r="C4230" s="76">
        <v>560</v>
      </c>
      <c r="D4230" s="76">
        <v>5.6300000000000002E-4</v>
      </c>
      <c r="E4230" s="76">
        <v>1.17E-3</v>
      </c>
      <c r="F4230" s="76">
        <v>1.7099999999999999E-3</v>
      </c>
      <c r="G4230" s="76">
        <v>2.2699999999999999E-3</v>
      </c>
      <c r="H4230" s="76">
        <v>2.8E-3</v>
      </c>
      <c r="I4230" s="76">
        <v>3.4499999999999999E-3</v>
      </c>
      <c r="J4230" s="76">
        <v>3.9399999999999999E-3</v>
      </c>
      <c r="K4230" s="76">
        <v>4.4799999999999996E-3</v>
      </c>
      <c r="L4230" s="76">
        <v>5.13E-3</v>
      </c>
      <c r="M4230" s="76">
        <v>5.6699999999999997E-3</v>
      </c>
    </row>
    <row r="4231" spans="3:13" x14ac:dyDescent="0.15">
      <c r="C4231" s="76">
        <v>562</v>
      </c>
      <c r="D4231" s="76">
        <v>5.2700000000000002E-4</v>
      </c>
      <c r="E4231" s="76">
        <v>1.07E-3</v>
      </c>
      <c r="F4231" s="76">
        <v>1.58E-3</v>
      </c>
      <c r="G4231" s="76">
        <v>2.0899999999999998E-3</v>
      </c>
      <c r="H4231" s="76">
        <v>2.5799999999999998E-3</v>
      </c>
      <c r="I4231" s="76">
        <v>3.1900000000000001E-3</v>
      </c>
      <c r="J4231" s="76">
        <v>3.5899999999999999E-3</v>
      </c>
      <c r="K4231" s="76">
        <v>4.1000000000000003E-3</v>
      </c>
      <c r="L4231" s="76">
        <v>4.7499999999999999E-3</v>
      </c>
      <c r="M4231" s="76">
        <v>5.1900000000000002E-3</v>
      </c>
    </row>
    <row r="4232" spans="3:13" x14ac:dyDescent="0.15">
      <c r="C4232" s="76">
        <v>564</v>
      </c>
      <c r="D4232" s="76">
        <v>4.8700000000000002E-4</v>
      </c>
      <c r="E4232" s="76">
        <v>9.8700000000000003E-4</v>
      </c>
      <c r="F4232" s="76">
        <v>1.4499999999999999E-3</v>
      </c>
      <c r="G4232" s="76">
        <v>1.9300000000000001E-3</v>
      </c>
      <c r="H4232" s="76">
        <v>2.3999999999999998E-3</v>
      </c>
      <c r="I4232" s="76">
        <v>2.9299999999999999E-3</v>
      </c>
      <c r="J4232" s="76">
        <v>3.31E-3</v>
      </c>
      <c r="K4232" s="76">
        <v>3.7799999999999999E-3</v>
      </c>
      <c r="L4232" s="76">
        <v>4.3699999999999998E-3</v>
      </c>
      <c r="M4232" s="76">
        <v>4.7800000000000004E-3</v>
      </c>
    </row>
    <row r="4233" spans="3:13" x14ac:dyDescent="0.15">
      <c r="C4233" s="76">
        <v>566</v>
      </c>
      <c r="D4233" s="76">
        <v>4.4799999999999999E-4</v>
      </c>
      <c r="E4233" s="76">
        <v>9.1100000000000003E-4</v>
      </c>
      <c r="F4233" s="76">
        <v>1.34E-3</v>
      </c>
      <c r="G4233" s="76">
        <v>1.7700000000000001E-3</v>
      </c>
      <c r="H4233" s="76">
        <v>2.2300000000000002E-3</v>
      </c>
      <c r="I4233" s="76">
        <v>2.7200000000000002E-3</v>
      </c>
      <c r="J4233" s="76">
        <v>3.0500000000000002E-3</v>
      </c>
      <c r="K4233" s="76">
        <v>3.5300000000000002E-3</v>
      </c>
      <c r="L4233" s="76">
        <v>3.96E-3</v>
      </c>
      <c r="M4233" s="76">
        <v>4.4000000000000003E-3</v>
      </c>
    </row>
    <row r="4234" spans="3:13" x14ac:dyDescent="0.15">
      <c r="C4234" s="76">
        <v>568</v>
      </c>
      <c r="D4234" s="76">
        <v>4.1599999999999997E-4</v>
      </c>
      <c r="E4234" s="76">
        <v>8.3100000000000003E-4</v>
      </c>
      <c r="F4234" s="76">
        <v>1.24E-3</v>
      </c>
      <c r="G4234" s="76">
        <v>1.5900000000000001E-3</v>
      </c>
      <c r="H4234" s="76">
        <v>2.0400000000000001E-3</v>
      </c>
      <c r="I4234" s="76">
        <v>2.48E-3</v>
      </c>
      <c r="J4234" s="76">
        <v>2.7699999999999999E-3</v>
      </c>
      <c r="K4234" s="76">
        <v>3.2599999999999999E-3</v>
      </c>
      <c r="L4234" s="76">
        <v>3.6600000000000001E-3</v>
      </c>
      <c r="M4234" s="76">
        <v>4.0200000000000001E-3</v>
      </c>
    </row>
    <row r="4235" spans="3:13" x14ac:dyDescent="0.15">
      <c r="C4235" s="76">
        <v>570</v>
      </c>
      <c r="D4235" s="76">
        <v>3.8299999999999999E-4</v>
      </c>
      <c r="E4235" s="76">
        <v>7.76E-4</v>
      </c>
      <c r="F4235" s="76">
        <v>1.14E-3</v>
      </c>
      <c r="G4235" s="76">
        <v>1.5200000000000001E-3</v>
      </c>
      <c r="H4235" s="76">
        <v>1.89E-3</v>
      </c>
      <c r="I4235" s="76">
        <v>2.31E-3</v>
      </c>
      <c r="J4235" s="76">
        <v>2.5899999999999999E-3</v>
      </c>
      <c r="K4235" s="76">
        <v>2.99E-3</v>
      </c>
      <c r="L4235" s="76">
        <v>3.3999999999999998E-3</v>
      </c>
      <c r="M4235" s="76">
        <v>3.7200000000000002E-3</v>
      </c>
    </row>
    <row r="4236" spans="3:13" x14ac:dyDescent="0.15">
      <c r="C4236" s="76">
        <v>572</v>
      </c>
      <c r="D4236" s="76">
        <v>3.5500000000000001E-4</v>
      </c>
      <c r="E4236" s="76">
        <v>7.0399999999999998E-4</v>
      </c>
      <c r="F4236" s="76">
        <v>1.06E-3</v>
      </c>
      <c r="G4236" s="76">
        <v>1.4E-3</v>
      </c>
      <c r="H4236" s="76">
        <v>1.7799999999999999E-3</v>
      </c>
      <c r="I4236" s="76">
        <v>2.1299999999999999E-3</v>
      </c>
      <c r="J4236" s="76">
        <v>2.3900000000000002E-3</v>
      </c>
      <c r="K4236" s="76">
        <v>2.7100000000000002E-3</v>
      </c>
      <c r="L4236" s="76">
        <v>3.13E-3</v>
      </c>
      <c r="M4236" s="76">
        <v>3.48E-3</v>
      </c>
    </row>
    <row r="4237" spans="3:13" x14ac:dyDescent="0.15">
      <c r="C4237" s="76">
        <v>574</v>
      </c>
      <c r="D4237" s="76">
        <v>3.2899999999999997E-4</v>
      </c>
      <c r="E4237" s="76">
        <v>6.6200000000000005E-4</v>
      </c>
      <c r="F4237" s="76">
        <v>9.8200000000000002E-4</v>
      </c>
      <c r="G4237" s="76">
        <v>1.2999999999999999E-3</v>
      </c>
      <c r="H4237" s="76">
        <v>1.67E-3</v>
      </c>
      <c r="I4237" s="76">
        <v>1.99E-3</v>
      </c>
      <c r="J4237" s="76">
        <v>2.2000000000000001E-3</v>
      </c>
      <c r="K4237" s="76">
        <v>2.5999999999999999E-3</v>
      </c>
      <c r="L4237" s="76">
        <v>2.96E-3</v>
      </c>
      <c r="M4237" s="76">
        <v>3.2399999999999998E-3</v>
      </c>
    </row>
    <row r="4238" spans="3:13" x14ac:dyDescent="0.15">
      <c r="C4238" s="76">
        <v>576</v>
      </c>
      <c r="D4238" s="76">
        <v>3.0600000000000001E-4</v>
      </c>
      <c r="E4238" s="76">
        <v>6.1600000000000001E-4</v>
      </c>
      <c r="F4238" s="76">
        <v>9.0899999999999998E-4</v>
      </c>
      <c r="G4238" s="76">
        <v>1.1999999999999999E-3</v>
      </c>
      <c r="H4238" s="76">
        <v>1.58E-3</v>
      </c>
      <c r="I4238" s="76">
        <v>1.7700000000000001E-3</v>
      </c>
      <c r="J4238" s="76">
        <v>2.0899999999999998E-3</v>
      </c>
      <c r="K4238" s="76">
        <v>2.4199999999999998E-3</v>
      </c>
      <c r="L4238" s="76">
        <v>2.8300000000000001E-3</v>
      </c>
      <c r="M4238" s="76">
        <v>3.0300000000000001E-3</v>
      </c>
    </row>
    <row r="4239" spans="3:13" x14ac:dyDescent="0.15">
      <c r="C4239" s="76">
        <v>578</v>
      </c>
      <c r="D4239" s="76">
        <v>2.8299999999999999E-4</v>
      </c>
      <c r="E4239" s="76">
        <v>5.71E-4</v>
      </c>
      <c r="F4239" s="76">
        <v>8.3199999999999995E-4</v>
      </c>
      <c r="G4239" s="76">
        <v>1.1000000000000001E-3</v>
      </c>
      <c r="H4239" s="76">
        <v>1.4599999999999999E-3</v>
      </c>
      <c r="I4239" s="76">
        <v>1.7600000000000001E-3</v>
      </c>
      <c r="J4239" s="76">
        <v>1.8799999999999999E-3</v>
      </c>
      <c r="K4239" s="76">
        <v>2.2100000000000002E-3</v>
      </c>
      <c r="L4239" s="76">
        <v>2.5400000000000002E-3</v>
      </c>
      <c r="M4239" s="76">
        <v>2.7899999999999999E-3</v>
      </c>
    </row>
    <row r="4240" spans="3:13" x14ac:dyDescent="0.15">
      <c r="C4240" s="76">
        <v>580</v>
      </c>
      <c r="D4240" s="76">
        <v>2.6499999999999999E-4</v>
      </c>
      <c r="E4240" s="76">
        <v>5.2300000000000003E-4</v>
      </c>
      <c r="F4240" s="76">
        <v>7.4399999999999998E-4</v>
      </c>
      <c r="G4240" s="76">
        <v>1.01E-3</v>
      </c>
      <c r="H4240" s="76">
        <v>1.3500000000000001E-3</v>
      </c>
      <c r="I4240" s="76">
        <v>1.57E-3</v>
      </c>
      <c r="J4240" s="76">
        <v>1.6999999999999999E-3</v>
      </c>
      <c r="K4240" s="76">
        <v>2.0100000000000001E-3</v>
      </c>
      <c r="L4240" s="76">
        <v>2.3E-3</v>
      </c>
      <c r="M4240" s="76">
        <v>2.5200000000000001E-3</v>
      </c>
    </row>
    <row r="4241" spans="3:13" x14ac:dyDescent="0.15">
      <c r="C4241" s="76">
        <v>582</v>
      </c>
      <c r="D4241" s="76">
        <v>2.4800000000000001E-4</v>
      </c>
      <c r="E4241" s="76">
        <v>4.7399999999999997E-4</v>
      </c>
      <c r="F4241" s="76">
        <v>6.8300000000000001E-4</v>
      </c>
      <c r="G4241" s="76">
        <v>9.3599999999999998E-4</v>
      </c>
      <c r="H4241" s="76">
        <v>1.24E-3</v>
      </c>
      <c r="I4241" s="76">
        <v>1.4400000000000001E-3</v>
      </c>
      <c r="J4241" s="76">
        <v>1.58E-3</v>
      </c>
      <c r="K4241" s="76">
        <v>1.89E-3</v>
      </c>
      <c r="L4241" s="76">
        <v>2.1700000000000001E-3</v>
      </c>
      <c r="M4241" s="76">
        <v>2.3500000000000001E-3</v>
      </c>
    </row>
    <row r="4242" spans="3:13" x14ac:dyDescent="0.15">
      <c r="C4242" s="76">
        <v>584</v>
      </c>
      <c r="D4242" s="76">
        <v>2.2900000000000001E-4</v>
      </c>
      <c r="E4242" s="76">
        <v>4.4499999999999997E-4</v>
      </c>
      <c r="F4242" s="76">
        <v>6.3400000000000001E-4</v>
      </c>
      <c r="G4242" s="76">
        <v>8.5499999999999997E-4</v>
      </c>
      <c r="H4242" s="76">
        <v>1.1199999999999999E-3</v>
      </c>
      <c r="I4242" s="76">
        <v>1.34E-3</v>
      </c>
      <c r="J4242" s="76">
        <v>1.4499999999999999E-3</v>
      </c>
      <c r="K4242" s="76">
        <v>1.75E-3</v>
      </c>
      <c r="L4242" s="76">
        <v>2.0100000000000001E-3</v>
      </c>
      <c r="M4242" s="76">
        <v>2.2100000000000002E-3</v>
      </c>
    </row>
    <row r="4243" spans="3:13" x14ac:dyDescent="0.15">
      <c r="C4243" s="76">
        <v>586</v>
      </c>
      <c r="D4243" s="76">
        <v>2.0599999999999999E-4</v>
      </c>
      <c r="E4243" s="76">
        <v>4.0200000000000001E-4</v>
      </c>
      <c r="F4243" s="76">
        <v>5.9800000000000001E-4</v>
      </c>
      <c r="G4243" s="76">
        <v>7.85E-4</v>
      </c>
      <c r="H4243" s="76">
        <v>9.5399999999999999E-4</v>
      </c>
      <c r="I4243" s="76">
        <v>1.2199999999999999E-3</v>
      </c>
      <c r="J4243" s="76">
        <v>1.31E-3</v>
      </c>
      <c r="K4243" s="76">
        <v>1.5900000000000001E-3</v>
      </c>
      <c r="L4243" s="76">
        <v>1.83E-3</v>
      </c>
      <c r="M4243" s="76">
        <v>1.89E-3</v>
      </c>
    </row>
    <row r="4244" spans="3:13" x14ac:dyDescent="0.15">
      <c r="C4244" s="76">
        <v>588</v>
      </c>
      <c r="D4244" s="76">
        <v>1.7699999999999999E-4</v>
      </c>
      <c r="E4244" s="76">
        <v>3.7599999999999998E-4</v>
      </c>
      <c r="F4244" s="76">
        <v>4.9600000000000002E-4</v>
      </c>
      <c r="G4244" s="76">
        <v>7.2499999999999995E-4</v>
      </c>
      <c r="H4244" s="76">
        <v>9.5600000000000004E-4</v>
      </c>
      <c r="I4244" s="76">
        <v>1.16E-3</v>
      </c>
      <c r="J4244" s="76">
        <v>1.24E-3</v>
      </c>
      <c r="K4244" s="76">
        <v>1.48E-3</v>
      </c>
      <c r="L4244" s="76">
        <v>1.64E-3</v>
      </c>
      <c r="M4244" s="76">
        <v>1.97E-3</v>
      </c>
    </row>
    <row r="4245" spans="3:13" x14ac:dyDescent="0.15">
      <c r="C4245" s="76">
        <v>590</v>
      </c>
      <c r="D4245" s="76">
        <v>1.7200000000000001E-4</v>
      </c>
      <c r="E4245" s="76">
        <v>3.3399999999999999E-4</v>
      </c>
      <c r="F4245" s="76">
        <v>4.6799999999999999E-4</v>
      </c>
      <c r="G4245" s="76">
        <v>6.5399999999999996E-4</v>
      </c>
      <c r="H4245" s="76">
        <v>8.6300000000000005E-4</v>
      </c>
      <c r="I4245" s="76">
        <v>1.01E-3</v>
      </c>
      <c r="J4245" s="76">
        <v>1.1100000000000001E-3</v>
      </c>
      <c r="K4245" s="76">
        <v>1.34E-3</v>
      </c>
      <c r="L4245" s="76">
        <v>1.5399999999999999E-3</v>
      </c>
      <c r="M4245" s="76">
        <v>1.6900000000000001E-3</v>
      </c>
    </row>
    <row r="4246" spans="3:13" x14ac:dyDescent="0.15">
      <c r="C4246" s="76">
        <v>592</v>
      </c>
      <c r="D4246" s="76">
        <v>1.5899999999999999E-4</v>
      </c>
      <c r="E4246" s="76">
        <v>2.99E-4</v>
      </c>
      <c r="F4246" s="76">
        <v>4.1800000000000002E-4</v>
      </c>
      <c r="G4246" s="76">
        <v>6.0499999999999996E-4</v>
      </c>
      <c r="H4246" s="76">
        <v>7.8700000000000005E-4</v>
      </c>
      <c r="I4246" s="76">
        <v>9.2199999999999997E-4</v>
      </c>
      <c r="J4246" s="76">
        <v>1.0399999999999999E-3</v>
      </c>
      <c r="K4246" s="76">
        <v>1.1999999999999999E-3</v>
      </c>
      <c r="L4246" s="76">
        <v>1.3799999999999999E-3</v>
      </c>
      <c r="M4246" s="76">
        <v>1.5399999999999999E-3</v>
      </c>
    </row>
    <row r="4247" spans="3:13" x14ac:dyDescent="0.15">
      <c r="C4247" s="76">
        <v>594</v>
      </c>
      <c r="D4247" s="76">
        <v>1.46E-4</v>
      </c>
      <c r="E4247" s="76">
        <v>2.72E-4</v>
      </c>
      <c r="F4247" s="76">
        <v>3.9800000000000002E-4</v>
      </c>
      <c r="G4247" s="76">
        <v>5.7700000000000004E-4</v>
      </c>
      <c r="H4247" s="76">
        <v>7.5500000000000003E-4</v>
      </c>
      <c r="I4247" s="76">
        <v>9.0799999999999995E-4</v>
      </c>
      <c r="J4247" s="76">
        <v>9.6299999999999999E-4</v>
      </c>
      <c r="K4247" s="76">
        <v>1.09E-3</v>
      </c>
      <c r="L4247" s="76">
        <v>1.2899999999999999E-3</v>
      </c>
      <c r="M4247" s="76">
        <v>1.3799999999999999E-3</v>
      </c>
    </row>
    <row r="4248" spans="3:13" x14ac:dyDescent="0.15">
      <c r="C4248" s="76">
        <v>596</v>
      </c>
      <c r="D4248" s="76">
        <v>1.4100000000000001E-4</v>
      </c>
      <c r="E4248" s="76">
        <v>2.4600000000000002E-4</v>
      </c>
      <c r="F4248" s="76">
        <v>3.6099999999999999E-4</v>
      </c>
      <c r="G4248" s="76">
        <v>5.2599999999999999E-4</v>
      </c>
      <c r="H4248" s="76">
        <v>7.0500000000000001E-4</v>
      </c>
      <c r="I4248" s="76">
        <v>8.5599999999999999E-4</v>
      </c>
      <c r="J4248" s="76">
        <v>9.1100000000000003E-4</v>
      </c>
      <c r="K4248" s="76">
        <v>1.01E-3</v>
      </c>
      <c r="L4248" s="76">
        <v>1.16E-3</v>
      </c>
      <c r="M4248" s="76">
        <v>1.2700000000000001E-3</v>
      </c>
    </row>
    <row r="4249" spans="3:13" x14ac:dyDescent="0.15">
      <c r="C4249" s="76">
        <v>598</v>
      </c>
      <c r="D4249" s="76">
        <v>1.18E-4</v>
      </c>
      <c r="E4249" s="76">
        <v>2.2100000000000001E-4</v>
      </c>
      <c r="F4249" s="76">
        <v>3.3E-4</v>
      </c>
      <c r="G4249" s="76">
        <v>4.7800000000000002E-4</v>
      </c>
      <c r="H4249" s="76">
        <v>6.5300000000000004E-4</v>
      </c>
      <c r="I4249" s="76">
        <v>7.5100000000000004E-4</v>
      </c>
      <c r="J4249" s="76">
        <v>7.8600000000000002E-4</v>
      </c>
      <c r="K4249" s="76">
        <v>9.7199999999999999E-4</v>
      </c>
      <c r="L4249" s="76">
        <v>1.06E-3</v>
      </c>
      <c r="M4249" s="76">
        <v>1.16E-3</v>
      </c>
    </row>
    <row r="4250" spans="3:13" x14ac:dyDescent="0.15">
      <c r="C4250" s="76">
        <v>600</v>
      </c>
      <c r="D4250" s="76">
        <v>1.16E-4</v>
      </c>
      <c r="E4250" s="76">
        <v>2.1800000000000001E-4</v>
      </c>
      <c r="F4250" s="76">
        <v>2.9599999999999998E-4</v>
      </c>
      <c r="G4250" s="76">
        <v>4.2900000000000002E-4</v>
      </c>
      <c r="H4250" s="76">
        <v>5.9699999999999998E-4</v>
      </c>
      <c r="I4250" s="76">
        <v>6.4499999999999996E-4</v>
      </c>
      <c r="J4250" s="76">
        <v>7.36E-4</v>
      </c>
      <c r="K4250" s="76">
        <v>8.8599999999999996E-4</v>
      </c>
      <c r="L4250" s="76">
        <v>1.0200000000000001E-3</v>
      </c>
      <c r="M4250" s="76">
        <v>1.0300000000000001E-3</v>
      </c>
    </row>
    <row r="4251" spans="3:13" x14ac:dyDescent="0.15">
      <c r="C4251" s="76">
        <v>602</v>
      </c>
      <c r="D4251" s="76">
        <v>1.0399999999999999E-4</v>
      </c>
      <c r="E4251" s="76">
        <v>1.8799999999999999E-4</v>
      </c>
      <c r="F4251" s="76">
        <v>2.9100000000000003E-4</v>
      </c>
      <c r="G4251" s="76">
        <v>4.0200000000000001E-4</v>
      </c>
      <c r="H4251" s="76">
        <v>5.1999999999999995E-4</v>
      </c>
      <c r="I4251" s="76">
        <v>6.1899999999999998E-4</v>
      </c>
      <c r="J4251" s="76">
        <v>7.3800000000000005E-4</v>
      </c>
      <c r="K4251" s="76">
        <v>8.34E-4</v>
      </c>
      <c r="L4251" s="76">
        <v>8.2799999999999996E-4</v>
      </c>
      <c r="M4251" s="76">
        <v>9.5299999999999996E-4</v>
      </c>
    </row>
    <row r="4252" spans="3:13" x14ac:dyDescent="0.15">
      <c r="C4252" s="76">
        <v>604</v>
      </c>
      <c r="D4252" s="76">
        <v>9.7899999999999994E-5</v>
      </c>
      <c r="E4252" s="76">
        <v>1.6699999999999999E-4</v>
      </c>
      <c r="F4252" s="76">
        <v>2.7999999999999998E-4</v>
      </c>
      <c r="G4252" s="76">
        <v>3.79E-4</v>
      </c>
      <c r="H4252" s="76">
        <v>4.6999999999999999E-4</v>
      </c>
      <c r="I4252" s="76">
        <v>5.5000000000000003E-4</v>
      </c>
      <c r="J4252" s="76">
        <v>7.18E-4</v>
      </c>
      <c r="K4252" s="76">
        <v>7.9299999999999998E-4</v>
      </c>
      <c r="L4252" s="76">
        <v>8.7500000000000002E-4</v>
      </c>
      <c r="M4252" s="76">
        <v>8.9599999999999999E-4</v>
      </c>
    </row>
    <row r="4253" spans="3:13" x14ac:dyDescent="0.15">
      <c r="C4253" s="76">
        <v>606</v>
      </c>
      <c r="D4253" s="76">
        <v>9.0299999999999999E-5</v>
      </c>
      <c r="E4253" s="76">
        <v>1.5699999999999999E-4</v>
      </c>
      <c r="F4253" s="76">
        <v>2.3499999999999999E-4</v>
      </c>
      <c r="G4253" s="76">
        <v>3.4900000000000003E-4</v>
      </c>
      <c r="H4253" s="76">
        <v>4.44E-4</v>
      </c>
      <c r="I4253" s="76">
        <v>5.62E-4</v>
      </c>
      <c r="J4253" s="76">
        <v>6.8900000000000005E-4</v>
      </c>
      <c r="K4253" s="76">
        <v>7.2999999999999996E-4</v>
      </c>
      <c r="L4253" s="76">
        <v>7.8399999999999997E-4</v>
      </c>
      <c r="M4253" s="76">
        <v>8.1099999999999998E-4</v>
      </c>
    </row>
    <row r="4254" spans="3:13" x14ac:dyDescent="0.15">
      <c r="C4254" s="76">
        <v>608</v>
      </c>
      <c r="D4254" s="76">
        <v>8.25E-5</v>
      </c>
      <c r="E4254" s="76">
        <v>1.3899999999999999E-4</v>
      </c>
      <c r="F4254" s="76">
        <v>2.3900000000000001E-4</v>
      </c>
      <c r="G4254" s="76">
        <v>3.1500000000000001E-4</v>
      </c>
      <c r="H4254" s="76">
        <v>4.1899999999999999E-4</v>
      </c>
      <c r="I4254" s="76">
        <v>4.9600000000000002E-4</v>
      </c>
      <c r="J4254" s="76">
        <v>6.3400000000000001E-4</v>
      </c>
      <c r="K4254" s="76">
        <v>6.4300000000000002E-4</v>
      </c>
      <c r="L4254" s="76">
        <v>8.3699999999999996E-4</v>
      </c>
      <c r="M4254" s="76">
        <v>7.7099999999999998E-4</v>
      </c>
    </row>
    <row r="4255" spans="3:13" x14ac:dyDescent="0.15">
      <c r="C4255" s="76">
        <v>610</v>
      </c>
      <c r="D4255" s="76">
        <v>7.6100000000000007E-5</v>
      </c>
      <c r="E4255" s="76">
        <v>1.45E-4</v>
      </c>
      <c r="F4255" s="76">
        <v>2.2100000000000001E-4</v>
      </c>
      <c r="G4255" s="76">
        <v>3.1799999999999998E-4</v>
      </c>
      <c r="H4255" s="76">
        <v>3.7300000000000001E-4</v>
      </c>
      <c r="I4255" s="76">
        <v>4.35E-4</v>
      </c>
      <c r="J4255" s="76">
        <v>5.8200000000000005E-4</v>
      </c>
      <c r="K4255" s="76">
        <v>6.0800000000000003E-4</v>
      </c>
      <c r="L4255" s="76">
        <v>7.1299999999999998E-4</v>
      </c>
      <c r="M4255" s="76">
        <v>6.5899999999999997E-4</v>
      </c>
    </row>
    <row r="4256" spans="3:13" x14ac:dyDescent="0.15">
      <c r="C4256" s="76">
        <v>612</v>
      </c>
      <c r="D4256" s="76">
        <v>6.8899999999999994E-5</v>
      </c>
      <c r="E4256" s="76">
        <v>1.4200000000000001E-4</v>
      </c>
      <c r="F4256" s="76">
        <v>2.0799999999999999E-4</v>
      </c>
      <c r="G4256" s="76">
        <v>2.6600000000000001E-4</v>
      </c>
      <c r="H4256" s="76">
        <v>3.21E-4</v>
      </c>
      <c r="I4256" s="76">
        <v>3.9300000000000001E-4</v>
      </c>
      <c r="J4256" s="76">
        <v>5.3899999999999998E-4</v>
      </c>
      <c r="K4256" s="76">
        <v>6.6799999999999997E-4</v>
      </c>
      <c r="L4256" s="76">
        <v>6.4099999999999997E-4</v>
      </c>
      <c r="M4256" s="76">
        <v>6.4499999999999996E-4</v>
      </c>
    </row>
    <row r="4257" spans="3:13" x14ac:dyDescent="0.15">
      <c r="C4257" s="76">
        <v>614</v>
      </c>
      <c r="D4257" s="76">
        <v>6.6199999999999996E-5</v>
      </c>
      <c r="E4257" s="76">
        <v>1.2999999999999999E-4</v>
      </c>
      <c r="F4257" s="76">
        <v>1.93E-4</v>
      </c>
      <c r="G4257" s="76">
        <v>2.9E-4</v>
      </c>
      <c r="H4257" s="76">
        <v>2.7799999999999998E-4</v>
      </c>
      <c r="I4257" s="76">
        <v>3.7199999999999999E-4</v>
      </c>
      <c r="J4257" s="76">
        <v>5.0299999999999997E-4</v>
      </c>
      <c r="K4257" s="76">
        <v>5.9800000000000001E-4</v>
      </c>
      <c r="L4257" s="76">
        <v>5.9599999999999996E-4</v>
      </c>
      <c r="M4257" s="76">
        <v>5.9999999999999995E-4</v>
      </c>
    </row>
    <row r="4258" spans="3:13" x14ac:dyDescent="0.15">
      <c r="C4258" s="76">
        <v>616</v>
      </c>
      <c r="D4258" s="76">
        <v>5.5999999999999999E-5</v>
      </c>
      <c r="E4258" s="76">
        <v>1.2899999999999999E-4</v>
      </c>
      <c r="F4258" s="76">
        <v>1.8699999999999999E-4</v>
      </c>
      <c r="G4258" s="76">
        <v>2.5300000000000002E-4</v>
      </c>
      <c r="H4258" s="76">
        <v>2.7399999999999999E-4</v>
      </c>
      <c r="I4258" s="76">
        <v>3.4900000000000003E-4</v>
      </c>
      <c r="J4258" s="76">
        <v>4.8099999999999998E-4</v>
      </c>
      <c r="K4258" s="76">
        <v>5.0100000000000003E-4</v>
      </c>
      <c r="L4258" s="76">
        <v>5.8500000000000002E-4</v>
      </c>
      <c r="M4258" s="76">
        <v>5.04E-4</v>
      </c>
    </row>
    <row r="4259" spans="3:13" x14ac:dyDescent="0.15">
      <c r="C4259" s="76">
        <v>618</v>
      </c>
      <c r="D4259" s="76">
        <v>5.3600000000000002E-5</v>
      </c>
      <c r="E4259" s="76">
        <v>1.03E-4</v>
      </c>
      <c r="F4259" s="76">
        <v>1.7100000000000001E-4</v>
      </c>
      <c r="G4259" s="76">
        <v>2.2499999999999999E-4</v>
      </c>
      <c r="H4259" s="76">
        <v>2.3499999999999999E-4</v>
      </c>
      <c r="I4259" s="76">
        <v>2.3699999999999999E-4</v>
      </c>
      <c r="J4259" s="76">
        <v>4.2099999999999999E-4</v>
      </c>
      <c r="K4259" s="76">
        <v>4.7800000000000002E-4</v>
      </c>
      <c r="L4259" s="76">
        <v>6.0499999999999996E-4</v>
      </c>
      <c r="M4259" s="76">
        <v>5.4600000000000004E-4</v>
      </c>
    </row>
    <row r="4260" spans="3:13" x14ac:dyDescent="0.15">
      <c r="C4260" s="76">
        <v>620</v>
      </c>
      <c r="D4260" s="76">
        <v>4.8399999999999997E-5</v>
      </c>
      <c r="E4260" s="76">
        <v>9.6000000000000002E-5</v>
      </c>
      <c r="F4260" s="76">
        <v>1.54E-4</v>
      </c>
      <c r="G4260" s="76">
        <v>2.23E-4</v>
      </c>
      <c r="H4260" s="76">
        <v>2.05E-4</v>
      </c>
      <c r="I4260" s="76">
        <v>3.6299999999999999E-4</v>
      </c>
      <c r="J4260" s="76">
        <v>4.2299999999999998E-4</v>
      </c>
      <c r="K4260" s="76">
        <v>4.5300000000000001E-4</v>
      </c>
      <c r="L4260" s="76">
        <v>5.0500000000000002E-4</v>
      </c>
      <c r="M4260" s="76">
        <v>4.64E-4</v>
      </c>
    </row>
    <row r="4261" spans="3:13" x14ac:dyDescent="0.15">
      <c r="C4261" s="76">
        <v>622</v>
      </c>
      <c r="D4261" s="76">
        <v>3.79E-5</v>
      </c>
      <c r="E4261" s="76">
        <v>9.7299999999999993E-5</v>
      </c>
      <c r="F4261" s="76">
        <v>1.44E-4</v>
      </c>
      <c r="G4261" s="76">
        <v>2.12E-4</v>
      </c>
      <c r="H4261" s="76">
        <v>2.0799999999999999E-4</v>
      </c>
      <c r="I4261" s="76">
        <v>2.5399999999999999E-4</v>
      </c>
      <c r="J4261" s="76">
        <v>3.5599999999999998E-4</v>
      </c>
      <c r="K4261" s="76">
        <v>3.8099999999999999E-4</v>
      </c>
      <c r="L4261" s="76">
        <v>4.2200000000000001E-4</v>
      </c>
      <c r="M4261" s="76">
        <v>4.4799999999999999E-4</v>
      </c>
    </row>
    <row r="4262" spans="3:13" x14ac:dyDescent="0.15">
      <c r="C4262" s="76">
        <v>624</v>
      </c>
      <c r="D4262" s="76">
        <v>4.2899999999999999E-5</v>
      </c>
      <c r="E4262" s="76">
        <v>1.15E-4</v>
      </c>
      <c r="F4262" s="76">
        <v>1.35E-4</v>
      </c>
      <c r="G4262" s="76">
        <v>2.05E-4</v>
      </c>
      <c r="H4262" s="76">
        <v>2.14E-4</v>
      </c>
      <c r="I4262" s="76">
        <v>2.5900000000000001E-4</v>
      </c>
      <c r="J4262" s="76">
        <v>3.4200000000000002E-4</v>
      </c>
      <c r="K4262" s="76">
        <v>3.7300000000000001E-4</v>
      </c>
      <c r="L4262" s="76">
        <v>3.7199999999999999E-4</v>
      </c>
      <c r="M4262" s="76">
        <v>4.44E-4</v>
      </c>
    </row>
    <row r="4263" spans="3:13" x14ac:dyDescent="0.15">
      <c r="C4263" s="76">
        <v>626</v>
      </c>
      <c r="D4263" s="76">
        <v>4.3600000000000003E-5</v>
      </c>
      <c r="E4263" s="76">
        <v>1.0900000000000001E-4</v>
      </c>
      <c r="F4263" s="76">
        <v>1.35E-4</v>
      </c>
      <c r="G4263" s="76">
        <v>2.0000000000000001E-4</v>
      </c>
      <c r="H4263" s="76">
        <v>1.7699999999999999E-4</v>
      </c>
      <c r="I4263" s="76">
        <v>1.6699999999999999E-4</v>
      </c>
      <c r="J4263" s="76">
        <v>3.21E-4</v>
      </c>
      <c r="K4263" s="76">
        <v>3.3700000000000001E-4</v>
      </c>
      <c r="L4263" s="76">
        <v>4.15E-4</v>
      </c>
      <c r="M4263" s="76">
        <v>3.4099999999999999E-4</v>
      </c>
    </row>
    <row r="4264" spans="3:13" x14ac:dyDescent="0.15">
      <c r="C4264" s="76">
        <v>628</v>
      </c>
      <c r="D4264" s="76">
        <v>3.29E-5</v>
      </c>
      <c r="E4264" s="76">
        <v>1.05E-4</v>
      </c>
      <c r="F4264" s="76">
        <v>1.4300000000000001E-4</v>
      </c>
      <c r="G4264" s="76">
        <v>1.8699999999999999E-4</v>
      </c>
      <c r="H4264" s="76">
        <v>1.26E-4</v>
      </c>
      <c r="I4264" s="76">
        <v>1.8900000000000001E-4</v>
      </c>
      <c r="J4264" s="76">
        <v>3.2499999999999999E-4</v>
      </c>
      <c r="K4264" s="76">
        <v>3.0600000000000001E-4</v>
      </c>
      <c r="L4264" s="76">
        <v>3.3399999999999999E-4</v>
      </c>
      <c r="M4264" s="76">
        <v>2.3000000000000001E-4</v>
      </c>
    </row>
    <row r="4265" spans="3:13" x14ac:dyDescent="0.15">
      <c r="C4265" s="76">
        <v>630</v>
      </c>
      <c r="D4265" s="76">
        <v>3.3200000000000001E-5</v>
      </c>
      <c r="E4265" s="76">
        <v>1.25E-4</v>
      </c>
      <c r="F4265" s="76">
        <v>1.26E-4</v>
      </c>
      <c r="G4265" s="76">
        <v>1.7799999999999999E-4</v>
      </c>
      <c r="H4265" s="76">
        <v>1.2899999999999999E-4</v>
      </c>
      <c r="I4265" s="76">
        <v>1.8100000000000001E-4</v>
      </c>
      <c r="J4265" s="76">
        <v>2.5099999999999998E-4</v>
      </c>
      <c r="K4265" s="76">
        <v>2.99E-4</v>
      </c>
      <c r="L4265" s="76">
        <v>3.1599999999999998E-4</v>
      </c>
      <c r="M4265" s="76">
        <v>3.9199999999999999E-4</v>
      </c>
    </row>
    <row r="4266" spans="3:13" x14ac:dyDescent="0.15">
      <c r="C4266" s="76">
        <v>632</v>
      </c>
      <c r="D4266" s="76">
        <v>2.83E-5</v>
      </c>
      <c r="E4266" s="76">
        <v>1.12E-4</v>
      </c>
      <c r="F4266" s="76">
        <v>1.13E-4</v>
      </c>
      <c r="G4266" s="76">
        <v>1.5699999999999999E-4</v>
      </c>
      <c r="H4266" s="76">
        <v>1.66E-4</v>
      </c>
      <c r="I4266" s="76">
        <v>1.66E-4</v>
      </c>
      <c r="J4266" s="76">
        <v>2.2800000000000001E-4</v>
      </c>
      <c r="K4266" s="76">
        <v>2.4399999999999999E-4</v>
      </c>
      <c r="L4266" s="76">
        <v>2.81E-4</v>
      </c>
      <c r="M4266" s="76">
        <v>3.1700000000000001E-4</v>
      </c>
    </row>
    <row r="4267" spans="3:13" x14ac:dyDescent="0.15">
      <c r="C4267" s="76">
        <v>634</v>
      </c>
      <c r="D4267" s="76">
        <v>2.7399999999999999E-5</v>
      </c>
      <c r="E4267" s="76">
        <v>1.01E-4</v>
      </c>
      <c r="F4267" s="76">
        <v>8.8499999999999996E-5</v>
      </c>
      <c r="G4267" s="76">
        <v>1.4100000000000001E-4</v>
      </c>
      <c r="H4267" s="76">
        <v>1.2899999999999999E-4</v>
      </c>
      <c r="I4267" s="76">
        <v>1.9799999999999999E-4</v>
      </c>
      <c r="J4267" s="76">
        <v>2.43E-4</v>
      </c>
      <c r="K4267" s="76">
        <v>2.2499999999999999E-4</v>
      </c>
      <c r="L4267" s="76">
        <v>3.1E-4</v>
      </c>
      <c r="M4267" s="76">
        <v>3.1500000000000001E-4</v>
      </c>
    </row>
    <row r="4268" spans="3:13" x14ac:dyDescent="0.15">
      <c r="C4268" s="76">
        <v>636</v>
      </c>
      <c r="D4268" s="76">
        <v>2.37E-5</v>
      </c>
      <c r="E4268" s="76">
        <v>1.1E-4</v>
      </c>
      <c r="F4268" s="76">
        <v>9.2999999999999997E-5</v>
      </c>
      <c r="G4268" s="76">
        <v>1.4300000000000001E-4</v>
      </c>
      <c r="H4268" s="76">
        <v>1.1900000000000001E-4</v>
      </c>
      <c r="I4268" s="76">
        <v>1.73E-4</v>
      </c>
      <c r="J4268" s="76">
        <v>1.9100000000000001E-4</v>
      </c>
      <c r="K4268" s="76">
        <v>2.0100000000000001E-4</v>
      </c>
      <c r="L4268" s="76">
        <v>2.6699999999999998E-4</v>
      </c>
      <c r="M4268" s="76">
        <v>3.01E-4</v>
      </c>
    </row>
    <row r="4269" spans="3:13" x14ac:dyDescent="0.15">
      <c r="C4269" s="76">
        <v>638</v>
      </c>
      <c r="D4269" s="76">
        <v>2.72E-5</v>
      </c>
      <c r="E4269" s="76">
        <v>1.1E-4</v>
      </c>
      <c r="F4269" s="76">
        <v>1.13E-4</v>
      </c>
      <c r="G4269" s="76">
        <v>1.25E-4</v>
      </c>
      <c r="H4269" s="76">
        <v>1.2400000000000001E-4</v>
      </c>
      <c r="I4269" s="76">
        <v>1.54E-4</v>
      </c>
      <c r="J4269" s="76">
        <v>1.8599999999999999E-4</v>
      </c>
      <c r="K4269" s="76">
        <v>2.0000000000000001E-4</v>
      </c>
      <c r="L4269" s="76">
        <v>2.8800000000000001E-4</v>
      </c>
      <c r="M4269" s="76">
        <v>3.0299999999999999E-4</v>
      </c>
    </row>
    <row r="4270" spans="3:13" x14ac:dyDescent="0.15">
      <c r="C4270" s="76">
        <v>640</v>
      </c>
      <c r="D4270" s="76">
        <v>1.31E-5</v>
      </c>
      <c r="E4270" s="76">
        <v>9.6399999999999999E-5</v>
      </c>
      <c r="F4270" s="76">
        <v>1.15E-4</v>
      </c>
      <c r="G4270" s="76">
        <v>1.2899999999999999E-4</v>
      </c>
      <c r="H4270" s="76">
        <v>1.06E-4</v>
      </c>
      <c r="I4270" s="76">
        <v>1.5699999999999999E-4</v>
      </c>
      <c r="J4270" s="76">
        <v>1.63E-4</v>
      </c>
      <c r="K4270" s="76">
        <v>1.3799999999999999E-4</v>
      </c>
      <c r="L4270" s="76">
        <v>3.4499999999999998E-4</v>
      </c>
      <c r="M4270" s="76">
        <v>3.2400000000000001E-4</v>
      </c>
    </row>
    <row r="4271" spans="3:13" x14ac:dyDescent="0.15">
      <c r="C4271" s="76">
        <v>642</v>
      </c>
      <c r="D4271" s="76">
        <v>2.3099999999999999E-5</v>
      </c>
      <c r="E4271" s="76">
        <v>1E-4</v>
      </c>
      <c r="F4271" s="76">
        <v>1E-4</v>
      </c>
      <c r="G4271" s="76">
        <v>1.35E-4</v>
      </c>
      <c r="H4271" s="76">
        <v>1.2300000000000001E-4</v>
      </c>
      <c r="I4271" s="76">
        <v>1.55E-4</v>
      </c>
      <c r="J4271" s="76">
        <v>1.35E-4</v>
      </c>
      <c r="K4271" s="76">
        <v>1.25E-4</v>
      </c>
      <c r="L4271" s="76">
        <v>2.7900000000000001E-4</v>
      </c>
      <c r="M4271" s="76">
        <v>3.2200000000000002E-4</v>
      </c>
    </row>
    <row r="4272" spans="3:13" x14ac:dyDescent="0.15">
      <c r="C4272" s="76">
        <v>644</v>
      </c>
      <c r="D4272" s="76">
        <v>2.1800000000000001E-5</v>
      </c>
      <c r="E4272" s="76">
        <v>9.7E-5</v>
      </c>
      <c r="F4272" s="76">
        <v>1.06E-4</v>
      </c>
      <c r="G4272" s="76">
        <v>1.05E-4</v>
      </c>
      <c r="H4272" s="76">
        <v>9.7499999999999998E-5</v>
      </c>
      <c r="I4272" s="76">
        <v>2.1499999999999999E-4</v>
      </c>
      <c r="J4272" s="76">
        <v>1.6899999999999999E-4</v>
      </c>
      <c r="K4272" s="76">
        <v>1.17E-4</v>
      </c>
      <c r="L4272" s="76">
        <v>2.4899999999999998E-4</v>
      </c>
      <c r="M4272" s="76">
        <v>2.7799999999999998E-4</v>
      </c>
    </row>
    <row r="4273" spans="3:13" x14ac:dyDescent="0.15">
      <c r="C4273" s="76">
        <v>646</v>
      </c>
      <c r="D4273" s="76">
        <v>2.2500000000000001E-5</v>
      </c>
      <c r="E4273" s="76">
        <v>8.7999999999999998E-5</v>
      </c>
      <c r="F4273" s="76">
        <v>8.2399999999999997E-5</v>
      </c>
      <c r="G4273" s="76">
        <v>9.9900000000000002E-5</v>
      </c>
      <c r="H4273" s="76">
        <v>9.7999999999999997E-5</v>
      </c>
      <c r="I4273" s="76">
        <v>1.8200000000000001E-4</v>
      </c>
      <c r="J4273" s="76">
        <v>1.65E-4</v>
      </c>
      <c r="K4273" s="76">
        <v>1.11E-4</v>
      </c>
      <c r="L4273" s="76">
        <v>2.6800000000000001E-4</v>
      </c>
      <c r="M4273" s="76">
        <v>3.0899999999999998E-4</v>
      </c>
    </row>
    <row r="4274" spans="3:13" x14ac:dyDescent="0.15">
      <c r="C4274" s="76">
        <v>648</v>
      </c>
      <c r="D4274" s="76">
        <v>1.6699999999999999E-5</v>
      </c>
      <c r="E4274" s="76">
        <v>8.4699999999999999E-5</v>
      </c>
      <c r="F4274" s="76">
        <v>8.6700000000000007E-5</v>
      </c>
      <c r="G4274" s="76">
        <v>1.01E-4</v>
      </c>
      <c r="H4274" s="76">
        <v>1.01E-4</v>
      </c>
      <c r="I4274" s="76">
        <v>1.54E-4</v>
      </c>
      <c r="J4274" s="76">
        <v>1.1400000000000001E-4</v>
      </c>
      <c r="K4274" s="76">
        <v>5.7800000000000002E-5</v>
      </c>
      <c r="L4274" s="76">
        <v>2.24E-4</v>
      </c>
      <c r="M4274" s="76">
        <v>2.9399999999999999E-4</v>
      </c>
    </row>
    <row r="4275" spans="3:13" x14ac:dyDescent="0.15">
      <c r="C4275" s="76">
        <v>650</v>
      </c>
      <c r="D4275" s="76">
        <v>1.66E-5</v>
      </c>
      <c r="E4275" s="76">
        <v>7.3999999999999996E-5</v>
      </c>
      <c r="F4275" s="76">
        <v>1.15E-4</v>
      </c>
      <c r="G4275" s="76">
        <v>1.37E-4</v>
      </c>
      <c r="H4275" s="76">
        <v>1.11E-4</v>
      </c>
      <c r="I4275" s="76">
        <v>1.9599999999999999E-4</v>
      </c>
      <c r="J4275" s="76">
        <v>1.6100000000000001E-4</v>
      </c>
      <c r="K4275" s="76">
        <v>5.66E-5</v>
      </c>
      <c r="L4275" s="76">
        <v>1.9900000000000001E-4</v>
      </c>
      <c r="M4275" s="76">
        <v>2.9300000000000002E-4</v>
      </c>
    </row>
    <row r="4276" spans="3:13" x14ac:dyDescent="0.15">
      <c r="C4276" s="76">
        <v>652</v>
      </c>
      <c r="D4276" s="76">
        <v>1.9599999999999999E-5</v>
      </c>
      <c r="E4276" s="76">
        <v>5.9200000000000002E-5</v>
      </c>
      <c r="F4276" s="76">
        <v>8.7399999999999997E-5</v>
      </c>
      <c r="G4276" s="76">
        <v>1.01E-4</v>
      </c>
      <c r="H4276" s="76">
        <v>1.25E-4</v>
      </c>
      <c r="I4276" s="76">
        <v>1.63E-4</v>
      </c>
      <c r="J4276" s="76">
        <v>1.6100000000000001E-4</v>
      </c>
      <c r="K4276" s="76">
        <v>1.54E-4</v>
      </c>
      <c r="L4276" s="76">
        <v>1.94E-4</v>
      </c>
      <c r="M4276" s="76">
        <v>3.2699999999999998E-4</v>
      </c>
    </row>
    <row r="4277" spans="3:13" x14ac:dyDescent="0.15">
      <c r="C4277" s="76">
        <v>654</v>
      </c>
      <c r="D4277" s="76">
        <v>1.9700000000000001E-5</v>
      </c>
      <c r="E4277" s="76">
        <v>5.8E-5</v>
      </c>
      <c r="F4277" s="76">
        <v>7.9900000000000004E-5</v>
      </c>
      <c r="G4277" s="76">
        <v>1.1900000000000001E-4</v>
      </c>
      <c r="H4277" s="76">
        <v>1.3999999999999999E-4</v>
      </c>
      <c r="I4277" s="76">
        <v>1.8900000000000001E-4</v>
      </c>
      <c r="J4277" s="76">
        <v>1.7699999999999999E-4</v>
      </c>
      <c r="K4277" s="76">
        <v>1.6200000000000001E-4</v>
      </c>
      <c r="L4277" s="76">
        <v>2.2900000000000001E-4</v>
      </c>
      <c r="M4277" s="76">
        <v>2.42E-4</v>
      </c>
    </row>
    <row r="4278" spans="3:13" x14ac:dyDescent="0.15">
      <c r="C4278" s="76">
        <v>656</v>
      </c>
      <c r="D4278" s="76">
        <v>2.9300000000000001E-5</v>
      </c>
      <c r="E4278" s="76">
        <v>4.5899999999999998E-5</v>
      </c>
      <c r="F4278" s="76">
        <v>6.6699999999999995E-5</v>
      </c>
      <c r="G4278" s="76">
        <v>9.7499999999999998E-5</v>
      </c>
      <c r="H4278" s="76">
        <v>1.4899999999999999E-4</v>
      </c>
      <c r="I4278" s="76">
        <v>1.5699999999999999E-4</v>
      </c>
      <c r="J4278" s="76">
        <v>1.4899999999999999E-4</v>
      </c>
      <c r="K4278" s="76">
        <v>1.0900000000000001E-4</v>
      </c>
      <c r="L4278" s="76">
        <v>2.4800000000000001E-4</v>
      </c>
      <c r="M4278" s="76">
        <v>2.5900000000000001E-4</v>
      </c>
    </row>
    <row r="4279" spans="3:13" x14ac:dyDescent="0.15">
      <c r="C4279" s="76">
        <v>658</v>
      </c>
      <c r="D4279" s="76">
        <v>1.4800000000000001E-5</v>
      </c>
      <c r="E4279" s="76">
        <v>3.7499999999999997E-5</v>
      </c>
      <c r="F4279" s="76">
        <v>8.6700000000000007E-5</v>
      </c>
      <c r="G4279" s="76">
        <v>7.5400000000000003E-5</v>
      </c>
      <c r="H4279" s="76">
        <v>1.27E-4</v>
      </c>
      <c r="I4279" s="76">
        <v>2.0599999999999999E-4</v>
      </c>
      <c r="J4279" s="76">
        <v>1.8100000000000001E-4</v>
      </c>
      <c r="K4279" s="76">
        <v>7.7399999999999998E-5</v>
      </c>
      <c r="L4279" s="76">
        <v>1.45E-4</v>
      </c>
      <c r="M4279" s="76">
        <v>2.6899999999999998E-4</v>
      </c>
    </row>
    <row r="4280" spans="3:13" x14ac:dyDescent="0.15">
      <c r="C4280" s="76">
        <v>660</v>
      </c>
      <c r="D4280" s="76">
        <v>1.6500000000000001E-5</v>
      </c>
      <c r="E4280" s="76">
        <v>3.5299999999999997E-5</v>
      </c>
      <c r="F4280" s="76">
        <v>9.4300000000000002E-5</v>
      </c>
      <c r="G4280" s="76">
        <v>6.1699999999999995E-5</v>
      </c>
      <c r="H4280" s="76">
        <v>1.46E-4</v>
      </c>
      <c r="I4280" s="76">
        <v>1.46E-4</v>
      </c>
      <c r="J4280" s="76">
        <v>1.6100000000000001E-4</v>
      </c>
      <c r="K4280" s="76">
        <v>7.9300000000000003E-5</v>
      </c>
      <c r="L4280" s="76">
        <v>1.5100000000000001E-4</v>
      </c>
      <c r="M4280" s="76">
        <v>2.1000000000000001E-4</v>
      </c>
    </row>
    <row r="4281" spans="3:13" x14ac:dyDescent="0.15">
      <c r="C4281" s="76">
        <v>662</v>
      </c>
      <c r="D4281" s="76">
        <v>2.16E-5</v>
      </c>
      <c r="E4281" s="76">
        <v>2.8600000000000001E-5</v>
      </c>
      <c r="F4281" s="76">
        <v>8.1299999999999997E-5</v>
      </c>
      <c r="G4281" s="76">
        <v>7.3499999999999998E-5</v>
      </c>
      <c r="H4281" s="76">
        <v>1.2799999999999999E-4</v>
      </c>
      <c r="I4281" s="76">
        <v>1.56E-4</v>
      </c>
      <c r="J4281" s="76">
        <v>8.5699999999999996E-5</v>
      </c>
      <c r="K4281" s="76">
        <v>1.6200000000000001E-4</v>
      </c>
      <c r="L4281" s="76">
        <v>2.33E-4</v>
      </c>
      <c r="M4281" s="76">
        <v>2.3000000000000001E-4</v>
      </c>
    </row>
    <row r="4282" spans="3:13" x14ac:dyDescent="0.15">
      <c r="C4282" s="76">
        <v>664</v>
      </c>
      <c r="D4282" s="76">
        <v>1.7200000000000001E-5</v>
      </c>
      <c r="E4282" s="76">
        <v>2.19E-5</v>
      </c>
      <c r="F4282" s="76">
        <v>5.0500000000000001E-5</v>
      </c>
      <c r="G4282" s="76">
        <v>5.1999999999999997E-5</v>
      </c>
      <c r="H4282" s="76">
        <v>1.26E-4</v>
      </c>
      <c r="I4282" s="76">
        <v>1.74E-4</v>
      </c>
      <c r="J4282" s="76">
        <v>1.2400000000000001E-4</v>
      </c>
      <c r="K4282" s="76">
        <v>1.01E-4</v>
      </c>
      <c r="L4282" s="76">
        <v>1.73E-4</v>
      </c>
      <c r="M4282" s="76">
        <v>2.0799999999999999E-4</v>
      </c>
    </row>
    <row r="4283" spans="3:13" x14ac:dyDescent="0.15">
      <c r="C4283" s="76">
        <v>666</v>
      </c>
      <c r="D4283" s="76">
        <v>2.6100000000000001E-5</v>
      </c>
      <c r="E4283" s="76">
        <v>6.4699999999999999E-6</v>
      </c>
      <c r="F4283" s="76">
        <v>5.8999999999999998E-5</v>
      </c>
      <c r="G4283" s="76">
        <v>2.0100000000000001E-5</v>
      </c>
      <c r="H4283" s="76">
        <v>9.8599999999999998E-5</v>
      </c>
      <c r="I4283" s="76">
        <v>1.44E-4</v>
      </c>
      <c r="J4283" s="76">
        <v>1.37E-4</v>
      </c>
      <c r="K4283" s="76">
        <v>1.25E-4</v>
      </c>
      <c r="L4283" s="76">
        <v>2.1000000000000001E-4</v>
      </c>
      <c r="M4283" s="76">
        <v>1.93E-4</v>
      </c>
    </row>
    <row r="4284" spans="3:13" x14ac:dyDescent="0.15">
      <c r="C4284" s="76">
        <v>668</v>
      </c>
      <c r="D4284" s="76">
        <v>1.8899999999999999E-5</v>
      </c>
      <c r="E4284" s="76">
        <v>1.7200000000000001E-5</v>
      </c>
      <c r="F4284" s="76">
        <v>7.2899999999999997E-5</v>
      </c>
      <c r="G4284" s="76">
        <v>1.52E-5</v>
      </c>
      <c r="H4284" s="76">
        <v>9.4900000000000003E-5</v>
      </c>
      <c r="I4284" s="76">
        <v>1.92E-4</v>
      </c>
      <c r="J4284" s="76">
        <v>1.2899999999999999E-4</v>
      </c>
      <c r="K4284" s="76">
        <v>1.2300000000000001E-4</v>
      </c>
      <c r="L4284" s="76">
        <v>1.74E-4</v>
      </c>
      <c r="M4284" s="76">
        <v>2.03E-4</v>
      </c>
    </row>
    <row r="4285" spans="3:13" x14ac:dyDescent="0.15">
      <c r="C4285" s="76">
        <v>670</v>
      </c>
      <c r="D4285" s="76">
        <v>2.4199999999999999E-5</v>
      </c>
      <c r="E4285" s="76">
        <v>1.3499999999999999E-5</v>
      </c>
      <c r="F4285" s="76">
        <v>4.9299999999999999E-5</v>
      </c>
      <c r="G4285" s="76">
        <v>2.3200000000000001E-5</v>
      </c>
      <c r="H4285" s="76">
        <v>1.06E-4</v>
      </c>
      <c r="I4285" s="76">
        <v>2.0000000000000001E-4</v>
      </c>
      <c r="J4285" s="76">
        <v>1.34E-4</v>
      </c>
      <c r="K4285" s="76">
        <v>1.6799999999999999E-4</v>
      </c>
      <c r="L4285" s="76">
        <v>1.5100000000000001E-4</v>
      </c>
      <c r="M4285" s="76">
        <v>1.66E-4</v>
      </c>
    </row>
    <row r="4286" spans="3:13" x14ac:dyDescent="0.15">
      <c r="C4286" s="76">
        <v>672</v>
      </c>
      <c r="D4286" s="76">
        <v>2.02E-5</v>
      </c>
      <c r="E4286" s="76">
        <v>1.4E-5</v>
      </c>
      <c r="F4286" s="76">
        <v>6.2799999999999995E-5</v>
      </c>
      <c r="G4286" s="76">
        <v>4.6600000000000003E-6</v>
      </c>
      <c r="H4286" s="76">
        <v>1.06E-4</v>
      </c>
      <c r="I4286" s="76">
        <v>1.85E-4</v>
      </c>
      <c r="J4286" s="76">
        <v>1.26E-4</v>
      </c>
      <c r="K4286" s="76">
        <v>1.64E-4</v>
      </c>
      <c r="L4286" s="76">
        <v>1.1E-4</v>
      </c>
      <c r="M4286" s="76">
        <v>1.8100000000000001E-4</v>
      </c>
    </row>
    <row r="4287" spans="3:13" x14ac:dyDescent="0.15">
      <c r="C4287" s="76">
        <v>674</v>
      </c>
      <c r="D4287" s="76">
        <v>1.33E-5</v>
      </c>
      <c r="E4287" s="76">
        <v>6.5799999999999997E-6</v>
      </c>
      <c r="F4287" s="76">
        <v>5.4500000000000003E-5</v>
      </c>
      <c r="G4287" s="76">
        <v>1.5400000000000002E-5</v>
      </c>
      <c r="H4287" s="76">
        <v>7.2399999999999998E-5</v>
      </c>
      <c r="I4287" s="76">
        <v>1.25E-4</v>
      </c>
      <c r="J4287" s="76">
        <v>1.73E-4</v>
      </c>
      <c r="K4287" s="76">
        <v>2.22E-4</v>
      </c>
      <c r="L4287" s="76">
        <v>1.27E-4</v>
      </c>
      <c r="M4287" s="76">
        <v>1.5300000000000001E-4</v>
      </c>
    </row>
    <row r="4288" spans="3:13" x14ac:dyDescent="0.15">
      <c r="C4288" s="76">
        <v>676</v>
      </c>
      <c r="D4288" s="76">
        <v>1.8899999999999999E-5</v>
      </c>
      <c r="E4288" s="76">
        <v>1.1600000000000001E-5</v>
      </c>
      <c r="F4288" s="76">
        <v>5.0000000000000002E-5</v>
      </c>
      <c r="G4288" s="76">
        <v>2.4099999999999998E-6</v>
      </c>
      <c r="H4288" s="76">
        <v>9.9900000000000002E-5</v>
      </c>
      <c r="I4288" s="76">
        <v>1.4300000000000001E-4</v>
      </c>
      <c r="J4288" s="76">
        <v>1.12E-4</v>
      </c>
      <c r="K4288" s="76">
        <v>2.2499999999999999E-4</v>
      </c>
      <c r="L4288" s="76">
        <v>1.35E-4</v>
      </c>
      <c r="M4288" s="76">
        <v>1.3799999999999999E-4</v>
      </c>
    </row>
    <row r="4289" spans="3:13" x14ac:dyDescent="0.15">
      <c r="C4289" s="76">
        <v>678</v>
      </c>
      <c r="D4289" s="76">
        <v>4.2200000000000003E-5</v>
      </c>
      <c r="E4289" s="76">
        <v>6.2299999999999996E-6</v>
      </c>
      <c r="F4289" s="76">
        <v>6.1600000000000007E-5</v>
      </c>
      <c r="G4289" s="76">
        <v>1.1199999999999999E-5</v>
      </c>
      <c r="H4289" s="76">
        <v>8.0699999999999996E-5</v>
      </c>
      <c r="I4289" s="76">
        <v>1.8200000000000001E-4</v>
      </c>
      <c r="J4289" s="76">
        <v>1.26E-4</v>
      </c>
      <c r="K4289" s="76">
        <v>2.1000000000000001E-4</v>
      </c>
      <c r="L4289" s="76">
        <v>1.6000000000000001E-4</v>
      </c>
      <c r="M4289" s="76">
        <v>1.35E-4</v>
      </c>
    </row>
    <row r="4290" spans="3:13" x14ac:dyDescent="0.15">
      <c r="C4290" s="76">
        <v>680</v>
      </c>
      <c r="D4290" s="76">
        <v>1.1399999999999999E-5</v>
      </c>
      <c r="E4290" s="76">
        <v>2.65E-5</v>
      </c>
      <c r="F4290" s="76">
        <v>6.3399999999999996E-5</v>
      </c>
      <c r="G4290" s="76">
        <v>1.84E-5</v>
      </c>
      <c r="H4290" s="76">
        <v>1.06E-4</v>
      </c>
      <c r="I4290" s="76">
        <v>1.46E-4</v>
      </c>
      <c r="J4290" s="76">
        <v>1.4100000000000001E-4</v>
      </c>
      <c r="K4290" s="76">
        <v>1.85E-4</v>
      </c>
      <c r="L4290" s="76">
        <v>1.65E-4</v>
      </c>
      <c r="M4290" s="76">
        <v>1.55E-4</v>
      </c>
    </row>
    <row r="4291" spans="3:13" x14ac:dyDescent="0.15">
      <c r="C4291" s="76">
        <v>682</v>
      </c>
      <c r="D4291" s="76">
        <v>1.6200000000000001E-5</v>
      </c>
      <c r="E4291" s="76">
        <v>2.6100000000000001E-5</v>
      </c>
      <c r="F4291" s="76">
        <v>3.93E-5</v>
      </c>
      <c r="G4291" s="76">
        <v>3.6600000000000002E-5</v>
      </c>
      <c r="H4291" s="76">
        <v>7.7200000000000006E-5</v>
      </c>
      <c r="I4291" s="76">
        <v>1.3300000000000001E-4</v>
      </c>
      <c r="J4291" s="76">
        <v>1.8100000000000001E-4</v>
      </c>
      <c r="K4291" s="76">
        <v>2.14E-4</v>
      </c>
      <c r="L4291" s="76">
        <v>1.94E-4</v>
      </c>
      <c r="M4291" s="76">
        <v>1.4799999999999999E-4</v>
      </c>
    </row>
    <row r="4292" spans="3:13" x14ac:dyDescent="0.15">
      <c r="C4292" s="76">
        <v>684</v>
      </c>
      <c r="D4292" s="76">
        <v>2.62E-5</v>
      </c>
      <c r="E4292" s="76">
        <v>1.7099999999999999E-5</v>
      </c>
      <c r="F4292" s="76">
        <v>4.1199999999999999E-5</v>
      </c>
      <c r="G4292" s="76">
        <v>5.7099999999999999E-5</v>
      </c>
      <c r="H4292" s="76">
        <v>7.9300000000000003E-5</v>
      </c>
      <c r="I4292" s="76">
        <v>1.4799999999999999E-4</v>
      </c>
      <c r="J4292" s="76">
        <v>1.6000000000000001E-4</v>
      </c>
      <c r="K4292" s="76">
        <v>2.41E-4</v>
      </c>
      <c r="L4292" s="76">
        <v>1.01E-4</v>
      </c>
      <c r="M4292" s="76">
        <v>1.2999999999999999E-4</v>
      </c>
    </row>
    <row r="4293" spans="3:13" x14ac:dyDescent="0.15">
      <c r="C4293" s="76">
        <v>686</v>
      </c>
      <c r="D4293" s="76">
        <v>2.0000000000000002E-5</v>
      </c>
      <c r="E4293" s="76">
        <v>2.4899999999999999E-5</v>
      </c>
      <c r="F4293" s="76">
        <v>3.6199999999999999E-5</v>
      </c>
      <c r="G4293" s="76">
        <v>5.1900000000000001E-5</v>
      </c>
      <c r="H4293" s="76">
        <v>9.31E-5</v>
      </c>
      <c r="I4293" s="76">
        <v>1.63E-4</v>
      </c>
      <c r="J4293" s="76">
        <v>1.56E-4</v>
      </c>
      <c r="K4293" s="76">
        <v>2.6200000000000003E-4</v>
      </c>
      <c r="L4293" s="76">
        <v>1.5899999999999999E-4</v>
      </c>
      <c r="M4293" s="76">
        <v>1.05E-4</v>
      </c>
    </row>
    <row r="4294" spans="3:13" x14ac:dyDescent="0.15">
      <c r="C4294" s="76">
        <v>688</v>
      </c>
      <c r="D4294" s="76">
        <v>1.7E-5</v>
      </c>
      <c r="E4294" s="76">
        <v>2.6100000000000001E-5</v>
      </c>
      <c r="F4294" s="76">
        <v>8.9199999999999993E-6</v>
      </c>
      <c r="G4294" s="76">
        <v>3.6699999999999998E-5</v>
      </c>
      <c r="H4294" s="76">
        <v>1.07E-4</v>
      </c>
      <c r="I4294" s="76">
        <v>1.4100000000000001E-4</v>
      </c>
      <c r="J4294" s="76">
        <v>1.22E-4</v>
      </c>
      <c r="K4294" s="76">
        <v>2.14E-4</v>
      </c>
      <c r="L4294" s="76">
        <v>1.34E-4</v>
      </c>
      <c r="M4294" s="76">
        <v>3.0300000000000001E-5</v>
      </c>
    </row>
    <row r="4295" spans="3:13" x14ac:dyDescent="0.15">
      <c r="C4295" s="76">
        <v>690</v>
      </c>
      <c r="D4295" s="76">
        <v>2.2900000000000001E-5</v>
      </c>
      <c r="E4295" s="76">
        <v>3.4999999999999997E-5</v>
      </c>
      <c r="F4295" s="76">
        <v>2.3499999999999999E-5</v>
      </c>
      <c r="G4295" s="76">
        <v>7.2200000000000007E-5</v>
      </c>
      <c r="H4295" s="76">
        <v>7.9900000000000004E-5</v>
      </c>
      <c r="I4295" s="76">
        <v>1.3999999999999999E-4</v>
      </c>
      <c r="J4295" s="76">
        <v>1.6100000000000001E-4</v>
      </c>
      <c r="K4295" s="76">
        <v>2.2100000000000001E-4</v>
      </c>
      <c r="L4295" s="76">
        <v>1.3200000000000001E-4</v>
      </c>
      <c r="M4295" s="76">
        <v>1.45E-5</v>
      </c>
    </row>
    <row r="4296" spans="3:13" x14ac:dyDescent="0.15">
      <c r="C4296" s="76">
        <v>692</v>
      </c>
      <c r="D4296" s="76">
        <v>2.0999999999999999E-5</v>
      </c>
      <c r="E4296" s="76">
        <v>3.7499999999999997E-5</v>
      </c>
      <c r="F4296" s="76">
        <v>5.9299999999999998E-5</v>
      </c>
      <c r="G4296" s="76">
        <v>7.3999999999999996E-5</v>
      </c>
      <c r="H4296" s="76">
        <v>1.2999999999999999E-4</v>
      </c>
      <c r="I4296" s="76">
        <v>1.1400000000000001E-4</v>
      </c>
      <c r="J4296" s="76">
        <v>1.4200000000000001E-4</v>
      </c>
      <c r="K4296" s="76">
        <v>1.5300000000000001E-4</v>
      </c>
      <c r="L4296" s="76">
        <v>1.5200000000000001E-4</v>
      </c>
      <c r="M4296" s="76">
        <v>1.05E-4</v>
      </c>
    </row>
    <row r="4297" spans="3:13" x14ac:dyDescent="0.15">
      <c r="C4297" s="76">
        <v>694</v>
      </c>
      <c r="D4297" s="76">
        <v>1.9899999999999999E-5</v>
      </c>
      <c r="E4297" s="76">
        <v>2.8900000000000001E-5</v>
      </c>
      <c r="F4297" s="76">
        <v>3.2199999999999997E-5</v>
      </c>
      <c r="G4297" s="76">
        <v>8.81E-5</v>
      </c>
      <c r="H4297" s="76">
        <v>1.17E-4</v>
      </c>
      <c r="I4297" s="76">
        <v>1.01E-4</v>
      </c>
      <c r="J4297" s="76">
        <v>1.35E-4</v>
      </c>
      <c r="K4297" s="76">
        <v>3.4E-5</v>
      </c>
      <c r="L4297" s="76">
        <v>1.73E-4</v>
      </c>
      <c r="M4297" s="76">
        <v>6.1199999999999997E-5</v>
      </c>
    </row>
    <row r="4298" spans="3:13" x14ac:dyDescent="0.15">
      <c r="C4298" s="76">
        <v>696</v>
      </c>
      <c r="D4298" s="76">
        <v>9.6900000000000004E-6</v>
      </c>
      <c r="E4298" s="76">
        <v>2.8600000000000001E-5</v>
      </c>
      <c r="F4298" s="76">
        <v>2.6699999999999998E-5</v>
      </c>
      <c r="G4298" s="76">
        <v>4.6900000000000002E-5</v>
      </c>
      <c r="H4298" s="76">
        <v>1.03E-4</v>
      </c>
      <c r="I4298" s="76">
        <v>1.07E-4</v>
      </c>
      <c r="J4298" s="76">
        <v>1.25E-4</v>
      </c>
      <c r="K4298" s="76">
        <v>1.6100000000000001E-4</v>
      </c>
      <c r="L4298" s="76">
        <v>1.3100000000000001E-4</v>
      </c>
      <c r="M4298" s="76">
        <v>1.2899999999999999E-4</v>
      </c>
    </row>
    <row r="4299" spans="3:13" x14ac:dyDescent="0.15">
      <c r="C4299" s="76">
        <v>698</v>
      </c>
      <c r="D4299" s="76">
        <v>1.01E-5</v>
      </c>
      <c r="E4299" s="76">
        <v>2.5400000000000001E-5</v>
      </c>
      <c r="F4299" s="76">
        <v>1.0499999999999999E-5</v>
      </c>
      <c r="G4299" s="76">
        <v>6.3299999999999994E-5</v>
      </c>
      <c r="H4299" s="76">
        <v>8.7800000000000006E-5</v>
      </c>
      <c r="I4299" s="76">
        <v>1.2799999999999999E-4</v>
      </c>
      <c r="J4299" s="76">
        <v>1.1900000000000001E-4</v>
      </c>
      <c r="K4299" s="76">
        <v>1.8200000000000001E-4</v>
      </c>
      <c r="L4299" s="76">
        <v>1.35E-4</v>
      </c>
      <c r="M4299" s="76">
        <v>2.1000000000000001E-4</v>
      </c>
    </row>
    <row r="4300" spans="3:13" x14ac:dyDescent="0.15">
      <c r="C4300" s="76">
        <v>700</v>
      </c>
      <c r="D4300" s="76">
        <v>1.77E-5</v>
      </c>
      <c r="E4300" s="76">
        <v>2.6999999999999999E-5</v>
      </c>
      <c r="F4300" s="76">
        <v>5.4099999999999999E-6</v>
      </c>
      <c r="G4300" s="76">
        <v>7.2399999999999998E-5</v>
      </c>
      <c r="H4300" s="76">
        <v>6.6400000000000001E-5</v>
      </c>
      <c r="I4300" s="76">
        <v>1.08E-4</v>
      </c>
      <c r="J4300" s="76">
        <v>1.46E-4</v>
      </c>
      <c r="K4300" s="76">
        <v>1.18E-4</v>
      </c>
      <c r="L4300" s="76">
        <v>1.64E-4</v>
      </c>
      <c r="M4300" s="76">
        <v>1.22E-4</v>
      </c>
    </row>
    <row r="4301" spans="3:13" x14ac:dyDescent="0.15">
      <c r="C4301" s="76">
        <v>702</v>
      </c>
      <c r="D4301" s="76">
        <v>2.0599999999999999E-5</v>
      </c>
      <c r="E4301" s="76">
        <v>5.38E-5</v>
      </c>
      <c r="F4301" s="76">
        <v>2.6800000000000001E-5</v>
      </c>
      <c r="G4301" s="76">
        <v>7.7000000000000001E-5</v>
      </c>
      <c r="H4301" s="76">
        <v>1.06E-4</v>
      </c>
      <c r="I4301" s="76">
        <v>1.44E-4</v>
      </c>
      <c r="J4301" s="76">
        <v>1.75E-4</v>
      </c>
      <c r="K4301" s="76">
        <v>1.07E-4</v>
      </c>
      <c r="L4301" s="76">
        <v>2.34E-4</v>
      </c>
      <c r="M4301" s="76">
        <v>7.3399999999999995E-5</v>
      </c>
    </row>
    <row r="4302" spans="3:13" x14ac:dyDescent="0.15">
      <c r="C4302" s="76">
        <v>704</v>
      </c>
      <c r="D4302" s="76">
        <v>1.49E-5</v>
      </c>
      <c r="E4302" s="76">
        <v>4.4799999999999998E-5</v>
      </c>
      <c r="F4302" s="76">
        <v>2.69E-5</v>
      </c>
      <c r="G4302" s="76">
        <v>9.7E-5</v>
      </c>
      <c r="H4302" s="76">
        <v>1.1400000000000001E-4</v>
      </c>
      <c r="I4302" s="76">
        <v>7.8499999999999997E-5</v>
      </c>
      <c r="J4302" s="76">
        <v>1.66E-4</v>
      </c>
      <c r="K4302" s="76">
        <v>1.25E-4</v>
      </c>
      <c r="L4302" s="76">
        <v>1.45E-4</v>
      </c>
      <c r="M4302" s="76">
        <v>1.9100000000000001E-4</v>
      </c>
    </row>
    <row r="4303" spans="3:13" x14ac:dyDescent="0.15">
      <c r="C4303" s="76">
        <v>706</v>
      </c>
      <c r="D4303" s="76">
        <v>7.2599999999999999E-6</v>
      </c>
      <c r="E4303" s="76">
        <v>5.8999999999999998E-5</v>
      </c>
      <c r="F4303" s="76">
        <v>0</v>
      </c>
      <c r="G4303" s="76">
        <v>9.8999999999999994E-5</v>
      </c>
      <c r="H4303" s="76">
        <v>1.17E-4</v>
      </c>
      <c r="I4303" s="76">
        <v>1.4200000000000001E-4</v>
      </c>
      <c r="J4303" s="76">
        <v>1.47E-4</v>
      </c>
      <c r="K4303" s="76">
        <v>1.18E-4</v>
      </c>
      <c r="L4303" s="76">
        <v>9.9300000000000001E-5</v>
      </c>
      <c r="M4303" s="76">
        <v>1.7899999999999999E-4</v>
      </c>
    </row>
    <row r="4304" spans="3:13" x14ac:dyDescent="0.15">
      <c r="C4304" s="76">
        <v>708</v>
      </c>
      <c r="D4304" s="76">
        <v>1.34E-5</v>
      </c>
      <c r="E4304" s="76">
        <v>5.2200000000000002E-5</v>
      </c>
      <c r="F4304" s="76">
        <v>2.3600000000000001E-5</v>
      </c>
      <c r="G4304" s="76">
        <v>1.07E-4</v>
      </c>
      <c r="H4304" s="76">
        <v>4.3999999999999999E-5</v>
      </c>
      <c r="I4304" s="76">
        <v>6.8300000000000007E-5</v>
      </c>
      <c r="J4304" s="76">
        <v>1.17E-4</v>
      </c>
      <c r="K4304" s="76">
        <v>1.03E-4</v>
      </c>
      <c r="L4304" s="76">
        <v>1.01E-4</v>
      </c>
      <c r="M4304" s="76">
        <v>3.0899999999999998E-4</v>
      </c>
    </row>
    <row r="4305" spans="3:13" x14ac:dyDescent="0.15">
      <c r="C4305" s="76">
        <v>710</v>
      </c>
      <c r="D4305" s="76">
        <v>1.88E-5</v>
      </c>
      <c r="E4305" s="76">
        <v>5.41E-5</v>
      </c>
      <c r="F4305" s="76">
        <v>1.3699999999999999E-5</v>
      </c>
      <c r="G4305" s="76">
        <v>1.2899999999999999E-4</v>
      </c>
      <c r="H4305" s="76">
        <v>5.0599999999999997E-5</v>
      </c>
      <c r="I4305" s="76">
        <v>7.5300000000000001E-5</v>
      </c>
      <c r="J4305" s="76">
        <v>1.2899999999999999E-4</v>
      </c>
      <c r="K4305" s="76">
        <v>1.27E-4</v>
      </c>
      <c r="L4305" s="76">
        <v>7.9499999999999994E-5</v>
      </c>
      <c r="M4305" s="76">
        <v>1.18E-4</v>
      </c>
    </row>
    <row r="4306" spans="3:13" x14ac:dyDescent="0.15">
      <c r="C4306" s="76">
        <v>712</v>
      </c>
      <c r="D4306" s="76">
        <v>1.5800000000000001E-5</v>
      </c>
      <c r="E4306" s="76">
        <v>5.1400000000000003E-5</v>
      </c>
      <c r="F4306" s="76">
        <v>2.21E-6</v>
      </c>
      <c r="G4306" s="76">
        <v>1.25E-4</v>
      </c>
      <c r="H4306" s="76">
        <v>1.12E-4</v>
      </c>
      <c r="I4306" s="76">
        <v>4.9700000000000002E-5</v>
      </c>
      <c r="J4306" s="76">
        <v>7.2999999999999999E-5</v>
      </c>
      <c r="K4306" s="76">
        <v>6.5900000000000003E-5</v>
      </c>
      <c r="L4306" s="76">
        <v>3.6100000000000003E-5</v>
      </c>
      <c r="M4306" s="76">
        <v>2.02E-4</v>
      </c>
    </row>
    <row r="4307" spans="3:13" x14ac:dyDescent="0.15">
      <c r="C4307" s="76">
        <v>714</v>
      </c>
      <c r="D4307" s="76">
        <v>3.6799999999999999E-6</v>
      </c>
      <c r="E4307" s="76">
        <v>6.7700000000000006E-5</v>
      </c>
      <c r="F4307" s="76">
        <v>2.7800000000000001E-5</v>
      </c>
      <c r="G4307" s="76">
        <v>1.37E-4</v>
      </c>
      <c r="H4307" s="76">
        <v>1.16E-4</v>
      </c>
      <c r="I4307" s="76">
        <v>2.1800000000000001E-5</v>
      </c>
      <c r="J4307" s="76">
        <v>1.13E-4</v>
      </c>
      <c r="K4307" s="76">
        <v>5.6799999999999998E-5</v>
      </c>
      <c r="L4307" s="76">
        <v>7.8300000000000006E-5</v>
      </c>
      <c r="M4307" s="76">
        <v>1.9100000000000001E-4</v>
      </c>
    </row>
    <row r="4308" spans="3:13" x14ac:dyDescent="0.15">
      <c r="C4308" s="76">
        <v>716</v>
      </c>
      <c r="D4308" s="76">
        <v>9.4800000000000007E-6</v>
      </c>
      <c r="E4308" s="76">
        <v>5.4700000000000001E-5</v>
      </c>
      <c r="F4308" s="76">
        <v>3.3699999999999999E-5</v>
      </c>
      <c r="G4308" s="76">
        <v>1.21E-4</v>
      </c>
      <c r="H4308" s="76">
        <v>1.07E-4</v>
      </c>
      <c r="I4308" s="76">
        <v>3.7499999999999997E-5</v>
      </c>
      <c r="J4308" s="76">
        <v>7.1099999999999994E-5</v>
      </c>
      <c r="K4308" s="76">
        <v>3.9199999999999997E-5</v>
      </c>
      <c r="L4308" s="76">
        <v>1.1E-4</v>
      </c>
      <c r="M4308" s="76">
        <v>2.3499999999999999E-4</v>
      </c>
    </row>
    <row r="4309" spans="3:13" x14ac:dyDescent="0.15">
      <c r="C4309" s="76">
        <v>718</v>
      </c>
      <c r="D4309" s="76">
        <v>2.2500000000000001E-5</v>
      </c>
      <c r="E4309" s="76">
        <v>5.41E-5</v>
      </c>
      <c r="F4309" s="76">
        <v>1.1E-5</v>
      </c>
      <c r="G4309" s="76">
        <v>1.3899999999999999E-4</v>
      </c>
      <c r="H4309" s="76">
        <v>1.17E-4</v>
      </c>
      <c r="I4309" s="76">
        <v>8.9099999999999997E-5</v>
      </c>
      <c r="J4309" s="76">
        <v>7.2100000000000004E-5</v>
      </c>
      <c r="K4309" s="76">
        <v>7.7899999999999996E-5</v>
      </c>
      <c r="L4309" s="76">
        <v>7.5400000000000003E-5</v>
      </c>
      <c r="M4309" s="76">
        <v>2.7900000000000001E-4</v>
      </c>
    </row>
    <row r="4310" spans="3:13" x14ac:dyDescent="0.15">
      <c r="C4310" s="76">
        <v>720</v>
      </c>
      <c r="D4310" s="76">
        <v>3.0000000000000001E-6</v>
      </c>
      <c r="E4310" s="76">
        <v>4.2899999999999999E-5</v>
      </c>
      <c r="F4310" s="76">
        <v>2.76E-5</v>
      </c>
      <c r="G4310" s="76">
        <v>1.34E-4</v>
      </c>
      <c r="H4310" s="76">
        <v>8.3399999999999994E-5</v>
      </c>
      <c r="I4310" s="76">
        <v>4.1100000000000003E-5</v>
      </c>
      <c r="J4310" s="76">
        <v>1.2999999999999999E-4</v>
      </c>
      <c r="K4310" s="76">
        <v>4.4299999999999999E-5</v>
      </c>
      <c r="L4310" s="76">
        <v>5.3000000000000001E-5</v>
      </c>
      <c r="M4310" s="76">
        <v>1.75E-4</v>
      </c>
    </row>
    <row r="4311" spans="3:13" x14ac:dyDescent="0.15">
      <c r="C4311" s="76">
        <v>722</v>
      </c>
      <c r="D4311" s="76">
        <v>1.2999999999999999E-5</v>
      </c>
      <c r="E4311" s="76">
        <v>5.3399999999999997E-5</v>
      </c>
      <c r="F4311" s="76">
        <v>1.59E-5</v>
      </c>
      <c r="G4311" s="76">
        <v>1.37E-4</v>
      </c>
      <c r="H4311" s="76">
        <v>6.2899999999999997E-5</v>
      </c>
      <c r="I4311" s="76">
        <v>8.6500000000000002E-5</v>
      </c>
      <c r="J4311" s="76">
        <v>6.5699999999999998E-5</v>
      </c>
      <c r="K4311" s="76">
        <v>4.0200000000000001E-5</v>
      </c>
      <c r="L4311" s="76">
        <v>1.8799999999999999E-4</v>
      </c>
      <c r="M4311" s="76">
        <v>2.1100000000000001E-4</v>
      </c>
    </row>
    <row r="4312" spans="3:13" x14ac:dyDescent="0.15">
      <c r="C4312" s="76">
        <v>724</v>
      </c>
      <c r="D4312" s="76">
        <v>1.24E-5</v>
      </c>
      <c r="E4312" s="76">
        <v>4.9799999999999998E-5</v>
      </c>
      <c r="F4312" s="76">
        <v>6.3999999999999997E-6</v>
      </c>
      <c r="G4312" s="76">
        <v>1.35E-4</v>
      </c>
      <c r="H4312" s="76">
        <v>5.1400000000000003E-5</v>
      </c>
      <c r="I4312" s="76">
        <v>7.4800000000000002E-5</v>
      </c>
      <c r="J4312" s="76">
        <v>1.3300000000000001E-4</v>
      </c>
      <c r="K4312" s="76">
        <v>1.1400000000000001E-4</v>
      </c>
      <c r="L4312" s="76">
        <v>5.0399999999999999E-5</v>
      </c>
      <c r="M4312" s="76">
        <v>2.63E-4</v>
      </c>
    </row>
    <row r="4313" spans="3:13" x14ac:dyDescent="0.15">
      <c r="C4313" s="76">
        <v>726</v>
      </c>
      <c r="D4313" s="76">
        <v>1.4800000000000001E-5</v>
      </c>
      <c r="E4313" s="76">
        <v>5.5600000000000003E-5</v>
      </c>
      <c r="F4313" s="76">
        <v>2.26E-5</v>
      </c>
      <c r="G4313" s="76">
        <v>1.4899999999999999E-4</v>
      </c>
      <c r="H4313" s="76">
        <v>4.46E-5</v>
      </c>
      <c r="I4313" s="76">
        <v>6.7100000000000005E-5</v>
      </c>
      <c r="J4313" s="76">
        <v>8.9900000000000003E-5</v>
      </c>
      <c r="K4313" s="76">
        <v>2.9899999999999998E-5</v>
      </c>
      <c r="L4313" s="76">
        <v>6.9200000000000002E-5</v>
      </c>
      <c r="M4313" s="76">
        <v>2.9999999999999997E-4</v>
      </c>
    </row>
    <row r="4314" spans="3:13" x14ac:dyDescent="0.15">
      <c r="C4314" s="76">
        <v>728</v>
      </c>
      <c r="D4314" s="76">
        <v>2.2099999999999998E-5</v>
      </c>
      <c r="E4314" s="76">
        <v>2.0000000000000002E-5</v>
      </c>
      <c r="F4314" s="76">
        <v>4.6E-5</v>
      </c>
      <c r="G4314" s="76">
        <v>1.02E-4</v>
      </c>
      <c r="H4314" s="76">
        <v>6.8300000000000007E-5</v>
      </c>
      <c r="I4314" s="76">
        <v>7.3300000000000006E-5</v>
      </c>
      <c r="J4314" s="76">
        <v>7.9699999999999999E-5</v>
      </c>
      <c r="K4314" s="76">
        <v>1.13E-4</v>
      </c>
      <c r="L4314" s="76">
        <v>1.01E-4</v>
      </c>
      <c r="M4314" s="76">
        <v>2.1599999999999999E-4</v>
      </c>
    </row>
    <row r="4315" spans="3:13" x14ac:dyDescent="0.15">
      <c r="C4315" s="76">
        <v>730</v>
      </c>
      <c r="D4315" s="76">
        <v>2.4300000000000001E-5</v>
      </c>
      <c r="E4315" s="76">
        <v>1.8E-5</v>
      </c>
      <c r="F4315" s="76">
        <v>4.49E-5</v>
      </c>
      <c r="G4315" s="76">
        <v>1.3100000000000001E-4</v>
      </c>
      <c r="H4315" s="76">
        <v>4.8900000000000003E-5</v>
      </c>
      <c r="I4315" s="76">
        <v>5.3900000000000002E-5</v>
      </c>
      <c r="J4315" s="76">
        <v>5.2200000000000002E-5</v>
      </c>
      <c r="K4315" s="76">
        <v>7.1699999999999995E-5</v>
      </c>
      <c r="L4315" s="76">
        <v>8.5000000000000006E-5</v>
      </c>
      <c r="M4315" s="76">
        <v>2.52E-4</v>
      </c>
    </row>
    <row r="4316" spans="3:13" x14ac:dyDescent="0.15">
      <c r="C4316" s="76">
        <v>732</v>
      </c>
      <c r="D4316" s="76">
        <v>2.23E-5</v>
      </c>
      <c r="E4316" s="76">
        <v>3.1399999999999998E-5</v>
      </c>
      <c r="F4316" s="76">
        <v>3.0700000000000001E-5</v>
      </c>
      <c r="G4316" s="76">
        <v>1.2300000000000001E-4</v>
      </c>
      <c r="H4316" s="76">
        <v>4.2400000000000001E-5</v>
      </c>
      <c r="I4316" s="76">
        <v>7.2299999999999996E-5</v>
      </c>
      <c r="J4316" s="76">
        <v>5.3999999999999998E-5</v>
      </c>
      <c r="K4316" s="76">
        <v>1.5899999999999999E-4</v>
      </c>
      <c r="L4316" s="76">
        <v>1.18E-4</v>
      </c>
      <c r="M4316" s="76">
        <v>1.6899999999999999E-4</v>
      </c>
    </row>
    <row r="4317" spans="3:13" x14ac:dyDescent="0.15">
      <c r="C4317" s="76">
        <v>734</v>
      </c>
      <c r="D4317" s="76">
        <v>1.7099999999999999E-5</v>
      </c>
      <c r="E4317" s="76">
        <v>4.0899999999999998E-5</v>
      </c>
      <c r="F4317" s="76">
        <v>4.2799999999999997E-5</v>
      </c>
      <c r="G4317" s="76">
        <v>1.3200000000000001E-4</v>
      </c>
      <c r="H4317" s="76">
        <v>4.3999999999999999E-5</v>
      </c>
      <c r="I4317" s="76">
        <v>5.2099999999999999E-5</v>
      </c>
      <c r="J4317" s="76">
        <v>2.2399999999999999E-5</v>
      </c>
      <c r="K4317" s="76">
        <v>2.3499999999999999E-4</v>
      </c>
      <c r="L4317" s="76">
        <v>1E-4</v>
      </c>
      <c r="M4317" s="76">
        <v>2.1900000000000001E-4</v>
      </c>
    </row>
    <row r="4318" spans="3:13" x14ac:dyDescent="0.15">
      <c r="C4318" s="76">
        <v>736</v>
      </c>
      <c r="D4318" s="76">
        <v>4.0500000000000002E-6</v>
      </c>
      <c r="E4318" s="76">
        <v>2.27E-5</v>
      </c>
      <c r="F4318" s="76">
        <v>6.0999999999999999E-5</v>
      </c>
      <c r="G4318" s="76">
        <v>1.44E-4</v>
      </c>
      <c r="H4318" s="76">
        <v>3.54E-5</v>
      </c>
      <c r="I4318" s="76">
        <v>8.5500000000000005E-5</v>
      </c>
      <c r="J4318" s="76">
        <v>5.52E-5</v>
      </c>
      <c r="K4318" s="76">
        <v>1.3200000000000001E-4</v>
      </c>
      <c r="L4318" s="76">
        <v>4.0800000000000002E-5</v>
      </c>
      <c r="M4318" s="76">
        <v>1.93E-4</v>
      </c>
    </row>
    <row r="4319" spans="3:13" x14ac:dyDescent="0.15">
      <c r="C4319" s="76">
        <v>738</v>
      </c>
      <c r="D4319" s="76">
        <v>1.43E-5</v>
      </c>
      <c r="E4319" s="76">
        <v>3.5099999999999999E-5</v>
      </c>
      <c r="F4319" s="76">
        <v>7.2100000000000004E-5</v>
      </c>
      <c r="G4319" s="76">
        <v>1.0900000000000001E-4</v>
      </c>
      <c r="H4319" s="76">
        <v>4.8399999999999997E-5</v>
      </c>
      <c r="I4319" s="76">
        <v>4.3000000000000002E-5</v>
      </c>
      <c r="J4319" s="76">
        <v>1.2999999999999999E-4</v>
      </c>
      <c r="K4319" s="76">
        <v>1.3799999999999999E-4</v>
      </c>
      <c r="L4319" s="76">
        <v>1.93E-4</v>
      </c>
      <c r="M4319" s="76">
        <v>1.9799999999999999E-4</v>
      </c>
    </row>
    <row r="4320" spans="3:13" x14ac:dyDescent="0.15">
      <c r="C4320" s="76">
        <v>740</v>
      </c>
      <c r="D4320" s="76">
        <v>1.0499999999999999E-5</v>
      </c>
      <c r="E4320" s="76">
        <v>4.0500000000000002E-5</v>
      </c>
      <c r="F4320" s="76">
        <v>6.3499999999999999E-5</v>
      </c>
      <c r="G4320" s="76">
        <v>8.4699999999999999E-5</v>
      </c>
      <c r="H4320" s="76">
        <v>2.6400000000000001E-5</v>
      </c>
      <c r="I4320" s="76">
        <v>1.8100000000000001E-4</v>
      </c>
      <c r="J4320" s="76">
        <v>9.6600000000000003E-5</v>
      </c>
      <c r="K4320" s="76">
        <v>1.18E-4</v>
      </c>
      <c r="L4320" s="76">
        <v>1.9900000000000001E-4</v>
      </c>
      <c r="M4320" s="76">
        <v>1.64E-4</v>
      </c>
    </row>
    <row r="4321" spans="3:13" x14ac:dyDescent="0.15">
      <c r="C4321" s="76">
        <v>742</v>
      </c>
      <c r="D4321" s="76">
        <v>1.0499999999999999E-5</v>
      </c>
      <c r="E4321" s="76">
        <v>3.8300000000000003E-5</v>
      </c>
      <c r="F4321" s="76">
        <v>5.5800000000000001E-5</v>
      </c>
      <c r="G4321" s="76">
        <v>6.7500000000000001E-5</v>
      </c>
      <c r="H4321" s="76">
        <v>3.9400000000000002E-5</v>
      </c>
      <c r="I4321" s="76">
        <v>1.16E-4</v>
      </c>
      <c r="J4321" s="76">
        <v>7.5599999999999994E-5</v>
      </c>
      <c r="K4321" s="76">
        <v>1.46E-4</v>
      </c>
      <c r="L4321" s="76">
        <v>1.3999999999999999E-4</v>
      </c>
      <c r="M4321" s="76">
        <v>1.6799999999999999E-4</v>
      </c>
    </row>
    <row r="4322" spans="3:13" x14ac:dyDescent="0.15">
      <c r="C4322" s="76">
        <v>744</v>
      </c>
      <c r="D4322" s="76">
        <v>1.5299999999999999E-5</v>
      </c>
      <c r="E4322" s="76">
        <v>1.98E-5</v>
      </c>
      <c r="F4322" s="76">
        <v>7.7799999999999994E-5</v>
      </c>
      <c r="G4322" s="76">
        <v>8.2799999999999993E-5</v>
      </c>
      <c r="H4322" s="76">
        <v>1.7E-5</v>
      </c>
      <c r="I4322" s="76">
        <v>7.4900000000000005E-5</v>
      </c>
      <c r="J4322" s="76">
        <v>1.16E-4</v>
      </c>
      <c r="K4322" s="76">
        <v>9.1700000000000006E-5</v>
      </c>
      <c r="L4322" s="76">
        <v>1.3300000000000001E-4</v>
      </c>
      <c r="M4322" s="76">
        <v>2.04E-4</v>
      </c>
    </row>
    <row r="4323" spans="3:13" x14ac:dyDescent="0.15">
      <c r="C4323" s="76">
        <v>746</v>
      </c>
      <c r="D4323" s="76">
        <v>1.3200000000000001E-5</v>
      </c>
      <c r="E4323" s="76">
        <v>3.3300000000000003E-5</v>
      </c>
      <c r="F4323" s="76">
        <v>8.5900000000000001E-5</v>
      </c>
      <c r="G4323" s="76">
        <v>9.6199999999999994E-5</v>
      </c>
      <c r="H4323" s="76">
        <v>5.9599999999999999E-5</v>
      </c>
      <c r="I4323" s="76">
        <v>6.6400000000000001E-5</v>
      </c>
      <c r="J4323" s="76">
        <v>1.18E-4</v>
      </c>
      <c r="K4323" s="76">
        <v>1.4200000000000001E-4</v>
      </c>
      <c r="L4323" s="76">
        <v>1.6200000000000001E-4</v>
      </c>
      <c r="M4323" s="76">
        <v>1.2899999999999999E-4</v>
      </c>
    </row>
    <row r="4324" spans="3:13" x14ac:dyDescent="0.15">
      <c r="C4324" s="76">
        <v>748</v>
      </c>
      <c r="D4324" s="76">
        <v>1.5E-5</v>
      </c>
      <c r="E4324" s="76">
        <v>4.5300000000000003E-5</v>
      </c>
      <c r="F4324" s="76">
        <v>8.5199999999999997E-5</v>
      </c>
      <c r="G4324" s="76">
        <v>7.7999999999999999E-5</v>
      </c>
      <c r="H4324" s="76">
        <v>7.3800000000000005E-5</v>
      </c>
      <c r="I4324" s="76">
        <v>1.03E-4</v>
      </c>
      <c r="J4324" s="76">
        <v>1.47E-4</v>
      </c>
      <c r="K4324" s="76">
        <v>1.5100000000000001E-4</v>
      </c>
      <c r="L4324" s="76">
        <v>2.7900000000000001E-4</v>
      </c>
      <c r="M4324" s="76">
        <v>4.6400000000000003E-5</v>
      </c>
    </row>
    <row r="4325" spans="3:13" x14ac:dyDescent="0.15">
      <c r="C4325" s="76">
        <v>750</v>
      </c>
      <c r="D4325" s="76">
        <v>2.1100000000000001E-5</v>
      </c>
      <c r="E4325" s="76">
        <v>3.8800000000000001E-5</v>
      </c>
      <c r="F4325" s="76">
        <v>7.7200000000000006E-5</v>
      </c>
      <c r="G4325" s="76">
        <v>8.8900000000000006E-5</v>
      </c>
      <c r="H4325" s="76">
        <v>4.4499999999999997E-5</v>
      </c>
      <c r="I4325" s="76">
        <v>6.5599999999999995E-5</v>
      </c>
      <c r="J4325" s="76">
        <v>1.55E-4</v>
      </c>
      <c r="K4325" s="76">
        <v>1.5799999999999999E-4</v>
      </c>
      <c r="L4325" s="76">
        <v>3.5500000000000001E-4</v>
      </c>
      <c r="M4325" s="76">
        <v>3.8299999999999999E-4</v>
      </c>
    </row>
    <row r="4326" spans="3:13" x14ac:dyDescent="0.15">
      <c r="C4326" s="76">
        <v>752</v>
      </c>
      <c r="D4326" s="76">
        <v>1.6399999999999999E-5</v>
      </c>
      <c r="E4326" s="76">
        <v>5.13E-5</v>
      </c>
      <c r="F4326" s="76">
        <v>9.2700000000000004E-5</v>
      </c>
      <c r="G4326" s="76">
        <v>5.8900000000000002E-5</v>
      </c>
      <c r="H4326" s="76">
        <v>3.3399999999999999E-5</v>
      </c>
      <c r="I4326" s="76">
        <v>8.8700000000000001E-5</v>
      </c>
      <c r="J4326" s="76">
        <v>1.64E-4</v>
      </c>
      <c r="K4326" s="76">
        <v>1.6799999999999999E-4</v>
      </c>
      <c r="L4326" s="76">
        <v>3.4000000000000002E-4</v>
      </c>
      <c r="M4326" s="76">
        <v>1.9900000000000001E-4</v>
      </c>
    </row>
    <row r="4327" spans="3:13" x14ac:dyDescent="0.15">
      <c r="C4327" s="76">
        <v>754</v>
      </c>
      <c r="D4327" s="76">
        <v>1.0499999999999999E-5</v>
      </c>
      <c r="E4327" s="76">
        <v>4.9799999999999998E-5</v>
      </c>
      <c r="F4327" s="76">
        <v>5.8799999999999999E-5</v>
      </c>
      <c r="G4327" s="76">
        <v>5.5399999999999998E-5</v>
      </c>
      <c r="H4327" s="76">
        <v>6.5300000000000002E-5</v>
      </c>
      <c r="I4327" s="76">
        <v>1.6000000000000001E-4</v>
      </c>
      <c r="J4327" s="76">
        <v>2.1599999999999999E-4</v>
      </c>
      <c r="K4327" s="76">
        <v>2.0799999999999999E-4</v>
      </c>
      <c r="L4327" s="76">
        <v>3.86E-4</v>
      </c>
      <c r="M4327" s="76">
        <v>1.95E-4</v>
      </c>
    </row>
    <row r="4328" spans="3:13" x14ac:dyDescent="0.15">
      <c r="C4328" s="76">
        <v>756</v>
      </c>
      <c r="D4328" s="76">
        <v>1.49E-5</v>
      </c>
      <c r="E4328" s="76">
        <v>3.4799999999999999E-5</v>
      </c>
      <c r="F4328" s="76">
        <v>7.1000000000000005E-5</v>
      </c>
      <c r="G4328" s="76">
        <v>6.2700000000000006E-5</v>
      </c>
      <c r="H4328" s="76">
        <v>7.9099999999999998E-5</v>
      </c>
      <c r="I4328" s="76">
        <v>4.0299999999999997E-5</v>
      </c>
      <c r="J4328" s="76">
        <v>1.4300000000000001E-4</v>
      </c>
      <c r="K4328" s="76">
        <v>1.95E-4</v>
      </c>
      <c r="L4328" s="76">
        <v>3.0200000000000002E-4</v>
      </c>
      <c r="M4328" s="76">
        <v>2.42E-4</v>
      </c>
    </row>
    <row r="4329" spans="3:13" x14ac:dyDescent="0.15">
      <c r="C4329" s="76">
        <v>758</v>
      </c>
      <c r="D4329" s="76">
        <v>1.7499999999999998E-5</v>
      </c>
      <c r="E4329" s="76">
        <v>4.7599999999999998E-5</v>
      </c>
      <c r="F4329" s="76">
        <v>7.6299999999999998E-5</v>
      </c>
      <c r="G4329" s="76">
        <v>4.99E-5</v>
      </c>
      <c r="H4329" s="76">
        <v>9.7200000000000004E-5</v>
      </c>
      <c r="I4329" s="76">
        <v>1.03E-4</v>
      </c>
      <c r="J4329" s="76">
        <v>1.65E-4</v>
      </c>
      <c r="K4329" s="76">
        <v>1.22E-4</v>
      </c>
      <c r="L4329" s="76">
        <v>2.9599999999999998E-4</v>
      </c>
      <c r="M4329" s="76">
        <v>1.7100000000000001E-4</v>
      </c>
    </row>
    <row r="4330" spans="3:13" x14ac:dyDescent="0.15">
      <c r="C4330" s="76">
        <v>760</v>
      </c>
      <c r="D4330" s="76">
        <v>1.88E-5</v>
      </c>
      <c r="E4330" s="76">
        <v>7.2600000000000003E-5</v>
      </c>
      <c r="F4330" s="76">
        <v>7.7899999999999996E-5</v>
      </c>
      <c r="G4330" s="76">
        <v>4.6999999999999997E-5</v>
      </c>
      <c r="H4330" s="76">
        <v>6.3100000000000002E-5</v>
      </c>
      <c r="I4330" s="76">
        <v>1.37E-4</v>
      </c>
      <c r="J4330" s="76">
        <v>1.36E-4</v>
      </c>
      <c r="K4330" s="76">
        <v>1.9900000000000001E-4</v>
      </c>
      <c r="L4330" s="76">
        <v>3.97E-4</v>
      </c>
      <c r="M4330" s="76">
        <v>1.8900000000000001E-4</v>
      </c>
    </row>
    <row r="4331" spans="3:13" x14ac:dyDescent="0.15">
      <c r="C4331" s="76">
        <v>762</v>
      </c>
      <c r="D4331" s="76">
        <v>1.7499999999999998E-5</v>
      </c>
      <c r="E4331" s="76">
        <v>3.8800000000000001E-5</v>
      </c>
      <c r="F4331" s="76">
        <v>3.7700000000000002E-5</v>
      </c>
      <c r="G4331" s="76">
        <v>3.43E-5</v>
      </c>
      <c r="H4331" s="76">
        <v>7.8899999999999993E-5</v>
      </c>
      <c r="I4331" s="76">
        <v>8.5900000000000001E-5</v>
      </c>
      <c r="J4331" s="76">
        <v>1.73E-4</v>
      </c>
      <c r="K4331" s="76">
        <v>2.42E-4</v>
      </c>
      <c r="L4331" s="76">
        <v>2.5300000000000002E-4</v>
      </c>
      <c r="M4331" s="76">
        <v>1.9900000000000001E-4</v>
      </c>
    </row>
    <row r="4332" spans="3:13" x14ac:dyDescent="0.15">
      <c r="C4332" s="76">
        <v>764</v>
      </c>
      <c r="D4332" s="76">
        <v>1.59E-5</v>
      </c>
      <c r="E4332" s="76">
        <v>5.4200000000000003E-5</v>
      </c>
      <c r="F4332" s="76">
        <v>6.41E-5</v>
      </c>
      <c r="G4332" s="76">
        <v>6.4399999999999993E-5</v>
      </c>
      <c r="H4332" s="76">
        <v>1.8099999999999999E-5</v>
      </c>
      <c r="I4332" s="76">
        <v>3.0199999999999999E-5</v>
      </c>
      <c r="J4332" s="76">
        <v>2.1000000000000001E-4</v>
      </c>
      <c r="K4332" s="76">
        <v>1.7000000000000001E-4</v>
      </c>
      <c r="L4332" s="76">
        <v>4.2200000000000001E-4</v>
      </c>
      <c r="M4332" s="76">
        <v>2.5500000000000002E-4</v>
      </c>
    </row>
    <row r="4333" spans="3:13" x14ac:dyDescent="0.15">
      <c r="C4333" s="76">
        <v>766</v>
      </c>
      <c r="D4333" s="76">
        <v>1.2300000000000001E-5</v>
      </c>
      <c r="E4333" s="76">
        <v>5.49E-5</v>
      </c>
      <c r="F4333" s="76">
        <v>6.0600000000000003E-5</v>
      </c>
      <c r="G4333" s="76">
        <v>5.1700000000000003E-5</v>
      </c>
      <c r="H4333" s="76">
        <v>7.6199999999999995E-5</v>
      </c>
      <c r="I4333" s="76">
        <v>1.25E-4</v>
      </c>
      <c r="J4333" s="76">
        <v>2.4699999999999999E-4</v>
      </c>
      <c r="K4333" s="76">
        <v>1.45E-4</v>
      </c>
      <c r="L4333" s="76">
        <v>3.68E-4</v>
      </c>
      <c r="M4333" s="76">
        <v>1.8799999999999999E-4</v>
      </c>
    </row>
    <row r="4334" spans="3:13" x14ac:dyDescent="0.15">
      <c r="C4334" s="76">
        <v>768</v>
      </c>
      <c r="D4334" s="76">
        <v>6.1800000000000001E-6</v>
      </c>
      <c r="E4334" s="76">
        <v>3.8099999999999998E-5</v>
      </c>
      <c r="F4334" s="76">
        <v>8.5000000000000006E-5</v>
      </c>
      <c r="G4334" s="76">
        <v>3.6399999999999997E-5</v>
      </c>
      <c r="H4334" s="76">
        <v>1.2E-4</v>
      </c>
      <c r="I4334" s="76">
        <v>1.2E-4</v>
      </c>
      <c r="J4334" s="76">
        <v>1.9900000000000001E-4</v>
      </c>
      <c r="K4334" s="76">
        <v>2.0699999999999999E-4</v>
      </c>
      <c r="L4334" s="76">
        <v>2.9599999999999998E-4</v>
      </c>
      <c r="M4334" s="76">
        <v>1.94E-4</v>
      </c>
    </row>
    <row r="4335" spans="3:13" x14ac:dyDescent="0.15">
      <c r="C4335" s="76">
        <v>770</v>
      </c>
      <c r="D4335" s="76">
        <v>1.1600000000000001E-5</v>
      </c>
      <c r="E4335" s="76">
        <v>5.4299999999999998E-5</v>
      </c>
      <c r="F4335" s="76">
        <v>6.9099999999999999E-6</v>
      </c>
      <c r="G4335" s="76">
        <v>1.8099999999999999E-5</v>
      </c>
      <c r="H4335" s="76">
        <v>7.0599999999999995E-5</v>
      </c>
      <c r="I4335" s="76">
        <v>9.4500000000000007E-5</v>
      </c>
      <c r="J4335" s="76">
        <v>1.76E-4</v>
      </c>
      <c r="K4335" s="76">
        <v>1.11E-4</v>
      </c>
      <c r="L4335" s="76">
        <v>2.8600000000000001E-4</v>
      </c>
      <c r="M4335" s="76">
        <v>1.2E-4</v>
      </c>
    </row>
    <row r="4336" spans="3:13" x14ac:dyDescent="0.15">
      <c r="C4336" s="76">
        <v>772</v>
      </c>
      <c r="D4336" s="76">
        <v>1.7E-5</v>
      </c>
      <c r="E4336" s="76">
        <v>4.9400000000000001E-5</v>
      </c>
      <c r="F4336" s="76">
        <v>4.1300000000000001E-5</v>
      </c>
      <c r="G4336" s="76">
        <v>2.0400000000000001E-5</v>
      </c>
      <c r="H4336" s="76">
        <v>9.0299999999999999E-5</v>
      </c>
      <c r="I4336" s="76">
        <v>1.05E-4</v>
      </c>
      <c r="J4336" s="76">
        <v>2.2499999999999999E-4</v>
      </c>
      <c r="K4336" s="76">
        <v>1.1400000000000001E-4</v>
      </c>
      <c r="L4336" s="76">
        <v>3.1399999999999999E-4</v>
      </c>
      <c r="M4336" s="76">
        <v>2.1000000000000001E-4</v>
      </c>
    </row>
    <row r="4337" spans="2:13" x14ac:dyDescent="0.15">
      <c r="C4337" s="76">
        <v>774</v>
      </c>
      <c r="D4337" s="76">
        <v>1.45E-5</v>
      </c>
      <c r="E4337" s="76">
        <v>3.4700000000000003E-5</v>
      </c>
      <c r="F4337" s="76">
        <v>7.0300000000000001E-5</v>
      </c>
      <c r="G4337" s="76">
        <v>0</v>
      </c>
      <c r="H4337" s="76">
        <v>7.8399999999999995E-5</v>
      </c>
      <c r="I4337" s="76">
        <v>1.3300000000000001E-4</v>
      </c>
      <c r="J4337" s="76">
        <v>1.3300000000000001E-4</v>
      </c>
      <c r="K4337" s="76">
        <v>8.7399999999999997E-5</v>
      </c>
      <c r="L4337" s="76">
        <v>2.7099999999999997E-4</v>
      </c>
      <c r="M4337" s="76">
        <v>9.1399999999999999E-5</v>
      </c>
    </row>
    <row r="4338" spans="2:13" x14ac:dyDescent="0.15">
      <c r="C4338" s="76">
        <v>776</v>
      </c>
      <c r="D4338" s="76">
        <v>1.1199999999999999E-5</v>
      </c>
      <c r="E4338" s="76">
        <v>6.9200000000000002E-5</v>
      </c>
      <c r="F4338" s="76">
        <v>1.7E-5</v>
      </c>
      <c r="G4338" s="76">
        <v>9.7999999999999993E-6</v>
      </c>
      <c r="H4338" s="76">
        <v>1.3200000000000001E-4</v>
      </c>
      <c r="I4338" s="76">
        <v>6.1400000000000002E-5</v>
      </c>
      <c r="J4338" s="76">
        <v>1.02E-4</v>
      </c>
      <c r="K4338" s="76">
        <v>1.73E-4</v>
      </c>
      <c r="L4338" s="76">
        <v>2.0799999999999999E-4</v>
      </c>
      <c r="M4338" s="76">
        <v>3.4699999999999998E-4</v>
      </c>
    </row>
    <row r="4339" spans="2:13" x14ac:dyDescent="0.15">
      <c r="C4339" s="76">
        <v>778</v>
      </c>
      <c r="D4339" s="76">
        <v>2.23E-5</v>
      </c>
      <c r="E4339" s="76">
        <v>3.8899999999999997E-5</v>
      </c>
      <c r="F4339" s="76">
        <v>0</v>
      </c>
      <c r="G4339" s="76">
        <v>1.5299999999999999E-5</v>
      </c>
      <c r="H4339" s="76">
        <v>1.11E-4</v>
      </c>
      <c r="I4339" s="76">
        <v>6.9099999999999999E-5</v>
      </c>
      <c r="J4339" s="76">
        <v>6.6000000000000005E-5</v>
      </c>
      <c r="K4339" s="76">
        <v>1.2999999999999999E-4</v>
      </c>
      <c r="L4339" s="76">
        <v>7.1099999999999994E-5</v>
      </c>
      <c r="M4339" s="76">
        <v>2.8400000000000002E-4</v>
      </c>
    </row>
    <row r="4340" spans="2:13" x14ac:dyDescent="0.15">
      <c r="C4340" s="76">
        <v>780</v>
      </c>
      <c r="D4340" s="76">
        <v>1.6500000000000001E-5</v>
      </c>
      <c r="E4340" s="120">
        <v>3.54E-5</v>
      </c>
      <c r="F4340" s="120">
        <v>0</v>
      </c>
      <c r="G4340" s="120">
        <v>3.5599999999999998E-5</v>
      </c>
      <c r="H4340" s="76">
        <v>1.2300000000000001E-4</v>
      </c>
      <c r="I4340" s="76">
        <v>9.8599999999999998E-5</v>
      </c>
      <c r="J4340" s="76">
        <v>1.03E-4</v>
      </c>
      <c r="K4340" s="76">
        <v>1.17E-4</v>
      </c>
      <c r="L4340" s="76">
        <v>1.8100000000000001E-4</v>
      </c>
      <c r="M4340" s="76">
        <v>2.2800000000000001E-4</v>
      </c>
    </row>
    <row r="4341" spans="2:13" x14ac:dyDescent="0.15">
      <c r="B4341" s="76">
        <v>51</v>
      </c>
      <c r="C4341" s="76" t="s">
        <v>561</v>
      </c>
      <c r="D4341" s="76">
        <v>1</v>
      </c>
      <c r="E4341" s="76">
        <v>2</v>
      </c>
      <c r="F4341" s="76">
        <v>3</v>
      </c>
      <c r="G4341" s="76">
        <v>4</v>
      </c>
      <c r="H4341" s="76">
        <v>5</v>
      </c>
      <c r="I4341" s="76">
        <v>6</v>
      </c>
      <c r="J4341" s="76">
        <v>7</v>
      </c>
      <c r="K4341" s="76">
        <v>8</v>
      </c>
      <c r="L4341" s="76">
        <v>9</v>
      </c>
      <c r="M4341" s="76">
        <v>10</v>
      </c>
    </row>
    <row r="4342" spans="2:13" x14ac:dyDescent="0.15">
      <c r="C4342" s="76" t="s">
        <v>556</v>
      </c>
      <c r="D4342" s="76">
        <v>3.5720000000000001</v>
      </c>
      <c r="E4342" s="76">
        <v>3.7109999999999999</v>
      </c>
      <c r="F4342" s="76">
        <v>3.8109999999999999</v>
      </c>
      <c r="G4342" s="76">
        <v>3.8929999999999998</v>
      </c>
      <c r="H4342" s="76">
        <v>3.964</v>
      </c>
      <c r="I4342" s="76">
        <v>4.0279999999999996</v>
      </c>
      <c r="J4342" s="76">
        <v>4.0860000000000003</v>
      </c>
      <c r="K4342" s="76">
        <v>4.1399999999999997</v>
      </c>
      <c r="L4342" s="76">
        <v>4.1900000000000004</v>
      </c>
      <c r="M4342" s="76">
        <v>4.2380000000000004</v>
      </c>
    </row>
    <row r="4343" spans="2:13" x14ac:dyDescent="0.15">
      <c r="C4343" s="76" t="s">
        <v>562</v>
      </c>
      <c r="D4343" s="76">
        <v>0.08</v>
      </c>
      <c r="E4343" s="76">
        <v>0.16</v>
      </c>
      <c r="F4343" s="76">
        <v>0.24</v>
      </c>
      <c r="G4343" s="76">
        <v>0.32</v>
      </c>
      <c r="H4343" s="76">
        <v>0.4</v>
      </c>
      <c r="I4343" s="76">
        <v>0.48</v>
      </c>
      <c r="J4343" s="76">
        <v>0.56000000000000005</v>
      </c>
      <c r="K4343" s="76">
        <v>0.64</v>
      </c>
      <c r="L4343" s="76">
        <v>0.72</v>
      </c>
      <c r="M4343" s="76">
        <v>0.8</v>
      </c>
    </row>
    <row r="4344" spans="2:13" x14ac:dyDescent="0.15">
      <c r="C4344" s="76" t="s">
        <v>557</v>
      </c>
      <c r="D4344" s="76">
        <v>2</v>
      </c>
      <c r="E4344" s="76">
        <v>4</v>
      </c>
      <c r="F4344" s="76">
        <v>6</v>
      </c>
      <c r="G4344" s="76">
        <v>8</v>
      </c>
      <c r="H4344" s="76">
        <v>10</v>
      </c>
      <c r="I4344" s="76">
        <v>12</v>
      </c>
      <c r="J4344" s="76">
        <v>14</v>
      </c>
      <c r="K4344" s="76">
        <v>16</v>
      </c>
      <c r="L4344" s="76">
        <v>18</v>
      </c>
      <c r="M4344" s="76">
        <v>20</v>
      </c>
    </row>
    <row r="4345" spans="2:13" x14ac:dyDescent="0.15">
      <c r="C4345" s="76" t="s">
        <v>560</v>
      </c>
      <c r="D4345" s="76">
        <v>8.2949999999999999</v>
      </c>
      <c r="E4345" s="76">
        <v>8.4619999999999997</v>
      </c>
      <c r="F4345" s="76">
        <v>8.4749999999999996</v>
      </c>
      <c r="G4345" s="76">
        <v>8.4779999999999998</v>
      </c>
      <c r="H4345" s="76">
        <v>8.4540000000000006</v>
      </c>
      <c r="I4345" s="76">
        <v>8.4329999999999998</v>
      </c>
      <c r="J4345" s="76">
        <v>8.4139999999999997</v>
      </c>
      <c r="K4345" s="76">
        <v>8.3930000000000007</v>
      </c>
      <c r="L4345" s="76">
        <v>8.3780000000000001</v>
      </c>
      <c r="M4345" s="76">
        <v>8.3450000000000006</v>
      </c>
    </row>
    <row r="4346" spans="2:13" x14ac:dyDescent="0.15">
      <c r="C4346" s="76" t="s">
        <v>563</v>
      </c>
      <c r="D4346" s="76">
        <v>7.2953739999999998</v>
      </c>
      <c r="E4346" s="76">
        <v>7.1629379999999996</v>
      </c>
      <c r="F4346" s="76">
        <v>6.9864459999999999</v>
      </c>
      <c r="G4346" s="76">
        <v>6.8427179999999996</v>
      </c>
      <c r="H4346" s="76">
        <v>6.7006290000000002</v>
      </c>
      <c r="I4346" s="76">
        <v>6.5773469999999996</v>
      </c>
      <c r="J4346" s="76">
        <v>6.4687590000000004</v>
      </c>
      <c r="K4346" s="76">
        <v>6.369256</v>
      </c>
      <c r="L4346" s="76">
        <v>6.28078</v>
      </c>
      <c r="M4346" s="76">
        <v>6.186623</v>
      </c>
    </row>
    <row r="4347" spans="2:13" x14ac:dyDescent="0.15">
      <c r="C4347" s="76" t="s">
        <v>564</v>
      </c>
      <c r="D4347" s="76">
        <v>165.9</v>
      </c>
      <c r="E4347" s="76">
        <v>338.5</v>
      </c>
      <c r="F4347" s="76">
        <v>508.5</v>
      </c>
      <c r="G4347" s="76">
        <v>678.3</v>
      </c>
      <c r="H4347" s="76">
        <v>845.5</v>
      </c>
      <c r="I4347" s="76">
        <v>1012</v>
      </c>
      <c r="J4347" s="76">
        <v>1178</v>
      </c>
      <c r="K4347" s="76">
        <v>1343</v>
      </c>
      <c r="L4347" s="76">
        <v>1508</v>
      </c>
      <c r="M4347" s="76">
        <v>1669</v>
      </c>
    </row>
    <row r="4348" spans="2:13" x14ac:dyDescent="0.15">
      <c r="C4348" s="76" t="s">
        <v>565</v>
      </c>
      <c r="D4348" s="76">
        <v>165.9</v>
      </c>
      <c r="E4348" s="76">
        <v>338.5</v>
      </c>
      <c r="F4348" s="76">
        <v>508.5</v>
      </c>
      <c r="G4348" s="76">
        <v>678.3</v>
      </c>
      <c r="H4348" s="76">
        <v>845.5</v>
      </c>
      <c r="I4348" s="76">
        <v>1012</v>
      </c>
      <c r="J4348" s="76">
        <v>1178</v>
      </c>
      <c r="K4348" s="76">
        <v>1343</v>
      </c>
      <c r="L4348" s="76">
        <v>1508</v>
      </c>
      <c r="M4348" s="76">
        <v>1669</v>
      </c>
    </row>
    <row r="4349" spans="2:13" x14ac:dyDescent="0.15">
      <c r="C4349" s="76" t="s">
        <v>566</v>
      </c>
      <c r="D4349" s="76">
        <v>0.1353</v>
      </c>
      <c r="E4349" s="76">
        <v>0.1351</v>
      </c>
      <c r="F4349" s="76">
        <v>0.1351</v>
      </c>
      <c r="G4349" s="76">
        <v>0.13519999999999999</v>
      </c>
      <c r="H4349" s="76">
        <v>0.1351</v>
      </c>
      <c r="I4349" s="76">
        <v>0.1351</v>
      </c>
      <c r="J4349" s="76">
        <v>0.1351</v>
      </c>
      <c r="K4349" s="76">
        <v>0.13519999999999999</v>
      </c>
      <c r="L4349" s="76">
        <v>0.13519999999999999</v>
      </c>
      <c r="M4349" s="76">
        <v>0.13519999999999999</v>
      </c>
    </row>
    <row r="4350" spans="2:13" x14ac:dyDescent="0.15">
      <c r="C4350" s="76" t="s">
        <v>567</v>
      </c>
      <c r="D4350" s="76">
        <v>0.11890000000000001</v>
      </c>
      <c r="E4350" s="76">
        <v>0.1186</v>
      </c>
      <c r="F4350" s="76">
        <v>0.1186</v>
      </c>
      <c r="G4350" s="76">
        <v>0.1186</v>
      </c>
      <c r="H4350" s="76">
        <v>0.11849999999999999</v>
      </c>
      <c r="I4350" s="76">
        <v>0.11840000000000001</v>
      </c>
      <c r="J4350" s="76">
        <v>0.1183</v>
      </c>
      <c r="K4350" s="76">
        <v>0.11840000000000001</v>
      </c>
      <c r="L4350" s="76">
        <v>0.1183</v>
      </c>
      <c r="M4350" s="76">
        <v>0.1182</v>
      </c>
    </row>
    <row r="4351" spans="2:13" x14ac:dyDescent="0.15">
      <c r="C4351" s="76" t="s">
        <v>568</v>
      </c>
      <c r="D4351" s="76">
        <v>9.1342999999999996</v>
      </c>
      <c r="E4351" s="76">
        <v>9.3359000000000005</v>
      </c>
      <c r="F4351" s="76">
        <v>9.3522999999999996</v>
      </c>
      <c r="G4351" s="76">
        <v>9.3566000000000003</v>
      </c>
      <c r="H4351" s="76">
        <v>9.3332999999999995</v>
      </c>
      <c r="I4351" s="76">
        <v>9.3155000000000001</v>
      </c>
      <c r="J4351" s="76">
        <v>9.3135999999999992</v>
      </c>
      <c r="K4351" s="76">
        <v>9.2728000000000002</v>
      </c>
      <c r="L4351" s="76">
        <v>9.2629999999999999</v>
      </c>
      <c r="M4351" s="76">
        <v>9.2376000000000005</v>
      </c>
    </row>
    <row r="4352" spans="2:13" x14ac:dyDescent="0.15">
      <c r="C4352" s="76" t="s">
        <v>569</v>
      </c>
    </row>
    <row r="4353" spans="3:13" x14ac:dyDescent="0.15">
      <c r="C4353" s="76" t="s">
        <v>570</v>
      </c>
      <c r="D4353" s="76">
        <v>4</v>
      </c>
      <c r="E4353" s="76">
        <v>4</v>
      </c>
      <c r="F4353" s="76">
        <v>4</v>
      </c>
      <c r="G4353" s="76">
        <v>4</v>
      </c>
      <c r="H4353" s="76">
        <v>4</v>
      </c>
      <c r="I4353" s="76">
        <v>4</v>
      </c>
      <c r="J4353" s="76">
        <v>4</v>
      </c>
      <c r="K4353" s="76">
        <v>4</v>
      </c>
      <c r="L4353" s="76">
        <v>4</v>
      </c>
      <c r="M4353" s="76">
        <v>4</v>
      </c>
    </row>
    <row r="4354" spans="3:13" x14ac:dyDescent="0.15">
      <c r="C4354" s="76" t="s">
        <v>571</v>
      </c>
      <c r="D4354" s="76">
        <v>100</v>
      </c>
      <c r="E4354" s="76">
        <v>100</v>
      </c>
      <c r="F4354" s="76">
        <v>100</v>
      </c>
      <c r="G4354" s="76">
        <v>100</v>
      </c>
      <c r="H4354" s="76">
        <v>100</v>
      </c>
      <c r="I4354" s="76">
        <v>100</v>
      </c>
      <c r="J4354" s="76">
        <v>100</v>
      </c>
      <c r="K4354" s="76">
        <v>100</v>
      </c>
      <c r="L4354" s="76">
        <v>100</v>
      </c>
      <c r="M4354" s="76">
        <v>100</v>
      </c>
    </row>
    <row r="4355" spans="3:13" x14ac:dyDescent="0.15">
      <c r="C4355" s="76" t="s">
        <v>572</v>
      </c>
      <c r="D4355" s="76" t="s">
        <v>574</v>
      </c>
      <c r="E4355" s="76" t="s">
        <v>574</v>
      </c>
      <c r="F4355" s="76" t="s">
        <v>574</v>
      </c>
      <c r="G4355" s="76" t="s">
        <v>574</v>
      </c>
      <c r="H4355" s="76" t="s">
        <v>574</v>
      </c>
      <c r="I4355" s="76" t="s">
        <v>574</v>
      </c>
      <c r="J4355" s="76" t="s">
        <v>574</v>
      </c>
      <c r="K4355" s="76" t="s">
        <v>574</v>
      </c>
      <c r="L4355" s="76" t="s">
        <v>574</v>
      </c>
      <c r="M4355" s="76" t="s">
        <v>574</v>
      </c>
    </row>
    <row r="4356" spans="3:13" x14ac:dyDescent="0.15">
      <c r="C4356" s="76" t="s">
        <v>573</v>
      </c>
      <c r="D4356" s="76">
        <v>1</v>
      </c>
      <c r="E4356" s="76">
        <v>2</v>
      </c>
      <c r="F4356" s="76">
        <v>3</v>
      </c>
      <c r="G4356" s="76">
        <v>4</v>
      </c>
      <c r="H4356" s="76">
        <v>5</v>
      </c>
      <c r="I4356" s="76">
        <v>6</v>
      </c>
      <c r="J4356" s="76">
        <v>7</v>
      </c>
      <c r="K4356" s="76">
        <v>8</v>
      </c>
      <c r="L4356" s="76">
        <v>9</v>
      </c>
      <c r="M4356" s="76">
        <v>10</v>
      </c>
    </row>
    <row r="4357" spans="3:13" x14ac:dyDescent="0.15">
      <c r="C4357" s="76">
        <v>380</v>
      </c>
      <c r="D4357" s="76">
        <v>1.6100000000000001E-4</v>
      </c>
      <c r="E4357" s="76">
        <v>2.81E-4</v>
      </c>
      <c r="F4357" s="76">
        <v>3.2000000000000003E-4</v>
      </c>
      <c r="G4357" s="76">
        <v>7.7899999999999996E-4</v>
      </c>
      <c r="H4357" s="76">
        <v>6.11E-4</v>
      </c>
      <c r="I4357" s="76">
        <v>1.15E-3</v>
      </c>
      <c r="J4357" s="76">
        <v>1.48E-3</v>
      </c>
      <c r="K4357" s="76">
        <v>1.24E-3</v>
      </c>
      <c r="L4357" s="76">
        <v>8.8599999999999996E-4</v>
      </c>
      <c r="M4357" s="76">
        <v>1.4E-3</v>
      </c>
    </row>
    <row r="4358" spans="3:13" x14ac:dyDescent="0.15">
      <c r="C4358" s="76">
        <v>382</v>
      </c>
      <c r="D4358" s="76">
        <v>1.1400000000000001E-4</v>
      </c>
      <c r="E4358" s="76">
        <v>2.4600000000000002E-4</v>
      </c>
      <c r="F4358" s="76">
        <v>4.1800000000000002E-4</v>
      </c>
      <c r="G4358" s="76">
        <v>6.7699999999999998E-4</v>
      </c>
      <c r="H4358" s="76">
        <v>2.6600000000000001E-4</v>
      </c>
      <c r="I4358" s="76">
        <v>8.0699999999999999E-4</v>
      </c>
      <c r="J4358" s="76">
        <v>1.16E-3</v>
      </c>
      <c r="K4358" s="76">
        <v>1.07E-3</v>
      </c>
      <c r="L4358" s="76">
        <v>1.24E-3</v>
      </c>
      <c r="M4358" s="76">
        <v>1.3600000000000001E-3</v>
      </c>
    </row>
    <row r="4359" spans="3:13" x14ac:dyDescent="0.15">
      <c r="C4359" s="76">
        <v>384</v>
      </c>
      <c r="D4359" s="76">
        <v>1.21E-4</v>
      </c>
      <c r="E4359" s="76">
        <v>2.72E-4</v>
      </c>
      <c r="F4359" s="76">
        <v>3.7300000000000001E-4</v>
      </c>
      <c r="G4359" s="76">
        <v>5.1000000000000004E-4</v>
      </c>
      <c r="H4359" s="76">
        <v>4.9100000000000001E-4</v>
      </c>
      <c r="I4359" s="76">
        <v>5.4000000000000001E-4</v>
      </c>
      <c r="J4359" s="76">
        <v>9.7300000000000002E-4</v>
      </c>
      <c r="K4359" s="76">
        <v>9.7900000000000005E-4</v>
      </c>
      <c r="L4359" s="76">
        <v>1.33E-3</v>
      </c>
      <c r="M4359" s="76">
        <v>1.5399999999999999E-3</v>
      </c>
    </row>
    <row r="4360" spans="3:13" x14ac:dyDescent="0.15">
      <c r="C4360" s="76">
        <v>386</v>
      </c>
      <c r="D4360" s="76">
        <v>1.22E-4</v>
      </c>
      <c r="E4360" s="76">
        <v>2.6699999999999998E-4</v>
      </c>
      <c r="F4360" s="76">
        <v>3.4200000000000002E-4</v>
      </c>
      <c r="G4360" s="76">
        <v>5.8399999999999999E-4</v>
      </c>
      <c r="H4360" s="76">
        <v>5.5000000000000003E-4</v>
      </c>
      <c r="I4360" s="76">
        <v>6.1300000000000005E-4</v>
      </c>
      <c r="J4360" s="76">
        <v>9.7199999999999999E-4</v>
      </c>
      <c r="K4360" s="76">
        <v>1.0499999999999999E-3</v>
      </c>
      <c r="L4360" s="76">
        <v>1.1800000000000001E-3</v>
      </c>
      <c r="M4360" s="76">
        <v>1.6199999999999999E-3</v>
      </c>
    </row>
    <row r="4361" spans="3:13" x14ac:dyDescent="0.15">
      <c r="C4361" s="76">
        <v>388</v>
      </c>
      <c r="D4361" s="76">
        <v>1.2799999999999999E-4</v>
      </c>
      <c r="E4361" s="76">
        <v>2.8200000000000002E-4</v>
      </c>
      <c r="F4361" s="76">
        <v>3.8299999999999999E-4</v>
      </c>
      <c r="G4361" s="76">
        <v>4.2900000000000002E-4</v>
      </c>
      <c r="H4361" s="76">
        <v>4.4099999999999999E-4</v>
      </c>
      <c r="I4361" s="76">
        <v>7.9100000000000004E-4</v>
      </c>
      <c r="J4361" s="76">
        <v>9.6400000000000001E-4</v>
      </c>
      <c r="K4361" s="76">
        <v>1.08E-3</v>
      </c>
      <c r="L4361" s="76">
        <v>9.859999999999999E-4</v>
      </c>
      <c r="M4361" s="76">
        <v>1.9400000000000001E-3</v>
      </c>
    </row>
    <row r="4362" spans="3:13" x14ac:dyDescent="0.15">
      <c r="C4362" s="76">
        <v>390</v>
      </c>
      <c r="D4362" s="76">
        <v>1.13E-4</v>
      </c>
      <c r="E4362" s="76">
        <v>2.3800000000000001E-4</v>
      </c>
      <c r="F4362" s="76">
        <v>3.68E-4</v>
      </c>
      <c r="G4362" s="76">
        <v>4.7399999999999997E-4</v>
      </c>
      <c r="H4362" s="76">
        <v>4.2999999999999999E-4</v>
      </c>
      <c r="I4362" s="76">
        <v>8.7000000000000001E-4</v>
      </c>
      <c r="J4362" s="76">
        <v>9.3599999999999998E-4</v>
      </c>
      <c r="K4362" s="76">
        <v>1.1000000000000001E-3</v>
      </c>
      <c r="L4362" s="76">
        <v>9.8900000000000008E-4</v>
      </c>
      <c r="M4362" s="76">
        <v>1.65E-3</v>
      </c>
    </row>
    <row r="4363" spans="3:13" x14ac:dyDescent="0.15">
      <c r="C4363" s="76">
        <v>392</v>
      </c>
      <c r="D4363" s="76">
        <v>1.2799999999999999E-4</v>
      </c>
      <c r="E4363" s="76">
        <v>2.9799999999999998E-4</v>
      </c>
      <c r="F4363" s="76">
        <v>3.5300000000000002E-4</v>
      </c>
      <c r="G4363" s="76">
        <v>5.5800000000000001E-4</v>
      </c>
      <c r="H4363" s="76">
        <v>6.0300000000000002E-4</v>
      </c>
      <c r="I4363" s="76">
        <v>8.6399999999999997E-4</v>
      </c>
      <c r="J4363" s="76">
        <v>9.59E-4</v>
      </c>
      <c r="K4363" s="76">
        <v>1.1000000000000001E-3</v>
      </c>
      <c r="L4363" s="76">
        <v>1.0399999999999999E-3</v>
      </c>
      <c r="M4363" s="76">
        <v>1.57E-3</v>
      </c>
    </row>
    <row r="4364" spans="3:13" x14ac:dyDescent="0.15">
      <c r="C4364" s="76">
        <v>394</v>
      </c>
      <c r="D4364" s="76">
        <v>1.21E-4</v>
      </c>
      <c r="E4364" s="76">
        <v>3.0699999999999998E-4</v>
      </c>
      <c r="F4364" s="76">
        <v>3.8299999999999999E-4</v>
      </c>
      <c r="G4364" s="76">
        <v>5.1500000000000005E-4</v>
      </c>
      <c r="H4364" s="76">
        <v>6.7100000000000005E-4</v>
      </c>
      <c r="I4364" s="76">
        <v>8.4000000000000003E-4</v>
      </c>
      <c r="J4364" s="76">
        <v>9.4399999999999996E-4</v>
      </c>
      <c r="K4364" s="76">
        <v>9.0200000000000002E-4</v>
      </c>
      <c r="L4364" s="76">
        <v>1.01E-3</v>
      </c>
      <c r="M4364" s="76">
        <v>1.4400000000000001E-3</v>
      </c>
    </row>
    <row r="4365" spans="3:13" x14ac:dyDescent="0.15">
      <c r="C4365" s="76">
        <v>396</v>
      </c>
      <c r="D4365" s="76">
        <v>1.21E-4</v>
      </c>
      <c r="E4365" s="76">
        <v>2.41E-4</v>
      </c>
      <c r="F4365" s="76">
        <v>4.06E-4</v>
      </c>
      <c r="G4365" s="76">
        <v>4.6200000000000001E-4</v>
      </c>
      <c r="H4365" s="76">
        <v>6.6E-4</v>
      </c>
      <c r="I4365" s="76">
        <v>6.7100000000000005E-4</v>
      </c>
      <c r="J4365" s="76">
        <v>4.9399999999999997E-4</v>
      </c>
      <c r="K4365" s="76">
        <v>8.4000000000000003E-4</v>
      </c>
      <c r="L4365" s="76">
        <v>8.6700000000000004E-4</v>
      </c>
      <c r="M4365" s="76">
        <v>1.3799999999999999E-3</v>
      </c>
    </row>
    <row r="4366" spans="3:13" x14ac:dyDescent="0.15">
      <c r="C4366" s="76">
        <v>398</v>
      </c>
      <c r="D4366" s="76">
        <v>1.2300000000000001E-4</v>
      </c>
      <c r="E4366" s="76">
        <v>2.6499999999999999E-4</v>
      </c>
      <c r="F4366" s="76">
        <v>3.8099999999999999E-4</v>
      </c>
      <c r="G4366" s="76">
        <v>4.5899999999999999E-4</v>
      </c>
      <c r="H4366" s="76">
        <v>5.4500000000000002E-4</v>
      </c>
      <c r="I4366" s="76">
        <v>7.4399999999999998E-4</v>
      </c>
      <c r="J4366" s="76">
        <v>1.0200000000000001E-3</v>
      </c>
      <c r="K4366" s="76">
        <v>8.6300000000000005E-4</v>
      </c>
      <c r="L4366" s="76">
        <v>1.2099999999999999E-3</v>
      </c>
      <c r="M4366" s="76">
        <v>1.67E-3</v>
      </c>
    </row>
    <row r="4367" spans="3:13" x14ac:dyDescent="0.15">
      <c r="C4367" s="76">
        <v>400</v>
      </c>
      <c r="D4367" s="76">
        <v>1.3200000000000001E-4</v>
      </c>
      <c r="E4367" s="76">
        <v>2.6400000000000002E-4</v>
      </c>
      <c r="F4367" s="76">
        <v>4.0499999999999998E-4</v>
      </c>
      <c r="G4367" s="76">
        <v>4.3399999999999998E-4</v>
      </c>
      <c r="H4367" s="76">
        <v>6.0099999999999997E-4</v>
      </c>
      <c r="I4367" s="76">
        <v>7.7200000000000001E-4</v>
      </c>
      <c r="J4367" s="76">
        <v>9.5600000000000004E-4</v>
      </c>
      <c r="K4367" s="76">
        <v>9.3899999999999995E-4</v>
      </c>
      <c r="L4367" s="76">
        <v>1.09E-3</v>
      </c>
      <c r="M4367" s="76">
        <v>1.67E-3</v>
      </c>
    </row>
    <row r="4368" spans="3:13" x14ac:dyDescent="0.15">
      <c r="C4368" s="76">
        <v>402</v>
      </c>
      <c r="D4368" s="76">
        <v>1.3100000000000001E-4</v>
      </c>
      <c r="E4368" s="76">
        <v>2.7799999999999998E-4</v>
      </c>
      <c r="F4368" s="76">
        <v>3.9399999999999998E-4</v>
      </c>
      <c r="G4368" s="76">
        <v>4.6099999999999998E-4</v>
      </c>
      <c r="H4368" s="76">
        <v>6.5300000000000004E-4</v>
      </c>
      <c r="I4368" s="76">
        <v>8.3299999999999997E-4</v>
      </c>
      <c r="J4368" s="76">
        <v>9.5799999999999998E-4</v>
      </c>
      <c r="K4368" s="76">
        <v>9.8799999999999995E-4</v>
      </c>
      <c r="L4368" s="76">
        <v>1.3500000000000001E-3</v>
      </c>
      <c r="M4368" s="76">
        <v>1.6000000000000001E-3</v>
      </c>
    </row>
    <row r="4369" spans="3:13" x14ac:dyDescent="0.15">
      <c r="C4369" s="76">
        <v>404</v>
      </c>
      <c r="D4369" s="76">
        <v>1.44E-4</v>
      </c>
      <c r="E4369" s="76">
        <v>2.5799999999999998E-4</v>
      </c>
      <c r="F4369" s="76">
        <v>4.57E-4</v>
      </c>
      <c r="G4369" s="76">
        <v>5.4100000000000003E-4</v>
      </c>
      <c r="H4369" s="76">
        <v>6.7599999999999995E-4</v>
      </c>
      <c r="I4369" s="76">
        <v>8.92E-4</v>
      </c>
      <c r="J4369" s="76">
        <v>9.7799999999999992E-4</v>
      </c>
      <c r="K4369" s="76">
        <v>1.1999999999999999E-3</v>
      </c>
      <c r="L4369" s="76">
        <v>1.2800000000000001E-3</v>
      </c>
      <c r="M4369" s="76">
        <v>1.66E-3</v>
      </c>
    </row>
    <row r="4370" spans="3:13" x14ac:dyDescent="0.15">
      <c r="C4370" s="76">
        <v>406</v>
      </c>
      <c r="D4370" s="76">
        <v>1.6899999999999999E-4</v>
      </c>
      <c r="E4370" s="76">
        <v>2.6400000000000002E-4</v>
      </c>
      <c r="F4370" s="76">
        <v>5.3300000000000005E-4</v>
      </c>
      <c r="G4370" s="76">
        <v>6.5799999999999995E-4</v>
      </c>
      <c r="H4370" s="76">
        <v>6.9099999999999999E-4</v>
      </c>
      <c r="I4370" s="76">
        <v>9.4600000000000001E-4</v>
      </c>
      <c r="J4370" s="76">
        <v>1.0200000000000001E-3</v>
      </c>
      <c r="K4370" s="76">
        <v>1.15E-3</v>
      </c>
      <c r="L4370" s="76">
        <v>1.5399999999999999E-3</v>
      </c>
      <c r="M4370" s="76">
        <v>1.8400000000000001E-3</v>
      </c>
    </row>
    <row r="4371" spans="3:13" x14ac:dyDescent="0.15">
      <c r="C4371" s="76">
        <v>408</v>
      </c>
      <c r="D4371" s="76">
        <v>1.47E-4</v>
      </c>
      <c r="E4371" s="76">
        <v>3.5E-4</v>
      </c>
      <c r="F4371" s="76">
        <v>3.8499999999999998E-4</v>
      </c>
      <c r="G4371" s="76">
        <v>6.3100000000000005E-4</v>
      </c>
      <c r="H4371" s="76">
        <v>8.12E-4</v>
      </c>
      <c r="I4371" s="76">
        <v>9.810000000000001E-4</v>
      </c>
      <c r="J4371" s="76">
        <v>1.1199999999999999E-3</v>
      </c>
      <c r="K4371" s="76">
        <v>1.14E-3</v>
      </c>
      <c r="L4371" s="76">
        <v>1.5499999999999999E-3</v>
      </c>
      <c r="M4371" s="76">
        <v>1.82E-3</v>
      </c>
    </row>
    <row r="4372" spans="3:13" x14ac:dyDescent="0.15">
      <c r="C4372" s="76">
        <v>410</v>
      </c>
      <c r="D4372" s="76">
        <v>1.75E-4</v>
      </c>
      <c r="E4372" s="76">
        <v>3.2699999999999998E-4</v>
      </c>
      <c r="F4372" s="76">
        <v>5.7600000000000001E-4</v>
      </c>
      <c r="G4372" s="76">
        <v>6.9700000000000003E-4</v>
      </c>
      <c r="H4372" s="76">
        <v>9.2000000000000003E-4</v>
      </c>
      <c r="I4372" s="76">
        <v>1.07E-3</v>
      </c>
      <c r="J4372" s="76">
        <v>1.2899999999999999E-3</v>
      </c>
      <c r="K4372" s="76">
        <v>1.3699999999999999E-3</v>
      </c>
      <c r="L4372" s="76">
        <v>1.6199999999999999E-3</v>
      </c>
      <c r="M4372" s="76">
        <v>1.91E-3</v>
      </c>
    </row>
    <row r="4373" spans="3:13" x14ac:dyDescent="0.15">
      <c r="C4373" s="76">
        <v>412</v>
      </c>
      <c r="D4373" s="76">
        <v>1.9100000000000001E-4</v>
      </c>
      <c r="E4373" s="76">
        <v>3.7100000000000002E-4</v>
      </c>
      <c r="F4373" s="76">
        <v>6.2500000000000001E-4</v>
      </c>
      <c r="G4373" s="76">
        <v>7.6599999999999997E-4</v>
      </c>
      <c r="H4373" s="76">
        <v>9.6199999999999996E-4</v>
      </c>
      <c r="I4373" s="76">
        <v>1.07E-3</v>
      </c>
      <c r="J4373" s="76">
        <v>1.4599999999999999E-3</v>
      </c>
      <c r="K4373" s="76">
        <v>1.57E-3</v>
      </c>
      <c r="L4373" s="76">
        <v>1.92E-3</v>
      </c>
      <c r="M4373" s="76">
        <v>2.2000000000000001E-3</v>
      </c>
    </row>
    <row r="4374" spans="3:13" x14ac:dyDescent="0.15">
      <c r="C4374" s="76">
        <v>414</v>
      </c>
      <c r="D4374" s="76">
        <v>2.2100000000000001E-4</v>
      </c>
      <c r="E4374" s="76">
        <v>4.4499999999999997E-4</v>
      </c>
      <c r="F4374" s="76">
        <v>7.1199999999999996E-4</v>
      </c>
      <c r="G4374" s="76">
        <v>8.7200000000000005E-4</v>
      </c>
      <c r="H4374" s="76">
        <v>1.1100000000000001E-3</v>
      </c>
      <c r="I4374" s="76">
        <v>1.34E-3</v>
      </c>
      <c r="J4374" s="76">
        <v>1.6999999999999999E-3</v>
      </c>
      <c r="K4374" s="76">
        <v>1.81E-3</v>
      </c>
      <c r="L4374" s="76">
        <v>2.2499999999999998E-3</v>
      </c>
      <c r="M4374" s="76">
        <v>2.4399999999999999E-3</v>
      </c>
    </row>
    <row r="4375" spans="3:13" x14ac:dyDescent="0.15">
      <c r="C4375" s="76">
        <v>416</v>
      </c>
      <c r="D4375" s="76">
        <v>2.5700000000000001E-4</v>
      </c>
      <c r="E4375" s="76">
        <v>5.1800000000000001E-4</v>
      </c>
      <c r="F4375" s="76">
        <v>8.2200000000000003E-4</v>
      </c>
      <c r="G4375" s="76">
        <v>1.01E-3</v>
      </c>
      <c r="H4375" s="76">
        <v>1.34E-3</v>
      </c>
      <c r="I4375" s="76">
        <v>1.66E-3</v>
      </c>
      <c r="J4375" s="76">
        <v>1.97E-3</v>
      </c>
      <c r="K4375" s="76">
        <v>2.0799999999999998E-3</v>
      </c>
      <c r="L4375" s="76">
        <v>2.48E-3</v>
      </c>
      <c r="M4375" s="76">
        <v>2.8400000000000001E-3</v>
      </c>
    </row>
    <row r="4376" spans="3:13" x14ac:dyDescent="0.15">
      <c r="C4376" s="76">
        <v>418</v>
      </c>
      <c r="D4376" s="76">
        <v>3.0200000000000002E-4</v>
      </c>
      <c r="E4376" s="76">
        <v>6.2100000000000002E-4</v>
      </c>
      <c r="F4376" s="76">
        <v>9.9500000000000001E-4</v>
      </c>
      <c r="G4376" s="76">
        <v>1.2099999999999999E-3</v>
      </c>
      <c r="H4376" s="76">
        <v>1.58E-3</v>
      </c>
      <c r="I4376" s="76">
        <v>1.9E-3</v>
      </c>
      <c r="J4376" s="76">
        <v>2.2699999999999999E-3</v>
      </c>
      <c r="K4376" s="76">
        <v>2.4599999999999999E-3</v>
      </c>
      <c r="L4376" s="76">
        <v>2.98E-3</v>
      </c>
      <c r="M4376" s="76">
        <v>3.2799999999999999E-3</v>
      </c>
    </row>
    <row r="4377" spans="3:13" x14ac:dyDescent="0.15">
      <c r="C4377" s="76">
        <v>420</v>
      </c>
      <c r="D4377" s="76">
        <v>3.5199999999999999E-4</v>
      </c>
      <c r="E4377" s="76">
        <v>7.5100000000000004E-4</v>
      </c>
      <c r="F4377" s="76">
        <v>1.1800000000000001E-3</v>
      </c>
      <c r="G4377" s="76">
        <v>1.49E-3</v>
      </c>
      <c r="H4377" s="76">
        <v>1.9400000000000001E-3</v>
      </c>
      <c r="I4377" s="76">
        <v>2.2499999999999998E-3</v>
      </c>
      <c r="J4377" s="76">
        <v>2.6800000000000001E-3</v>
      </c>
      <c r="K4377" s="76">
        <v>3.0100000000000001E-3</v>
      </c>
      <c r="L4377" s="76">
        <v>3.63E-3</v>
      </c>
      <c r="M4377" s="76">
        <v>3.62E-3</v>
      </c>
    </row>
    <row r="4378" spans="3:13" x14ac:dyDescent="0.15">
      <c r="C4378" s="76">
        <v>422</v>
      </c>
      <c r="D4378" s="76">
        <v>4.35E-4</v>
      </c>
      <c r="E4378" s="76">
        <v>9.1500000000000001E-4</v>
      </c>
      <c r="F4378" s="76">
        <v>1.39E-3</v>
      </c>
      <c r="G4378" s="76">
        <v>1.7700000000000001E-3</v>
      </c>
      <c r="H4378" s="76">
        <v>2.2899999999999999E-3</v>
      </c>
      <c r="I4378" s="76">
        <v>2.7299999999999998E-3</v>
      </c>
      <c r="J4378" s="76">
        <v>3.2799999999999999E-3</v>
      </c>
      <c r="K4378" s="76">
        <v>3.5999999999999999E-3</v>
      </c>
      <c r="L4378" s="76">
        <v>4.2500000000000003E-3</v>
      </c>
      <c r="M4378" s="76">
        <v>4.7800000000000004E-3</v>
      </c>
    </row>
    <row r="4379" spans="3:13" x14ac:dyDescent="0.15">
      <c r="C4379" s="76">
        <v>424</v>
      </c>
      <c r="D4379" s="76">
        <v>5.3799999999999996E-4</v>
      </c>
      <c r="E4379" s="76">
        <v>1.1299999999999999E-3</v>
      </c>
      <c r="F4379" s="76">
        <v>1.73E-3</v>
      </c>
      <c r="G4379" s="76">
        <v>2.2899999999999999E-3</v>
      </c>
      <c r="H4379" s="76">
        <v>2.8999999999999998E-3</v>
      </c>
      <c r="I4379" s="76">
        <v>3.5000000000000001E-3</v>
      </c>
      <c r="J4379" s="76">
        <v>4.1099999999999999E-3</v>
      </c>
      <c r="K4379" s="76">
        <v>4.5599999999999998E-3</v>
      </c>
      <c r="L4379" s="76">
        <v>5.1500000000000001E-3</v>
      </c>
      <c r="M4379" s="76">
        <v>5.8500000000000002E-3</v>
      </c>
    </row>
    <row r="4380" spans="3:13" x14ac:dyDescent="0.15">
      <c r="C4380" s="76">
        <v>426</v>
      </c>
      <c r="D4380" s="76">
        <v>6.9499999999999998E-4</v>
      </c>
      <c r="E4380" s="76">
        <v>1.4499999999999999E-3</v>
      </c>
      <c r="F4380" s="76">
        <v>2.1800000000000001E-3</v>
      </c>
      <c r="G4380" s="76">
        <v>2.8400000000000001E-3</v>
      </c>
      <c r="H4380" s="76">
        <v>3.6900000000000001E-3</v>
      </c>
      <c r="I4380" s="76">
        <v>4.3800000000000002E-3</v>
      </c>
      <c r="J4380" s="76">
        <v>5.2599999999999999E-3</v>
      </c>
      <c r="K4380" s="76">
        <v>5.79E-3</v>
      </c>
      <c r="L4380" s="76">
        <v>6.7000000000000002E-3</v>
      </c>
      <c r="M4380" s="76">
        <v>7.4900000000000001E-3</v>
      </c>
    </row>
    <row r="4381" spans="3:13" x14ac:dyDescent="0.15">
      <c r="C4381" s="76">
        <v>428</v>
      </c>
      <c r="D4381" s="76">
        <v>9.0700000000000004E-4</v>
      </c>
      <c r="E4381" s="76">
        <v>1.8699999999999999E-3</v>
      </c>
      <c r="F4381" s="76">
        <v>2.8300000000000001E-3</v>
      </c>
      <c r="G4381" s="76">
        <v>3.7599999999999999E-3</v>
      </c>
      <c r="H4381" s="76">
        <v>4.8799999999999998E-3</v>
      </c>
      <c r="I4381" s="76">
        <v>5.7200000000000003E-3</v>
      </c>
      <c r="J4381" s="76">
        <v>6.79E-3</v>
      </c>
      <c r="K4381" s="76">
        <v>7.62E-3</v>
      </c>
      <c r="L4381" s="76">
        <v>8.6899999999999998E-3</v>
      </c>
      <c r="M4381" s="76">
        <v>9.6600000000000002E-3</v>
      </c>
    </row>
    <row r="4382" spans="3:13" x14ac:dyDescent="0.15">
      <c r="C4382" s="76">
        <v>430</v>
      </c>
      <c r="D4382" s="76">
        <v>1.2199999999999999E-3</v>
      </c>
      <c r="E4382" s="76">
        <v>2.5000000000000001E-3</v>
      </c>
      <c r="F4382" s="76">
        <v>3.82E-3</v>
      </c>
      <c r="G4382" s="76">
        <v>5.0899999999999999E-3</v>
      </c>
      <c r="H4382" s="76">
        <v>6.4700000000000001E-3</v>
      </c>
      <c r="I4382" s="76">
        <v>7.7200000000000003E-3</v>
      </c>
      <c r="J4382" s="76">
        <v>9.11E-3</v>
      </c>
      <c r="K4382" s="76">
        <v>1.0200000000000001E-2</v>
      </c>
      <c r="L4382" s="76">
        <v>1.1599999999999999E-2</v>
      </c>
      <c r="M4382" s="76">
        <v>1.29E-2</v>
      </c>
    </row>
    <row r="4383" spans="3:13" x14ac:dyDescent="0.15">
      <c r="C4383" s="76">
        <v>432</v>
      </c>
      <c r="D4383" s="76">
        <v>1.6800000000000001E-3</v>
      </c>
      <c r="E4383" s="76">
        <v>3.46E-3</v>
      </c>
      <c r="F4383" s="76">
        <v>5.2199999999999998E-3</v>
      </c>
      <c r="G4383" s="76">
        <v>7.0200000000000002E-3</v>
      </c>
      <c r="H4383" s="76">
        <v>8.7500000000000008E-3</v>
      </c>
      <c r="I4383" s="76">
        <v>1.06E-2</v>
      </c>
      <c r="J4383" s="76">
        <v>1.24E-2</v>
      </c>
      <c r="K4383" s="76">
        <v>1.4E-2</v>
      </c>
      <c r="L4383" s="76">
        <v>1.5900000000000001E-2</v>
      </c>
      <c r="M4383" s="76">
        <v>1.7600000000000001E-2</v>
      </c>
    </row>
    <row r="4384" spans="3:13" x14ac:dyDescent="0.15">
      <c r="C4384" s="76">
        <v>434</v>
      </c>
      <c r="D4384" s="76">
        <v>2.33E-3</v>
      </c>
      <c r="E4384" s="76">
        <v>4.8199999999999996E-3</v>
      </c>
      <c r="F4384" s="76">
        <v>7.26E-3</v>
      </c>
      <c r="G4384" s="76">
        <v>9.7300000000000008E-3</v>
      </c>
      <c r="H4384" s="76">
        <v>1.2200000000000001E-2</v>
      </c>
      <c r="I4384" s="76">
        <v>1.47E-2</v>
      </c>
      <c r="J4384" s="76">
        <v>1.72E-2</v>
      </c>
      <c r="K4384" s="76">
        <v>1.95E-2</v>
      </c>
      <c r="L4384" s="76">
        <v>2.2100000000000002E-2</v>
      </c>
      <c r="M4384" s="76">
        <v>2.4500000000000001E-2</v>
      </c>
    </row>
    <row r="4385" spans="3:13" x14ac:dyDescent="0.15">
      <c r="C4385" s="76">
        <v>436</v>
      </c>
      <c r="D4385" s="76">
        <v>3.3500000000000001E-3</v>
      </c>
      <c r="E4385" s="76">
        <v>6.8799999999999998E-3</v>
      </c>
      <c r="F4385" s="76">
        <v>1.04E-2</v>
      </c>
      <c r="G4385" s="76">
        <v>1.3899999999999999E-2</v>
      </c>
      <c r="H4385" s="76">
        <v>1.7399999999999999E-2</v>
      </c>
      <c r="I4385" s="76">
        <v>2.1000000000000001E-2</v>
      </c>
      <c r="J4385" s="76">
        <v>2.4400000000000002E-2</v>
      </c>
      <c r="K4385" s="76">
        <v>2.7900000000000001E-2</v>
      </c>
      <c r="L4385" s="76">
        <v>3.1399999999999997E-2</v>
      </c>
      <c r="M4385" s="76">
        <v>3.49E-2</v>
      </c>
    </row>
    <row r="4386" spans="3:13" x14ac:dyDescent="0.15">
      <c r="C4386" s="76">
        <v>438</v>
      </c>
      <c r="D4386" s="76">
        <v>4.79E-3</v>
      </c>
      <c r="E4386" s="76">
        <v>9.8300000000000002E-3</v>
      </c>
      <c r="F4386" s="76">
        <v>1.4800000000000001E-2</v>
      </c>
      <c r="G4386" s="76">
        <v>1.9900000000000001E-2</v>
      </c>
      <c r="H4386" s="76">
        <v>2.4799999999999999E-2</v>
      </c>
      <c r="I4386" s="76">
        <v>2.98E-2</v>
      </c>
      <c r="J4386" s="76">
        <v>3.4799999999999998E-2</v>
      </c>
      <c r="K4386" s="76">
        <v>3.9699999999999999E-2</v>
      </c>
      <c r="L4386" s="76">
        <v>4.48E-2</v>
      </c>
      <c r="M4386" s="76">
        <v>4.9700000000000001E-2</v>
      </c>
    </row>
    <row r="4387" spans="3:13" x14ac:dyDescent="0.15">
      <c r="C4387" s="76">
        <v>440</v>
      </c>
      <c r="D4387" s="76">
        <v>6.6100000000000004E-3</v>
      </c>
      <c r="E4387" s="76">
        <v>1.3599999999999999E-2</v>
      </c>
      <c r="F4387" s="76">
        <v>2.0400000000000001E-2</v>
      </c>
      <c r="G4387" s="76">
        <v>2.7400000000000001E-2</v>
      </c>
      <c r="H4387" s="76">
        <v>3.4200000000000001E-2</v>
      </c>
      <c r="I4387" s="76">
        <v>4.1000000000000002E-2</v>
      </c>
      <c r="J4387" s="76">
        <v>4.7899999999999998E-2</v>
      </c>
      <c r="K4387" s="76">
        <v>5.4699999999999999E-2</v>
      </c>
      <c r="L4387" s="76">
        <v>6.1400000000000003E-2</v>
      </c>
      <c r="M4387" s="76">
        <v>6.8199999999999997E-2</v>
      </c>
    </row>
    <row r="4388" spans="3:13" x14ac:dyDescent="0.15">
      <c r="C4388" s="76">
        <v>442</v>
      </c>
      <c r="D4388" s="76">
        <v>8.8699999999999994E-3</v>
      </c>
      <c r="E4388" s="76">
        <v>1.8200000000000001E-2</v>
      </c>
      <c r="F4388" s="76">
        <v>2.7400000000000001E-2</v>
      </c>
      <c r="G4388" s="76">
        <v>3.6600000000000001E-2</v>
      </c>
      <c r="H4388" s="76">
        <v>4.5699999999999998E-2</v>
      </c>
      <c r="I4388" s="76">
        <v>5.4899999999999997E-2</v>
      </c>
      <c r="J4388" s="76">
        <v>6.4000000000000001E-2</v>
      </c>
      <c r="K4388" s="76">
        <v>7.2999999999999995E-2</v>
      </c>
      <c r="L4388" s="76">
        <v>8.2100000000000006E-2</v>
      </c>
      <c r="M4388" s="76">
        <v>9.0999999999999998E-2</v>
      </c>
    </row>
    <row r="4389" spans="3:13" x14ac:dyDescent="0.15">
      <c r="C4389" s="76">
        <v>444</v>
      </c>
      <c r="D4389" s="76">
        <v>1.15E-2</v>
      </c>
      <c r="E4389" s="76">
        <v>2.3699999999999999E-2</v>
      </c>
      <c r="F4389" s="76">
        <v>3.56E-2</v>
      </c>
      <c r="G4389" s="76">
        <v>4.7600000000000003E-2</v>
      </c>
      <c r="H4389" s="76">
        <v>5.9400000000000001E-2</v>
      </c>
      <c r="I4389" s="76">
        <v>7.1300000000000002E-2</v>
      </c>
      <c r="J4389" s="76">
        <v>8.3099999999999993E-2</v>
      </c>
      <c r="K4389" s="76">
        <v>9.4899999999999998E-2</v>
      </c>
      <c r="L4389" s="76">
        <v>0.107</v>
      </c>
      <c r="M4389" s="76">
        <v>0.11799999999999999</v>
      </c>
    </row>
    <row r="4390" spans="3:13" x14ac:dyDescent="0.15">
      <c r="C4390" s="76">
        <v>446</v>
      </c>
      <c r="D4390" s="76">
        <v>1.46E-2</v>
      </c>
      <c r="E4390" s="76">
        <v>2.98E-2</v>
      </c>
      <c r="F4390" s="76">
        <v>4.4900000000000002E-2</v>
      </c>
      <c r="G4390" s="76">
        <v>0.06</v>
      </c>
      <c r="H4390" s="76">
        <v>7.4899999999999994E-2</v>
      </c>
      <c r="I4390" s="76">
        <v>8.9800000000000005E-2</v>
      </c>
      <c r="J4390" s="76">
        <v>0.105</v>
      </c>
      <c r="K4390" s="76">
        <v>0.11899999999999999</v>
      </c>
      <c r="L4390" s="76">
        <v>0.13400000000000001</v>
      </c>
      <c r="M4390" s="76">
        <v>0.14899999999999999</v>
      </c>
    </row>
    <row r="4391" spans="3:13" x14ac:dyDescent="0.15">
      <c r="C4391" s="76">
        <v>448</v>
      </c>
      <c r="D4391" s="76">
        <v>1.78E-2</v>
      </c>
      <c r="E4391" s="76">
        <v>3.6400000000000002E-2</v>
      </c>
      <c r="F4391" s="76">
        <v>5.4699999999999999E-2</v>
      </c>
      <c r="G4391" s="76">
        <v>7.3099999999999998E-2</v>
      </c>
      <c r="H4391" s="76">
        <v>9.1200000000000003E-2</v>
      </c>
      <c r="I4391" s="76">
        <v>0.109</v>
      </c>
      <c r="J4391" s="76">
        <v>0.127</v>
      </c>
      <c r="K4391" s="76">
        <v>0.14499999999999999</v>
      </c>
      <c r="L4391" s="76">
        <v>0.16300000000000001</v>
      </c>
      <c r="M4391" s="76">
        <v>0.18099999999999999</v>
      </c>
    </row>
    <row r="4392" spans="3:13" x14ac:dyDescent="0.15">
      <c r="C4392" s="76">
        <v>450</v>
      </c>
      <c r="D4392" s="76">
        <v>2.12E-2</v>
      </c>
      <c r="E4392" s="76">
        <v>4.3299999999999998E-2</v>
      </c>
      <c r="F4392" s="76">
        <v>6.5199999999999994E-2</v>
      </c>
      <c r="G4392" s="76">
        <v>8.7099999999999997E-2</v>
      </c>
      <c r="H4392" s="76">
        <v>0.109</v>
      </c>
      <c r="I4392" s="76">
        <v>0.13</v>
      </c>
      <c r="J4392" s="76">
        <v>0.152</v>
      </c>
      <c r="K4392" s="76">
        <v>0.17299999999999999</v>
      </c>
      <c r="L4392" s="76">
        <v>0.19400000000000001</v>
      </c>
      <c r="M4392" s="76">
        <v>0.215</v>
      </c>
    </row>
    <row r="4393" spans="3:13" x14ac:dyDescent="0.15">
      <c r="C4393" s="76">
        <v>452</v>
      </c>
      <c r="D4393" s="76">
        <v>2.41E-2</v>
      </c>
      <c r="E4393" s="76">
        <v>4.9299999999999997E-2</v>
      </c>
      <c r="F4393" s="76">
        <v>7.4099999999999999E-2</v>
      </c>
      <c r="G4393" s="76">
        <v>9.8799999999999999E-2</v>
      </c>
      <c r="H4393" s="76">
        <v>0.123</v>
      </c>
      <c r="I4393" s="76">
        <v>0.14799999999999999</v>
      </c>
      <c r="J4393" s="76">
        <v>0.17199999999999999</v>
      </c>
      <c r="K4393" s="76">
        <v>0.19600000000000001</v>
      </c>
      <c r="L4393" s="76">
        <v>0.22</v>
      </c>
      <c r="M4393" s="76">
        <v>0.24399999999999999</v>
      </c>
    </row>
    <row r="4394" spans="3:13" x14ac:dyDescent="0.15">
      <c r="C4394" s="76">
        <v>454</v>
      </c>
      <c r="D4394" s="76">
        <v>2.64E-2</v>
      </c>
      <c r="E4394" s="76">
        <v>5.3900000000000003E-2</v>
      </c>
      <c r="F4394" s="76">
        <v>8.1100000000000005E-2</v>
      </c>
      <c r="G4394" s="76">
        <v>0.108</v>
      </c>
      <c r="H4394" s="76">
        <v>0.13500000000000001</v>
      </c>
      <c r="I4394" s="76">
        <v>0.16200000000000001</v>
      </c>
      <c r="J4394" s="76">
        <v>0.188</v>
      </c>
      <c r="K4394" s="76">
        <v>0.215</v>
      </c>
      <c r="L4394" s="76">
        <v>0.24099999999999999</v>
      </c>
      <c r="M4394" s="76">
        <v>0.26700000000000002</v>
      </c>
    </row>
    <row r="4395" spans="3:13" x14ac:dyDescent="0.15">
      <c r="C4395" s="76">
        <v>456</v>
      </c>
      <c r="D4395" s="76">
        <v>2.8000000000000001E-2</v>
      </c>
      <c r="E4395" s="76">
        <v>5.7200000000000001E-2</v>
      </c>
      <c r="F4395" s="76">
        <v>8.6099999999999996E-2</v>
      </c>
      <c r="G4395" s="76">
        <v>0.115</v>
      </c>
      <c r="H4395" s="76">
        <v>0.14299999999999999</v>
      </c>
      <c r="I4395" s="76">
        <v>0.17100000000000001</v>
      </c>
      <c r="J4395" s="76">
        <v>0.2</v>
      </c>
      <c r="K4395" s="76">
        <v>0.22700000000000001</v>
      </c>
      <c r="L4395" s="76">
        <v>0.255</v>
      </c>
      <c r="M4395" s="76">
        <v>0.28299999999999997</v>
      </c>
    </row>
    <row r="4396" spans="3:13" x14ac:dyDescent="0.15">
      <c r="C4396" s="76">
        <v>458</v>
      </c>
      <c r="D4396" s="76">
        <v>2.8799999999999999E-2</v>
      </c>
      <c r="E4396" s="76">
        <v>5.8900000000000001E-2</v>
      </c>
      <c r="F4396" s="76">
        <v>8.8499999999999995E-2</v>
      </c>
      <c r="G4396" s="76">
        <v>0.11799999999999999</v>
      </c>
      <c r="H4396" s="76">
        <v>0.14699999999999999</v>
      </c>
      <c r="I4396" s="76">
        <v>0.17599999999999999</v>
      </c>
      <c r="J4396" s="76">
        <v>0.20499999999999999</v>
      </c>
      <c r="K4396" s="76">
        <v>0.23400000000000001</v>
      </c>
      <c r="L4396" s="76">
        <v>0.26200000000000001</v>
      </c>
      <c r="M4396" s="76">
        <v>0.29099999999999998</v>
      </c>
    </row>
    <row r="4397" spans="3:13" x14ac:dyDescent="0.15">
      <c r="C4397" s="76">
        <v>460</v>
      </c>
      <c r="D4397" s="76">
        <v>2.8899999999999999E-2</v>
      </c>
      <c r="E4397" s="76">
        <v>5.9200000000000003E-2</v>
      </c>
      <c r="F4397" s="76">
        <v>8.8800000000000004E-2</v>
      </c>
      <c r="G4397" s="76">
        <v>0.11799999999999999</v>
      </c>
      <c r="H4397" s="76">
        <v>0.14799999999999999</v>
      </c>
      <c r="I4397" s="76">
        <v>0.17699999999999999</v>
      </c>
      <c r="J4397" s="76">
        <v>0.20599999999999999</v>
      </c>
      <c r="K4397" s="76">
        <v>0.23499999999999999</v>
      </c>
      <c r="L4397" s="76">
        <v>0.26300000000000001</v>
      </c>
      <c r="M4397" s="76">
        <v>0.29199999999999998</v>
      </c>
    </row>
    <row r="4398" spans="3:13" x14ac:dyDescent="0.15">
      <c r="C4398" s="76">
        <v>462</v>
      </c>
      <c r="D4398" s="76">
        <v>2.8299999999999999E-2</v>
      </c>
      <c r="E4398" s="76">
        <v>5.79E-2</v>
      </c>
      <c r="F4398" s="76">
        <v>8.6900000000000005E-2</v>
      </c>
      <c r="G4398" s="76">
        <v>0.11600000000000001</v>
      </c>
      <c r="H4398" s="76">
        <v>0.14399999999999999</v>
      </c>
      <c r="I4398" s="76">
        <v>0.17299999999999999</v>
      </c>
      <c r="J4398" s="76">
        <v>0.20100000000000001</v>
      </c>
      <c r="K4398" s="76">
        <v>0.23</v>
      </c>
      <c r="L4398" s="76">
        <v>0.25800000000000001</v>
      </c>
      <c r="M4398" s="76">
        <v>0.28499999999999998</v>
      </c>
    </row>
    <row r="4399" spans="3:13" x14ac:dyDescent="0.15">
      <c r="C4399" s="76">
        <v>464</v>
      </c>
      <c r="D4399" s="76">
        <v>2.7E-2</v>
      </c>
      <c r="E4399" s="76">
        <v>5.5199999999999999E-2</v>
      </c>
      <c r="F4399" s="76">
        <v>8.2900000000000001E-2</v>
      </c>
      <c r="G4399" s="76">
        <v>0.111</v>
      </c>
      <c r="H4399" s="76">
        <v>0.13800000000000001</v>
      </c>
      <c r="I4399" s="76">
        <v>0.16500000000000001</v>
      </c>
      <c r="J4399" s="76">
        <v>0.192</v>
      </c>
      <c r="K4399" s="76">
        <v>0.219</v>
      </c>
      <c r="L4399" s="76">
        <v>0.246</v>
      </c>
      <c r="M4399" s="76">
        <v>0.27200000000000002</v>
      </c>
    </row>
    <row r="4400" spans="3:13" x14ac:dyDescent="0.15">
      <c r="C4400" s="76">
        <v>466</v>
      </c>
      <c r="D4400" s="76">
        <v>2.5499999999999998E-2</v>
      </c>
      <c r="E4400" s="76">
        <v>5.2200000000000003E-2</v>
      </c>
      <c r="F4400" s="76">
        <v>7.8399999999999997E-2</v>
      </c>
      <c r="G4400" s="76">
        <v>0.105</v>
      </c>
      <c r="H4400" s="76">
        <v>0.13</v>
      </c>
      <c r="I4400" s="76">
        <v>0.156</v>
      </c>
      <c r="J4400" s="76">
        <v>0.182</v>
      </c>
      <c r="K4400" s="76">
        <v>0.20699999999999999</v>
      </c>
      <c r="L4400" s="76">
        <v>0.23300000000000001</v>
      </c>
      <c r="M4400" s="76">
        <v>0.25800000000000001</v>
      </c>
    </row>
    <row r="4401" spans="3:13" x14ac:dyDescent="0.15">
      <c r="C4401" s="76">
        <v>468</v>
      </c>
      <c r="D4401" s="76">
        <v>2.4E-2</v>
      </c>
      <c r="E4401" s="76">
        <v>4.9099999999999998E-2</v>
      </c>
      <c r="F4401" s="76">
        <v>7.3700000000000002E-2</v>
      </c>
      <c r="G4401" s="76">
        <v>9.8299999999999998E-2</v>
      </c>
      <c r="H4401" s="76">
        <v>0.123</v>
      </c>
      <c r="I4401" s="76">
        <v>0.14699999999999999</v>
      </c>
      <c r="J4401" s="76">
        <v>0.17100000000000001</v>
      </c>
      <c r="K4401" s="76">
        <v>0.19500000000000001</v>
      </c>
      <c r="L4401" s="76">
        <v>0.219</v>
      </c>
      <c r="M4401" s="76">
        <v>0.24199999999999999</v>
      </c>
    </row>
    <row r="4402" spans="3:13" x14ac:dyDescent="0.15">
      <c r="C4402" s="76">
        <v>470</v>
      </c>
      <c r="D4402" s="76">
        <v>2.2499999999999999E-2</v>
      </c>
      <c r="E4402" s="76">
        <v>4.5900000000000003E-2</v>
      </c>
      <c r="F4402" s="76">
        <v>6.9000000000000006E-2</v>
      </c>
      <c r="G4402" s="76">
        <v>9.1999999999999998E-2</v>
      </c>
      <c r="H4402" s="76">
        <v>0.115</v>
      </c>
      <c r="I4402" s="76">
        <v>0.13700000000000001</v>
      </c>
      <c r="J4402" s="76">
        <v>0.16</v>
      </c>
      <c r="K4402" s="76">
        <v>0.182</v>
      </c>
      <c r="L4402" s="76">
        <v>0.20499999999999999</v>
      </c>
      <c r="M4402" s="76">
        <v>0.22700000000000001</v>
      </c>
    </row>
    <row r="4403" spans="3:13" x14ac:dyDescent="0.15">
      <c r="C4403" s="76">
        <v>472</v>
      </c>
      <c r="D4403" s="76">
        <v>2.1000000000000001E-2</v>
      </c>
      <c r="E4403" s="76">
        <v>4.3099999999999999E-2</v>
      </c>
      <c r="F4403" s="76">
        <v>6.4699999999999994E-2</v>
      </c>
      <c r="G4403" s="76">
        <v>8.6199999999999999E-2</v>
      </c>
      <c r="H4403" s="76">
        <v>0.108</v>
      </c>
      <c r="I4403" s="76">
        <v>0.129</v>
      </c>
      <c r="J4403" s="76">
        <v>0.15</v>
      </c>
      <c r="K4403" s="76">
        <v>0.17100000000000001</v>
      </c>
      <c r="L4403" s="76">
        <v>0.192</v>
      </c>
      <c r="M4403" s="76">
        <v>0.21299999999999999</v>
      </c>
    </row>
    <row r="4404" spans="3:13" x14ac:dyDescent="0.15">
      <c r="C4404" s="76">
        <v>474</v>
      </c>
      <c r="D4404" s="76">
        <v>1.9900000000000001E-2</v>
      </c>
      <c r="E4404" s="76">
        <v>4.0599999999999997E-2</v>
      </c>
      <c r="F4404" s="76">
        <v>6.1100000000000002E-2</v>
      </c>
      <c r="G4404" s="76">
        <v>8.14E-2</v>
      </c>
      <c r="H4404" s="76">
        <v>0.10199999999999999</v>
      </c>
      <c r="I4404" s="76">
        <v>0.122</v>
      </c>
      <c r="J4404" s="76">
        <v>0.14099999999999999</v>
      </c>
      <c r="K4404" s="76">
        <v>0.161</v>
      </c>
      <c r="L4404" s="76">
        <v>0.18099999999999999</v>
      </c>
      <c r="M4404" s="76">
        <v>0.20100000000000001</v>
      </c>
    </row>
    <row r="4405" spans="3:13" x14ac:dyDescent="0.15">
      <c r="C4405" s="76">
        <v>476</v>
      </c>
      <c r="D4405" s="76">
        <v>1.8700000000000001E-2</v>
      </c>
      <c r="E4405" s="76">
        <v>3.8300000000000001E-2</v>
      </c>
      <c r="F4405" s="76">
        <v>5.7500000000000002E-2</v>
      </c>
      <c r="G4405" s="76">
        <v>7.6600000000000001E-2</v>
      </c>
      <c r="H4405" s="76">
        <v>9.5600000000000004E-2</v>
      </c>
      <c r="I4405" s="76">
        <v>0.115</v>
      </c>
      <c r="J4405" s="76">
        <v>0.13300000000000001</v>
      </c>
      <c r="K4405" s="76">
        <v>0.152</v>
      </c>
      <c r="L4405" s="76">
        <v>0.17100000000000001</v>
      </c>
      <c r="M4405" s="76">
        <v>0.189</v>
      </c>
    </row>
    <row r="4406" spans="3:13" x14ac:dyDescent="0.15">
      <c r="C4406" s="76">
        <v>478</v>
      </c>
      <c r="D4406" s="76">
        <v>1.7899999999999999E-2</v>
      </c>
      <c r="E4406" s="76">
        <v>3.6600000000000001E-2</v>
      </c>
      <c r="F4406" s="76">
        <v>5.5E-2</v>
      </c>
      <c r="G4406" s="76">
        <v>7.3300000000000004E-2</v>
      </c>
      <c r="H4406" s="76">
        <v>9.1499999999999998E-2</v>
      </c>
      <c r="I4406" s="76">
        <v>0.11</v>
      </c>
      <c r="J4406" s="76">
        <v>0.128</v>
      </c>
      <c r="K4406" s="76">
        <v>0.14499999999999999</v>
      </c>
      <c r="L4406" s="76">
        <v>0.16300000000000001</v>
      </c>
      <c r="M4406" s="76">
        <v>0.18099999999999999</v>
      </c>
    </row>
    <row r="4407" spans="3:13" x14ac:dyDescent="0.15">
      <c r="C4407" s="76">
        <v>480</v>
      </c>
      <c r="D4407" s="76">
        <v>1.72E-2</v>
      </c>
      <c r="E4407" s="76">
        <v>3.5200000000000002E-2</v>
      </c>
      <c r="F4407" s="76">
        <v>5.2900000000000003E-2</v>
      </c>
      <c r="G4407" s="76">
        <v>7.0499999999999993E-2</v>
      </c>
      <c r="H4407" s="76">
        <v>8.7999999999999995E-2</v>
      </c>
      <c r="I4407" s="76">
        <v>0.105</v>
      </c>
      <c r="J4407" s="76">
        <v>0.123</v>
      </c>
      <c r="K4407" s="76">
        <v>0.14000000000000001</v>
      </c>
      <c r="L4407" s="76">
        <v>0.157</v>
      </c>
      <c r="M4407" s="76">
        <v>0.17399999999999999</v>
      </c>
    </row>
    <row r="4408" spans="3:13" x14ac:dyDescent="0.15">
      <c r="C4408" s="76">
        <v>482</v>
      </c>
      <c r="D4408" s="76">
        <v>1.66E-2</v>
      </c>
      <c r="E4408" s="76">
        <v>3.4000000000000002E-2</v>
      </c>
      <c r="F4408" s="76">
        <v>5.0999999999999997E-2</v>
      </c>
      <c r="G4408" s="76">
        <v>6.8000000000000005E-2</v>
      </c>
      <c r="H4408" s="76">
        <v>8.4900000000000003E-2</v>
      </c>
      <c r="I4408" s="76">
        <v>0.10199999999999999</v>
      </c>
      <c r="J4408" s="76">
        <v>0.11799999999999999</v>
      </c>
      <c r="K4408" s="76">
        <v>0.13500000000000001</v>
      </c>
      <c r="L4408" s="76">
        <v>0.151</v>
      </c>
      <c r="M4408" s="76">
        <v>0.16800000000000001</v>
      </c>
    </row>
    <row r="4409" spans="3:13" x14ac:dyDescent="0.15">
      <c r="C4409" s="76">
        <v>484</v>
      </c>
      <c r="D4409" s="76">
        <v>1.6E-2</v>
      </c>
      <c r="E4409" s="76">
        <v>3.27E-2</v>
      </c>
      <c r="F4409" s="76">
        <v>4.9099999999999998E-2</v>
      </c>
      <c r="G4409" s="76">
        <v>6.54E-2</v>
      </c>
      <c r="H4409" s="76">
        <v>8.1799999999999998E-2</v>
      </c>
      <c r="I4409" s="76">
        <v>9.7799999999999998E-2</v>
      </c>
      <c r="J4409" s="76">
        <v>0.114</v>
      </c>
      <c r="K4409" s="76">
        <v>0.13</v>
      </c>
      <c r="L4409" s="76">
        <v>0.14599999999999999</v>
      </c>
      <c r="M4409" s="76">
        <v>0.16200000000000001</v>
      </c>
    </row>
    <row r="4410" spans="3:13" x14ac:dyDescent="0.15">
      <c r="C4410" s="76">
        <v>486</v>
      </c>
      <c r="D4410" s="76">
        <v>1.54E-2</v>
      </c>
      <c r="E4410" s="76">
        <v>3.1399999999999997E-2</v>
      </c>
      <c r="F4410" s="76">
        <v>4.7199999999999999E-2</v>
      </c>
      <c r="G4410" s="76">
        <v>6.2899999999999998E-2</v>
      </c>
      <c r="H4410" s="76">
        <v>7.85E-2</v>
      </c>
      <c r="I4410" s="76">
        <v>9.3899999999999997E-2</v>
      </c>
      <c r="J4410" s="76">
        <v>0.109</v>
      </c>
      <c r="K4410" s="76">
        <v>0.125</v>
      </c>
      <c r="L4410" s="76">
        <v>0.14000000000000001</v>
      </c>
      <c r="M4410" s="76">
        <v>0.155</v>
      </c>
    </row>
    <row r="4411" spans="3:13" x14ac:dyDescent="0.15">
      <c r="C4411" s="76">
        <v>488</v>
      </c>
      <c r="D4411" s="76">
        <v>1.4500000000000001E-2</v>
      </c>
      <c r="E4411" s="76">
        <v>2.9700000000000001E-2</v>
      </c>
      <c r="F4411" s="76">
        <v>4.4600000000000001E-2</v>
      </c>
      <c r="G4411" s="76">
        <v>5.9499999999999997E-2</v>
      </c>
      <c r="H4411" s="76">
        <v>7.4300000000000005E-2</v>
      </c>
      <c r="I4411" s="76">
        <v>8.8999999999999996E-2</v>
      </c>
      <c r="J4411" s="76">
        <v>0.10299999999999999</v>
      </c>
      <c r="K4411" s="76">
        <v>0.11799999999999999</v>
      </c>
      <c r="L4411" s="76">
        <v>0.13200000000000001</v>
      </c>
      <c r="M4411" s="76">
        <v>0.14699999999999999</v>
      </c>
    </row>
    <row r="4412" spans="3:13" x14ac:dyDescent="0.15">
      <c r="C4412" s="76">
        <v>490</v>
      </c>
      <c r="D4412" s="76">
        <v>1.37E-2</v>
      </c>
      <c r="E4412" s="76">
        <v>2.81E-2</v>
      </c>
      <c r="F4412" s="76">
        <v>4.2200000000000001E-2</v>
      </c>
      <c r="G4412" s="76">
        <v>5.62E-2</v>
      </c>
      <c r="H4412" s="76">
        <v>7.0099999999999996E-2</v>
      </c>
      <c r="I4412" s="76">
        <v>8.3900000000000002E-2</v>
      </c>
      <c r="J4412" s="76">
        <v>9.7699999999999995E-2</v>
      </c>
      <c r="K4412" s="76">
        <v>0.111</v>
      </c>
      <c r="L4412" s="76">
        <v>0.125</v>
      </c>
      <c r="M4412" s="76">
        <v>0.13800000000000001</v>
      </c>
    </row>
    <row r="4413" spans="3:13" x14ac:dyDescent="0.15">
      <c r="C4413" s="76">
        <v>492</v>
      </c>
      <c r="D4413" s="76">
        <v>1.29E-2</v>
      </c>
      <c r="E4413" s="76">
        <v>2.63E-2</v>
      </c>
      <c r="F4413" s="76">
        <v>3.9600000000000003E-2</v>
      </c>
      <c r="G4413" s="76">
        <v>5.2699999999999997E-2</v>
      </c>
      <c r="H4413" s="76">
        <v>6.5799999999999997E-2</v>
      </c>
      <c r="I4413" s="76">
        <v>7.8700000000000006E-2</v>
      </c>
      <c r="J4413" s="76">
        <v>9.1499999999999998E-2</v>
      </c>
      <c r="K4413" s="76">
        <v>0.104</v>
      </c>
      <c r="L4413" s="76">
        <v>0.11700000000000001</v>
      </c>
      <c r="M4413" s="76">
        <v>0.13</v>
      </c>
    </row>
    <row r="4414" spans="3:13" x14ac:dyDescent="0.15">
      <c r="C4414" s="76">
        <v>494</v>
      </c>
      <c r="D4414" s="76">
        <v>1.2E-2</v>
      </c>
      <c r="E4414" s="76">
        <v>2.4500000000000001E-2</v>
      </c>
      <c r="F4414" s="76">
        <v>3.6700000000000003E-2</v>
      </c>
      <c r="G4414" s="76">
        <v>4.9099999999999998E-2</v>
      </c>
      <c r="H4414" s="76">
        <v>6.1199999999999997E-2</v>
      </c>
      <c r="I4414" s="76">
        <v>7.3200000000000001E-2</v>
      </c>
      <c r="J4414" s="76">
        <v>8.5099999999999995E-2</v>
      </c>
      <c r="K4414" s="76">
        <v>9.7000000000000003E-2</v>
      </c>
      <c r="L4414" s="76">
        <v>0.109</v>
      </c>
      <c r="M4414" s="76">
        <v>0.121</v>
      </c>
    </row>
    <row r="4415" spans="3:13" x14ac:dyDescent="0.15">
      <c r="C4415" s="76">
        <v>496</v>
      </c>
      <c r="D4415" s="76">
        <v>1.11E-2</v>
      </c>
      <c r="E4415" s="76">
        <v>2.2700000000000001E-2</v>
      </c>
      <c r="F4415" s="76">
        <v>3.4099999999999998E-2</v>
      </c>
      <c r="G4415" s="76">
        <v>4.5400000000000003E-2</v>
      </c>
      <c r="H4415" s="76">
        <v>5.67E-2</v>
      </c>
      <c r="I4415" s="76">
        <v>6.7799999999999999E-2</v>
      </c>
      <c r="J4415" s="76">
        <v>7.8899999999999998E-2</v>
      </c>
      <c r="K4415" s="76">
        <v>8.9899999999999994E-2</v>
      </c>
      <c r="L4415" s="76">
        <v>0.10100000000000001</v>
      </c>
      <c r="M4415" s="76">
        <v>0.112</v>
      </c>
    </row>
    <row r="4416" spans="3:13" x14ac:dyDescent="0.15">
      <c r="C4416" s="76">
        <v>498</v>
      </c>
      <c r="D4416" s="76">
        <v>1.0200000000000001E-2</v>
      </c>
      <c r="E4416" s="76">
        <v>2.0799999999999999E-2</v>
      </c>
      <c r="F4416" s="76">
        <v>3.1300000000000001E-2</v>
      </c>
      <c r="G4416" s="76">
        <v>4.1700000000000001E-2</v>
      </c>
      <c r="H4416" s="76">
        <v>5.21E-2</v>
      </c>
      <c r="I4416" s="76">
        <v>6.2300000000000001E-2</v>
      </c>
      <c r="J4416" s="76">
        <v>7.2599999999999998E-2</v>
      </c>
      <c r="K4416" s="76">
        <v>8.2500000000000004E-2</v>
      </c>
      <c r="L4416" s="76">
        <v>9.2600000000000002E-2</v>
      </c>
      <c r="M4416" s="76">
        <v>0.10299999999999999</v>
      </c>
    </row>
    <row r="4417" spans="3:13" x14ac:dyDescent="0.15">
      <c r="C4417" s="76">
        <v>500</v>
      </c>
      <c r="D4417" s="76">
        <v>9.2300000000000004E-3</v>
      </c>
      <c r="E4417" s="76">
        <v>1.89E-2</v>
      </c>
      <c r="F4417" s="76">
        <v>2.8400000000000002E-2</v>
      </c>
      <c r="G4417" s="76">
        <v>3.78E-2</v>
      </c>
      <c r="H4417" s="76">
        <v>4.7199999999999999E-2</v>
      </c>
      <c r="I4417" s="76">
        <v>5.6500000000000002E-2</v>
      </c>
      <c r="J4417" s="76">
        <v>6.5799999999999997E-2</v>
      </c>
      <c r="K4417" s="76">
        <v>7.4899999999999994E-2</v>
      </c>
      <c r="L4417" s="76">
        <v>8.3900000000000002E-2</v>
      </c>
      <c r="M4417" s="76">
        <v>9.3100000000000002E-2</v>
      </c>
    </row>
    <row r="4418" spans="3:13" x14ac:dyDescent="0.15">
      <c r="C4418" s="76">
        <v>502</v>
      </c>
      <c r="D4418" s="76">
        <v>8.3199999999999993E-3</v>
      </c>
      <c r="E4418" s="76">
        <v>1.7000000000000001E-2</v>
      </c>
      <c r="F4418" s="76">
        <v>2.5600000000000001E-2</v>
      </c>
      <c r="G4418" s="76">
        <v>3.4099999999999998E-2</v>
      </c>
      <c r="H4418" s="76">
        <v>4.2599999999999999E-2</v>
      </c>
      <c r="I4418" s="76">
        <v>5.0999999999999997E-2</v>
      </c>
      <c r="J4418" s="76">
        <v>5.9499999999999997E-2</v>
      </c>
      <c r="K4418" s="76">
        <v>6.7599999999999993E-2</v>
      </c>
      <c r="L4418" s="76">
        <v>7.5899999999999995E-2</v>
      </c>
      <c r="M4418" s="76">
        <v>8.4000000000000005E-2</v>
      </c>
    </row>
    <row r="4419" spans="3:13" x14ac:dyDescent="0.15">
      <c r="C4419" s="76">
        <v>504</v>
      </c>
      <c r="D4419" s="76">
        <v>7.5399999999999998E-3</v>
      </c>
      <c r="E4419" s="76">
        <v>1.54E-2</v>
      </c>
      <c r="F4419" s="76">
        <v>2.3199999999999998E-2</v>
      </c>
      <c r="G4419" s="76">
        <v>3.09E-2</v>
      </c>
      <c r="H4419" s="76">
        <v>3.8600000000000002E-2</v>
      </c>
      <c r="I4419" s="76">
        <v>4.6199999999999998E-2</v>
      </c>
      <c r="J4419" s="76">
        <v>5.3800000000000001E-2</v>
      </c>
      <c r="K4419" s="76">
        <v>6.1199999999999997E-2</v>
      </c>
      <c r="L4419" s="76">
        <v>6.8699999999999997E-2</v>
      </c>
      <c r="M4419" s="76">
        <v>7.6100000000000001E-2</v>
      </c>
    </row>
    <row r="4420" spans="3:13" x14ac:dyDescent="0.15">
      <c r="C4420" s="76">
        <v>506</v>
      </c>
      <c r="D4420" s="76">
        <v>6.8300000000000001E-3</v>
      </c>
      <c r="E4420" s="76">
        <v>1.3899999999999999E-2</v>
      </c>
      <c r="F4420" s="76">
        <v>2.1000000000000001E-2</v>
      </c>
      <c r="G4420" s="76">
        <v>2.8000000000000001E-2</v>
      </c>
      <c r="H4420" s="76">
        <v>3.49E-2</v>
      </c>
      <c r="I4420" s="76">
        <v>4.1799999999999997E-2</v>
      </c>
      <c r="J4420" s="76">
        <v>4.87E-2</v>
      </c>
      <c r="K4420" s="76">
        <v>5.5399999999999998E-2</v>
      </c>
      <c r="L4420" s="76">
        <v>6.2199999999999998E-2</v>
      </c>
      <c r="M4420" s="76">
        <v>6.9099999999999995E-2</v>
      </c>
    </row>
    <row r="4421" spans="3:13" x14ac:dyDescent="0.15">
      <c r="C4421" s="76">
        <v>508</v>
      </c>
      <c r="D4421" s="76">
        <v>6.1799999999999997E-3</v>
      </c>
      <c r="E4421" s="76">
        <v>1.26E-2</v>
      </c>
      <c r="F4421" s="76">
        <v>1.9E-2</v>
      </c>
      <c r="G4421" s="76">
        <v>2.53E-2</v>
      </c>
      <c r="H4421" s="76">
        <v>3.1600000000000003E-2</v>
      </c>
      <c r="I4421" s="76">
        <v>3.78E-2</v>
      </c>
      <c r="J4421" s="76">
        <v>4.41E-2</v>
      </c>
      <c r="K4421" s="76">
        <v>5.0099999999999999E-2</v>
      </c>
      <c r="L4421" s="76">
        <v>5.6300000000000003E-2</v>
      </c>
      <c r="M4421" s="76">
        <v>6.25E-2</v>
      </c>
    </row>
    <row r="4422" spans="3:13" x14ac:dyDescent="0.15">
      <c r="C4422" s="76">
        <v>510</v>
      </c>
      <c r="D4422" s="76">
        <v>5.62E-3</v>
      </c>
      <c r="E4422" s="76">
        <v>1.14E-2</v>
      </c>
      <c r="F4422" s="76">
        <v>1.7299999999999999E-2</v>
      </c>
      <c r="G4422" s="76">
        <v>2.3E-2</v>
      </c>
      <c r="H4422" s="76">
        <v>2.87E-2</v>
      </c>
      <c r="I4422" s="76">
        <v>3.44E-2</v>
      </c>
      <c r="J4422" s="76">
        <v>4.0099999999999997E-2</v>
      </c>
      <c r="K4422" s="76">
        <v>4.5499999999999999E-2</v>
      </c>
      <c r="L4422" s="76">
        <v>5.1200000000000002E-2</v>
      </c>
      <c r="M4422" s="76">
        <v>5.6599999999999998E-2</v>
      </c>
    </row>
    <row r="4423" spans="3:13" x14ac:dyDescent="0.15">
      <c r="C4423" s="76">
        <v>512</v>
      </c>
      <c r="D4423" s="76">
        <v>5.0600000000000003E-3</v>
      </c>
      <c r="E4423" s="76">
        <v>1.03E-2</v>
      </c>
      <c r="F4423" s="76">
        <v>1.55E-2</v>
      </c>
      <c r="G4423" s="76">
        <v>2.0799999999999999E-2</v>
      </c>
      <c r="H4423" s="76">
        <v>2.5899999999999999E-2</v>
      </c>
      <c r="I4423" s="76">
        <v>3.1E-2</v>
      </c>
      <c r="J4423" s="76">
        <v>3.61E-2</v>
      </c>
      <c r="K4423" s="76">
        <v>4.1000000000000002E-2</v>
      </c>
      <c r="L4423" s="76">
        <v>4.6100000000000002E-2</v>
      </c>
      <c r="M4423" s="76">
        <v>5.1200000000000002E-2</v>
      </c>
    </row>
    <row r="4424" spans="3:13" x14ac:dyDescent="0.15">
      <c r="C4424" s="76">
        <v>514</v>
      </c>
      <c r="D4424" s="76">
        <v>4.6100000000000004E-3</v>
      </c>
      <c r="E4424" s="76">
        <v>9.41E-3</v>
      </c>
      <c r="F4424" s="76">
        <v>1.4200000000000001E-2</v>
      </c>
      <c r="G4424" s="76">
        <v>1.89E-2</v>
      </c>
      <c r="H4424" s="76">
        <v>2.3599999999999999E-2</v>
      </c>
      <c r="I4424" s="76">
        <v>2.8299999999999999E-2</v>
      </c>
      <c r="J4424" s="76">
        <v>3.2899999999999999E-2</v>
      </c>
      <c r="K4424" s="76">
        <v>3.7400000000000003E-2</v>
      </c>
      <c r="L4424" s="76">
        <v>4.2099999999999999E-2</v>
      </c>
      <c r="M4424" s="76">
        <v>4.6600000000000003E-2</v>
      </c>
    </row>
    <row r="4425" spans="3:13" x14ac:dyDescent="0.15">
      <c r="C4425" s="76">
        <v>516</v>
      </c>
      <c r="D4425" s="76">
        <v>4.2399999999999998E-3</v>
      </c>
      <c r="E4425" s="76">
        <v>8.6400000000000001E-3</v>
      </c>
      <c r="F4425" s="76">
        <v>1.2999999999999999E-2</v>
      </c>
      <c r="G4425" s="76">
        <v>1.7399999999999999E-2</v>
      </c>
      <c r="H4425" s="76">
        <v>2.1700000000000001E-2</v>
      </c>
      <c r="I4425" s="76">
        <v>2.5999999999999999E-2</v>
      </c>
      <c r="J4425" s="76">
        <v>3.0300000000000001E-2</v>
      </c>
      <c r="K4425" s="76">
        <v>3.44E-2</v>
      </c>
      <c r="L4425" s="76">
        <v>3.8699999999999998E-2</v>
      </c>
      <c r="M4425" s="76">
        <v>4.2900000000000001E-2</v>
      </c>
    </row>
    <row r="4426" spans="3:13" x14ac:dyDescent="0.15">
      <c r="C4426" s="76">
        <v>518</v>
      </c>
      <c r="D4426" s="76">
        <v>3.9199999999999999E-3</v>
      </c>
      <c r="E4426" s="76">
        <v>7.9600000000000001E-3</v>
      </c>
      <c r="F4426" s="76">
        <v>1.2E-2</v>
      </c>
      <c r="G4426" s="76">
        <v>1.61E-2</v>
      </c>
      <c r="H4426" s="76">
        <v>0.02</v>
      </c>
      <c r="I4426" s="76">
        <v>2.4E-2</v>
      </c>
      <c r="J4426" s="76">
        <v>2.8000000000000001E-2</v>
      </c>
      <c r="K4426" s="76">
        <v>3.1699999999999999E-2</v>
      </c>
      <c r="L4426" s="76">
        <v>3.5700000000000003E-2</v>
      </c>
      <c r="M4426" s="76">
        <v>3.9600000000000003E-2</v>
      </c>
    </row>
    <row r="4427" spans="3:13" x14ac:dyDescent="0.15">
      <c r="C4427" s="76">
        <v>520</v>
      </c>
      <c r="D4427" s="76">
        <v>3.62E-3</v>
      </c>
      <c r="E4427" s="76">
        <v>7.3800000000000003E-3</v>
      </c>
      <c r="F4427" s="76">
        <v>1.11E-2</v>
      </c>
      <c r="G4427" s="76">
        <v>1.49E-2</v>
      </c>
      <c r="H4427" s="76">
        <v>1.8499999999999999E-2</v>
      </c>
      <c r="I4427" s="76">
        <v>2.2200000000000001E-2</v>
      </c>
      <c r="J4427" s="76">
        <v>2.5899999999999999E-2</v>
      </c>
      <c r="K4427" s="76">
        <v>2.9399999999999999E-2</v>
      </c>
      <c r="L4427" s="76">
        <v>3.3099999999999997E-2</v>
      </c>
      <c r="M4427" s="76">
        <v>3.6700000000000003E-2</v>
      </c>
    </row>
    <row r="4428" spans="3:13" x14ac:dyDescent="0.15">
      <c r="C4428" s="76">
        <v>522</v>
      </c>
      <c r="D4428" s="76">
        <v>3.3600000000000001E-3</v>
      </c>
      <c r="E4428" s="76">
        <v>6.8300000000000001E-3</v>
      </c>
      <c r="F4428" s="76">
        <v>1.03E-2</v>
      </c>
      <c r="G4428" s="76">
        <v>1.38E-2</v>
      </c>
      <c r="H4428" s="76">
        <v>1.7100000000000001E-2</v>
      </c>
      <c r="I4428" s="76">
        <v>2.06E-2</v>
      </c>
      <c r="J4428" s="76">
        <v>2.4E-2</v>
      </c>
      <c r="K4428" s="76">
        <v>2.7199999999999998E-2</v>
      </c>
      <c r="L4428" s="76">
        <v>3.0599999999999999E-2</v>
      </c>
      <c r="M4428" s="76">
        <v>3.4000000000000002E-2</v>
      </c>
    </row>
    <row r="4429" spans="3:13" x14ac:dyDescent="0.15">
      <c r="C4429" s="76">
        <v>524</v>
      </c>
      <c r="D4429" s="76">
        <v>3.0699999999999998E-3</v>
      </c>
      <c r="E4429" s="76">
        <v>6.2599999999999999E-3</v>
      </c>
      <c r="F4429" s="76">
        <v>9.4500000000000001E-3</v>
      </c>
      <c r="G4429" s="76">
        <v>1.26E-2</v>
      </c>
      <c r="H4429" s="76">
        <v>1.5699999999999999E-2</v>
      </c>
      <c r="I4429" s="76">
        <v>1.8800000000000001E-2</v>
      </c>
      <c r="J4429" s="76">
        <v>2.1899999999999999E-2</v>
      </c>
      <c r="K4429" s="76">
        <v>2.4899999999999999E-2</v>
      </c>
      <c r="L4429" s="76">
        <v>2.8000000000000001E-2</v>
      </c>
      <c r="M4429" s="76">
        <v>3.1099999999999999E-2</v>
      </c>
    </row>
    <row r="4430" spans="3:13" x14ac:dyDescent="0.15">
      <c r="C4430" s="76">
        <v>526</v>
      </c>
      <c r="D4430" s="76">
        <v>2.8300000000000001E-3</v>
      </c>
      <c r="E4430" s="76">
        <v>5.7800000000000004E-3</v>
      </c>
      <c r="F4430" s="76">
        <v>8.7399999999999995E-3</v>
      </c>
      <c r="G4430" s="76">
        <v>1.17E-2</v>
      </c>
      <c r="H4430" s="76">
        <v>1.4500000000000001E-2</v>
      </c>
      <c r="I4430" s="76">
        <v>1.7299999999999999E-2</v>
      </c>
      <c r="J4430" s="76">
        <v>2.0199999999999999E-2</v>
      </c>
      <c r="K4430" s="76">
        <v>2.3E-2</v>
      </c>
      <c r="L4430" s="76">
        <v>2.5899999999999999E-2</v>
      </c>
      <c r="M4430" s="76">
        <v>2.87E-2</v>
      </c>
    </row>
    <row r="4431" spans="3:13" x14ac:dyDescent="0.15">
      <c r="C4431" s="76">
        <v>528</v>
      </c>
      <c r="D4431" s="76">
        <v>2.6199999999999999E-3</v>
      </c>
      <c r="E4431" s="76">
        <v>5.3400000000000001E-3</v>
      </c>
      <c r="F4431" s="76">
        <v>8.0800000000000004E-3</v>
      </c>
      <c r="G4431" s="76">
        <v>1.0699999999999999E-2</v>
      </c>
      <c r="H4431" s="76">
        <v>1.34E-2</v>
      </c>
      <c r="I4431" s="76">
        <v>1.6E-2</v>
      </c>
      <c r="J4431" s="76">
        <v>1.8700000000000001E-2</v>
      </c>
      <c r="K4431" s="76">
        <v>2.12E-2</v>
      </c>
      <c r="L4431" s="76">
        <v>2.3900000000000001E-2</v>
      </c>
      <c r="M4431" s="76">
        <v>2.6499999999999999E-2</v>
      </c>
    </row>
    <row r="4432" spans="3:13" x14ac:dyDescent="0.15">
      <c r="C4432" s="76">
        <v>530</v>
      </c>
      <c r="D4432" s="76">
        <v>2.4099999999999998E-3</v>
      </c>
      <c r="E4432" s="76">
        <v>4.9300000000000004E-3</v>
      </c>
      <c r="F4432" s="76">
        <v>7.4200000000000004E-3</v>
      </c>
      <c r="G4432" s="76">
        <v>9.9000000000000008E-3</v>
      </c>
      <c r="H4432" s="76">
        <v>1.23E-2</v>
      </c>
      <c r="I4432" s="76">
        <v>1.47E-2</v>
      </c>
      <c r="J4432" s="76">
        <v>1.7100000000000001E-2</v>
      </c>
      <c r="K4432" s="76">
        <v>1.9599999999999999E-2</v>
      </c>
      <c r="L4432" s="76">
        <v>2.1999999999999999E-2</v>
      </c>
      <c r="M4432" s="76">
        <v>2.4299999999999999E-2</v>
      </c>
    </row>
    <row r="4433" spans="3:13" x14ac:dyDescent="0.15">
      <c r="C4433" s="76">
        <v>532</v>
      </c>
      <c r="D4433" s="76">
        <v>2.2100000000000002E-3</v>
      </c>
      <c r="E4433" s="76">
        <v>4.5199999999999997E-3</v>
      </c>
      <c r="F4433" s="76">
        <v>6.7999999999999996E-3</v>
      </c>
      <c r="G4433" s="76">
        <v>9.0699999999999999E-3</v>
      </c>
      <c r="H4433" s="76">
        <v>1.1299999999999999E-2</v>
      </c>
      <c r="I4433" s="76">
        <v>1.35E-2</v>
      </c>
      <c r="J4433" s="76">
        <v>1.5699999999999999E-2</v>
      </c>
      <c r="K4433" s="76">
        <v>1.7899999999999999E-2</v>
      </c>
      <c r="L4433" s="76">
        <v>2.01E-2</v>
      </c>
      <c r="M4433" s="76">
        <v>2.23E-2</v>
      </c>
    </row>
    <row r="4434" spans="3:13" x14ac:dyDescent="0.15">
      <c r="C4434" s="76">
        <v>534</v>
      </c>
      <c r="D4434" s="76">
        <v>2.0100000000000001E-3</v>
      </c>
      <c r="E4434" s="76">
        <v>4.13E-3</v>
      </c>
      <c r="F4434" s="76">
        <v>6.1999999999999998E-3</v>
      </c>
      <c r="G4434" s="76">
        <v>8.2500000000000004E-3</v>
      </c>
      <c r="H4434" s="76">
        <v>1.03E-2</v>
      </c>
      <c r="I4434" s="76">
        <v>1.23E-2</v>
      </c>
      <c r="J4434" s="76">
        <v>1.44E-2</v>
      </c>
      <c r="K4434" s="76">
        <v>1.6400000000000001E-2</v>
      </c>
      <c r="L4434" s="76">
        <v>1.84E-2</v>
      </c>
      <c r="M4434" s="76">
        <v>2.0400000000000001E-2</v>
      </c>
    </row>
    <row r="4435" spans="3:13" x14ac:dyDescent="0.15">
      <c r="C4435" s="76">
        <v>536</v>
      </c>
      <c r="D4435" s="76">
        <v>1.82E-3</v>
      </c>
      <c r="E4435" s="76">
        <v>3.7100000000000002E-3</v>
      </c>
      <c r="F4435" s="76">
        <v>5.6100000000000004E-3</v>
      </c>
      <c r="G4435" s="76">
        <v>7.4900000000000001E-3</v>
      </c>
      <c r="H4435" s="76">
        <v>9.2499999999999995E-3</v>
      </c>
      <c r="I4435" s="76">
        <v>1.11E-2</v>
      </c>
      <c r="J4435" s="76">
        <v>1.2999999999999999E-2</v>
      </c>
      <c r="K4435" s="76">
        <v>1.47E-2</v>
      </c>
      <c r="L4435" s="76">
        <v>1.6500000000000001E-2</v>
      </c>
      <c r="M4435" s="76">
        <v>1.8200000000000001E-2</v>
      </c>
    </row>
    <row r="4436" spans="3:13" x14ac:dyDescent="0.15">
      <c r="C4436" s="76">
        <v>538</v>
      </c>
      <c r="D4436" s="76">
        <v>1.66E-3</v>
      </c>
      <c r="E4436" s="76">
        <v>3.3899999999999998E-3</v>
      </c>
      <c r="F4436" s="76">
        <v>5.0800000000000003E-3</v>
      </c>
      <c r="G4436" s="76">
        <v>6.7799999999999996E-3</v>
      </c>
      <c r="H4436" s="76">
        <v>8.4200000000000004E-3</v>
      </c>
      <c r="I4436" s="76">
        <v>1.01E-2</v>
      </c>
      <c r="J4436" s="76">
        <v>1.17E-2</v>
      </c>
      <c r="K4436" s="76">
        <v>1.34E-2</v>
      </c>
      <c r="L4436" s="76">
        <v>1.4999999999999999E-2</v>
      </c>
      <c r="M4436" s="76">
        <v>1.66E-2</v>
      </c>
    </row>
    <row r="4437" spans="3:13" x14ac:dyDescent="0.15">
      <c r="C4437" s="76">
        <v>540</v>
      </c>
      <c r="D4437" s="76">
        <v>1.5E-3</v>
      </c>
      <c r="E4437" s="76">
        <v>3.0899999999999999E-3</v>
      </c>
      <c r="F4437" s="76">
        <v>4.64E-3</v>
      </c>
      <c r="G4437" s="76">
        <v>6.1599999999999997E-3</v>
      </c>
      <c r="H4437" s="76">
        <v>7.6400000000000001E-3</v>
      </c>
      <c r="I4437" s="76">
        <v>9.1800000000000007E-3</v>
      </c>
      <c r="J4437" s="76">
        <v>1.06E-2</v>
      </c>
      <c r="K4437" s="76">
        <v>1.2200000000000001E-2</v>
      </c>
      <c r="L4437" s="76">
        <v>1.37E-2</v>
      </c>
      <c r="M4437" s="76">
        <v>1.4999999999999999E-2</v>
      </c>
    </row>
    <row r="4438" spans="3:13" x14ac:dyDescent="0.15">
      <c r="C4438" s="76">
        <v>542</v>
      </c>
      <c r="D4438" s="76">
        <v>1.3699999999999999E-3</v>
      </c>
      <c r="E4438" s="76">
        <v>2.81E-3</v>
      </c>
      <c r="F4438" s="76">
        <v>4.2100000000000002E-3</v>
      </c>
      <c r="G4438" s="76">
        <v>5.5900000000000004E-3</v>
      </c>
      <c r="H4438" s="76">
        <v>6.96E-3</v>
      </c>
      <c r="I4438" s="76">
        <v>8.3800000000000003E-3</v>
      </c>
      <c r="J4438" s="76">
        <v>9.6699999999999998E-3</v>
      </c>
      <c r="K4438" s="76">
        <v>1.11E-2</v>
      </c>
      <c r="L4438" s="76">
        <v>1.24E-2</v>
      </c>
      <c r="M4438" s="76">
        <v>1.37E-2</v>
      </c>
    </row>
    <row r="4439" spans="3:13" x14ac:dyDescent="0.15">
      <c r="C4439" s="76">
        <v>544</v>
      </c>
      <c r="D4439" s="76">
        <v>1.25E-3</v>
      </c>
      <c r="E4439" s="76">
        <v>2.5699999999999998E-3</v>
      </c>
      <c r="F4439" s="76">
        <v>3.8300000000000001E-3</v>
      </c>
      <c r="G4439" s="76">
        <v>5.0899999999999999E-3</v>
      </c>
      <c r="H4439" s="76">
        <v>6.3299999999999997E-3</v>
      </c>
      <c r="I4439" s="76">
        <v>7.6E-3</v>
      </c>
      <c r="J4439" s="76">
        <v>8.8100000000000001E-3</v>
      </c>
      <c r="K4439" s="76">
        <v>1.01E-2</v>
      </c>
      <c r="L4439" s="76">
        <v>1.1299999999999999E-2</v>
      </c>
      <c r="M4439" s="76">
        <v>1.24E-2</v>
      </c>
    </row>
    <row r="4440" spans="3:13" x14ac:dyDescent="0.15">
      <c r="C4440" s="76">
        <v>546</v>
      </c>
      <c r="D4440" s="76">
        <v>1.1299999999999999E-3</v>
      </c>
      <c r="E4440" s="76">
        <v>2.33E-3</v>
      </c>
      <c r="F4440" s="76">
        <v>3.46E-3</v>
      </c>
      <c r="G4440" s="76">
        <v>4.5799999999999999E-3</v>
      </c>
      <c r="H4440" s="76">
        <v>5.7200000000000003E-3</v>
      </c>
      <c r="I4440" s="76">
        <v>6.8700000000000002E-3</v>
      </c>
      <c r="J4440" s="76">
        <v>7.9799999999999992E-3</v>
      </c>
      <c r="K4440" s="76">
        <v>9.1400000000000006E-3</v>
      </c>
      <c r="L4440" s="76">
        <v>1.0200000000000001E-2</v>
      </c>
      <c r="M4440" s="76">
        <v>1.12E-2</v>
      </c>
    </row>
    <row r="4441" spans="3:13" x14ac:dyDescent="0.15">
      <c r="C4441" s="76">
        <v>548</v>
      </c>
      <c r="D4441" s="76">
        <v>1.0200000000000001E-3</v>
      </c>
      <c r="E4441" s="76">
        <v>2.0999999999999999E-3</v>
      </c>
      <c r="F4441" s="76">
        <v>3.1199999999999999E-3</v>
      </c>
      <c r="G4441" s="76">
        <v>4.1200000000000004E-3</v>
      </c>
      <c r="H4441" s="76">
        <v>5.1799999999999997E-3</v>
      </c>
      <c r="I4441" s="76">
        <v>6.2199999999999998E-3</v>
      </c>
      <c r="J4441" s="76">
        <v>7.1700000000000002E-3</v>
      </c>
      <c r="K4441" s="76">
        <v>8.2900000000000005E-3</v>
      </c>
      <c r="L4441" s="76">
        <v>9.2300000000000004E-3</v>
      </c>
      <c r="M4441" s="76">
        <v>1.01E-2</v>
      </c>
    </row>
    <row r="4442" spans="3:13" x14ac:dyDescent="0.15">
      <c r="C4442" s="76">
        <v>550</v>
      </c>
      <c r="D4442" s="76">
        <v>9.3599999999999998E-4</v>
      </c>
      <c r="E4442" s="76">
        <v>1.92E-3</v>
      </c>
      <c r="F4442" s="76">
        <v>2.8600000000000001E-3</v>
      </c>
      <c r="G4442" s="76">
        <v>3.79E-3</v>
      </c>
      <c r="H4442" s="76">
        <v>4.7299999999999998E-3</v>
      </c>
      <c r="I4442" s="76">
        <v>5.6800000000000002E-3</v>
      </c>
      <c r="J4442" s="76">
        <v>6.5599999999999999E-3</v>
      </c>
      <c r="K4442" s="76">
        <v>7.5500000000000003E-3</v>
      </c>
      <c r="L4442" s="76">
        <v>8.3899999999999999E-3</v>
      </c>
      <c r="M4442" s="76">
        <v>9.0900000000000009E-3</v>
      </c>
    </row>
    <row r="4443" spans="3:13" x14ac:dyDescent="0.15">
      <c r="C4443" s="76">
        <v>552</v>
      </c>
      <c r="D4443" s="76">
        <v>8.5099999999999998E-4</v>
      </c>
      <c r="E4443" s="76">
        <v>1.75E-3</v>
      </c>
      <c r="F4443" s="76">
        <v>2.5999999999999999E-3</v>
      </c>
      <c r="G4443" s="76">
        <v>3.4399999999999999E-3</v>
      </c>
      <c r="H4443" s="76">
        <v>4.3200000000000001E-3</v>
      </c>
      <c r="I4443" s="76">
        <v>5.1900000000000002E-3</v>
      </c>
      <c r="J4443" s="76">
        <v>5.9500000000000004E-3</v>
      </c>
      <c r="K4443" s="76">
        <v>6.8799999999999998E-3</v>
      </c>
      <c r="L4443" s="76">
        <v>7.6299999999999996E-3</v>
      </c>
      <c r="M4443" s="76">
        <v>8.3499999999999998E-3</v>
      </c>
    </row>
    <row r="4444" spans="3:13" x14ac:dyDescent="0.15">
      <c r="C4444" s="76">
        <v>554</v>
      </c>
      <c r="D4444" s="76">
        <v>7.76E-4</v>
      </c>
      <c r="E4444" s="76">
        <v>1.6000000000000001E-3</v>
      </c>
      <c r="F4444" s="76">
        <v>2.3600000000000001E-3</v>
      </c>
      <c r="G4444" s="76">
        <v>3.13E-3</v>
      </c>
      <c r="H4444" s="76">
        <v>3.9100000000000003E-3</v>
      </c>
      <c r="I4444" s="76">
        <v>4.7400000000000003E-3</v>
      </c>
      <c r="J4444" s="76">
        <v>5.4599999999999996E-3</v>
      </c>
      <c r="K4444" s="76">
        <v>6.3E-3</v>
      </c>
      <c r="L4444" s="76">
        <v>6.9499999999999996E-3</v>
      </c>
      <c r="M4444" s="76">
        <v>7.5599999999999999E-3</v>
      </c>
    </row>
    <row r="4445" spans="3:13" x14ac:dyDescent="0.15">
      <c r="C4445" s="76">
        <v>556</v>
      </c>
      <c r="D4445" s="76">
        <v>7.1199999999999996E-4</v>
      </c>
      <c r="E4445" s="76">
        <v>1.47E-3</v>
      </c>
      <c r="F4445" s="76">
        <v>2.15E-3</v>
      </c>
      <c r="G4445" s="76">
        <v>2.8500000000000001E-3</v>
      </c>
      <c r="H4445" s="76">
        <v>3.5799999999999998E-3</v>
      </c>
      <c r="I4445" s="76">
        <v>4.3E-3</v>
      </c>
      <c r="J4445" s="76">
        <v>4.96E-3</v>
      </c>
      <c r="K4445" s="76">
        <v>5.7400000000000003E-3</v>
      </c>
      <c r="L4445" s="76">
        <v>6.3099999999999996E-3</v>
      </c>
      <c r="M4445" s="76">
        <v>6.9100000000000003E-3</v>
      </c>
    </row>
    <row r="4446" spans="3:13" x14ac:dyDescent="0.15">
      <c r="C4446" s="76">
        <v>558</v>
      </c>
      <c r="D4446" s="76">
        <v>6.4300000000000002E-4</v>
      </c>
      <c r="E4446" s="76">
        <v>1.32E-3</v>
      </c>
      <c r="F4446" s="76">
        <v>1.97E-3</v>
      </c>
      <c r="G4446" s="76">
        <v>2.5899999999999999E-3</v>
      </c>
      <c r="H4446" s="76">
        <v>3.32E-3</v>
      </c>
      <c r="I4446" s="76">
        <v>3.8800000000000002E-3</v>
      </c>
      <c r="J4446" s="76">
        <v>4.47E-3</v>
      </c>
      <c r="K4446" s="76">
        <v>5.2199999999999998E-3</v>
      </c>
      <c r="L4446" s="76">
        <v>5.7200000000000003E-3</v>
      </c>
      <c r="M4446" s="76">
        <v>6.28E-3</v>
      </c>
    </row>
    <row r="4447" spans="3:13" x14ac:dyDescent="0.15">
      <c r="C4447" s="76">
        <v>560</v>
      </c>
      <c r="D4447" s="76">
        <v>5.8699999999999996E-4</v>
      </c>
      <c r="E4447" s="76">
        <v>1.2099999999999999E-3</v>
      </c>
      <c r="F4447" s="76">
        <v>1.8E-3</v>
      </c>
      <c r="G4447" s="76">
        <v>2.3800000000000002E-3</v>
      </c>
      <c r="H4447" s="76">
        <v>2.96E-3</v>
      </c>
      <c r="I4447" s="76">
        <v>3.5699999999999998E-3</v>
      </c>
      <c r="J4447" s="76">
        <v>4.0400000000000002E-3</v>
      </c>
      <c r="K4447" s="76">
        <v>4.7600000000000003E-3</v>
      </c>
      <c r="L4447" s="76">
        <v>5.2900000000000004E-3</v>
      </c>
      <c r="M4447" s="76">
        <v>5.7299999999999999E-3</v>
      </c>
    </row>
    <row r="4448" spans="3:13" x14ac:dyDescent="0.15">
      <c r="C4448" s="76">
        <v>562</v>
      </c>
      <c r="D4448" s="76">
        <v>5.4100000000000003E-4</v>
      </c>
      <c r="E4448" s="76">
        <v>1.1100000000000001E-3</v>
      </c>
      <c r="F4448" s="76">
        <v>1.65E-3</v>
      </c>
      <c r="G4448" s="76">
        <v>2.16E-3</v>
      </c>
      <c r="H4448" s="76">
        <v>2.7499999999999998E-3</v>
      </c>
      <c r="I4448" s="76">
        <v>3.2699999999999999E-3</v>
      </c>
      <c r="J4448" s="76">
        <v>3.7499999999999999E-3</v>
      </c>
      <c r="K4448" s="76">
        <v>4.3499999999999997E-3</v>
      </c>
      <c r="L4448" s="76">
        <v>4.8399999999999997E-3</v>
      </c>
      <c r="M4448" s="76">
        <v>5.2599999999999999E-3</v>
      </c>
    </row>
    <row r="4449" spans="3:13" x14ac:dyDescent="0.15">
      <c r="C4449" s="76">
        <v>564</v>
      </c>
      <c r="D4449" s="76">
        <v>4.9600000000000002E-4</v>
      </c>
      <c r="E4449" s="76">
        <v>1.01E-3</v>
      </c>
      <c r="F4449" s="76">
        <v>1.5200000000000001E-3</v>
      </c>
      <c r="G4449" s="76">
        <v>1.98E-3</v>
      </c>
      <c r="H4449" s="76">
        <v>2.5100000000000001E-3</v>
      </c>
      <c r="I4449" s="76">
        <v>3.0000000000000001E-3</v>
      </c>
      <c r="J4449" s="76">
        <v>3.4399999999999999E-3</v>
      </c>
      <c r="K4449" s="76">
        <v>3.98E-3</v>
      </c>
      <c r="L4449" s="76">
        <v>4.4200000000000003E-3</v>
      </c>
      <c r="M4449" s="76">
        <v>4.8500000000000001E-3</v>
      </c>
    </row>
    <row r="4450" spans="3:13" x14ac:dyDescent="0.15">
      <c r="C4450" s="76">
        <v>566</v>
      </c>
      <c r="D4450" s="76">
        <v>4.6200000000000001E-4</v>
      </c>
      <c r="E4450" s="76">
        <v>9.3999999999999997E-4</v>
      </c>
      <c r="F4450" s="76">
        <v>1.41E-3</v>
      </c>
      <c r="G4450" s="76">
        <v>1.83E-3</v>
      </c>
      <c r="H4450" s="76">
        <v>2.31E-3</v>
      </c>
      <c r="I4450" s="76">
        <v>2.7599999999999999E-3</v>
      </c>
      <c r="J4450" s="76">
        <v>3.1900000000000001E-3</v>
      </c>
      <c r="K4450" s="76">
        <v>3.7000000000000002E-3</v>
      </c>
      <c r="L4450" s="76">
        <v>4.0600000000000002E-3</v>
      </c>
      <c r="M4450" s="76">
        <v>4.4000000000000003E-3</v>
      </c>
    </row>
    <row r="4451" spans="3:13" x14ac:dyDescent="0.15">
      <c r="C4451" s="76">
        <v>568</v>
      </c>
      <c r="D4451" s="76">
        <v>4.2499999999999998E-4</v>
      </c>
      <c r="E4451" s="76">
        <v>8.4500000000000005E-4</v>
      </c>
      <c r="F4451" s="76">
        <v>1.2700000000000001E-3</v>
      </c>
      <c r="G4451" s="76">
        <v>1.6999999999999999E-3</v>
      </c>
      <c r="H4451" s="76">
        <v>2.1199999999999999E-3</v>
      </c>
      <c r="I4451" s="76">
        <v>2.5899999999999999E-3</v>
      </c>
      <c r="J4451" s="76">
        <v>2.8300000000000001E-3</v>
      </c>
      <c r="K4451" s="76">
        <v>3.4299999999999999E-3</v>
      </c>
      <c r="L4451" s="76">
        <v>3.7100000000000002E-3</v>
      </c>
      <c r="M4451" s="76">
        <v>4.0099999999999997E-3</v>
      </c>
    </row>
    <row r="4452" spans="3:13" x14ac:dyDescent="0.15">
      <c r="C4452" s="76">
        <v>570</v>
      </c>
      <c r="D4452" s="76">
        <v>3.9199999999999999E-4</v>
      </c>
      <c r="E4452" s="76">
        <v>7.9900000000000001E-4</v>
      </c>
      <c r="F4452" s="76">
        <v>1.1800000000000001E-3</v>
      </c>
      <c r="G4452" s="76">
        <v>1.5499999999999999E-3</v>
      </c>
      <c r="H4452" s="76">
        <v>1.9400000000000001E-3</v>
      </c>
      <c r="I4452" s="76">
        <v>2.3700000000000001E-3</v>
      </c>
      <c r="J4452" s="76">
        <v>2.64E-3</v>
      </c>
      <c r="K4452" s="76">
        <v>3.0799999999999998E-3</v>
      </c>
      <c r="L4452" s="76">
        <v>3.48E-3</v>
      </c>
      <c r="M4452" s="76">
        <v>3.7799999999999999E-3</v>
      </c>
    </row>
    <row r="4453" spans="3:13" x14ac:dyDescent="0.15">
      <c r="C4453" s="76">
        <v>572</v>
      </c>
      <c r="D4453" s="76">
        <v>3.6099999999999999E-4</v>
      </c>
      <c r="E4453" s="76">
        <v>7.4399999999999998E-4</v>
      </c>
      <c r="F4453" s="76">
        <v>1.08E-3</v>
      </c>
      <c r="G4453" s="76">
        <v>1.4499999999999999E-3</v>
      </c>
      <c r="H4453" s="76">
        <v>1.8E-3</v>
      </c>
      <c r="I4453" s="76">
        <v>2.1800000000000001E-3</v>
      </c>
      <c r="J4453" s="76">
        <v>2.4399999999999999E-3</v>
      </c>
      <c r="K4453" s="76">
        <v>2.8900000000000002E-3</v>
      </c>
      <c r="L4453" s="76">
        <v>3.2599999999999999E-3</v>
      </c>
      <c r="M4453" s="76">
        <v>3.47E-3</v>
      </c>
    </row>
    <row r="4454" spans="3:13" x14ac:dyDescent="0.15">
      <c r="C4454" s="76">
        <v>574</v>
      </c>
      <c r="D4454" s="76">
        <v>3.39E-4</v>
      </c>
      <c r="E4454" s="76">
        <v>6.8300000000000001E-4</v>
      </c>
      <c r="F4454" s="76">
        <v>9.990000000000001E-4</v>
      </c>
      <c r="G4454" s="76">
        <v>1.3600000000000001E-3</v>
      </c>
      <c r="H4454" s="76">
        <v>1.6999999999999999E-3</v>
      </c>
      <c r="I4454" s="76">
        <v>2.0300000000000001E-3</v>
      </c>
      <c r="J4454" s="76">
        <v>2.2899999999999999E-3</v>
      </c>
      <c r="K4454" s="76">
        <v>2.66E-3</v>
      </c>
      <c r="L4454" s="76">
        <v>3.0100000000000001E-3</v>
      </c>
      <c r="M4454" s="76">
        <v>3.2399999999999998E-3</v>
      </c>
    </row>
    <row r="4455" spans="3:13" x14ac:dyDescent="0.15">
      <c r="C4455" s="76">
        <v>576</v>
      </c>
      <c r="D4455" s="76">
        <v>3.2000000000000003E-4</v>
      </c>
      <c r="E4455" s="76">
        <v>6.2799999999999998E-4</v>
      </c>
      <c r="F4455" s="76">
        <v>9.4799999999999995E-4</v>
      </c>
      <c r="G4455" s="76">
        <v>1.24E-3</v>
      </c>
      <c r="H4455" s="76">
        <v>1.57E-3</v>
      </c>
      <c r="I4455" s="76">
        <v>1.8699999999999999E-3</v>
      </c>
      <c r="J4455" s="76">
        <v>2.1199999999999999E-3</v>
      </c>
      <c r="K4455" s="76">
        <v>2.4499999999999999E-3</v>
      </c>
      <c r="L4455" s="76">
        <v>2.7899999999999999E-3</v>
      </c>
      <c r="M4455" s="76">
        <v>2.99E-3</v>
      </c>
    </row>
    <row r="4456" spans="3:13" x14ac:dyDescent="0.15">
      <c r="C4456" s="76">
        <v>578</v>
      </c>
      <c r="D4456" s="76">
        <v>2.9300000000000002E-4</v>
      </c>
      <c r="E4456" s="76">
        <v>5.7600000000000001E-4</v>
      </c>
      <c r="F4456" s="76">
        <v>8.12E-4</v>
      </c>
      <c r="G4456" s="76">
        <v>1.23E-3</v>
      </c>
      <c r="H4456" s="76">
        <v>1.4300000000000001E-3</v>
      </c>
      <c r="I4456" s="76">
        <v>1.73E-3</v>
      </c>
      <c r="J4456" s="76">
        <v>1.8400000000000001E-3</v>
      </c>
      <c r="K4456" s="76">
        <v>2.31E-3</v>
      </c>
      <c r="L4456" s="76">
        <v>2.5600000000000002E-3</v>
      </c>
      <c r="M4456" s="76">
        <v>2.7899999999999999E-3</v>
      </c>
    </row>
    <row r="4457" spans="3:13" x14ac:dyDescent="0.15">
      <c r="C4457" s="76">
        <v>580</v>
      </c>
      <c r="D4457" s="76">
        <v>2.6699999999999998E-4</v>
      </c>
      <c r="E4457" s="76">
        <v>5.1599999999999997E-4</v>
      </c>
      <c r="F4457" s="76">
        <v>7.6000000000000004E-4</v>
      </c>
      <c r="G4457" s="76">
        <v>1.0300000000000001E-3</v>
      </c>
      <c r="H4457" s="76">
        <v>1.31E-3</v>
      </c>
      <c r="I4457" s="76">
        <v>1.5299999999999999E-3</v>
      </c>
      <c r="J4457" s="76">
        <v>1.7799999999999999E-3</v>
      </c>
      <c r="K4457" s="76">
        <v>2.0899999999999998E-3</v>
      </c>
      <c r="L4457" s="76">
        <v>2.2899999999999999E-3</v>
      </c>
      <c r="M4457" s="76">
        <v>2.6199999999999999E-3</v>
      </c>
    </row>
    <row r="4458" spans="3:13" x14ac:dyDescent="0.15">
      <c r="C4458" s="76">
        <v>582</v>
      </c>
      <c r="D4458" s="76">
        <v>2.5599999999999999E-4</v>
      </c>
      <c r="E4458" s="76">
        <v>4.7600000000000002E-4</v>
      </c>
      <c r="F4458" s="76">
        <v>7.0799999999999997E-4</v>
      </c>
      <c r="G4458" s="76">
        <v>9.68E-4</v>
      </c>
      <c r="H4458" s="76">
        <v>1.2099999999999999E-3</v>
      </c>
      <c r="I4458" s="76">
        <v>1.41E-3</v>
      </c>
      <c r="J4458" s="76">
        <v>1.65E-3</v>
      </c>
      <c r="K4458" s="76">
        <v>1.92E-3</v>
      </c>
      <c r="L4458" s="76">
        <v>2.14E-3</v>
      </c>
      <c r="M4458" s="76">
        <v>2.4299999999999999E-3</v>
      </c>
    </row>
    <row r="4459" spans="3:13" x14ac:dyDescent="0.15">
      <c r="C4459" s="76">
        <v>584</v>
      </c>
      <c r="D4459" s="76">
        <v>2.34E-4</v>
      </c>
      <c r="E4459" s="76">
        <v>4.4200000000000001E-4</v>
      </c>
      <c r="F4459" s="76">
        <v>6.4300000000000002E-4</v>
      </c>
      <c r="G4459" s="76">
        <v>9.0899999999999998E-4</v>
      </c>
      <c r="H4459" s="76">
        <v>1.1199999999999999E-3</v>
      </c>
      <c r="I4459" s="76">
        <v>1.2899999999999999E-3</v>
      </c>
      <c r="J4459" s="76">
        <v>1.49E-3</v>
      </c>
      <c r="K4459" s="76">
        <v>1.72E-3</v>
      </c>
      <c r="L4459" s="76">
        <v>2E-3</v>
      </c>
      <c r="M4459" s="76">
        <v>2.2200000000000002E-3</v>
      </c>
    </row>
    <row r="4460" spans="3:13" x14ac:dyDescent="0.15">
      <c r="C4460" s="76">
        <v>586</v>
      </c>
      <c r="D4460" s="76">
        <v>2.2000000000000001E-4</v>
      </c>
      <c r="E4460" s="76">
        <v>4.0099999999999999E-4</v>
      </c>
      <c r="F4460" s="76">
        <v>5.8900000000000001E-4</v>
      </c>
      <c r="G4460" s="76">
        <v>8.3199999999999995E-4</v>
      </c>
      <c r="H4460" s="76">
        <v>1.0200000000000001E-3</v>
      </c>
      <c r="I4460" s="76">
        <v>1.17E-3</v>
      </c>
      <c r="J4460" s="76">
        <v>1.3699999999999999E-3</v>
      </c>
      <c r="K4460" s="76">
        <v>1.5399999999999999E-3</v>
      </c>
      <c r="L4460" s="76">
        <v>1.8E-3</v>
      </c>
      <c r="M4460" s="76">
        <v>2.0600000000000002E-3</v>
      </c>
    </row>
    <row r="4461" spans="3:13" x14ac:dyDescent="0.15">
      <c r="C4461" s="76">
        <v>588</v>
      </c>
      <c r="D4461" s="76">
        <v>2.03E-4</v>
      </c>
      <c r="E4461" s="76">
        <v>3.7599999999999998E-4</v>
      </c>
      <c r="F4461" s="76">
        <v>5.2400000000000005E-4</v>
      </c>
      <c r="G4461" s="76">
        <v>7.5199999999999996E-4</v>
      </c>
      <c r="H4461" s="76">
        <v>9.1299999999999997E-4</v>
      </c>
      <c r="I4461" s="76">
        <v>1.0499999999999999E-3</v>
      </c>
      <c r="J4461" s="76">
        <v>1.1999999999999999E-3</v>
      </c>
      <c r="K4461" s="76">
        <v>1.3600000000000001E-3</v>
      </c>
      <c r="L4461" s="76">
        <v>1.6100000000000001E-3</v>
      </c>
      <c r="M4461" s="76">
        <v>1.89E-3</v>
      </c>
    </row>
    <row r="4462" spans="3:13" x14ac:dyDescent="0.15">
      <c r="C4462" s="76">
        <v>590</v>
      </c>
      <c r="D4462" s="76">
        <v>1.7899999999999999E-4</v>
      </c>
      <c r="E4462" s="76">
        <v>3.1599999999999998E-4</v>
      </c>
      <c r="F4462" s="76">
        <v>4.8999999999999998E-4</v>
      </c>
      <c r="G4462" s="76">
        <v>6.9700000000000003E-4</v>
      </c>
      <c r="H4462" s="76">
        <v>8.4599999999999996E-4</v>
      </c>
      <c r="I4462" s="76">
        <v>9.5500000000000001E-4</v>
      </c>
      <c r="J4462" s="76">
        <v>1.1199999999999999E-3</v>
      </c>
      <c r="K4462" s="76">
        <v>1.2700000000000001E-3</v>
      </c>
      <c r="L4462" s="76">
        <v>1.5200000000000001E-3</v>
      </c>
      <c r="M4462" s="76">
        <v>1.81E-3</v>
      </c>
    </row>
    <row r="4463" spans="3:13" x14ac:dyDescent="0.15">
      <c r="C4463" s="76">
        <v>592</v>
      </c>
      <c r="D4463" s="76">
        <v>1.63E-4</v>
      </c>
      <c r="E4463" s="76">
        <v>2.9599999999999998E-4</v>
      </c>
      <c r="F4463" s="76">
        <v>4.4299999999999998E-4</v>
      </c>
      <c r="G4463" s="76">
        <v>6.3000000000000003E-4</v>
      </c>
      <c r="H4463" s="76">
        <v>7.7499999999999997E-4</v>
      </c>
      <c r="I4463" s="76">
        <v>8.8199999999999997E-4</v>
      </c>
      <c r="J4463" s="76">
        <v>1.0300000000000001E-3</v>
      </c>
      <c r="K4463" s="76">
        <v>1.1900000000000001E-3</v>
      </c>
      <c r="L4463" s="76">
        <v>1.4E-3</v>
      </c>
      <c r="M4463" s="76">
        <v>1.72E-3</v>
      </c>
    </row>
    <row r="4464" spans="3:13" x14ac:dyDescent="0.15">
      <c r="C4464" s="76">
        <v>594</v>
      </c>
      <c r="D4464" s="76">
        <v>1.4799999999999999E-4</v>
      </c>
      <c r="E4464" s="76">
        <v>2.52E-4</v>
      </c>
      <c r="F4464" s="76">
        <v>3.9899999999999999E-4</v>
      </c>
      <c r="G4464" s="76">
        <v>6.11E-4</v>
      </c>
      <c r="H4464" s="76">
        <v>7.1000000000000002E-4</v>
      </c>
      <c r="I4464" s="76">
        <v>8.25E-4</v>
      </c>
      <c r="J4464" s="76">
        <v>9.1100000000000003E-4</v>
      </c>
      <c r="K4464" s="76">
        <v>1.0499999999999999E-3</v>
      </c>
      <c r="L4464" s="76">
        <v>1.33E-3</v>
      </c>
      <c r="M4464" s="76">
        <v>1.5200000000000001E-3</v>
      </c>
    </row>
    <row r="4465" spans="3:13" x14ac:dyDescent="0.15">
      <c r="C4465" s="76">
        <v>596</v>
      </c>
      <c r="D4465" s="76">
        <v>1.35E-4</v>
      </c>
      <c r="E4465" s="76">
        <v>2.3000000000000001E-4</v>
      </c>
      <c r="F4465" s="76">
        <v>3.5100000000000002E-4</v>
      </c>
      <c r="G4465" s="76">
        <v>5.7399999999999997E-4</v>
      </c>
      <c r="H4465" s="76">
        <v>6.7900000000000002E-4</v>
      </c>
      <c r="I4465" s="76">
        <v>7.2800000000000002E-4</v>
      </c>
      <c r="J4465" s="76">
        <v>8.5099999999999998E-4</v>
      </c>
      <c r="K4465" s="76">
        <v>9.7400000000000004E-4</v>
      </c>
      <c r="L4465" s="76">
        <v>1.2700000000000001E-3</v>
      </c>
      <c r="M4465" s="76">
        <v>1.41E-3</v>
      </c>
    </row>
    <row r="4466" spans="3:13" x14ac:dyDescent="0.15">
      <c r="C4466" s="76">
        <v>598</v>
      </c>
      <c r="D4466" s="76">
        <v>1.2300000000000001E-4</v>
      </c>
      <c r="E4466" s="76">
        <v>2.1800000000000001E-4</v>
      </c>
      <c r="F4466" s="76">
        <v>3.3799999999999998E-4</v>
      </c>
      <c r="G4466" s="76">
        <v>4.95E-4</v>
      </c>
      <c r="H4466" s="76">
        <v>5.9299999999999999E-4</v>
      </c>
      <c r="I4466" s="76">
        <v>6.6100000000000002E-4</v>
      </c>
      <c r="J4466" s="76">
        <v>7.94E-4</v>
      </c>
      <c r="K4466" s="76">
        <v>9.3599999999999998E-4</v>
      </c>
      <c r="L4466" s="76">
        <v>1.15E-3</v>
      </c>
      <c r="M4466" s="76">
        <v>1.3500000000000001E-3</v>
      </c>
    </row>
    <row r="4467" spans="3:13" x14ac:dyDescent="0.15">
      <c r="C4467" s="76">
        <v>600</v>
      </c>
      <c r="D4467" s="76">
        <v>1.17E-4</v>
      </c>
      <c r="E4467" s="76">
        <v>1.93E-4</v>
      </c>
      <c r="F4467" s="76">
        <v>3.28E-4</v>
      </c>
      <c r="G4467" s="76">
        <v>4.6500000000000003E-4</v>
      </c>
      <c r="H4467" s="76">
        <v>5.6800000000000004E-4</v>
      </c>
      <c r="I4467" s="76">
        <v>5.9100000000000005E-4</v>
      </c>
      <c r="J4467" s="76">
        <v>7.2599999999999997E-4</v>
      </c>
      <c r="K4467" s="76">
        <v>8.1599999999999999E-4</v>
      </c>
      <c r="L4467" s="76">
        <v>1.01E-3</v>
      </c>
      <c r="M4467" s="76">
        <v>1.24E-3</v>
      </c>
    </row>
    <row r="4468" spans="3:13" x14ac:dyDescent="0.15">
      <c r="C4468" s="76">
        <v>602</v>
      </c>
      <c r="D4468" s="76">
        <v>1.06E-4</v>
      </c>
      <c r="E4468" s="76">
        <v>1.83E-4</v>
      </c>
      <c r="F4468" s="76">
        <v>2.9700000000000001E-4</v>
      </c>
      <c r="G4468" s="76">
        <v>4.73E-4</v>
      </c>
      <c r="H4468" s="76">
        <v>4.3399999999999998E-4</v>
      </c>
      <c r="I4468" s="76">
        <v>5.7899999999999998E-4</v>
      </c>
      <c r="J4468" s="76">
        <v>6.7400000000000001E-4</v>
      </c>
      <c r="K4468" s="76">
        <v>7.9199999999999995E-4</v>
      </c>
      <c r="L4468" s="76">
        <v>8.9800000000000004E-4</v>
      </c>
      <c r="M4468" s="76">
        <v>1.1100000000000001E-3</v>
      </c>
    </row>
    <row r="4469" spans="3:13" x14ac:dyDescent="0.15">
      <c r="C4469" s="76">
        <v>604</v>
      </c>
      <c r="D4469" s="76">
        <v>9.5199999999999997E-5</v>
      </c>
      <c r="E4469" s="76">
        <v>1.6699999999999999E-4</v>
      </c>
      <c r="F4469" s="76">
        <v>2.7999999999999998E-4</v>
      </c>
      <c r="G4469" s="76">
        <v>4.0400000000000001E-4</v>
      </c>
      <c r="H4469" s="76">
        <v>4.4999999999999999E-4</v>
      </c>
      <c r="I4469" s="76">
        <v>5.4699999999999996E-4</v>
      </c>
      <c r="J4469" s="76">
        <v>7.0600000000000003E-4</v>
      </c>
      <c r="K4469" s="76">
        <v>7.54E-4</v>
      </c>
      <c r="L4469" s="76">
        <v>8.4199999999999998E-4</v>
      </c>
      <c r="M4469" s="76">
        <v>1.09E-3</v>
      </c>
    </row>
    <row r="4470" spans="3:13" x14ac:dyDescent="0.15">
      <c r="C4470" s="76">
        <v>606</v>
      </c>
      <c r="D4470" s="76">
        <v>8.92E-5</v>
      </c>
      <c r="E4470" s="76">
        <v>1.56E-4</v>
      </c>
      <c r="F4470" s="76">
        <v>2.5599999999999999E-4</v>
      </c>
      <c r="G4470" s="76">
        <v>3.5199999999999999E-4</v>
      </c>
      <c r="H4470" s="76">
        <v>4.35E-4</v>
      </c>
      <c r="I4470" s="76">
        <v>4.8299999999999998E-4</v>
      </c>
      <c r="J4470" s="76">
        <v>6.4599999999999998E-4</v>
      </c>
      <c r="K4470" s="76">
        <v>6.7699999999999998E-4</v>
      </c>
      <c r="L4470" s="76">
        <v>8.1999999999999998E-4</v>
      </c>
      <c r="M4470" s="76">
        <v>1.1100000000000001E-3</v>
      </c>
    </row>
    <row r="4471" spans="3:13" x14ac:dyDescent="0.15">
      <c r="C4471" s="76">
        <v>608</v>
      </c>
      <c r="D4471" s="76">
        <v>8.2799999999999993E-5</v>
      </c>
      <c r="E4471" s="76">
        <v>1.3999999999999999E-4</v>
      </c>
      <c r="F4471" s="76">
        <v>2.41E-4</v>
      </c>
      <c r="G4471" s="76">
        <v>3.3700000000000001E-4</v>
      </c>
      <c r="H4471" s="76">
        <v>4.0200000000000001E-4</v>
      </c>
      <c r="I4471" s="76">
        <v>4.7600000000000002E-4</v>
      </c>
      <c r="J4471" s="76">
        <v>5.6499999999999996E-4</v>
      </c>
      <c r="K4471" s="76">
        <v>6.4199999999999999E-4</v>
      </c>
      <c r="L4471" s="76">
        <v>7.2499999999999995E-4</v>
      </c>
      <c r="M4471" s="76">
        <v>9.4300000000000004E-4</v>
      </c>
    </row>
    <row r="4472" spans="3:13" x14ac:dyDescent="0.15">
      <c r="C4472" s="76">
        <v>610</v>
      </c>
      <c r="D4472" s="76">
        <v>7.64E-5</v>
      </c>
      <c r="E4472" s="76">
        <v>1.4300000000000001E-4</v>
      </c>
      <c r="F4472" s="76">
        <v>2.13E-4</v>
      </c>
      <c r="G4472" s="76">
        <v>3.1700000000000001E-4</v>
      </c>
      <c r="H4472" s="76">
        <v>3.6299999999999999E-4</v>
      </c>
      <c r="I4472" s="76">
        <v>4.0499999999999998E-4</v>
      </c>
      <c r="J4472" s="76">
        <v>5.8500000000000002E-4</v>
      </c>
      <c r="K4472" s="76">
        <v>6.1300000000000005E-4</v>
      </c>
      <c r="L4472" s="76">
        <v>6.9999999999999999E-4</v>
      </c>
      <c r="M4472" s="76">
        <v>8.5700000000000001E-4</v>
      </c>
    </row>
    <row r="4473" spans="3:13" x14ac:dyDescent="0.15">
      <c r="C4473" s="76">
        <v>612</v>
      </c>
      <c r="D4473" s="76">
        <v>7.2000000000000002E-5</v>
      </c>
      <c r="E4473" s="76">
        <v>1.37E-4</v>
      </c>
      <c r="F4473" s="76">
        <v>2.1699999999999999E-4</v>
      </c>
      <c r="G4473" s="76">
        <v>2.8600000000000001E-4</v>
      </c>
      <c r="H4473" s="76">
        <v>3.39E-4</v>
      </c>
      <c r="I4473" s="76">
        <v>3.7599999999999998E-4</v>
      </c>
      <c r="J4473" s="76">
        <v>5.2899999999999996E-4</v>
      </c>
      <c r="K4473" s="76">
        <v>5.7899999999999998E-4</v>
      </c>
      <c r="L4473" s="76">
        <v>6.3000000000000003E-4</v>
      </c>
      <c r="M4473" s="76">
        <v>8.61E-4</v>
      </c>
    </row>
    <row r="4474" spans="3:13" x14ac:dyDescent="0.15">
      <c r="C4474" s="76">
        <v>614</v>
      </c>
      <c r="D4474" s="76">
        <v>7.3200000000000004E-5</v>
      </c>
      <c r="E4474" s="76">
        <v>1.3200000000000001E-4</v>
      </c>
      <c r="F4474" s="76">
        <v>2.0699999999999999E-4</v>
      </c>
      <c r="G4474" s="76">
        <v>2.8800000000000001E-4</v>
      </c>
      <c r="H4474" s="76">
        <v>3.3500000000000001E-4</v>
      </c>
      <c r="I4474" s="76">
        <v>3.48E-4</v>
      </c>
      <c r="J4474" s="76">
        <v>5.1000000000000004E-4</v>
      </c>
      <c r="K4474" s="76">
        <v>5.8900000000000001E-4</v>
      </c>
      <c r="L4474" s="76">
        <v>6.11E-4</v>
      </c>
      <c r="M4474" s="76">
        <v>7.3499999999999998E-4</v>
      </c>
    </row>
    <row r="4475" spans="3:13" x14ac:dyDescent="0.15">
      <c r="C4475" s="76">
        <v>616</v>
      </c>
      <c r="D4475" s="76">
        <v>5.7800000000000002E-5</v>
      </c>
      <c r="E4475" s="76">
        <v>1.2300000000000001E-4</v>
      </c>
      <c r="F4475" s="76">
        <v>2.0000000000000001E-4</v>
      </c>
      <c r="G4475" s="76">
        <v>2.63E-4</v>
      </c>
      <c r="H4475" s="76">
        <v>3.1799999999999998E-4</v>
      </c>
      <c r="I4475" s="76">
        <v>3.7199999999999999E-4</v>
      </c>
      <c r="J4475" s="76">
        <v>4.84E-4</v>
      </c>
      <c r="K4475" s="76">
        <v>4.2400000000000001E-4</v>
      </c>
      <c r="L4475" s="76">
        <v>5.8900000000000001E-4</v>
      </c>
      <c r="M4475" s="76">
        <v>7.2800000000000002E-4</v>
      </c>
    </row>
    <row r="4476" spans="3:13" x14ac:dyDescent="0.15">
      <c r="C4476" s="76">
        <v>618</v>
      </c>
      <c r="D4476" s="76">
        <v>5.9200000000000002E-5</v>
      </c>
      <c r="E4476" s="76">
        <v>1.2300000000000001E-4</v>
      </c>
      <c r="F4476" s="76">
        <v>1.7699999999999999E-4</v>
      </c>
      <c r="G4476" s="76">
        <v>2.52E-4</v>
      </c>
      <c r="H4476" s="76">
        <v>2.99E-4</v>
      </c>
      <c r="I4476" s="76">
        <v>3.2899999999999997E-4</v>
      </c>
      <c r="J4476" s="76">
        <v>4.6299999999999998E-4</v>
      </c>
      <c r="K4476" s="76">
        <v>4.9299999999999995E-4</v>
      </c>
      <c r="L4476" s="76">
        <v>5.5000000000000003E-4</v>
      </c>
      <c r="M4476" s="76">
        <v>6.1899999999999998E-4</v>
      </c>
    </row>
    <row r="4477" spans="3:13" x14ac:dyDescent="0.15">
      <c r="C4477" s="76">
        <v>620</v>
      </c>
      <c r="D4477" s="76">
        <v>4.8000000000000001E-5</v>
      </c>
      <c r="E4477" s="76">
        <v>1.2300000000000001E-4</v>
      </c>
      <c r="F4477" s="76">
        <v>1.95E-4</v>
      </c>
      <c r="G4477" s="76">
        <v>2.2699999999999999E-4</v>
      </c>
      <c r="H4477" s="76">
        <v>2.6699999999999998E-4</v>
      </c>
      <c r="I4477" s="76">
        <v>3.1E-4</v>
      </c>
      <c r="J4477" s="76">
        <v>3.6200000000000002E-4</v>
      </c>
      <c r="K4477" s="76">
        <v>4.2499999999999998E-4</v>
      </c>
      <c r="L4477" s="76">
        <v>4.7199999999999998E-4</v>
      </c>
      <c r="M4477" s="76">
        <v>5.9999999999999995E-4</v>
      </c>
    </row>
    <row r="4478" spans="3:13" x14ac:dyDescent="0.15">
      <c r="C4478" s="76">
        <v>622</v>
      </c>
      <c r="D4478" s="76">
        <v>4.1300000000000001E-5</v>
      </c>
      <c r="E4478" s="76">
        <v>1.18E-4</v>
      </c>
      <c r="F4478" s="76">
        <v>1.5300000000000001E-4</v>
      </c>
      <c r="G4478" s="76">
        <v>2.1800000000000001E-4</v>
      </c>
      <c r="H4478" s="76">
        <v>2.7599999999999999E-4</v>
      </c>
      <c r="I4478" s="76">
        <v>2.5999999999999998E-4</v>
      </c>
      <c r="J4478" s="76">
        <v>4.4900000000000002E-4</v>
      </c>
      <c r="K4478" s="76">
        <v>4.5399999999999998E-4</v>
      </c>
      <c r="L4478" s="76">
        <v>4.28E-4</v>
      </c>
      <c r="M4478" s="76">
        <v>5.0000000000000001E-4</v>
      </c>
    </row>
    <row r="4479" spans="3:13" x14ac:dyDescent="0.15">
      <c r="C4479" s="76">
        <v>624</v>
      </c>
      <c r="D4479" s="76">
        <v>4.8300000000000002E-5</v>
      </c>
      <c r="E4479" s="76">
        <v>1.1400000000000001E-4</v>
      </c>
      <c r="F4479" s="76">
        <v>1.7100000000000001E-4</v>
      </c>
      <c r="G4479" s="76">
        <v>2.0000000000000001E-4</v>
      </c>
      <c r="H4479" s="76">
        <v>2.2499999999999999E-4</v>
      </c>
      <c r="I4479" s="76">
        <v>2.31E-4</v>
      </c>
      <c r="J4479" s="76">
        <v>4.0099999999999999E-4</v>
      </c>
      <c r="K4479" s="76">
        <v>4.1399999999999998E-4</v>
      </c>
      <c r="L4479" s="76">
        <v>3.9399999999999998E-4</v>
      </c>
      <c r="M4479" s="76">
        <v>4.8700000000000002E-4</v>
      </c>
    </row>
    <row r="4480" spans="3:13" x14ac:dyDescent="0.15">
      <c r="C4480" s="76">
        <v>626</v>
      </c>
      <c r="D4480" s="76">
        <v>3.9700000000000003E-5</v>
      </c>
      <c r="E4480" s="76">
        <v>1.16E-4</v>
      </c>
      <c r="F4480" s="76">
        <v>1.65E-4</v>
      </c>
      <c r="G4480" s="76">
        <v>1.9900000000000001E-4</v>
      </c>
      <c r="H4480" s="76">
        <v>2.2699999999999999E-4</v>
      </c>
      <c r="I4480" s="76">
        <v>2.4600000000000002E-4</v>
      </c>
      <c r="J4480" s="76">
        <v>3.8900000000000002E-4</v>
      </c>
      <c r="K4480" s="76">
        <v>4.2299999999999998E-4</v>
      </c>
      <c r="L4480" s="76">
        <v>4.0999999999999999E-4</v>
      </c>
      <c r="M4480" s="76">
        <v>3.9800000000000002E-4</v>
      </c>
    </row>
    <row r="4481" spans="3:13" x14ac:dyDescent="0.15">
      <c r="C4481" s="76">
        <v>628</v>
      </c>
      <c r="D4481" s="76">
        <v>4.2200000000000003E-5</v>
      </c>
      <c r="E4481" s="76">
        <v>1.06E-4</v>
      </c>
      <c r="F4481" s="76">
        <v>1.3899999999999999E-4</v>
      </c>
      <c r="G4481" s="76">
        <v>1.7000000000000001E-4</v>
      </c>
      <c r="H4481" s="76">
        <v>1.76E-4</v>
      </c>
      <c r="I4481" s="76">
        <v>2.6899999999999998E-4</v>
      </c>
      <c r="J4481" s="76">
        <v>3.9899999999999999E-4</v>
      </c>
      <c r="K4481" s="76">
        <v>3.7599999999999998E-4</v>
      </c>
      <c r="L4481" s="76">
        <v>3.6999999999999999E-4</v>
      </c>
      <c r="M4481" s="76">
        <v>4.0000000000000002E-4</v>
      </c>
    </row>
    <row r="4482" spans="3:13" x14ac:dyDescent="0.15">
      <c r="C4482" s="76">
        <v>630</v>
      </c>
      <c r="D4482" s="76">
        <v>4.1399999999999997E-5</v>
      </c>
      <c r="E4482" s="76">
        <v>1.05E-4</v>
      </c>
      <c r="F4482" s="76">
        <v>1.2999999999999999E-4</v>
      </c>
      <c r="G4482" s="76">
        <v>1.26E-4</v>
      </c>
      <c r="H4482" s="76">
        <v>1.5799999999999999E-4</v>
      </c>
      <c r="I4482" s="76">
        <v>2.32E-4</v>
      </c>
      <c r="J4482" s="76">
        <v>3.2499999999999999E-4</v>
      </c>
      <c r="K4482" s="76">
        <v>4.0499999999999998E-4</v>
      </c>
      <c r="L4482" s="76">
        <v>3.57E-4</v>
      </c>
      <c r="M4482" s="76">
        <v>3.4400000000000001E-4</v>
      </c>
    </row>
    <row r="4483" spans="3:13" x14ac:dyDescent="0.15">
      <c r="C4483" s="76">
        <v>632</v>
      </c>
      <c r="D4483" s="76">
        <v>3.9700000000000003E-5</v>
      </c>
      <c r="E4483" s="76">
        <v>1.0900000000000001E-4</v>
      </c>
      <c r="F4483" s="76">
        <v>1.44E-4</v>
      </c>
      <c r="G4483" s="76">
        <v>1.3999999999999999E-4</v>
      </c>
      <c r="H4483" s="76">
        <v>1.37E-4</v>
      </c>
      <c r="I4483" s="76">
        <v>2.5000000000000001E-4</v>
      </c>
      <c r="J4483" s="76">
        <v>3.5300000000000002E-4</v>
      </c>
      <c r="K4483" s="76">
        <v>3.8499999999999998E-4</v>
      </c>
      <c r="L4483" s="76">
        <v>3.3500000000000001E-4</v>
      </c>
      <c r="M4483" s="76">
        <v>3.9599999999999998E-4</v>
      </c>
    </row>
    <row r="4484" spans="3:13" x14ac:dyDescent="0.15">
      <c r="C4484" s="76">
        <v>634</v>
      </c>
      <c r="D4484" s="76">
        <v>4.2500000000000003E-5</v>
      </c>
      <c r="E4484" s="76">
        <v>1.08E-4</v>
      </c>
      <c r="F4484" s="76">
        <v>1.21E-4</v>
      </c>
      <c r="G4484" s="76">
        <v>1.5799999999999999E-4</v>
      </c>
      <c r="H4484" s="76">
        <v>1.54E-4</v>
      </c>
      <c r="I4484" s="76">
        <v>2.4800000000000001E-4</v>
      </c>
      <c r="J4484" s="76">
        <v>2.9100000000000003E-4</v>
      </c>
      <c r="K4484" s="76">
        <v>3.88E-4</v>
      </c>
      <c r="L4484" s="76">
        <v>3.5100000000000002E-4</v>
      </c>
      <c r="M4484" s="76">
        <v>2.7900000000000001E-4</v>
      </c>
    </row>
    <row r="4485" spans="3:13" x14ac:dyDescent="0.15">
      <c r="C4485" s="76">
        <v>636</v>
      </c>
      <c r="D4485" s="76">
        <v>3.7299999999999999E-5</v>
      </c>
      <c r="E4485" s="76">
        <v>1.06E-4</v>
      </c>
      <c r="F4485" s="76">
        <v>1.3200000000000001E-4</v>
      </c>
      <c r="G4485" s="76">
        <v>1.6899999999999999E-4</v>
      </c>
      <c r="H4485" s="76">
        <v>1.5100000000000001E-4</v>
      </c>
      <c r="I4485" s="76">
        <v>1.9699999999999999E-4</v>
      </c>
      <c r="J4485" s="76">
        <v>2.9999999999999997E-4</v>
      </c>
      <c r="K4485" s="76">
        <v>3.6499999999999998E-4</v>
      </c>
      <c r="L4485" s="76">
        <v>2.9100000000000003E-4</v>
      </c>
      <c r="M4485" s="76">
        <v>2.6600000000000001E-4</v>
      </c>
    </row>
    <row r="4486" spans="3:13" x14ac:dyDescent="0.15">
      <c r="C4486" s="76">
        <v>638</v>
      </c>
      <c r="D4486" s="76">
        <v>3.68E-5</v>
      </c>
      <c r="E4486" s="76">
        <v>8.8300000000000005E-5</v>
      </c>
      <c r="F4486" s="76">
        <v>1.06E-4</v>
      </c>
      <c r="G4486" s="76">
        <v>1.16E-4</v>
      </c>
      <c r="H4486" s="76">
        <v>1.2400000000000001E-4</v>
      </c>
      <c r="I4486" s="76">
        <v>2.3699999999999999E-4</v>
      </c>
      <c r="J4486" s="76">
        <v>3.0899999999999998E-4</v>
      </c>
      <c r="K4486" s="76">
        <v>3.0499999999999999E-4</v>
      </c>
      <c r="L4486" s="76">
        <v>3.3799999999999998E-4</v>
      </c>
      <c r="M4486" s="76">
        <v>2.22E-4</v>
      </c>
    </row>
    <row r="4487" spans="3:13" x14ac:dyDescent="0.15">
      <c r="C4487" s="76">
        <v>640</v>
      </c>
      <c r="D4487" s="76">
        <v>3.3399999999999999E-5</v>
      </c>
      <c r="E4487" s="76">
        <v>1.01E-4</v>
      </c>
      <c r="F4487" s="76">
        <v>9.7299999999999993E-5</v>
      </c>
      <c r="G4487" s="76">
        <v>1.16E-4</v>
      </c>
      <c r="H4487" s="76">
        <v>7.3300000000000006E-5</v>
      </c>
      <c r="I4487" s="76">
        <v>2.2699999999999999E-4</v>
      </c>
      <c r="J4487" s="76">
        <v>3.1700000000000001E-4</v>
      </c>
      <c r="K4487" s="76">
        <v>2.9999999999999997E-4</v>
      </c>
      <c r="L4487" s="76">
        <v>3.1199999999999999E-4</v>
      </c>
      <c r="M4487" s="76">
        <v>1.76E-4</v>
      </c>
    </row>
    <row r="4488" spans="3:13" x14ac:dyDescent="0.15">
      <c r="C4488" s="76">
        <v>642</v>
      </c>
      <c r="D4488" s="76">
        <v>3.3800000000000002E-5</v>
      </c>
      <c r="E4488" s="76">
        <v>9.0199999999999997E-5</v>
      </c>
      <c r="F4488" s="76">
        <v>8.2299999999999995E-5</v>
      </c>
      <c r="G4488" s="76">
        <v>1.0399999999999999E-4</v>
      </c>
      <c r="H4488" s="76">
        <v>1.46E-4</v>
      </c>
      <c r="I4488" s="76">
        <v>2.3699999999999999E-4</v>
      </c>
      <c r="J4488" s="76">
        <v>2.6200000000000003E-4</v>
      </c>
      <c r="K4488" s="76">
        <v>2.9799999999999998E-4</v>
      </c>
      <c r="L4488" s="76">
        <v>2.6400000000000002E-4</v>
      </c>
      <c r="M4488" s="76">
        <v>1.1400000000000001E-4</v>
      </c>
    </row>
    <row r="4489" spans="3:13" x14ac:dyDescent="0.15">
      <c r="C4489" s="76">
        <v>644</v>
      </c>
      <c r="D4489" s="76">
        <v>3.7400000000000001E-5</v>
      </c>
      <c r="E4489" s="76">
        <v>8.1199999999999995E-5</v>
      </c>
      <c r="F4489" s="76">
        <v>1.02E-4</v>
      </c>
      <c r="G4489" s="76">
        <v>9.0099999999999995E-5</v>
      </c>
      <c r="H4489" s="76">
        <v>1.3300000000000001E-4</v>
      </c>
      <c r="I4489" s="76">
        <v>2.1800000000000001E-4</v>
      </c>
      <c r="J4489" s="76">
        <v>2.5500000000000002E-4</v>
      </c>
      <c r="K4489" s="76">
        <v>2.6600000000000001E-4</v>
      </c>
      <c r="L4489" s="76">
        <v>2.5399999999999999E-4</v>
      </c>
      <c r="M4489" s="76">
        <v>1.8000000000000001E-4</v>
      </c>
    </row>
    <row r="4490" spans="3:13" x14ac:dyDescent="0.15">
      <c r="C4490" s="76">
        <v>646</v>
      </c>
      <c r="D4490" s="76">
        <v>3.1999999999999999E-5</v>
      </c>
      <c r="E4490" s="76">
        <v>8.53E-5</v>
      </c>
      <c r="F4490" s="76">
        <v>8.7200000000000005E-5</v>
      </c>
      <c r="G4490" s="76">
        <v>1.21E-4</v>
      </c>
      <c r="H4490" s="76">
        <v>1.13E-4</v>
      </c>
      <c r="I4490" s="76">
        <v>2.4600000000000002E-4</v>
      </c>
      <c r="J4490" s="76">
        <v>2.7099999999999997E-4</v>
      </c>
      <c r="K4490" s="76">
        <v>2.4600000000000002E-4</v>
      </c>
      <c r="L4490" s="76">
        <v>3.1399999999999999E-4</v>
      </c>
      <c r="M4490" s="76">
        <v>1.17E-4</v>
      </c>
    </row>
    <row r="4491" spans="3:13" x14ac:dyDescent="0.15">
      <c r="C4491" s="76">
        <v>648</v>
      </c>
      <c r="D4491" s="76">
        <v>3.0499999999999999E-5</v>
      </c>
      <c r="E4491" s="76">
        <v>9.8400000000000007E-5</v>
      </c>
      <c r="F4491" s="76">
        <v>6.1799999999999998E-5</v>
      </c>
      <c r="G4491" s="76">
        <v>8.6600000000000004E-5</v>
      </c>
      <c r="H4491" s="76">
        <v>1.11E-4</v>
      </c>
      <c r="I4491" s="76">
        <v>2.0599999999999999E-4</v>
      </c>
      <c r="J4491" s="76">
        <v>2.5599999999999999E-4</v>
      </c>
      <c r="K4491" s="76">
        <v>1.63E-4</v>
      </c>
      <c r="L4491" s="76">
        <v>2.3900000000000001E-4</v>
      </c>
      <c r="M4491" s="76">
        <v>1.2E-4</v>
      </c>
    </row>
    <row r="4492" spans="3:13" x14ac:dyDescent="0.15">
      <c r="C4492" s="76">
        <v>650</v>
      </c>
      <c r="D4492" s="76">
        <v>2.9300000000000001E-5</v>
      </c>
      <c r="E4492" s="76">
        <v>5.1199999999999998E-5</v>
      </c>
      <c r="F4492" s="76">
        <v>5.4500000000000003E-5</v>
      </c>
      <c r="G4492" s="76">
        <v>1.03E-4</v>
      </c>
      <c r="H4492" s="76">
        <v>1.16E-4</v>
      </c>
      <c r="I4492" s="76">
        <v>1.6899999999999999E-4</v>
      </c>
      <c r="J4492" s="76">
        <v>2.1699999999999999E-4</v>
      </c>
      <c r="K4492" s="76">
        <v>1.73E-4</v>
      </c>
      <c r="L4492" s="76">
        <v>2.6499999999999999E-4</v>
      </c>
      <c r="M4492" s="76">
        <v>1.3100000000000001E-4</v>
      </c>
    </row>
    <row r="4493" spans="3:13" x14ac:dyDescent="0.15">
      <c r="C4493" s="76">
        <v>652</v>
      </c>
      <c r="D4493" s="76">
        <v>3.1199999999999999E-5</v>
      </c>
      <c r="E4493" s="76">
        <v>4.5599999999999997E-5</v>
      </c>
      <c r="F4493" s="76">
        <v>5.94E-5</v>
      </c>
      <c r="G4493" s="76">
        <v>8.9499999999999994E-5</v>
      </c>
      <c r="H4493" s="76">
        <v>1.17E-4</v>
      </c>
      <c r="I4493" s="76">
        <v>1.6899999999999999E-4</v>
      </c>
      <c r="J4493" s="76">
        <v>1.9699999999999999E-4</v>
      </c>
      <c r="K4493" s="76">
        <v>2.1000000000000001E-4</v>
      </c>
      <c r="L4493" s="76">
        <v>1.63E-4</v>
      </c>
      <c r="M4493" s="76">
        <v>1.4799999999999999E-4</v>
      </c>
    </row>
    <row r="4494" spans="3:13" x14ac:dyDescent="0.15">
      <c r="C4494" s="76">
        <v>654</v>
      </c>
      <c r="D4494" s="76">
        <v>2.5000000000000001E-5</v>
      </c>
      <c r="E4494" s="76">
        <v>4.9100000000000001E-5</v>
      </c>
      <c r="F4494" s="76">
        <v>4.1999999999999998E-5</v>
      </c>
      <c r="G4494" s="76">
        <v>1.1E-4</v>
      </c>
      <c r="H4494" s="76">
        <v>9.7299999999999993E-5</v>
      </c>
      <c r="I4494" s="76">
        <v>1.6200000000000001E-4</v>
      </c>
      <c r="J4494" s="76">
        <v>2.1800000000000001E-4</v>
      </c>
      <c r="K4494" s="76">
        <v>1.9100000000000001E-4</v>
      </c>
      <c r="L4494" s="76">
        <v>1.4100000000000001E-4</v>
      </c>
      <c r="M4494" s="76">
        <v>1.7899999999999999E-4</v>
      </c>
    </row>
    <row r="4495" spans="3:13" x14ac:dyDescent="0.15">
      <c r="C4495" s="76">
        <v>656</v>
      </c>
      <c r="D4495" s="76">
        <v>2.4499999999999999E-5</v>
      </c>
      <c r="E4495" s="76">
        <v>3.4499999999999998E-5</v>
      </c>
      <c r="F4495" s="76">
        <v>4.1100000000000003E-5</v>
      </c>
      <c r="G4495" s="76">
        <v>1.2E-4</v>
      </c>
      <c r="H4495" s="76">
        <v>1.06E-4</v>
      </c>
      <c r="I4495" s="76">
        <v>1.64E-4</v>
      </c>
      <c r="J4495" s="76">
        <v>1.6699999999999999E-4</v>
      </c>
      <c r="K4495" s="76">
        <v>1.6699999999999999E-4</v>
      </c>
      <c r="L4495" s="76">
        <v>1.63E-4</v>
      </c>
      <c r="M4495" s="76">
        <v>1.9799999999999999E-4</v>
      </c>
    </row>
    <row r="4496" spans="3:13" x14ac:dyDescent="0.15">
      <c r="C4496" s="76">
        <v>658</v>
      </c>
      <c r="D4496" s="76">
        <v>2.34E-5</v>
      </c>
      <c r="E4496" s="76">
        <v>3.7599999999999999E-5</v>
      </c>
      <c r="F4496" s="76">
        <v>3.2400000000000001E-5</v>
      </c>
      <c r="G4496" s="76">
        <v>9.09E-5</v>
      </c>
      <c r="H4496" s="76">
        <v>1.01E-4</v>
      </c>
      <c r="I4496" s="76">
        <v>1.45E-4</v>
      </c>
      <c r="J4496" s="76">
        <v>1.45E-4</v>
      </c>
      <c r="K4496" s="76">
        <v>7.2000000000000002E-5</v>
      </c>
      <c r="L4496" s="76">
        <v>1.8200000000000001E-4</v>
      </c>
      <c r="M4496" s="76">
        <v>2.5700000000000001E-4</v>
      </c>
    </row>
    <row r="4497" spans="3:13" x14ac:dyDescent="0.15">
      <c r="C4497" s="76">
        <v>660</v>
      </c>
      <c r="D4497" s="76">
        <v>1.6900000000000001E-5</v>
      </c>
      <c r="E4497" s="76">
        <v>4.1100000000000003E-5</v>
      </c>
      <c r="F4497" s="76">
        <v>7.3999999999999996E-5</v>
      </c>
      <c r="G4497" s="76">
        <v>1.5699999999999999E-4</v>
      </c>
      <c r="H4497" s="76">
        <v>1.06E-4</v>
      </c>
      <c r="I4497" s="76">
        <v>1.25E-4</v>
      </c>
      <c r="J4497" s="76">
        <v>7.4200000000000001E-5</v>
      </c>
      <c r="K4497" s="76">
        <v>9.3300000000000005E-5</v>
      </c>
      <c r="L4497" s="76">
        <v>2.03E-4</v>
      </c>
      <c r="M4497" s="76">
        <v>2.2499999999999999E-4</v>
      </c>
    </row>
    <row r="4498" spans="3:13" x14ac:dyDescent="0.15">
      <c r="C4498" s="76">
        <v>662</v>
      </c>
      <c r="D4498" s="76">
        <v>1.9599999999999999E-5</v>
      </c>
      <c r="E4498" s="76">
        <v>2.0800000000000001E-5</v>
      </c>
      <c r="F4498" s="76">
        <v>2.26E-5</v>
      </c>
      <c r="G4498" s="76">
        <v>8.8499999999999996E-5</v>
      </c>
      <c r="H4498" s="76">
        <v>1.2300000000000001E-4</v>
      </c>
      <c r="I4498" s="76">
        <v>1.26E-4</v>
      </c>
      <c r="J4498" s="76">
        <v>1.27E-4</v>
      </c>
      <c r="K4498" s="76">
        <v>8.6000000000000003E-5</v>
      </c>
      <c r="L4498" s="76">
        <v>1.94E-4</v>
      </c>
      <c r="M4498" s="76">
        <v>1.93E-4</v>
      </c>
    </row>
    <row r="4499" spans="3:13" x14ac:dyDescent="0.15">
      <c r="C4499" s="76">
        <v>664</v>
      </c>
      <c r="D4499" s="76">
        <v>2.48E-5</v>
      </c>
      <c r="E4499" s="76">
        <v>5.8300000000000001E-6</v>
      </c>
      <c r="F4499" s="76">
        <v>4.9700000000000002E-5</v>
      </c>
      <c r="G4499" s="76">
        <v>8.6500000000000002E-5</v>
      </c>
      <c r="H4499" s="76">
        <v>9.8599999999999998E-5</v>
      </c>
      <c r="I4499" s="76">
        <v>1.3200000000000001E-4</v>
      </c>
      <c r="J4499" s="76">
        <v>8.8599999999999999E-5</v>
      </c>
      <c r="K4499" s="76">
        <v>4.5200000000000001E-5</v>
      </c>
      <c r="L4499" s="76">
        <v>6.8100000000000002E-5</v>
      </c>
      <c r="M4499" s="76">
        <v>2.12E-4</v>
      </c>
    </row>
    <row r="4500" spans="3:13" x14ac:dyDescent="0.15">
      <c r="C4500" s="76">
        <v>666</v>
      </c>
      <c r="D4500" s="76">
        <v>2.1299999999999999E-5</v>
      </c>
      <c r="E4500" s="76">
        <v>1.17E-5</v>
      </c>
      <c r="F4500" s="76">
        <v>4.6600000000000001E-5</v>
      </c>
      <c r="G4500" s="76">
        <v>1.17E-4</v>
      </c>
      <c r="H4500" s="76">
        <v>1.07E-4</v>
      </c>
      <c r="I4500" s="76">
        <v>9.9300000000000001E-5</v>
      </c>
      <c r="J4500" s="76">
        <v>9.7E-5</v>
      </c>
      <c r="K4500" s="76">
        <v>3.4100000000000002E-5</v>
      </c>
      <c r="L4500" s="76">
        <v>1.3200000000000001E-4</v>
      </c>
      <c r="M4500" s="76">
        <v>1.93E-4</v>
      </c>
    </row>
    <row r="4501" spans="3:13" x14ac:dyDescent="0.15">
      <c r="C4501" s="76">
        <v>668</v>
      </c>
      <c r="D4501" s="76">
        <v>1.9400000000000001E-5</v>
      </c>
      <c r="E4501" s="76">
        <v>6.3999999999999997E-6</v>
      </c>
      <c r="F4501" s="76">
        <v>4.0299999999999997E-5</v>
      </c>
      <c r="G4501" s="76">
        <v>9.8999999999999994E-5</v>
      </c>
      <c r="H4501" s="76">
        <v>7.8700000000000002E-5</v>
      </c>
      <c r="I4501" s="76">
        <v>1.0399999999999999E-4</v>
      </c>
      <c r="J4501" s="76">
        <v>1.22E-4</v>
      </c>
      <c r="K4501" s="76">
        <v>1.2300000000000001E-5</v>
      </c>
      <c r="L4501" s="76">
        <v>8.4400000000000005E-5</v>
      </c>
      <c r="M4501" s="76">
        <v>2.6899999999999998E-4</v>
      </c>
    </row>
    <row r="4502" spans="3:13" x14ac:dyDescent="0.15">
      <c r="C4502" s="76">
        <v>670</v>
      </c>
      <c r="D4502" s="76">
        <v>3.0300000000000001E-5</v>
      </c>
      <c r="E4502" s="76">
        <v>9.3200000000000006E-6</v>
      </c>
      <c r="F4502" s="76">
        <v>2.9799999999999999E-5</v>
      </c>
      <c r="G4502" s="76">
        <v>9.3900000000000006E-5</v>
      </c>
      <c r="H4502" s="76">
        <v>7.0400000000000004E-5</v>
      </c>
      <c r="I4502" s="76">
        <v>7.0599999999999995E-5</v>
      </c>
      <c r="J4502" s="76">
        <v>1.2799999999999999E-4</v>
      </c>
      <c r="K4502" s="76">
        <v>5.0000000000000002E-5</v>
      </c>
      <c r="L4502" s="76">
        <v>9.2399999999999996E-5</v>
      </c>
      <c r="M4502" s="76">
        <v>2.6899999999999998E-4</v>
      </c>
    </row>
    <row r="4503" spans="3:13" x14ac:dyDescent="0.15">
      <c r="C4503" s="76">
        <v>672</v>
      </c>
      <c r="D4503" s="76">
        <v>2.7500000000000001E-5</v>
      </c>
      <c r="E4503" s="76">
        <v>6.4199999999999995E-7</v>
      </c>
      <c r="F4503" s="76">
        <v>5.8999999999999998E-5</v>
      </c>
      <c r="G4503" s="76">
        <v>9.4099999999999997E-5</v>
      </c>
      <c r="H4503" s="76">
        <v>1.2400000000000001E-4</v>
      </c>
      <c r="I4503" s="76">
        <v>7.9400000000000006E-5</v>
      </c>
      <c r="J4503" s="76">
        <v>8.3399999999999994E-5</v>
      </c>
      <c r="K4503" s="76">
        <v>1.7900000000000001E-5</v>
      </c>
      <c r="L4503" s="76">
        <v>1.34E-4</v>
      </c>
      <c r="M4503" s="76">
        <v>1.95E-4</v>
      </c>
    </row>
    <row r="4504" spans="3:13" x14ac:dyDescent="0.15">
      <c r="C4504" s="76">
        <v>674</v>
      </c>
      <c r="D4504" s="76">
        <v>1.8499999999999999E-5</v>
      </c>
      <c r="E4504" s="76">
        <v>0</v>
      </c>
      <c r="F4504" s="76">
        <v>1.6900000000000001E-5</v>
      </c>
      <c r="G4504" s="76">
        <v>6.9099999999999999E-5</v>
      </c>
      <c r="H4504" s="76">
        <v>1.18E-4</v>
      </c>
      <c r="I4504" s="76">
        <v>9.5000000000000005E-6</v>
      </c>
      <c r="J4504" s="76">
        <v>8.8200000000000003E-5</v>
      </c>
      <c r="K4504" s="76">
        <v>7.8700000000000002E-5</v>
      </c>
      <c r="L4504" s="76">
        <v>1.92E-4</v>
      </c>
      <c r="M4504" s="76">
        <v>3.7800000000000003E-4</v>
      </c>
    </row>
    <row r="4505" spans="3:13" x14ac:dyDescent="0.15">
      <c r="C4505" s="76">
        <v>676</v>
      </c>
      <c r="D4505" s="76">
        <v>1.2799999999999999E-5</v>
      </c>
      <c r="E4505" s="76">
        <v>0</v>
      </c>
      <c r="F4505" s="76">
        <v>2.94E-5</v>
      </c>
      <c r="G4505" s="76">
        <v>7.86E-5</v>
      </c>
      <c r="H4505" s="76">
        <v>1.18E-4</v>
      </c>
      <c r="I4505" s="76">
        <v>2.6100000000000001E-5</v>
      </c>
      <c r="J4505" s="76">
        <v>8.5400000000000002E-5</v>
      </c>
      <c r="K4505" s="76">
        <v>6.2799999999999995E-5</v>
      </c>
      <c r="L4505" s="76">
        <v>1.55E-4</v>
      </c>
      <c r="M4505" s="76">
        <v>2.6200000000000003E-4</v>
      </c>
    </row>
    <row r="4506" spans="3:13" x14ac:dyDescent="0.15">
      <c r="C4506" s="76">
        <v>678</v>
      </c>
      <c r="D4506" s="76">
        <v>2.6599999999999999E-5</v>
      </c>
      <c r="E4506" s="76">
        <v>5.2800000000000003E-6</v>
      </c>
      <c r="F4506" s="76">
        <v>2.58E-5</v>
      </c>
      <c r="G4506" s="76">
        <v>9.6600000000000003E-5</v>
      </c>
      <c r="H4506" s="76">
        <v>1.17E-4</v>
      </c>
      <c r="I4506" s="76">
        <v>4.4499999999999997E-5</v>
      </c>
      <c r="J4506" s="76">
        <v>8.14E-5</v>
      </c>
      <c r="K4506" s="76">
        <v>1.01E-4</v>
      </c>
      <c r="L4506" s="76">
        <v>1.15E-4</v>
      </c>
      <c r="M4506" s="76">
        <v>2.2499999999999999E-4</v>
      </c>
    </row>
    <row r="4507" spans="3:13" x14ac:dyDescent="0.15">
      <c r="C4507" s="76">
        <v>680</v>
      </c>
      <c r="D4507" s="76">
        <v>2.8399999999999999E-5</v>
      </c>
      <c r="E4507" s="76">
        <v>6.4899999999999995E-7</v>
      </c>
      <c r="F4507" s="76">
        <v>4.8199999999999999E-5</v>
      </c>
      <c r="G4507" s="76">
        <v>1.07E-4</v>
      </c>
      <c r="H4507" s="76">
        <v>7.5699999999999997E-5</v>
      </c>
      <c r="I4507" s="76">
        <v>4.3600000000000003E-5</v>
      </c>
      <c r="J4507" s="76">
        <v>6.5400000000000004E-5</v>
      </c>
      <c r="K4507" s="76">
        <v>4.7200000000000002E-5</v>
      </c>
      <c r="L4507" s="76">
        <v>6.2600000000000004E-5</v>
      </c>
      <c r="M4507" s="76">
        <v>2.6200000000000003E-4</v>
      </c>
    </row>
    <row r="4508" spans="3:13" x14ac:dyDescent="0.15">
      <c r="C4508" s="76">
        <v>682</v>
      </c>
      <c r="D4508" s="76">
        <v>2.5000000000000001E-5</v>
      </c>
      <c r="E4508" s="76">
        <v>2.2000000000000001E-6</v>
      </c>
      <c r="F4508" s="76">
        <v>2.6299999999999999E-5</v>
      </c>
      <c r="G4508" s="76">
        <v>9.98E-5</v>
      </c>
      <c r="H4508" s="76">
        <v>7.9400000000000006E-5</v>
      </c>
      <c r="I4508" s="76">
        <v>4.2400000000000001E-6</v>
      </c>
      <c r="J4508" s="76">
        <v>3.8500000000000001E-5</v>
      </c>
      <c r="K4508" s="76">
        <v>7.47E-5</v>
      </c>
      <c r="L4508" s="76">
        <v>1.7100000000000001E-4</v>
      </c>
      <c r="M4508" s="76">
        <v>2.3800000000000001E-4</v>
      </c>
    </row>
    <row r="4509" spans="3:13" x14ac:dyDescent="0.15">
      <c r="C4509" s="76">
        <v>684</v>
      </c>
      <c r="D4509" s="76">
        <v>2.2500000000000001E-5</v>
      </c>
      <c r="E4509" s="76">
        <v>6.0900000000000001E-6</v>
      </c>
      <c r="F4509" s="76">
        <v>2.8799999999999999E-5</v>
      </c>
      <c r="G4509" s="76">
        <v>9.5299999999999999E-5</v>
      </c>
      <c r="H4509" s="76">
        <v>8.2700000000000004E-5</v>
      </c>
      <c r="I4509" s="76">
        <v>7.08E-6</v>
      </c>
      <c r="J4509" s="76">
        <v>6.5300000000000002E-5</v>
      </c>
      <c r="K4509" s="76">
        <v>1.02E-4</v>
      </c>
      <c r="L4509" s="76">
        <v>1.3999999999999999E-4</v>
      </c>
      <c r="M4509" s="76">
        <v>2.02E-4</v>
      </c>
    </row>
    <row r="4510" spans="3:13" x14ac:dyDescent="0.15">
      <c r="C4510" s="76">
        <v>686</v>
      </c>
      <c r="D4510" s="76">
        <v>2.0100000000000001E-5</v>
      </c>
      <c r="E4510" s="76">
        <v>1.4899999999999999E-6</v>
      </c>
      <c r="F4510" s="76">
        <v>3.1199999999999999E-5</v>
      </c>
      <c r="G4510" s="76">
        <v>8.7399999999999997E-5</v>
      </c>
      <c r="H4510" s="76">
        <v>9.4500000000000007E-5</v>
      </c>
      <c r="I4510" s="76">
        <v>0</v>
      </c>
      <c r="J4510" s="76">
        <v>8.1100000000000006E-5</v>
      </c>
      <c r="K4510" s="76">
        <v>1.2400000000000001E-4</v>
      </c>
      <c r="L4510" s="76">
        <v>1.3200000000000001E-4</v>
      </c>
      <c r="M4510" s="76">
        <v>2.1599999999999999E-4</v>
      </c>
    </row>
    <row r="4511" spans="3:13" x14ac:dyDescent="0.15">
      <c r="C4511" s="76">
        <v>688</v>
      </c>
      <c r="D4511" s="76">
        <v>1.8899999999999999E-5</v>
      </c>
      <c r="E4511" s="76">
        <v>3.29E-5</v>
      </c>
      <c r="F4511" s="76">
        <v>3.5800000000000003E-5</v>
      </c>
      <c r="G4511" s="76">
        <v>7.9800000000000002E-5</v>
      </c>
      <c r="H4511" s="76">
        <v>7.0699999999999997E-5</v>
      </c>
      <c r="I4511" s="76">
        <v>1.13E-5</v>
      </c>
      <c r="J4511" s="76">
        <v>9.2999999999999997E-5</v>
      </c>
      <c r="K4511" s="76">
        <v>1.13E-4</v>
      </c>
      <c r="L4511" s="76">
        <v>9.4900000000000003E-5</v>
      </c>
      <c r="M4511" s="76">
        <v>2.1800000000000001E-4</v>
      </c>
    </row>
    <row r="4512" spans="3:13" x14ac:dyDescent="0.15">
      <c r="C4512" s="76">
        <v>690</v>
      </c>
      <c r="D4512" s="76">
        <v>2.48E-5</v>
      </c>
      <c r="E4512" s="76">
        <v>1.3900000000000001E-5</v>
      </c>
      <c r="F4512" s="76">
        <v>7.17E-6</v>
      </c>
      <c r="G4512" s="76">
        <v>5.1600000000000001E-5</v>
      </c>
      <c r="H4512" s="76">
        <v>8.6000000000000003E-5</v>
      </c>
      <c r="I4512" s="76">
        <v>0</v>
      </c>
      <c r="J4512" s="76">
        <v>1.1900000000000001E-4</v>
      </c>
      <c r="K4512" s="76">
        <v>1.34E-4</v>
      </c>
      <c r="L4512" s="76">
        <v>1.56E-4</v>
      </c>
      <c r="M4512" s="76">
        <v>1.85E-4</v>
      </c>
    </row>
    <row r="4513" spans="3:13" x14ac:dyDescent="0.15">
      <c r="C4513" s="76">
        <v>692</v>
      </c>
      <c r="D4513" s="76">
        <v>2.8399999999999999E-5</v>
      </c>
      <c r="E4513" s="76">
        <v>2.3599999999999999E-6</v>
      </c>
      <c r="F4513" s="76">
        <v>1.0699999999999999E-5</v>
      </c>
      <c r="G4513" s="76">
        <v>3.5800000000000003E-5</v>
      </c>
      <c r="H4513" s="76">
        <v>6.4999999999999994E-5</v>
      </c>
      <c r="I4513" s="76">
        <v>0</v>
      </c>
      <c r="J4513" s="76">
        <v>7.6799999999999997E-5</v>
      </c>
      <c r="K4513" s="76">
        <v>1.5899999999999999E-4</v>
      </c>
      <c r="L4513" s="76">
        <v>1.36E-4</v>
      </c>
      <c r="M4513" s="76">
        <v>1.7799999999999999E-4</v>
      </c>
    </row>
    <row r="4514" spans="3:13" x14ac:dyDescent="0.15">
      <c r="C4514" s="76">
        <v>694</v>
      </c>
      <c r="D4514" s="76">
        <v>3.3300000000000003E-5</v>
      </c>
      <c r="E4514" s="76">
        <v>1.49E-5</v>
      </c>
      <c r="F4514" s="76">
        <v>2.1800000000000001E-5</v>
      </c>
      <c r="G4514" s="76">
        <v>3.6699999999999998E-5</v>
      </c>
      <c r="H4514" s="76">
        <v>1.06E-4</v>
      </c>
      <c r="I4514" s="76">
        <v>1.45E-5</v>
      </c>
      <c r="J4514" s="76">
        <v>1.07E-4</v>
      </c>
      <c r="K4514" s="76">
        <v>1.75E-4</v>
      </c>
      <c r="L4514" s="76">
        <v>1.08E-4</v>
      </c>
      <c r="M4514" s="76">
        <v>2.4000000000000001E-4</v>
      </c>
    </row>
    <row r="4515" spans="3:13" x14ac:dyDescent="0.15">
      <c r="C4515" s="76">
        <v>696</v>
      </c>
      <c r="D4515" s="76">
        <v>2.6599999999999999E-5</v>
      </c>
      <c r="E4515" s="76">
        <v>3.9799999999999998E-5</v>
      </c>
      <c r="F4515" s="76">
        <v>4.0099999999999999E-5</v>
      </c>
      <c r="G4515" s="76">
        <v>5.1100000000000002E-5</v>
      </c>
      <c r="H4515" s="76">
        <v>1.0900000000000001E-4</v>
      </c>
      <c r="I4515" s="76">
        <v>1.6200000000000001E-5</v>
      </c>
      <c r="J4515" s="76">
        <v>1.2E-4</v>
      </c>
      <c r="K4515" s="76">
        <v>1.8100000000000001E-4</v>
      </c>
      <c r="L4515" s="76">
        <v>1.1900000000000001E-4</v>
      </c>
      <c r="M4515" s="76">
        <v>1.8100000000000001E-4</v>
      </c>
    </row>
    <row r="4516" spans="3:13" x14ac:dyDescent="0.15">
      <c r="C4516" s="76">
        <v>698</v>
      </c>
      <c r="D4516" s="76">
        <v>2.4899999999999999E-5</v>
      </c>
      <c r="E4516" s="76">
        <v>2.7100000000000001E-5</v>
      </c>
      <c r="F4516" s="76">
        <v>2.0800000000000001E-5</v>
      </c>
      <c r="G4516" s="76">
        <v>6.1299999999999999E-5</v>
      </c>
      <c r="H4516" s="76">
        <v>4.9599999999999999E-5</v>
      </c>
      <c r="I4516" s="76">
        <v>2.0400000000000001E-5</v>
      </c>
      <c r="J4516" s="76">
        <v>1.1E-4</v>
      </c>
      <c r="K4516" s="76">
        <v>1.85E-4</v>
      </c>
      <c r="L4516" s="76">
        <v>9.7600000000000001E-5</v>
      </c>
      <c r="M4516" s="76">
        <v>1.12E-4</v>
      </c>
    </row>
    <row r="4517" spans="3:13" x14ac:dyDescent="0.15">
      <c r="C4517" s="76">
        <v>700</v>
      </c>
      <c r="D4517" s="76">
        <v>2.4199999999999999E-5</v>
      </c>
      <c r="E4517" s="76">
        <v>2.73E-5</v>
      </c>
      <c r="F4517" s="76">
        <v>4.1E-5</v>
      </c>
      <c r="G4517" s="76">
        <v>1.2799999999999999E-4</v>
      </c>
      <c r="H4517" s="76">
        <v>6.02E-5</v>
      </c>
      <c r="I4517" s="76">
        <v>0</v>
      </c>
      <c r="J4517" s="76">
        <v>6.0000000000000002E-5</v>
      </c>
      <c r="K4517" s="76">
        <v>1.4799999999999999E-4</v>
      </c>
      <c r="L4517" s="76">
        <v>1.4899999999999999E-4</v>
      </c>
      <c r="M4517" s="76">
        <v>8.6500000000000002E-5</v>
      </c>
    </row>
    <row r="4518" spans="3:13" x14ac:dyDescent="0.15">
      <c r="C4518" s="76">
        <v>702</v>
      </c>
      <c r="D4518" s="76">
        <v>2.02E-5</v>
      </c>
      <c r="E4518" s="76">
        <v>3.0899999999999999E-5</v>
      </c>
      <c r="F4518" s="76">
        <v>7.7299999999999995E-5</v>
      </c>
      <c r="G4518" s="76">
        <v>8.1799999999999996E-5</v>
      </c>
      <c r="H4518" s="76">
        <v>5.8400000000000003E-5</v>
      </c>
      <c r="I4518" s="76">
        <v>6.4700000000000001E-5</v>
      </c>
      <c r="J4518" s="76">
        <v>1.27E-4</v>
      </c>
      <c r="K4518" s="76">
        <v>2.1000000000000001E-4</v>
      </c>
      <c r="L4518" s="76">
        <v>1.3899999999999999E-4</v>
      </c>
      <c r="M4518" s="76">
        <v>1.17E-4</v>
      </c>
    </row>
    <row r="4519" spans="3:13" x14ac:dyDescent="0.15">
      <c r="C4519" s="76">
        <v>704</v>
      </c>
      <c r="D4519" s="76">
        <v>2.2799999999999999E-5</v>
      </c>
      <c r="E4519" s="76">
        <v>3.4E-5</v>
      </c>
      <c r="F4519" s="76">
        <v>5.2899999999999998E-5</v>
      </c>
      <c r="G4519" s="76">
        <v>5.3000000000000001E-5</v>
      </c>
      <c r="H4519" s="76">
        <v>3.3200000000000001E-5</v>
      </c>
      <c r="I4519" s="76">
        <v>3.2199999999999997E-5</v>
      </c>
      <c r="J4519" s="76">
        <v>1.6699999999999999E-4</v>
      </c>
      <c r="K4519" s="76">
        <v>1.93E-4</v>
      </c>
      <c r="L4519" s="76">
        <v>1.0900000000000001E-4</v>
      </c>
      <c r="M4519" s="76">
        <v>1.2E-4</v>
      </c>
    </row>
    <row r="4520" spans="3:13" x14ac:dyDescent="0.15">
      <c r="C4520" s="76">
        <v>706</v>
      </c>
      <c r="D4520" s="76">
        <v>2.8900000000000001E-5</v>
      </c>
      <c r="E4520" s="76">
        <v>2.76E-5</v>
      </c>
      <c r="F4520" s="76">
        <v>5.94E-5</v>
      </c>
      <c r="G4520" s="76">
        <v>5.7899999999999998E-5</v>
      </c>
      <c r="H4520" s="76">
        <v>3.9900000000000001E-5</v>
      </c>
      <c r="I4520" s="76">
        <v>9.2200000000000005E-5</v>
      </c>
      <c r="J4520" s="76">
        <v>1.5799999999999999E-4</v>
      </c>
      <c r="K4520" s="76">
        <v>2.1699999999999999E-4</v>
      </c>
      <c r="L4520" s="76">
        <v>1.12E-4</v>
      </c>
      <c r="M4520" s="76">
        <v>1.35E-4</v>
      </c>
    </row>
    <row r="4521" spans="3:13" x14ac:dyDescent="0.15">
      <c r="C4521" s="76">
        <v>708</v>
      </c>
      <c r="D4521" s="76">
        <v>2.16E-5</v>
      </c>
      <c r="E4521" s="76">
        <v>4.3300000000000002E-5</v>
      </c>
      <c r="F4521" s="76">
        <v>5.27E-5</v>
      </c>
      <c r="G4521" s="76">
        <v>5.7299999999999997E-5</v>
      </c>
      <c r="H4521" s="76">
        <v>8.0500000000000005E-5</v>
      </c>
      <c r="I4521" s="76">
        <v>4.7700000000000001E-5</v>
      </c>
      <c r="J4521" s="76">
        <v>2.5700000000000001E-4</v>
      </c>
      <c r="K4521" s="76">
        <v>2.0000000000000001E-4</v>
      </c>
      <c r="L4521" s="76">
        <v>1.2999999999999999E-4</v>
      </c>
      <c r="M4521" s="76">
        <v>9.0699999999999996E-5</v>
      </c>
    </row>
    <row r="4522" spans="3:13" x14ac:dyDescent="0.15">
      <c r="C4522" s="76">
        <v>710</v>
      </c>
      <c r="D4522" s="76">
        <v>1.9700000000000001E-5</v>
      </c>
      <c r="E4522" s="76">
        <v>5.5500000000000001E-5</v>
      </c>
      <c r="F4522" s="76">
        <v>5.6100000000000002E-5</v>
      </c>
      <c r="G4522" s="76">
        <v>4.2299999999999998E-5</v>
      </c>
      <c r="H4522" s="76">
        <v>9.4900000000000003E-5</v>
      </c>
      <c r="I4522" s="76">
        <v>1.2300000000000001E-4</v>
      </c>
      <c r="J4522" s="76">
        <v>2.1000000000000001E-4</v>
      </c>
      <c r="K4522" s="76">
        <v>1.75E-4</v>
      </c>
      <c r="L4522" s="76">
        <v>1.65E-4</v>
      </c>
      <c r="M4522" s="76">
        <v>9.7200000000000004E-5</v>
      </c>
    </row>
    <row r="4523" spans="3:13" x14ac:dyDescent="0.15">
      <c r="C4523" s="76">
        <v>712</v>
      </c>
      <c r="D4523" s="76">
        <v>2.3200000000000001E-5</v>
      </c>
      <c r="E4523" s="76">
        <v>4.9400000000000001E-5</v>
      </c>
      <c r="F4523" s="76">
        <v>4.6100000000000002E-5</v>
      </c>
      <c r="G4523" s="76">
        <v>1.4E-5</v>
      </c>
      <c r="H4523" s="76">
        <v>7.1000000000000005E-5</v>
      </c>
      <c r="I4523" s="76">
        <v>1.18E-4</v>
      </c>
      <c r="J4523" s="76">
        <v>1.9000000000000001E-4</v>
      </c>
      <c r="K4523" s="76">
        <v>1.55E-4</v>
      </c>
      <c r="L4523" s="76">
        <v>1.54E-4</v>
      </c>
      <c r="M4523" s="76">
        <v>2.0799999999999999E-4</v>
      </c>
    </row>
    <row r="4524" spans="3:13" x14ac:dyDescent="0.15">
      <c r="C4524" s="76">
        <v>714</v>
      </c>
      <c r="D4524" s="76">
        <v>2.19E-5</v>
      </c>
      <c r="E4524" s="76">
        <v>4.71E-5</v>
      </c>
      <c r="F4524" s="76">
        <v>5.3100000000000003E-5</v>
      </c>
      <c r="G4524" s="76">
        <v>3.01E-5</v>
      </c>
      <c r="H4524" s="76">
        <v>5.5899999999999997E-5</v>
      </c>
      <c r="I4524" s="76">
        <v>1.3100000000000001E-4</v>
      </c>
      <c r="J4524" s="76">
        <v>1.76E-4</v>
      </c>
      <c r="K4524" s="76">
        <v>1.94E-4</v>
      </c>
      <c r="L4524" s="76">
        <v>1.4999999999999999E-4</v>
      </c>
      <c r="M4524" s="76">
        <v>2.6200000000000003E-4</v>
      </c>
    </row>
    <row r="4525" spans="3:13" x14ac:dyDescent="0.15">
      <c r="C4525" s="76">
        <v>716</v>
      </c>
      <c r="D4525" s="76">
        <v>1.1399999999999999E-5</v>
      </c>
      <c r="E4525" s="76">
        <v>4.8000000000000001E-5</v>
      </c>
      <c r="F4525" s="76">
        <v>7.8700000000000002E-5</v>
      </c>
      <c r="G4525" s="76">
        <v>3.2199999999999997E-5</v>
      </c>
      <c r="H4525" s="76">
        <v>9.9699999999999998E-5</v>
      </c>
      <c r="I4525" s="76">
        <v>1.7100000000000001E-4</v>
      </c>
      <c r="J4525" s="76">
        <v>1.44E-4</v>
      </c>
      <c r="K4525" s="76">
        <v>1.56E-4</v>
      </c>
      <c r="L4525" s="76">
        <v>1.46E-4</v>
      </c>
      <c r="M4525" s="76">
        <v>2.27E-5</v>
      </c>
    </row>
    <row r="4526" spans="3:13" x14ac:dyDescent="0.15">
      <c r="C4526" s="76">
        <v>718</v>
      </c>
      <c r="D4526" s="76">
        <v>4.2200000000000003E-6</v>
      </c>
      <c r="E4526" s="76">
        <v>4.3900000000000003E-5</v>
      </c>
      <c r="F4526" s="76">
        <v>6.2000000000000003E-5</v>
      </c>
      <c r="G4526" s="76">
        <v>1.77E-5</v>
      </c>
      <c r="H4526" s="76">
        <v>8.9300000000000002E-5</v>
      </c>
      <c r="I4526" s="76">
        <v>2.03E-4</v>
      </c>
      <c r="J4526" s="76">
        <v>1.4999999999999999E-4</v>
      </c>
      <c r="K4526" s="76">
        <v>1.36E-4</v>
      </c>
      <c r="L4526" s="76">
        <v>1.92E-4</v>
      </c>
      <c r="M4526" s="76">
        <v>3.6600000000000002E-5</v>
      </c>
    </row>
    <row r="4527" spans="3:13" x14ac:dyDescent="0.15">
      <c r="C4527" s="76">
        <v>720</v>
      </c>
      <c r="D4527" s="76">
        <v>2.0599999999999999E-5</v>
      </c>
      <c r="E4527" s="76">
        <v>5.3100000000000003E-5</v>
      </c>
      <c r="F4527" s="76">
        <v>4.2899999999999999E-5</v>
      </c>
      <c r="G4527" s="76">
        <v>2.1500000000000001E-5</v>
      </c>
      <c r="H4527" s="76">
        <v>9.4099999999999997E-5</v>
      </c>
      <c r="I4527" s="76">
        <v>1.7200000000000001E-4</v>
      </c>
      <c r="J4527" s="76">
        <v>2.1000000000000001E-4</v>
      </c>
      <c r="K4527" s="76">
        <v>2.24E-4</v>
      </c>
      <c r="L4527" s="76">
        <v>1.85E-4</v>
      </c>
      <c r="M4527" s="76">
        <v>1.01E-4</v>
      </c>
    </row>
    <row r="4528" spans="3:13" x14ac:dyDescent="0.15">
      <c r="C4528" s="76">
        <v>722</v>
      </c>
      <c r="D4528" s="76">
        <v>1.3900000000000001E-5</v>
      </c>
      <c r="E4528" s="76">
        <v>4.8600000000000002E-5</v>
      </c>
      <c r="F4528" s="76">
        <v>3.9499999999999998E-5</v>
      </c>
      <c r="G4528" s="76">
        <v>6.9299999999999997E-6</v>
      </c>
      <c r="H4528" s="76">
        <v>5.3199999999999999E-5</v>
      </c>
      <c r="I4528" s="76">
        <v>1.4200000000000001E-4</v>
      </c>
      <c r="J4528" s="76">
        <v>1.4899999999999999E-4</v>
      </c>
      <c r="K4528" s="76">
        <v>1.65E-4</v>
      </c>
      <c r="L4528" s="76">
        <v>1.6899999999999999E-4</v>
      </c>
      <c r="M4528" s="76">
        <v>3.0599999999999998E-5</v>
      </c>
    </row>
    <row r="4529" spans="3:13" x14ac:dyDescent="0.15">
      <c r="C4529" s="76">
        <v>724</v>
      </c>
      <c r="D4529" s="76">
        <v>1.0900000000000001E-5</v>
      </c>
      <c r="E4529" s="76">
        <v>4.07E-5</v>
      </c>
      <c r="F4529" s="76">
        <v>6.97E-5</v>
      </c>
      <c r="G4529" s="76">
        <v>5.1400000000000003E-5</v>
      </c>
      <c r="H4529" s="76">
        <v>1.02E-4</v>
      </c>
      <c r="I4529" s="76">
        <v>1.5200000000000001E-4</v>
      </c>
      <c r="J4529" s="76">
        <v>1.13E-4</v>
      </c>
      <c r="K4529" s="76">
        <v>9.9199999999999999E-5</v>
      </c>
      <c r="L4529" s="76">
        <v>2.0799999999999999E-4</v>
      </c>
      <c r="M4529" s="76">
        <v>5.3999999999999998E-5</v>
      </c>
    </row>
    <row r="4530" spans="3:13" x14ac:dyDescent="0.15">
      <c r="C4530" s="76">
        <v>726</v>
      </c>
      <c r="D4530" s="76">
        <v>5.7100000000000004E-6</v>
      </c>
      <c r="E4530" s="76">
        <v>5.1100000000000002E-5</v>
      </c>
      <c r="F4530" s="76">
        <v>5.4799999999999997E-5</v>
      </c>
      <c r="G4530" s="76">
        <v>1.66E-5</v>
      </c>
      <c r="H4530" s="76">
        <v>5.1600000000000001E-5</v>
      </c>
      <c r="I4530" s="76">
        <v>1.4200000000000001E-4</v>
      </c>
      <c r="J4530" s="76">
        <v>1.16E-4</v>
      </c>
      <c r="K4530" s="76">
        <v>7.1400000000000001E-5</v>
      </c>
      <c r="L4530" s="76">
        <v>2.2000000000000001E-4</v>
      </c>
      <c r="M4530" s="76">
        <v>1.08E-4</v>
      </c>
    </row>
    <row r="4531" spans="3:13" x14ac:dyDescent="0.15">
      <c r="C4531" s="76">
        <v>728</v>
      </c>
      <c r="D4531" s="76">
        <v>7.9699999999999999E-6</v>
      </c>
      <c r="E4531" s="76">
        <v>7.7200000000000006E-5</v>
      </c>
      <c r="F4531" s="76">
        <v>6.4800000000000003E-5</v>
      </c>
      <c r="G4531" s="76">
        <v>3.3500000000000001E-5</v>
      </c>
      <c r="H4531" s="76">
        <v>7.7600000000000002E-5</v>
      </c>
      <c r="I4531" s="76">
        <v>1.07E-4</v>
      </c>
      <c r="J4531" s="76">
        <v>1.5100000000000001E-4</v>
      </c>
      <c r="K4531" s="76">
        <v>1.2300000000000001E-4</v>
      </c>
      <c r="L4531" s="76">
        <v>1.1400000000000001E-4</v>
      </c>
      <c r="M4531" s="76">
        <v>1.2999999999999999E-4</v>
      </c>
    </row>
    <row r="4532" spans="3:13" x14ac:dyDescent="0.15">
      <c r="C4532" s="76">
        <v>730</v>
      </c>
      <c r="D4532" s="76">
        <v>0</v>
      </c>
      <c r="E4532" s="76">
        <v>4.9100000000000001E-5</v>
      </c>
      <c r="F4532" s="76">
        <v>6.3E-5</v>
      </c>
      <c r="G4532" s="76">
        <v>2.9799999999999999E-5</v>
      </c>
      <c r="H4532" s="76">
        <v>8.4499999999999994E-5</v>
      </c>
      <c r="I4532" s="76">
        <v>1.3200000000000001E-4</v>
      </c>
      <c r="J4532" s="76">
        <v>1.6799999999999999E-4</v>
      </c>
      <c r="K4532" s="76">
        <v>7.3700000000000002E-5</v>
      </c>
      <c r="L4532" s="76">
        <v>1.3100000000000001E-4</v>
      </c>
      <c r="M4532" s="76">
        <v>9.4500000000000007E-5</v>
      </c>
    </row>
    <row r="4533" spans="3:13" x14ac:dyDescent="0.15">
      <c r="C4533" s="76">
        <v>732</v>
      </c>
      <c r="D4533" s="76">
        <v>8.3600000000000002E-7</v>
      </c>
      <c r="E4533" s="76">
        <v>4.2899999999999999E-5</v>
      </c>
      <c r="F4533" s="76">
        <v>4.4199999999999997E-5</v>
      </c>
      <c r="G4533" s="76">
        <v>3.5099999999999999E-6</v>
      </c>
      <c r="H4533" s="76">
        <v>2.83E-5</v>
      </c>
      <c r="I4533" s="76">
        <v>1.2E-4</v>
      </c>
      <c r="J4533" s="76">
        <v>1.56E-4</v>
      </c>
      <c r="K4533" s="76">
        <v>2.3099999999999999E-5</v>
      </c>
      <c r="L4533" s="76">
        <v>1.3899999999999999E-4</v>
      </c>
      <c r="M4533" s="76">
        <v>1.7799999999999999E-4</v>
      </c>
    </row>
    <row r="4534" spans="3:13" x14ac:dyDescent="0.15">
      <c r="C4534" s="76">
        <v>734</v>
      </c>
      <c r="D4534" s="76">
        <v>2.1900000000000002E-6</v>
      </c>
      <c r="E4534" s="76">
        <v>5.0800000000000002E-5</v>
      </c>
      <c r="F4534" s="76">
        <v>4.5599999999999997E-5</v>
      </c>
      <c r="G4534" s="76">
        <v>3.7200000000000003E-5</v>
      </c>
      <c r="H4534" s="76">
        <v>9.8099999999999992E-6</v>
      </c>
      <c r="I4534" s="76">
        <v>1.13E-4</v>
      </c>
      <c r="J4534" s="76">
        <v>1.7000000000000001E-4</v>
      </c>
      <c r="K4534" s="76">
        <v>8.2899999999999996E-5</v>
      </c>
      <c r="L4534" s="76">
        <v>1.64E-4</v>
      </c>
      <c r="M4534" s="76">
        <v>1.05E-4</v>
      </c>
    </row>
    <row r="4535" spans="3:13" x14ac:dyDescent="0.15">
      <c r="C4535" s="76">
        <v>736</v>
      </c>
      <c r="D4535" s="76">
        <v>3.0800000000000002E-6</v>
      </c>
      <c r="E4535" s="76">
        <v>4.1600000000000002E-5</v>
      </c>
      <c r="F4535" s="76">
        <v>3.5500000000000002E-5</v>
      </c>
      <c r="G4535" s="76">
        <v>2.9200000000000002E-5</v>
      </c>
      <c r="H4535" s="76">
        <v>9.3500000000000003E-6</v>
      </c>
      <c r="I4535" s="76">
        <v>1.1400000000000001E-4</v>
      </c>
      <c r="J4535" s="76">
        <v>1.6200000000000001E-4</v>
      </c>
      <c r="K4535" s="76">
        <v>1.6000000000000001E-4</v>
      </c>
      <c r="L4535" s="76">
        <v>1.85E-4</v>
      </c>
      <c r="M4535" s="76">
        <v>1.2300000000000001E-4</v>
      </c>
    </row>
    <row r="4536" spans="3:13" x14ac:dyDescent="0.15">
      <c r="C4536" s="76">
        <v>738</v>
      </c>
      <c r="D4536" s="76">
        <v>5.7200000000000003E-6</v>
      </c>
      <c r="E4536" s="76">
        <v>4.9200000000000003E-5</v>
      </c>
      <c r="F4536" s="76">
        <v>5.5899999999999998E-6</v>
      </c>
      <c r="G4536" s="76">
        <v>6.9200000000000002E-5</v>
      </c>
      <c r="H4536" s="76">
        <v>3.8099999999999998E-5</v>
      </c>
      <c r="I4536" s="76">
        <v>7.6500000000000003E-5</v>
      </c>
      <c r="J4536" s="76">
        <v>1.2300000000000001E-4</v>
      </c>
      <c r="K4536" s="76">
        <v>0</v>
      </c>
      <c r="L4536" s="76">
        <v>1.3300000000000001E-4</v>
      </c>
      <c r="M4536" s="76">
        <v>1.4300000000000001E-4</v>
      </c>
    </row>
    <row r="4537" spans="3:13" x14ac:dyDescent="0.15">
      <c r="C4537" s="76">
        <v>740</v>
      </c>
      <c r="D4537" s="76">
        <v>3.4999999999999998E-7</v>
      </c>
      <c r="E4537" s="76">
        <v>4.4499999999999997E-5</v>
      </c>
      <c r="F4537" s="76">
        <v>9.0600000000000007E-5</v>
      </c>
      <c r="G4537" s="76">
        <v>2.3300000000000001E-5</v>
      </c>
      <c r="H4537" s="76">
        <v>2.5899999999999999E-5</v>
      </c>
      <c r="I4537" s="76">
        <v>7.1199999999999996E-5</v>
      </c>
      <c r="J4537" s="76">
        <v>2.42E-4</v>
      </c>
      <c r="K4537" s="76">
        <v>7.3399999999999995E-5</v>
      </c>
      <c r="L4537" s="76">
        <v>1.36E-4</v>
      </c>
      <c r="M4537" s="76">
        <v>1.9799999999999999E-4</v>
      </c>
    </row>
    <row r="4538" spans="3:13" x14ac:dyDescent="0.15">
      <c r="C4538" s="76">
        <v>742</v>
      </c>
      <c r="D4538" s="76">
        <v>8.9700000000000005E-7</v>
      </c>
      <c r="E4538" s="76">
        <v>4.3800000000000001E-5</v>
      </c>
      <c r="F4538" s="76">
        <v>4.0899999999999998E-5</v>
      </c>
      <c r="G4538" s="76">
        <v>4.2599999999999999E-5</v>
      </c>
      <c r="H4538" s="76">
        <v>2.3200000000000001E-5</v>
      </c>
      <c r="I4538" s="76">
        <v>1.0900000000000001E-4</v>
      </c>
      <c r="J4538" s="76">
        <v>1.7699999999999999E-4</v>
      </c>
      <c r="K4538" s="76">
        <v>2.8799999999999999E-5</v>
      </c>
      <c r="L4538" s="76">
        <v>1.56E-4</v>
      </c>
      <c r="M4538" s="76">
        <v>1.93E-4</v>
      </c>
    </row>
    <row r="4539" spans="3:13" x14ac:dyDescent="0.15">
      <c r="C4539" s="76">
        <v>744</v>
      </c>
      <c r="D4539" s="76">
        <v>3.27E-6</v>
      </c>
      <c r="E4539" s="76">
        <v>1.9599999999999999E-5</v>
      </c>
      <c r="F4539" s="76">
        <v>4.6600000000000001E-5</v>
      </c>
      <c r="G4539" s="76">
        <v>4.2799999999999997E-5</v>
      </c>
      <c r="H4539" s="76">
        <v>1.0499999999999999E-5</v>
      </c>
      <c r="I4539" s="76">
        <v>9.4599999999999996E-5</v>
      </c>
      <c r="J4539" s="76">
        <v>1.4100000000000001E-4</v>
      </c>
      <c r="K4539" s="76">
        <v>1.2E-5</v>
      </c>
      <c r="L4539" s="76">
        <v>1.8000000000000001E-4</v>
      </c>
      <c r="M4539" s="76">
        <v>1.4799999999999999E-4</v>
      </c>
    </row>
    <row r="4540" spans="3:13" x14ac:dyDescent="0.15">
      <c r="C4540" s="76">
        <v>746</v>
      </c>
      <c r="D4540" s="76">
        <v>5.7899999999999996E-6</v>
      </c>
      <c r="E4540" s="76">
        <v>2.16E-5</v>
      </c>
      <c r="F4540" s="76">
        <v>4.9599999999999999E-5</v>
      </c>
      <c r="G4540" s="76">
        <v>4.3399999999999998E-5</v>
      </c>
      <c r="H4540" s="76">
        <v>3.0700000000000001E-5</v>
      </c>
      <c r="I4540" s="76">
        <v>7.1899999999999999E-5</v>
      </c>
      <c r="J4540" s="76">
        <v>1.3799999999999999E-4</v>
      </c>
      <c r="K4540" s="76">
        <v>1.22E-5</v>
      </c>
      <c r="L4540" s="76">
        <v>1.8200000000000001E-4</v>
      </c>
      <c r="M4540" s="76">
        <v>1.4999999999999999E-4</v>
      </c>
    </row>
    <row r="4541" spans="3:13" x14ac:dyDescent="0.15">
      <c r="C4541" s="76">
        <v>748</v>
      </c>
      <c r="D4541" s="76">
        <v>4.9899999999999997E-6</v>
      </c>
      <c r="E4541" s="76">
        <v>3.3399999999999999E-5</v>
      </c>
      <c r="F4541" s="76">
        <v>4.8199999999999999E-5</v>
      </c>
      <c r="G4541" s="76">
        <v>6.4599999999999998E-5</v>
      </c>
      <c r="H4541" s="76">
        <v>3.57E-5</v>
      </c>
      <c r="I4541" s="76">
        <v>4.4199999999999997E-5</v>
      </c>
      <c r="J4541" s="76">
        <v>9.5000000000000005E-5</v>
      </c>
      <c r="K4541" s="76">
        <v>8.4300000000000003E-5</v>
      </c>
      <c r="L4541" s="76">
        <v>3.01E-4</v>
      </c>
      <c r="M4541" s="76">
        <v>1.3799999999999999E-4</v>
      </c>
    </row>
    <row r="4542" spans="3:13" x14ac:dyDescent="0.15">
      <c r="C4542" s="76">
        <v>750</v>
      </c>
      <c r="D4542" s="76">
        <v>3.9600000000000002E-6</v>
      </c>
      <c r="E4542" s="76">
        <v>1.5800000000000001E-5</v>
      </c>
      <c r="F4542" s="76">
        <v>3.9499999999999998E-5</v>
      </c>
      <c r="G4542" s="76">
        <v>6.3800000000000006E-5</v>
      </c>
      <c r="H4542" s="76">
        <v>4.1600000000000002E-5</v>
      </c>
      <c r="I4542" s="76">
        <v>4.6400000000000003E-5</v>
      </c>
      <c r="J4542" s="76">
        <v>1.5200000000000001E-4</v>
      </c>
      <c r="K4542" s="76">
        <v>6.0600000000000003E-5</v>
      </c>
      <c r="L4542" s="76">
        <v>1.9100000000000001E-4</v>
      </c>
      <c r="M4542" s="76">
        <v>1.6899999999999999E-4</v>
      </c>
    </row>
    <row r="4543" spans="3:13" x14ac:dyDescent="0.15">
      <c r="C4543" s="76">
        <v>752</v>
      </c>
      <c r="D4543" s="76">
        <v>5.7200000000000003E-6</v>
      </c>
      <c r="E4543" s="76">
        <v>3.1399999999999998E-5</v>
      </c>
      <c r="F4543" s="76">
        <v>5.2599999999999998E-5</v>
      </c>
      <c r="G4543" s="76">
        <v>6.41E-5</v>
      </c>
      <c r="H4543" s="76">
        <v>8.6500000000000002E-5</v>
      </c>
      <c r="I4543" s="76">
        <v>2.0699999999999998E-5</v>
      </c>
      <c r="J4543" s="76">
        <v>1.63E-4</v>
      </c>
      <c r="K4543" s="76">
        <v>1.0399999999999999E-4</v>
      </c>
      <c r="L4543" s="76">
        <v>2.31E-4</v>
      </c>
      <c r="M4543" s="76">
        <v>2.1000000000000001E-4</v>
      </c>
    </row>
    <row r="4544" spans="3:13" x14ac:dyDescent="0.15">
      <c r="C4544" s="76">
        <v>754</v>
      </c>
      <c r="D4544" s="76">
        <v>6.46E-6</v>
      </c>
      <c r="E4544" s="76">
        <v>3.2799999999999998E-5</v>
      </c>
      <c r="F4544" s="76">
        <v>6.0099999999999997E-5</v>
      </c>
      <c r="G4544" s="76">
        <v>5.6700000000000003E-5</v>
      </c>
      <c r="H4544" s="76">
        <v>6.2100000000000005E-5</v>
      </c>
      <c r="I4544" s="76">
        <v>6.0499999999999997E-6</v>
      </c>
      <c r="J4544" s="76">
        <v>1.3999999999999999E-4</v>
      </c>
      <c r="K4544" s="76">
        <v>2.8E-5</v>
      </c>
      <c r="L4544" s="76">
        <v>2.0100000000000001E-4</v>
      </c>
      <c r="M4544" s="76">
        <v>1.45E-4</v>
      </c>
    </row>
    <row r="4545" spans="2:13" x14ac:dyDescent="0.15">
      <c r="C4545" s="76">
        <v>756</v>
      </c>
      <c r="D4545" s="76">
        <v>1.26E-5</v>
      </c>
      <c r="E4545" s="76">
        <v>1.8300000000000001E-5</v>
      </c>
      <c r="F4545" s="76">
        <v>8.1799999999999996E-5</v>
      </c>
      <c r="G4545" s="76">
        <v>8.3900000000000006E-5</v>
      </c>
      <c r="H4545" s="76">
        <v>6.8100000000000002E-5</v>
      </c>
      <c r="I4545" s="76">
        <v>7.6600000000000005E-5</v>
      </c>
      <c r="J4545" s="76">
        <v>1.66E-4</v>
      </c>
      <c r="K4545" s="76">
        <v>1.2999999999999999E-4</v>
      </c>
      <c r="L4545" s="76">
        <v>2.3599999999999999E-4</v>
      </c>
      <c r="M4545" s="76">
        <v>1.85E-4</v>
      </c>
    </row>
    <row r="4546" spans="2:13" x14ac:dyDescent="0.15">
      <c r="C4546" s="76">
        <v>758</v>
      </c>
      <c r="D4546" s="76">
        <v>1.52E-5</v>
      </c>
      <c r="E4546" s="76">
        <v>3.5099999999999999E-5</v>
      </c>
      <c r="F4546" s="76">
        <v>6.2600000000000004E-5</v>
      </c>
      <c r="G4546" s="76">
        <v>6.6600000000000006E-5</v>
      </c>
      <c r="H4546" s="76">
        <v>7.0500000000000006E-5</v>
      </c>
      <c r="I4546" s="76">
        <v>4.1699999999999997E-5</v>
      </c>
      <c r="J4546" s="76">
        <v>1.2799999999999999E-4</v>
      </c>
      <c r="K4546" s="76">
        <v>8.3599999999999999E-5</v>
      </c>
      <c r="L4546" s="76">
        <v>1.66E-4</v>
      </c>
      <c r="M4546" s="76">
        <v>1.9599999999999999E-4</v>
      </c>
    </row>
    <row r="4547" spans="2:13" x14ac:dyDescent="0.15">
      <c r="C4547" s="76">
        <v>760</v>
      </c>
      <c r="D4547" s="76">
        <v>1.4600000000000001E-5</v>
      </c>
      <c r="E4547" s="76">
        <v>3.9400000000000002E-5</v>
      </c>
      <c r="F4547" s="76">
        <v>6.0999999999999999E-5</v>
      </c>
      <c r="G4547" s="76">
        <v>5.3499999999999999E-5</v>
      </c>
      <c r="H4547" s="76">
        <v>1.13E-4</v>
      </c>
      <c r="I4547" s="76">
        <v>7.47E-5</v>
      </c>
      <c r="J4547" s="76">
        <v>1.4899999999999999E-4</v>
      </c>
      <c r="K4547" s="76">
        <v>1.15E-4</v>
      </c>
      <c r="L4547" s="76">
        <v>1.7799999999999999E-4</v>
      </c>
      <c r="M4547" s="76">
        <v>1.1E-4</v>
      </c>
    </row>
    <row r="4548" spans="2:13" x14ac:dyDescent="0.15">
      <c r="C4548" s="76">
        <v>762</v>
      </c>
      <c r="D4548" s="76">
        <v>1.4600000000000001E-5</v>
      </c>
      <c r="E4548" s="76">
        <v>1.5400000000000002E-5</v>
      </c>
      <c r="F4548" s="76">
        <v>1.34E-5</v>
      </c>
      <c r="G4548" s="76">
        <v>2.83E-5</v>
      </c>
      <c r="H4548" s="76">
        <v>2.5999999999999998E-5</v>
      </c>
      <c r="I4548" s="76">
        <v>5.2899999999999998E-5</v>
      </c>
      <c r="J4548" s="76">
        <v>1.18E-4</v>
      </c>
      <c r="K4548" s="76">
        <v>8.4900000000000004E-5</v>
      </c>
      <c r="L4548" s="76">
        <v>1.7799999999999999E-4</v>
      </c>
      <c r="M4548" s="76">
        <v>1.83E-4</v>
      </c>
    </row>
    <row r="4549" spans="2:13" x14ac:dyDescent="0.15">
      <c r="C4549" s="76">
        <v>764</v>
      </c>
      <c r="D4549" s="76">
        <v>2.69E-5</v>
      </c>
      <c r="E4549" s="76">
        <v>2.8E-5</v>
      </c>
      <c r="F4549" s="76">
        <v>1.52E-5</v>
      </c>
      <c r="G4549" s="76">
        <v>3.8000000000000002E-5</v>
      </c>
      <c r="H4549" s="76">
        <v>8.7600000000000002E-5</v>
      </c>
      <c r="I4549" s="76">
        <v>6.41E-5</v>
      </c>
      <c r="J4549" s="76">
        <v>1.8599999999999999E-4</v>
      </c>
      <c r="K4549" s="76">
        <v>8.2799999999999993E-5</v>
      </c>
      <c r="L4549" s="76">
        <v>1.73E-4</v>
      </c>
      <c r="M4549" s="76">
        <v>2.3000000000000001E-4</v>
      </c>
    </row>
    <row r="4550" spans="2:13" x14ac:dyDescent="0.15">
      <c r="C4550" s="76">
        <v>766</v>
      </c>
      <c r="D4550" s="76">
        <v>1.77E-5</v>
      </c>
      <c r="E4550" s="76">
        <v>4.35E-5</v>
      </c>
      <c r="F4550" s="76">
        <v>3.1199999999999999E-5</v>
      </c>
      <c r="G4550" s="76">
        <v>9.9500000000000006E-5</v>
      </c>
      <c r="H4550" s="76">
        <v>8.5900000000000001E-5</v>
      </c>
      <c r="I4550" s="76">
        <v>4.9799999999999998E-5</v>
      </c>
      <c r="J4550" s="76">
        <v>2.0100000000000001E-4</v>
      </c>
      <c r="K4550" s="76">
        <v>5.6100000000000002E-5</v>
      </c>
      <c r="L4550" s="76">
        <v>1.1400000000000001E-4</v>
      </c>
      <c r="M4550" s="76">
        <v>1.7699999999999999E-4</v>
      </c>
    </row>
    <row r="4551" spans="2:13" x14ac:dyDescent="0.15">
      <c r="C4551" s="76">
        <v>768</v>
      </c>
      <c r="D4551" s="76">
        <v>6.3600000000000001E-6</v>
      </c>
      <c r="E4551" s="76">
        <v>2.7900000000000001E-5</v>
      </c>
      <c r="F4551" s="76">
        <v>3.3800000000000002E-5</v>
      </c>
      <c r="G4551" s="76">
        <v>6.2100000000000005E-5</v>
      </c>
      <c r="H4551" s="76">
        <v>1.1E-4</v>
      </c>
      <c r="I4551" s="76">
        <v>9.4500000000000007E-5</v>
      </c>
      <c r="J4551" s="76">
        <v>1.6699999999999999E-4</v>
      </c>
      <c r="K4551" s="76">
        <v>1.01E-4</v>
      </c>
      <c r="L4551" s="76">
        <v>1.2300000000000001E-4</v>
      </c>
      <c r="M4551" s="76">
        <v>1.63E-4</v>
      </c>
    </row>
    <row r="4552" spans="2:13" x14ac:dyDescent="0.15">
      <c r="C4552" s="76">
        <v>770</v>
      </c>
      <c r="D4552" s="76">
        <v>1.8199999999999999E-5</v>
      </c>
      <c r="E4552" s="76">
        <v>3.0899999999999999E-5</v>
      </c>
      <c r="F4552" s="76">
        <v>2.27E-5</v>
      </c>
      <c r="G4552" s="76">
        <v>6.4700000000000001E-5</v>
      </c>
      <c r="H4552" s="76">
        <v>1.01E-4</v>
      </c>
      <c r="I4552" s="76">
        <v>1.4100000000000001E-4</v>
      </c>
      <c r="J4552" s="76">
        <v>1.9000000000000001E-4</v>
      </c>
      <c r="K4552" s="76">
        <v>9.8499999999999995E-5</v>
      </c>
      <c r="L4552" s="76">
        <v>2.0000000000000001E-4</v>
      </c>
      <c r="M4552" s="76">
        <v>2.0799999999999999E-4</v>
      </c>
    </row>
    <row r="4553" spans="2:13" x14ac:dyDescent="0.15">
      <c r="C4553" s="76">
        <v>772</v>
      </c>
      <c r="D4553" s="76">
        <v>2.62E-5</v>
      </c>
      <c r="E4553" s="76">
        <v>2.5400000000000001E-5</v>
      </c>
      <c r="F4553" s="76">
        <v>0</v>
      </c>
      <c r="G4553" s="76">
        <v>8.3200000000000003E-5</v>
      </c>
      <c r="H4553" s="76">
        <v>9.2899999999999995E-5</v>
      </c>
      <c r="I4553" s="76">
        <v>1.5699999999999999E-4</v>
      </c>
      <c r="J4553" s="76">
        <v>1.6699999999999999E-4</v>
      </c>
      <c r="K4553" s="76">
        <v>7.2000000000000002E-5</v>
      </c>
      <c r="L4553" s="76">
        <v>1.8100000000000001E-4</v>
      </c>
      <c r="M4553" s="76">
        <v>2.61E-4</v>
      </c>
    </row>
    <row r="4554" spans="2:13" x14ac:dyDescent="0.15">
      <c r="C4554" s="76">
        <v>774</v>
      </c>
      <c r="D4554" s="76">
        <v>2.3099999999999999E-5</v>
      </c>
      <c r="E4554" s="76">
        <v>1.3900000000000001E-5</v>
      </c>
      <c r="F4554" s="76">
        <v>2.4000000000000001E-5</v>
      </c>
      <c r="G4554" s="76">
        <v>6.9099999999999999E-5</v>
      </c>
      <c r="H4554" s="76">
        <v>1.3200000000000001E-4</v>
      </c>
      <c r="I4554" s="76">
        <v>1.45E-4</v>
      </c>
      <c r="J4554" s="76">
        <v>1.11E-4</v>
      </c>
      <c r="K4554" s="76">
        <v>1.4100000000000001E-4</v>
      </c>
      <c r="L4554" s="76">
        <v>1.1400000000000001E-4</v>
      </c>
      <c r="M4554" s="76">
        <v>1.9799999999999999E-4</v>
      </c>
    </row>
    <row r="4555" spans="2:13" x14ac:dyDescent="0.15">
      <c r="C4555" s="76">
        <v>776</v>
      </c>
      <c r="D4555" s="76">
        <v>2.3900000000000002E-5</v>
      </c>
      <c r="E4555" s="76">
        <v>1.5799999999999999E-6</v>
      </c>
      <c r="F4555" s="76">
        <v>2.5899999999999999E-5</v>
      </c>
      <c r="G4555" s="76">
        <v>8.2100000000000003E-5</v>
      </c>
      <c r="H4555" s="76">
        <v>1.3300000000000001E-4</v>
      </c>
      <c r="I4555" s="76">
        <v>2.2000000000000001E-4</v>
      </c>
      <c r="J4555" s="76">
        <v>2.04E-4</v>
      </c>
      <c r="K4555" s="76">
        <v>4.4400000000000002E-5</v>
      </c>
      <c r="L4555" s="76">
        <v>1.11E-4</v>
      </c>
      <c r="M4555" s="76">
        <v>1.6899999999999999E-4</v>
      </c>
    </row>
    <row r="4556" spans="2:13" x14ac:dyDescent="0.15">
      <c r="C4556" s="76">
        <v>778</v>
      </c>
      <c r="D4556" s="76">
        <v>1.56E-5</v>
      </c>
      <c r="E4556" s="76">
        <v>4.07E-6</v>
      </c>
      <c r="F4556" s="76">
        <v>3.4100000000000002E-5</v>
      </c>
      <c r="G4556" s="76">
        <v>1.54E-4</v>
      </c>
      <c r="H4556" s="76">
        <v>1.2E-4</v>
      </c>
      <c r="I4556" s="76">
        <v>1.94E-4</v>
      </c>
      <c r="J4556" s="76">
        <v>2.2100000000000001E-4</v>
      </c>
      <c r="K4556" s="76">
        <v>1.03E-4</v>
      </c>
      <c r="L4556" s="76">
        <v>1.18E-4</v>
      </c>
      <c r="M4556" s="76">
        <v>1.8100000000000001E-4</v>
      </c>
    </row>
    <row r="4557" spans="2:13" x14ac:dyDescent="0.15">
      <c r="C4557" s="76">
        <v>780</v>
      </c>
      <c r="D4557" s="76">
        <v>2.37E-5</v>
      </c>
      <c r="E4557" s="120">
        <v>1.5099999999999999E-5</v>
      </c>
      <c r="F4557" s="76">
        <v>3.3099999999999998E-5</v>
      </c>
      <c r="G4557" s="76">
        <v>1.45E-4</v>
      </c>
      <c r="H4557" s="76">
        <v>1.3899999999999999E-4</v>
      </c>
      <c r="I4557" s="76">
        <v>2.3000000000000001E-4</v>
      </c>
      <c r="J4557" s="76">
        <v>1.8699999999999999E-4</v>
      </c>
      <c r="K4557" s="76">
        <v>1.54E-4</v>
      </c>
      <c r="L4557" s="76">
        <v>9.0400000000000002E-5</v>
      </c>
      <c r="M4557" s="76">
        <v>1.3200000000000001E-4</v>
      </c>
    </row>
    <row r="4558" spans="2:13" x14ac:dyDescent="0.15">
      <c r="B4558" s="76">
        <v>52</v>
      </c>
      <c r="C4558" s="76" t="s">
        <v>561</v>
      </c>
      <c r="D4558" s="76">
        <v>1</v>
      </c>
      <c r="E4558" s="76">
        <v>2</v>
      </c>
      <c r="F4558" s="76">
        <v>3</v>
      </c>
      <c r="G4558" s="76">
        <v>4</v>
      </c>
      <c r="H4558" s="76">
        <v>5</v>
      </c>
      <c r="I4558" s="76">
        <v>6</v>
      </c>
      <c r="J4558" s="76">
        <v>7</v>
      </c>
      <c r="K4558" s="76">
        <v>8</v>
      </c>
      <c r="L4558" s="76">
        <v>9</v>
      </c>
      <c r="M4558" s="76">
        <v>10</v>
      </c>
    </row>
    <row r="4559" spans="2:13" x14ac:dyDescent="0.15">
      <c r="C4559" s="76" t="s">
        <v>556</v>
      </c>
      <c r="D4559" s="76">
        <v>3.5710000000000002</v>
      </c>
      <c r="E4559" s="76">
        <v>3.7090000000000001</v>
      </c>
      <c r="F4559" s="76">
        <v>3.8079999999999998</v>
      </c>
      <c r="G4559" s="76">
        <v>3.8889999999999998</v>
      </c>
      <c r="H4559" s="76">
        <v>3.96</v>
      </c>
      <c r="I4559" s="76">
        <v>4.0229999999999997</v>
      </c>
      <c r="J4559" s="76">
        <v>4.08</v>
      </c>
      <c r="K4559" s="76">
        <v>4.133</v>
      </c>
      <c r="L4559" s="76">
        <v>4.1820000000000004</v>
      </c>
      <c r="M4559" s="76">
        <v>4.2279999999999998</v>
      </c>
    </row>
    <row r="4560" spans="2:13" x14ac:dyDescent="0.15">
      <c r="C4560" s="76" t="s">
        <v>562</v>
      </c>
      <c r="D4560" s="76">
        <v>0.08</v>
      </c>
      <c r="E4560" s="76">
        <v>0.16</v>
      </c>
      <c r="F4560" s="76">
        <v>0.24</v>
      </c>
      <c r="G4560" s="76">
        <v>0.32</v>
      </c>
      <c r="H4560" s="76">
        <v>0.4</v>
      </c>
      <c r="I4560" s="76">
        <v>0.48</v>
      </c>
      <c r="J4560" s="76">
        <v>0.56000000000000005</v>
      </c>
      <c r="K4560" s="76">
        <v>0.64</v>
      </c>
      <c r="L4560" s="76">
        <v>0.72</v>
      </c>
      <c r="M4560" s="76">
        <v>0.8</v>
      </c>
    </row>
    <row r="4561" spans="3:13" x14ac:dyDescent="0.15">
      <c r="C4561" s="76" t="s">
        <v>557</v>
      </c>
      <c r="D4561" s="76">
        <v>2</v>
      </c>
      <c r="E4561" s="76">
        <v>4</v>
      </c>
      <c r="F4561" s="76">
        <v>6</v>
      </c>
      <c r="G4561" s="76">
        <v>8</v>
      </c>
      <c r="H4561" s="76">
        <v>10</v>
      </c>
      <c r="I4561" s="76">
        <v>12</v>
      </c>
      <c r="J4561" s="76">
        <v>14</v>
      </c>
      <c r="K4561" s="76">
        <v>16</v>
      </c>
      <c r="L4561" s="76">
        <v>18</v>
      </c>
      <c r="M4561" s="76">
        <v>20</v>
      </c>
    </row>
    <row r="4562" spans="3:13" x14ac:dyDescent="0.15">
      <c r="C4562" s="76" t="s">
        <v>560</v>
      </c>
      <c r="D4562" s="76">
        <v>8.2850000000000001</v>
      </c>
      <c r="E4562" s="76">
        <v>8.4559999999999995</v>
      </c>
      <c r="F4562" s="76">
        <v>8.4659999999999993</v>
      </c>
      <c r="G4562" s="76">
        <v>8.4589999999999996</v>
      </c>
      <c r="H4562" s="76">
        <v>8.4359999999999999</v>
      </c>
      <c r="I4562" s="76">
        <v>8.4250000000000007</v>
      </c>
      <c r="J4562" s="76">
        <v>8.407</v>
      </c>
      <c r="K4562" s="76">
        <v>8.375</v>
      </c>
      <c r="L4562" s="76">
        <v>8.3610000000000007</v>
      </c>
      <c r="M4562" s="76">
        <v>8.3450000000000006</v>
      </c>
    </row>
    <row r="4563" spans="3:13" x14ac:dyDescent="0.15">
      <c r="C4563" s="76" t="s">
        <v>563</v>
      </c>
      <c r="D4563" s="76">
        <v>7.2882870000000004</v>
      </c>
      <c r="E4563" s="76">
        <v>7.1616150000000003</v>
      </c>
      <c r="F4563" s="76">
        <v>6.9841990000000003</v>
      </c>
      <c r="G4563" s="76">
        <v>6.83352</v>
      </c>
      <c r="H4563" s="76">
        <v>6.6932520000000002</v>
      </c>
      <c r="I4563" s="76">
        <v>6.5791069999999996</v>
      </c>
      <c r="J4563" s="76">
        <v>6.472893</v>
      </c>
      <c r="K4563" s="76">
        <v>6.3655540000000004</v>
      </c>
      <c r="L4563" s="76">
        <v>6.2806350000000002</v>
      </c>
      <c r="M4563" s="76">
        <v>6.1999810000000002</v>
      </c>
    </row>
    <row r="4564" spans="3:13" x14ac:dyDescent="0.15">
      <c r="C4564" s="76" t="s">
        <v>564</v>
      </c>
      <c r="D4564" s="76">
        <v>165.7</v>
      </c>
      <c r="E4564" s="76">
        <v>338.3</v>
      </c>
      <c r="F4564" s="76">
        <v>508</v>
      </c>
      <c r="G4564" s="120">
        <v>676.8</v>
      </c>
      <c r="H4564" s="76">
        <v>843.7</v>
      </c>
      <c r="I4564" s="76">
        <v>1011</v>
      </c>
      <c r="J4564" s="120">
        <v>1177</v>
      </c>
      <c r="K4564" s="76">
        <v>1340</v>
      </c>
      <c r="L4564" s="76">
        <v>1505</v>
      </c>
      <c r="M4564" s="76">
        <v>1669</v>
      </c>
    </row>
    <row r="4565" spans="3:13" x14ac:dyDescent="0.15">
      <c r="C4565" s="76" t="s">
        <v>565</v>
      </c>
      <c r="D4565" s="76">
        <v>165.7</v>
      </c>
      <c r="E4565" s="76">
        <v>338.3</v>
      </c>
      <c r="F4565" s="76">
        <v>508</v>
      </c>
      <c r="G4565" s="120">
        <v>676.8</v>
      </c>
      <c r="H4565" s="76">
        <v>843.7</v>
      </c>
      <c r="I4565" s="76">
        <v>1011</v>
      </c>
      <c r="J4565" s="120">
        <v>1177</v>
      </c>
      <c r="K4565" s="76">
        <v>1340</v>
      </c>
      <c r="L4565" s="76">
        <v>1505</v>
      </c>
      <c r="M4565" s="76">
        <v>1669</v>
      </c>
    </row>
    <row r="4566" spans="3:13" x14ac:dyDescent="0.15">
      <c r="C4566" s="76" t="s">
        <v>566</v>
      </c>
      <c r="D4566" s="76">
        <v>0.13539999999999999</v>
      </c>
      <c r="E4566" s="76">
        <v>0.1353</v>
      </c>
      <c r="F4566" s="76">
        <v>0.13519999999999999</v>
      </c>
      <c r="G4566" s="76">
        <v>0.1353</v>
      </c>
      <c r="H4566" s="76">
        <v>0.1353</v>
      </c>
      <c r="I4566" s="76">
        <v>0.1353</v>
      </c>
      <c r="J4566" s="120">
        <v>0.1353</v>
      </c>
      <c r="K4566" s="76">
        <v>0.13519999999999999</v>
      </c>
      <c r="L4566" s="76">
        <v>0.1353</v>
      </c>
      <c r="M4566" s="76">
        <v>0.1353</v>
      </c>
    </row>
    <row r="4567" spans="3:13" x14ac:dyDescent="0.15">
      <c r="C4567" s="76" t="s">
        <v>567</v>
      </c>
      <c r="D4567" s="76">
        <v>0.1186</v>
      </c>
      <c r="E4567" s="76">
        <v>0.11840000000000001</v>
      </c>
      <c r="F4567" s="76">
        <v>0.1183</v>
      </c>
      <c r="G4567" s="76">
        <v>0.1182</v>
      </c>
      <c r="H4567" s="76">
        <v>0.1181</v>
      </c>
      <c r="I4567" s="76">
        <v>0.11799999999999999</v>
      </c>
      <c r="J4567" s="120">
        <v>0.1181</v>
      </c>
      <c r="K4567" s="76">
        <v>0.1179</v>
      </c>
      <c r="L4567" s="76">
        <v>0.11799999999999999</v>
      </c>
      <c r="M4567" s="76">
        <v>0.11799999999999999</v>
      </c>
    </row>
    <row r="4568" spans="3:13" x14ac:dyDescent="0.15">
      <c r="C4568" s="76" t="s">
        <v>568</v>
      </c>
      <c r="D4568" s="76">
        <v>9.1440999999999999</v>
      </c>
      <c r="E4568" s="76">
        <v>9.3355999999999995</v>
      </c>
      <c r="F4568" s="76">
        <v>9.3519000000000005</v>
      </c>
      <c r="G4568" s="76">
        <v>9.3495000000000008</v>
      </c>
      <c r="H4568" s="76">
        <v>9.3338000000000001</v>
      </c>
      <c r="I4568" s="76">
        <v>9.3239999999999998</v>
      </c>
      <c r="J4568" s="76">
        <v>9.3099000000000007</v>
      </c>
      <c r="K4568" s="76">
        <v>9.2827000000000002</v>
      </c>
      <c r="L4568" s="76">
        <v>9.2591000000000001</v>
      </c>
      <c r="M4568" s="76">
        <v>9.2396999999999991</v>
      </c>
    </row>
    <row r="4569" spans="3:13" x14ac:dyDescent="0.15">
      <c r="C4569" s="76" t="s">
        <v>569</v>
      </c>
    </row>
    <row r="4570" spans="3:13" x14ac:dyDescent="0.15">
      <c r="C4570" s="76" t="s">
        <v>570</v>
      </c>
      <c r="D4570" s="76">
        <v>4</v>
      </c>
      <c r="E4570" s="76">
        <v>4</v>
      </c>
      <c r="F4570" s="76">
        <v>4</v>
      </c>
      <c r="G4570" s="76">
        <v>4</v>
      </c>
      <c r="H4570" s="76">
        <v>4</v>
      </c>
      <c r="I4570" s="76">
        <v>4</v>
      </c>
      <c r="J4570" s="76">
        <v>4</v>
      </c>
      <c r="K4570" s="76">
        <v>4</v>
      </c>
      <c r="L4570" s="76">
        <v>4</v>
      </c>
      <c r="M4570" s="76">
        <v>4</v>
      </c>
    </row>
    <row r="4571" spans="3:13" x14ac:dyDescent="0.15">
      <c r="C4571" s="76" t="s">
        <v>571</v>
      </c>
      <c r="D4571" s="76">
        <v>100</v>
      </c>
      <c r="E4571" s="76">
        <v>100</v>
      </c>
      <c r="F4571" s="76">
        <v>100</v>
      </c>
      <c r="G4571" s="76">
        <v>100</v>
      </c>
      <c r="H4571" s="76">
        <v>100</v>
      </c>
      <c r="I4571" s="76">
        <v>100</v>
      </c>
      <c r="J4571" s="76">
        <v>100</v>
      </c>
      <c r="K4571" s="76">
        <v>100</v>
      </c>
      <c r="L4571" s="76">
        <v>100</v>
      </c>
      <c r="M4571" s="76">
        <v>100</v>
      </c>
    </row>
    <row r="4572" spans="3:13" x14ac:dyDescent="0.15">
      <c r="C4572" s="76" t="s">
        <v>572</v>
      </c>
      <c r="D4572" s="76" t="s">
        <v>574</v>
      </c>
      <c r="E4572" s="76" t="s">
        <v>574</v>
      </c>
      <c r="F4572" s="76" t="s">
        <v>574</v>
      </c>
      <c r="G4572" s="76" t="s">
        <v>574</v>
      </c>
      <c r="H4572" s="76" t="s">
        <v>574</v>
      </c>
      <c r="I4572" s="76" t="s">
        <v>574</v>
      </c>
      <c r="J4572" s="76" t="s">
        <v>574</v>
      </c>
      <c r="K4572" s="76" t="s">
        <v>574</v>
      </c>
      <c r="L4572" s="76" t="s">
        <v>574</v>
      </c>
      <c r="M4572" s="76" t="s">
        <v>574</v>
      </c>
    </row>
    <row r="4573" spans="3:13" x14ac:dyDescent="0.15">
      <c r="C4573" s="76" t="s">
        <v>573</v>
      </c>
      <c r="D4573" s="76">
        <v>1</v>
      </c>
      <c r="E4573" s="76">
        <v>2</v>
      </c>
      <c r="F4573" s="76">
        <v>3</v>
      </c>
      <c r="G4573" s="76">
        <v>4</v>
      </c>
      <c r="H4573" s="76">
        <v>5</v>
      </c>
      <c r="I4573" s="76">
        <v>6</v>
      </c>
      <c r="J4573" s="76">
        <v>7</v>
      </c>
      <c r="K4573" s="76">
        <v>8</v>
      </c>
      <c r="L4573" s="76">
        <v>9</v>
      </c>
      <c r="M4573" s="76">
        <v>10</v>
      </c>
    </row>
    <row r="4574" spans="3:13" x14ac:dyDescent="0.15">
      <c r="C4574" s="76">
        <v>380</v>
      </c>
      <c r="D4574" s="76">
        <v>1.6799999999999998E-5</v>
      </c>
      <c r="E4574" s="76">
        <v>3.1500000000000001E-4</v>
      </c>
      <c r="F4574" s="76">
        <v>3.1100000000000002E-4</v>
      </c>
      <c r="G4574" s="76">
        <v>3.6000000000000002E-4</v>
      </c>
      <c r="H4574" s="76">
        <v>5.4699999999999996E-4</v>
      </c>
      <c r="I4574" s="76">
        <v>5.4500000000000002E-4</v>
      </c>
      <c r="J4574" s="76">
        <v>1.15E-3</v>
      </c>
      <c r="K4574" s="76">
        <v>1.15E-3</v>
      </c>
      <c r="L4574" s="76">
        <v>1.25E-3</v>
      </c>
      <c r="M4574" s="76">
        <v>1.06E-3</v>
      </c>
    </row>
    <row r="4575" spans="3:13" x14ac:dyDescent="0.15">
      <c r="C4575" s="76">
        <v>382</v>
      </c>
      <c r="D4575" s="76">
        <v>7.9800000000000002E-5</v>
      </c>
      <c r="E4575" s="76">
        <v>3.1100000000000002E-4</v>
      </c>
      <c r="F4575" s="76">
        <v>2.9399999999999999E-4</v>
      </c>
      <c r="G4575" s="76">
        <v>4.8500000000000003E-4</v>
      </c>
      <c r="H4575" s="76">
        <v>2.5099999999999998E-4</v>
      </c>
      <c r="I4575" s="76">
        <v>6.0899999999999995E-4</v>
      </c>
      <c r="J4575" s="76">
        <v>1.08E-3</v>
      </c>
      <c r="K4575" s="76">
        <v>9.5699999999999995E-4</v>
      </c>
      <c r="L4575" s="76">
        <v>1.1199999999999999E-3</v>
      </c>
      <c r="M4575" s="76">
        <v>1.1100000000000001E-3</v>
      </c>
    </row>
    <row r="4576" spans="3:13" x14ac:dyDescent="0.15">
      <c r="C4576" s="76">
        <v>384</v>
      </c>
      <c r="D4576" s="76">
        <v>8.53E-5</v>
      </c>
      <c r="E4576" s="76">
        <v>2.6899999999999998E-4</v>
      </c>
      <c r="F4576" s="76">
        <v>2.8699999999999998E-4</v>
      </c>
      <c r="G4576" s="76">
        <v>4.6700000000000002E-4</v>
      </c>
      <c r="H4576" s="76">
        <v>2.8600000000000001E-4</v>
      </c>
      <c r="I4576" s="76">
        <v>7.3899999999999997E-4</v>
      </c>
      <c r="J4576" s="76">
        <v>1E-3</v>
      </c>
      <c r="K4576" s="76">
        <v>1.0200000000000001E-3</v>
      </c>
      <c r="L4576" s="76">
        <v>1.31E-3</v>
      </c>
      <c r="M4576" s="76">
        <v>1.2899999999999999E-3</v>
      </c>
    </row>
    <row r="4577" spans="3:13" x14ac:dyDescent="0.15">
      <c r="C4577" s="76">
        <v>386</v>
      </c>
      <c r="D4577" s="76">
        <v>9.2700000000000004E-5</v>
      </c>
      <c r="E4577" s="76">
        <v>2.8299999999999999E-4</v>
      </c>
      <c r="F4577" s="76">
        <v>3.1500000000000001E-4</v>
      </c>
      <c r="G4577" s="76">
        <v>5.3600000000000002E-4</v>
      </c>
      <c r="H4577" s="76">
        <v>2.14E-4</v>
      </c>
      <c r="I4577" s="76">
        <v>6.6500000000000001E-4</v>
      </c>
      <c r="J4577" s="76">
        <v>9.6000000000000002E-4</v>
      </c>
      <c r="K4577" s="76">
        <v>1.07E-3</v>
      </c>
      <c r="L4577" s="76">
        <v>1.2199999999999999E-3</v>
      </c>
      <c r="M4577" s="76">
        <v>1.2700000000000001E-3</v>
      </c>
    </row>
    <row r="4578" spans="3:13" x14ac:dyDescent="0.15">
      <c r="C4578" s="76">
        <v>388</v>
      </c>
      <c r="D4578" s="76">
        <v>1.15E-4</v>
      </c>
      <c r="E4578" s="76">
        <v>2.5399999999999999E-4</v>
      </c>
      <c r="F4578" s="76">
        <v>3.1599999999999998E-4</v>
      </c>
      <c r="G4578" s="76">
        <v>3.6600000000000001E-4</v>
      </c>
      <c r="H4578" s="76">
        <v>2.5700000000000001E-4</v>
      </c>
      <c r="I4578" s="76">
        <v>5.3700000000000004E-4</v>
      </c>
      <c r="J4578" s="76">
        <v>1.08E-3</v>
      </c>
      <c r="K4578" s="76">
        <v>1.07E-3</v>
      </c>
      <c r="L4578" s="76">
        <v>1.2099999999999999E-3</v>
      </c>
      <c r="M4578" s="76">
        <v>1.23E-3</v>
      </c>
    </row>
    <row r="4579" spans="3:13" x14ac:dyDescent="0.15">
      <c r="C4579" s="76">
        <v>390</v>
      </c>
      <c r="D4579" s="76">
        <v>9.2600000000000001E-5</v>
      </c>
      <c r="E4579" s="76">
        <v>1.92E-4</v>
      </c>
      <c r="F4579" s="76">
        <v>2.33E-4</v>
      </c>
      <c r="G4579" s="76">
        <v>3.1500000000000001E-4</v>
      </c>
      <c r="H4579" s="76">
        <v>3.9100000000000002E-4</v>
      </c>
      <c r="I4579" s="76">
        <v>4.95E-4</v>
      </c>
      <c r="J4579" s="76">
        <v>1.0200000000000001E-3</v>
      </c>
      <c r="K4579" s="76">
        <v>1.2700000000000001E-3</v>
      </c>
      <c r="L4579" s="76">
        <v>1.1999999999999999E-3</v>
      </c>
      <c r="M4579" s="76">
        <v>1.1100000000000001E-3</v>
      </c>
    </row>
    <row r="4580" spans="3:13" x14ac:dyDescent="0.15">
      <c r="C4580" s="76">
        <v>392</v>
      </c>
      <c r="D4580" s="76">
        <v>9.1299999999999997E-5</v>
      </c>
      <c r="E4580" s="76">
        <v>1.9699999999999999E-4</v>
      </c>
      <c r="F4580" s="76">
        <v>2.4000000000000001E-4</v>
      </c>
      <c r="G4580" s="76">
        <v>4.1300000000000001E-4</v>
      </c>
      <c r="H4580" s="76">
        <v>3.68E-4</v>
      </c>
      <c r="I4580" s="76">
        <v>5.2700000000000002E-4</v>
      </c>
      <c r="J4580" s="76">
        <v>1.0399999999999999E-3</v>
      </c>
      <c r="K4580" s="76">
        <v>1.1000000000000001E-3</v>
      </c>
      <c r="L4580" s="76">
        <v>1.1900000000000001E-3</v>
      </c>
      <c r="M4580" s="76">
        <v>1.1100000000000001E-3</v>
      </c>
    </row>
    <row r="4581" spans="3:13" x14ac:dyDescent="0.15">
      <c r="C4581" s="76">
        <v>394</v>
      </c>
      <c r="D4581" s="76">
        <v>1.12E-4</v>
      </c>
      <c r="E4581" s="76">
        <v>1.6899999999999999E-4</v>
      </c>
      <c r="F4581" s="76">
        <v>3.4200000000000002E-4</v>
      </c>
      <c r="G4581" s="76">
        <v>3.9399999999999998E-4</v>
      </c>
      <c r="H4581" s="76">
        <v>4.37E-4</v>
      </c>
      <c r="I4581" s="76">
        <v>5.3700000000000004E-4</v>
      </c>
      <c r="J4581" s="76">
        <v>9.8499999999999998E-4</v>
      </c>
      <c r="K4581" s="76">
        <v>1.0399999999999999E-3</v>
      </c>
      <c r="L4581" s="76">
        <v>1.0300000000000001E-3</v>
      </c>
      <c r="M4581" s="76">
        <v>1.0399999999999999E-3</v>
      </c>
    </row>
    <row r="4582" spans="3:13" x14ac:dyDescent="0.15">
      <c r="C4582" s="76">
        <v>396</v>
      </c>
      <c r="D4582" s="76">
        <v>1.06E-4</v>
      </c>
      <c r="E4582" s="76">
        <v>2.8800000000000001E-4</v>
      </c>
      <c r="F4582" s="76">
        <v>3.1599999999999998E-4</v>
      </c>
      <c r="G4582" s="76">
        <v>4.1899999999999999E-4</v>
      </c>
      <c r="H4582" s="76">
        <v>4.4999999999999999E-4</v>
      </c>
      <c r="I4582" s="76">
        <v>6.5799999999999995E-4</v>
      </c>
      <c r="J4582" s="76">
        <v>8.7200000000000005E-4</v>
      </c>
      <c r="K4582" s="76">
        <v>1.2199999999999999E-3</v>
      </c>
      <c r="L4582" s="76">
        <v>9.19E-4</v>
      </c>
      <c r="M4582" s="76">
        <v>1.2199999999999999E-3</v>
      </c>
    </row>
    <row r="4583" spans="3:13" x14ac:dyDescent="0.15">
      <c r="C4583" s="76">
        <v>398</v>
      </c>
      <c r="D4583" s="76">
        <v>1.34E-4</v>
      </c>
      <c r="E4583" s="76">
        <v>2.1000000000000001E-4</v>
      </c>
      <c r="F4583" s="76">
        <v>3.1500000000000001E-4</v>
      </c>
      <c r="G4583" s="76">
        <v>4.1399999999999998E-4</v>
      </c>
      <c r="H4583" s="76">
        <v>5.71E-4</v>
      </c>
      <c r="I4583" s="76">
        <v>6.3199999999999997E-4</v>
      </c>
      <c r="J4583" s="76">
        <v>1.0399999999999999E-3</v>
      </c>
      <c r="K4583" s="76">
        <v>1E-3</v>
      </c>
      <c r="L4583" s="76">
        <v>1.14E-3</v>
      </c>
      <c r="M4583" s="76">
        <v>9.68E-4</v>
      </c>
    </row>
    <row r="4584" spans="3:13" x14ac:dyDescent="0.15">
      <c r="C4584" s="76">
        <v>400</v>
      </c>
      <c r="D4584" s="76">
        <v>1.26E-4</v>
      </c>
      <c r="E4584" s="76">
        <v>2.1100000000000001E-4</v>
      </c>
      <c r="F4584" s="76">
        <v>4.4099999999999999E-4</v>
      </c>
      <c r="G4584" s="76">
        <v>4.3300000000000001E-4</v>
      </c>
      <c r="H4584" s="76">
        <v>5.6099999999999998E-4</v>
      </c>
      <c r="I4584" s="76">
        <v>6.7299999999999999E-4</v>
      </c>
      <c r="J4584" s="76">
        <v>1.01E-3</v>
      </c>
      <c r="K4584" s="76">
        <v>1.1800000000000001E-3</v>
      </c>
      <c r="L4584" s="76">
        <v>1.23E-3</v>
      </c>
      <c r="M4584" s="76">
        <v>1.06E-3</v>
      </c>
    </row>
    <row r="4585" spans="3:13" x14ac:dyDescent="0.15">
      <c r="C4585" s="76">
        <v>402</v>
      </c>
      <c r="D4585" s="76">
        <v>1.22E-4</v>
      </c>
      <c r="E4585" s="76">
        <v>2.1699999999999999E-4</v>
      </c>
      <c r="F4585" s="76">
        <v>4.06E-4</v>
      </c>
      <c r="G4585" s="76">
        <v>4.7699999999999999E-4</v>
      </c>
      <c r="H4585" s="76">
        <v>4.5600000000000003E-4</v>
      </c>
      <c r="I4585" s="76">
        <v>7.9500000000000003E-4</v>
      </c>
      <c r="J4585" s="76">
        <v>9.6699999999999998E-4</v>
      </c>
      <c r="K4585" s="76">
        <v>1.2099999999999999E-3</v>
      </c>
      <c r="L4585" s="76">
        <v>1.2600000000000001E-3</v>
      </c>
      <c r="M4585" s="76">
        <v>1.1800000000000001E-3</v>
      </c>
    </row>
    <row r="4586" spans="3:13" x14ac:dyDescent="0.15">
      <c r="C4586" s="76">
        <v>404</v>
      </c>
      <c r="D4586" s="76">
        <v>1.4300000000000001E-4</v>
      </c>
      <c r="E4586" s="76">
        <v>1.9799999999999999E-4</v>
      </c>
      <c r="F4586" s="76">
        <v>4.6200000000000001E-4</v>
      </c>
      <c r="G4586" s="76">
        <v>4.4700000000000002E-4</v>
      </c>
      <c r="H4586" s="76">
        <v>4.9899999999999999E-4</v>
      </c>
      <c r="I4586" s="76">
        <v>8.7699999999999996E-4</v>
      </c>
      <c r="J4586" s="76">
        <v>1.0200000000000001E-3</v>
      </c>
      <c r="K4586" s="76">
        <v>1.1800000000000001E-3</v>
      </c>
      <c r="L4586" s="76">
        <v>1.24E-3</v>
      </c>
      <c r="M4586" s="76">
        <v>1.2099999999999999E-3</v>
      </c>
    </row>
    <row r="4587" spans="3:13" x14ac:dyDescent="0.15">
      <c r="C4587" s="76">
        <v>406</v>
      </c>
      <c r="D4587" s="76">
        <v>1.54E-4</v>
      </c>
      <c r="E4587" s="76">
        <v>2.31E-4</v>
      </c>
      <c r="F4587" s="76">
        <v>5.31E-4</v>
      </c>
      <c r="G4587" s="76">
        <v>5.1999999999999995E-4</v>
      </c>
      <c r="H4587" s="76">
        <v>6.1499999999999999E-4</v>
      </c>
      <c r="I4587" s="76">
        <v>8.4099999999999995E-4</v>
      </c>
      <c r="J4587" s="76">
        <v>1.1900000000000001E-3</v>
      </c>
      <c r="K4587" s="76">
        <v>1.25E-3</v>
      </c>
      <c r="L4587" s="76">
        <v>1.31E-3</v>
      </c>
      <c r="M4587" s="76">
        <v>1.42E-3</v>
      </c>
    </row>
    <row r="4588" spans="3:13" x14ac:dyDescent="0.15">
      <c r="C4588" s="76">
        <v>408</v>
      </c>
      <c r="D4588" s="76">
        <v>1.65E-4</v>
      </c>
      <c r="E4588" s="76">
        <v>2.3699999999999999E-4</v>
      </c>
      <c r="F4588" s="76">
        <v>5.1999999999999995E-4</v>
      </c>
      <c r="G4588" s="76">
        <v>5.6099999999999998E-4</v>
      </c>
      <c r="H4588" s="76">
        <v>7.6199999999999998E-4</v>
      </c>
      <c r="I4588" s="76">
        <v>9.5100000000000002E-4</v>
      </c>
      <c r="J4588" s="76">
        <v>1.2199999999999999E-3</v>
      </c>
      <c r="K4588" s="76">
        <v>1.3699999999999999E-3</v>
      </c>
      <c r="L4588" s="76">
        <v>1.2999999999999999E-3</v>
      </c>
      <c r="M4588" s="76">
        <v>1.3799999999999999E-3</v>
      </c>
    </row>
    <row r="4589" spans="3:13" x14ac:dyDescent="0.15">
      <c r="C4589" s="76">
        <v>410</v>
      </c>
      <c r="D4589" s="76">
        <v>1.9000000000000001E-4</v>
      </c>
      <c r="E4589" s="76">
        <v>2.8600000000000001E-4</v>
      </c>
      <c r="F4589" s="76">
        <v>5.4199999999999995E-4</v>
      </c>
      <c r="G4589" s="76">
        <v>6.1700000000000004E-4</v>
      </c>
      <c r="H4589" s="76">
        <v>8.9800000000000004E-4</v>
      </c>
      <c r="I4589" s="76">
        <v>1.0200000000000001E-3</v>
      </c>
      <c r="J4589" s="76">
        <v>1.41E-3</v>
      </c>
      <c r="K4589" s="76">
        <v>1.42E-3</v>
      </c>
      <c r="L4589" s="76">
        <v>1.5399999999999999E-3</v>
      </c>
      <c r="M4589" s="76">
        <v>1.74E-3</v>
      </c>
    </row>
    <row r="4590" spans="3:13" x14ac:dyDescent="0.15">
      <c r="C4590" s="76">
        <v>412</v>
      </c>
      <c r="D4590" s="76">
        <v>2.03E-4</v>
      </c>
      <c r="E4590" s="76">
        <v>3.4900000000000003E-4</v>
      </c>
      <c r="F4590" s="76">
        <v>6.2E-4</v>
      </c>
      <c r="G4590" s="76">
        <v>7.3200000000000001E-4</v>
      </c>
      <c r="H4590" s="76">
        <v>1.0499999999999999E-3</v>
      </c>
      <c r="I4590" s="76">
        <v>1.2899999999999999E-3</v>
      </c>
      <c r="J4590" s="76">
        <v>1.47E-3</v>
      </c>
      <c r="K4590" s="76">
        <v>1.6800000000000001E-3</v>
      </c>
      <c r="L4590" s="76">
        <v>1.6800000000000001E-3</v>
      </c>
      <c r="M4590" s="76">
        <v>1.7600000000000001E-3</v>
      </c>
    </row>
    <row r="4591" spans="3:13" x14ac:dyDescent="0.15">
      <c r="C4591" s="76">
        <v>414</v>
      </c>
      <c r="D4591" s="76">
        <v>2.34E-4</v>
      </c>
      <c r="E4591" s="76">
        <v>4.2099999999999999E-4</v>
      </c>
      <c r="F4591" s="76">
        <v>7.45E-4</v>
      </c>
      <c r="G4591" s="76">
        <v>8.7699999999999996E-4</v>
      </c>
      <c r="H4591" s="76">
        <v>1.23E-3</v>
      </c>
      <c r="I4591" s="76">
        <v>1.42E-3</v>
      </c>
      <c r="J4591" s="76">
        <v>1.65E-3</v>
      </c>
      <c r="K4591" s="76">
        <v>2E-3</v>
      </c>
      <c r="L4591" s="76">
        <v>1.98E-3</v>
      </c>
      <c r="M4591" s="76">
        <v>2.3600000000000001E-3</v>
      </c>
    </row>
    <row r="4592" spans="3:13" x14ac:dyDescent="0.15">
      <c r="C4592" s="76">
        <v>416</v>
      </c>
      <c r="D4592" s="76">
        <v>2.9E-4</v>
      </c>
      <c r="E4592" s="76">
        <v>5.0299999999999997E-4</v>
      </c>
      <c r="F4592" s="76">
        <v>8.4999999999999995E-4</v>
      </c>
      <c r="G4592" s="76">
        <v>1.0399999999999999E-3</v>
      </c>
      <c r="H4592" s="76">
        <v>1.4400000000000001E-3</v>
      </c>
      <c r="I4592" s="76">
        <v>1.7799999999999999E-3</v>
      </c>
      <c r="J4592" s="76">
        <v>1.9499999999999999E-3</v>
      </c>
      <c r="K4592" s="76">
        <v>2.2499999999999998E-3</v>
      </c>
      <c r="L4592" s="76">
        <v>2.3700000000000001E-3</v>
      </c>
      <c r="M4592" s="76">
        <v>2.7200000000000002E-3</v>
      </c>
    </row>
    <row r="4593" spans="3:13" x14ac:dyDescent="0.15">
      <c r="C4593" s="76">
        <v>418</v>
      </c>
      <c r="D4593" s="76">
        <v>3.3799999999999998E-4</v>
      </c>
      <c r="E4593" s="76">
        <v>5.9299999999999999E-4</v>
      </c>
      <c r="F4593" s="76">
        <v>9.8200000000000002E-4</v>
      </c>
      <c r="G4593" s="76">
        <v>1.2199999999999999E-3</v>
      </c>
      <c r="H4593" s="76">
        <v>1.6999999999999999E-3</v>
      </c>
      <c r="I4593" s="76">
        <v>2.0500000000000002E-3</v>
      </c>
      <c r="J4593" s="76">
        <v>2.3800000000000002E-3</v>
      </c>
      <c r="K4593" s="76">
        <v>2.6099999999999999E-3</v>
      </c>
      <c r="L4593" s="76">
        <v>2.9099999999999998E-3</v>
      </c>
      <c r="M4593" s="76">
        <v>3.2200000000000002E-3</v>
      </c>
    </row>
    <row r="4594" spans="3:13" x14ac:dyDescent="0.15">
      <c r="C4594" s="76">
        <v>420</v>
      </c>
      <c r="D4594" s="76">
        <v>3.9199999999999999E-4</v>
      </c>
      <c r="E4594" s="76">
        <v>7.2599999999999997E-4</v>
      </c>
      <c r="F4594" s="76">
        <v>1.17E-3</v>
      </c>
      <c r="G4594" s="76">
        <v>1.48E-3</v>
      </c>
      <c r="H4594" s="76">
        <v>1.89E-3</v>
      </c>
      <c r="I4594" s="76">
        <v>2.3400000000000001E-3</v>
      </c>
      <c r="J4594" s="76">
        <v>2.6700000000000001E-3</v>
      </c>
      <c r="K4594" s="76">
        <v>3.0999999999999999E-3</v>
      </c>
      <c r="L4594" s="76">
        <v>3.4299999999999999E-3</v>
      </c>
      <c r="M4594" s="76">
        <v>3.8400000000000001E-3</v>
      </c>
    </row>
    <row r="4595" spans="3:13" x14ac:dyDescent="0.15">
      <c r="C4595" s="76">
        <v>422</v>
      </c>
      <c r="D4595" s="76">
        <v>4.8000000000000001E-4</v>
      </c>
      <c r="E4595" s="76">
        <v>8.7200000000000005E-4</v>
      </c>
      <c r="F4595" s="76">
        <v>1.3799999999999999E-3</v>
      </c>
      <c r="G4595" s="76">
        <v>1.8600000000000001E-3</v>
      </c>
      <c r="H4595" s="76">
        <v>2.3800000000000002E-3</v>
      </c>
      <c r="I4595" s="76">
        <v>2.8400000000000001E-3</v>
      </c>
      <c r="J4595" s="76">
        <v>3.31E-3</v>
      </c>
      <c r="K4595" s="76">
        <v>3.7100000000000002E-3</v>
      </c>
      <c r="L4595" s="76">
        <v>4.2199999999999998E-3</v>
      </c>
      <c r="M4595" s="76">
        <v>4.6499999999999996E-3</v>
      </c>
    </row>
    <row r="4596" spans="3:13" x14ac:dyDescent="0.15">
      <c r="C4596" s="76">
        <v>424</v>
      </c>
      <c r="D4596" s="76">
        <v>5.8299999999999997E-4</v>
      </c>
      <c r="E4596" s="76">
        <v>1.1199999999999999E-3</v>
      </c>
      <c r="F4596" s="76">
        <v>1.7600000000000001E-3</v>
      </c>
      <c r="G4596" s="76">
        <v>2.2399999999999998E-3</v>
      </c>
      <c r="H4596" s="76">
        <v>3.0699999999999998E-3</v>
      </c>
      <c r="I4596" s="76">
        <v>3.6099999999999999E-3</v>
      </c>
      <c r="J4596" s="76">
        <v>4.0800000000000003E-3</v>
      </c>
      <c r="K4596" s="76">
        <v>4.6899999999999997E-3</v>
      </c>
      <c r="L4596" s="76">
        <v>5.3200000000000001E-3</v>
      </c>
      <c r="M4596" s="76">
        <v>5.8300000000000001E-3</v>
      </c>
    </row>
    <row r="4597" spans="3:13" x14ac:dyDescent="0.15">
      <c r="C4597" s="76">
        <v>426</v>
      </c>
      <c r="D4597" s="76">
        <v>7.4200000000000004E-4</v>
      </c>
      <c r="E4597" s="76">
        <v>1.4499999999999999E-3</v>
      </c>
      <c r="F4597" s="76">
        <v>2.2300000000000002E-3</v>
      </c>
      <c r="G4597" s="76">
        <v>2.9299999999999999E-3</v>
      </c>
      <c r="H4597" s="76">
        <v>3.8E-3</v>
      </c>
      <c r="I4597" s="76">
        <v>4.5300000000000002E-3</v>
      </c>
      <c r="J4597" s="76">
        <v>5.1799999999999997E-3</v>
      </c>
      <c r="K4597" s="76">
        <v>5.8599999999999998E-3</v>
      </c>
      <c r="L4597" s="76">
        <v>6.7299999999999999E-3</v>
      </c>
      <c r="M4597" s="76">
        <v>7.4799999999999997E-3</v>
      </c>
    </row>
    <row r="4598" spans="3:13" x14ac:dyDescent="0.15">
      <c r="C4598" s="76">
        <v>428</v>
      </c>
      <c r="D4598" s="76">
        <v>9.5100000000000002E-4</v>
      </c>
      <c r="E4598" s="76">
        <v>1.8699999999999999E-3</v>
      </c>
      <c r="F4598" s="76">
        <v>2.8999999999999998E-3</v>
      </c>
      <c r="G4598" s="76">
        <v>3.82E-3</v>
      </c>
      <c r="H4598" s="76">
        <v>4.9100000000000003E-3</v>
      </c>
      <c r="I4598" s="76">
        <v>5.8399999999999997E-3</v>
      </c>
      <c r="J4598" s="76">
        <v>6.7799999999999996E-3</v>
      </c>
      <c r="K4598" s="76">
        <v>7.7499999999999999E-3</v>
      </c>
      <c r="L4598" s="76">
        <v>8.7200000000000003E-3</v>
      </c>
      <c r="M4598" s="76">
        <v>9.7000000000000003E-3</v>
      </c>
    </row>
    <row r="4599" spans="3:13" x14ac:dyDescent="0.15">
      <c r="C4599" s="76">
        <v>430</v>
      </c>
      <c r="D4599" s="76">
        <v>1.2600000000000001E-3</v>
      </c>
      <c r="E4599" s="76">
        <v>2.5100000000000001E-3</v>
      </c>
      <c r="F4599" s="76">
        <v>3.8899999999999998E-3</v>
      </c>
      <c r="G4599" s="76">
        <v>5.1599999999999997E-3</v>
      </c>
      <c r="H4599" s="76">
        <v>6.5799999999999999E-3</v>
      </c>
      <c r="I4599" s="76">
        <v>7.8799999999999999E-3</v>
      </c>
      <c r="J4599" s="76">
        <v>9.1000000000000004E-3</v>
      </c>
      <c r="K4599" s="76">
        <v>1.03E-2</v>
      </c>
      <c r="L4599" s="76">
        <v>1.17E-2</v>
      </c>
      <c r="M4599" s="76">
        <v>1.3100000000000001E-2</v>
      </c>
    </row>
    <row r="4600" spans="3:13" x14ac:dyDescent="0.15">
      <c r="C4600" s="76">
        <v>432</v>
      </c>
      <c r="D4600" s="76">
        <v>1.7099999999999999E-3</v>
      </c>
      <c r="E4600" s="76">
        <v>3.47E-3</v>
      </c>
      <c r="F4600" s="76">
        <v>5.3E-3</v>
      </c>
      <c r="G4600" s="76">
        <v>7.0400000000000003E-3</v>
      </c>
      <c r="H4600" s="76">
        <v>8.9700000000000005E-3</v>
      </c>
      <c r="I4600" s="76">
        <v>1.0699999999999999E-2</v>
      </c>
      <c r="J4600" s="76">
        <v>1.2500000000000001E-2</v>
      </c>
      <c r="K4600" s="76">
        <v>1.4200000000000001E-2</v>
      </c>
      <c r="L4600" s="76">
        <v>1.61E-2</v>
      </c>
      <c r="M4600" s="76">
        <v>1.78E-2</v>
      </c>
    </row>
    <row r="4601" spans="3:13" x14ac:dyDescent="0.15">
      <c r="C4601" s="76">
        <v>434</v>
      </c>
      <c r="D4601" s="76">
        <v>2.3800000000000002E-3</v>
      </c>
      <c r="E4601" s="76">
        <v>4.8300000000000001E-3</v>
      </c>
      <c r="F4601" s="76">
        <v>7.3200000000000001E-3</v>
      </c>
      <c r="G4601" s="76">
        <v>9.7800000000000005E-3</v>
      </c>
      <c r="H4601" s="76">
        <v>1.24E-2</v>
      </c>
      <c r="I4601" s="76">
        <v>1.49E-2</v>
      </c>
      <c r="J4601" s="76">
        <v>1.7299999999999999E-2</v>
      </c>
      <c r="K4601" s="76">
        <v>1.9699999999999999E-2</v>
      </c>
      <c r="L4601" s="76">
        <v>2.2200000000000001E-2</v>
      </c>
      <c r="M4601" s="76">
        <v>2.4799999999999999E-2</v>
      </c>
    </row>
    <row r="4602" spans="3:13" x14ac:dyDescent="0.15">
      <c r="C4602" s="76">
        <v>436</v>
      </c>
      <c r="D4602" s="76">
        <v>3.3999999999999998E-3</v>
      </c>
      <c r="E4602" s="76">
        <v>6.9100000000000003E-3</v>
      </c>
      <c r="F4602" s="76">
        <v>1.0500000000000001E-2</v>
      </c>
      <c r="G4602" s="76">
        <v>1.4E-2</v>
      </c>
      <c r="H4602" s="76">
        <v>1.7600000000000001E-2</v>
      </c>
      <c r="I4602" s="76">
        <v>2.1100000000000001E-2</v>
      </c>
      <c r="J4602" s="76">
        <v>2.46E-2</v>
      </c>
      <c r="K4602" s="76">
        <v>2.8199999999999999E-2</v>
      </c>
      <c r="L4602" s="76">
        <v>3.1699999999999999E-2</v>
      </c>
      <c r="M4602" s="76">
        <v>3.5000000000000003E-2</v>
      </c>
    </row>
    <row r="4603" spans="3:13" x14ac:dyDescent="0.15">
      <c r="C4603" s="76">
        <v>438</v>
      </c>
      <c r="D4603" s="76">
        <v>4.8599999999999997E-3</v>
      </c>
      <c r="E4603" s="76">
        <v>9.92E-3</v>
      </c>
      <c r="F4603" s="76">
        <v>1.4999999999999999E-2</v>
      </c>
      <c r="G4603" s="76">
        <v>0.02</v>
      </c>
      <c r="H4603" s="76">
        <v>2.5100000000000001E-2</v>
      </c>
      <c r="I4603" s="76">
        <v>3.0099999999999998E-2</v>
      </c>
      <c r="J4603" s="76">
        <v>3.5000000000000003E-2</v>
      </c>
      <c r="K4603" s="76">
        <v>0.04</v>
      </c>
      <c r="L4603" s="76">
        <v>4.5100000000000001E-2</v>
      </c>
      <c r="M4603" s="76">
        <v>5.0200000000000002E-2</v>
      </c>
    </row>
    <row r="4604" spans="3:13" x14ac:dyDescent="0.15">
      <c r="C4604" s="76">
        <v>440</v>
      </c>
      <c r="D4604" s="76">
        <v>6.6899999999999998E-3</v>
      </c>
      <c r="E4604" s="76">
        <v>1.37E-2</v>
      </c>
      <c r="F4604" s="76">
        <v>2.06E-2</v>
      </c>
      <c r="G4604" s="76">
        <v>2.76E-2</v>
      </c>
      <c r="H4604" s="76">
        <v>3.4500000000000003E-2</v>
      </c>
      <c r="I4604" s="76">
        <v>4.1399999999999999E-2</v>
      </c>
      <c r="J4604" s="76">
        <v>4.82E-2</v>
      </c>
      <c r="K4604" s="76">
        <v>5.5E-2</v>
      </c>
      <c r="L4604" s="76">
        <v>6.2E-2</v>
      </c>
      <c r="M4604" s="76">
        <v>6.8699999999999997E-2</v>
      </c>
    </row>
    <row r="4605" spans="3:13" x14ac:dyDescent="0.15">
      <c r="C4605" s="76">
        <v>442</v>
      </c>
      <c r="D4605" s="76">
        <v>8.9599999999999992E-3</v>
      </c>
      <c r="E4605" s="76">
        <v>1.83E-2</v>
      </c>
      <c r="F4605" s="76">
        <v>2.75E-2</v>
      </c>
      <c r="G4605" s="76">
        <v>3.6799999999999999E-2</v>
      </c>
      <c r="H4605" s="76">
        <v>4.6100000000000002E-2</v>
      </c>
      <c r="I4605" s="76">
        <v>5.5300000000000002E-2</v>
      </c>
      <c r="J4605" s="76">
        <v>6.4399999999999999E-2</v>
      </c>
      <c r="K4605" s="76">
        <v>7.3599999999999999E-2</v>
      </c>
      <c r="L4605" s="76">
        <v>8.2699999999999996E-2</v>
      </c>
      <c r="M4605" s="76">
        <v>9.1700000000000004E-2</v>
      </c>
    </row>
    <row r="4606" spans="3:13" x14ac:dyDescent="0.15">
      <c r="C4606" s="76">
        <v>444</v>
      </c>
      <c r="D4606" s="76">
        <v>1.1599999999999999E-2</v>
      </c>
      <c r="E4606" s="76">
        <v>2.3800000000000002E-2</v>
      </c>
      <c r="F4606" s="76">
        <v>3.5799999999999998E-2</v>
      </c>
      <c r="G4606" s="76">
        <v>4.7899999999999998E-2</v>
      </c>
      <c r="H4606" s="76">
        <v>5.9799999999999999E-2</v>
      </c>
      <c r="I4606" s="76">
        <v>7.1800000000000003E-2</v>
      </c>
      <c r="J4606" s="76">
        <v>8.3500000000000005E-2</v>
      </c>
      <c r="K4606" s="76">
        <v>9.5399999999999999E-2</v>
      </c>
      <c r="L4606" s="76">
        <v>0.107</v>
      </c>
      <c r="M4606" s="76">
        <v>0.11899999999999999</v>
      </c>
    </row>
    <row r="4607" spans="3:13" x14ac:dyDescent="0.15">
      <c r="C4607" s="76">
        <v>446</v>
      </c>
      <c r="D4607" s="76">
        <v>1.47E-2</v>
      </c>
      <c r="E4607" s="76">
        <v>0.03</v>
      </c>
      <c r="F4607" s="76">
        <v>4.5100000000000001E-2</v>
      </c>
      <c r="G4607" s="76">
        <v>6.0199999999999997E-2</v>
      </c>
      <c r="H4607" s="76">
        <v>7.5300000000000006E-2</v>
      </c>
      <c r="I4607" s="76">
        <v>9.0300000000000005E-2</v>
      </c>
      <c r="J4607" s="76">
        <v>0.105</v>
      </c>
      <c r="K4607" s="76">
        <v>0.12</v>
      </c>
      <c r="L4607" s="76">
        <v>0.13500000000000001</v>
      </c>
      <c r="M4607" s="76">
        <v>0.14899999999999999</v>
      </c>
    </row>
    <row r="4608" spans="3:13" x14ac:dyDescent="0.15">
      <c r="C4608" s="76">
        <v>448</v>
      </c>
      <c r="D4608" s="76">
        <v>1.7899999999999999E-2</v>
      </c>
      <c r="E4608" s="76">
        <v>3.6600000000000001E-2</v>
      </c>
      <c r="F4608" s="76">
        <v>5.5E-2</v>
      </c>
      <c r="G4608" s="76">
        <v>7.3400000000000007E-2</v>
      </c>
      <c r="H4608" s="76">
        <v>9.1700000000000004E-2</v>
      </c>
      <c r="I4608" s="76">
        <v>0.11</v>
      </c>
      <c r="J4608" s="76">
        <v>0.128</v>
      </c>
      <c r="K4608" s="76">
        <v>0.14599999999999999</v>
      </c>
      <c r="L4608" s="76">
        <v>0.16400000000000001</v>
      </c>
      <c r="M4608" s="76">
        <v>0.182</v>
      </c>
    </row>
    <row r="4609" spans="3:13" x14ac:dyDescent="0.15">
      <c r="C4609" s="76">
        <v>450</v>
      </c>
      <c r="D4609" s="76">
        <v>2.1299999999999999E-2</v>
      </c>
      <c r="E4609" s="76">
        <v>4.3499999999999997E-2</v>
      </c>
      <c r="F4609" s="76">
        <v>6.5500000000000003E-2</v>
      </c>
      <c r="G4609" s="76">
        <v>8.7400000000000005E-2</v>
      </c>
      <c r="H4609" s="76">
        <v>0.109</v>
      </c>
      <c r="I4609" s="76">
        <v>0.13100000000000001</v>
      </c>
      <c r="J4609" s="76">
        <v>0.152</v>
      </c>
      <c r="K4609" s="76">
        <v>0.17299999999999999</v>
      </c>
      <c r="L4609" s="76">
        <v>0.19500000000000001</v>
      </c>
      <c r="M4609" s="76">
        <v>0.216</v>
      </c>
    </row>
    <row r="4610" spans="3:13" x14ac:dyDescent="0.15">
      <c r="C4610" s="76">
        <v>452</v>
      </c>
      <c r="D4610" s="76">
        <v>2.4199999999999999E-2</v>
      </c>
      <c r="E4610" s="76">
        <v>4.9500000000000002E-2</v>
      </c>
      <c r="F4610" s="76">
        <v>7.4499999999999997E-2</v>
      </c>
      <c r="G4610" s="76">
        <v>9.9299999999999999E-2</v>
      </c>
      <c r="H4610" s="76">
        <v>0.124</v>
      </c>
      <c r="I4610" s="76">
        <v>0.14799999999999999</v>
      </c>
      <c r="J4610" s="76">
        <v>0.17299999999999999</v>
      </c>
      <c r="K4610" s="76">
        <v>0.19700000000000001</v>
      </c>
      <c r="L4610" s="76">
        <v>0.221</v>
      </c>
      <c r="M4610" s="76">
        <v>0.245</v>
      </c>
    </row>
    <row r="4611" spans="3:13" x14ac:dyDescent="0.15">
      <c r="C4611" s="76">
        <v>454</v>
      </c>
      <c r="D4611" s="76">
        <v>2.6499999999999999E-2</v>
      </c>
      <c r="E4611" s="76">
        <v>5.4100000000000002E-2</v>
      </c>
      <c r="F4611" s="76">
        <v>8.14E-2</v>
      </c>
      <c r="G4611" s="76">
        <v>0.109</v>
      </c>
      <c r="H4611" s="76">
        <v>0.13500000000000001</v>
      </c>
      <c r="I4611" s="76">
        <v>0.16200000000000001</v>
      </c>
      <c r="J4611" s="76">
        <v>0.189</v>
      </c>
      <c r="K4611" s="76">
        <v>0.215</v>
      </c>
      <c r="L4611" s="76">
        <v>0.24099999999999999</v>
      </c>
      <c r="M4611" s="76">
        <v>0.26800000000000002</v>
      </c>
    </row>
    <row r="4612" spans="3:13" x14ac:dyDescent="0.15">
      <c r="C4612" s="76">
        <v>456</v>
      </c>
      <c r="D4612" s="76">
        <v>2.81E-2</v>
      </c>
      <c r="E4612" s="76">
        <v>5.74E-2</v>
      </c>
      <c r="F4612" s="76">
        <v>8.6300000000000002E-2</v>
      </c>
      <c r="G4612" s="76">
        <v>0.115</v>
      </c>
      <c r="H4612" s="76">
        <v>0.14299999999999999</v>
      </c>
      <c r="I4612" s="76">
        <v>0.17199999999999999</v>
      </c>
      <c r="J4612" s="76">
        <v>0.2</v>
      </c>
      <c r="K4612" s="76">
        <v>0.22800000000000001</v>
      </c>
      <c r="L4612" s="76">
        <v>0.25600000000000001</v>
      </c>
      <c r="M4612" s="76">
        <v>0.28399999999999997</v>
      </c>
    </row>
    <row r="4613" spans="3:13" x14ac:dyDescent="0.15">
      <c r="C4613" s="76">
        <v>458</v>
      </c>
      <c r="D4613" s="76">
        <v>2.8899999999999999E-2</v>
      </c>
      <c r="E4613" s="76">
        <v>5.8999999999999997E-2</v>
      </c>
      <c r="F4613" s="76">
        <v>8.8700000000000001E-2</v>
      </c>
      <c r="G4613" s="76">
        <v>0.11799999999999999</v>
      </c>
      <c r="H4613" s="76">
        <v>0.14699999999999999</v>
      </c>
      <c r="I4613" s="76">
        <v>0.17699999999999999</v>
      </c>
      <c r="J4613" s="76">
        <v>0.20599999999999999</v>
      </c>
      <c r="K4613" s="76">
        <v>0.23400000000000001</v>
      </c>
      <c r="L4613" s="76">
        <v>0.26300000000000001</v>
      </c>
      <c r="M4613" s="76">
        <v>0.29099999999999998</v>
      </c>
    </row>
    <row r="4614" spans="3:13" x14ac:dyDescent="0.15">
      <c r="C4614" s="76">
        <v>460</v>
      </c>
      <c r="D4614" s="76">
        <v>2.9000000000000001E-2</v>
      </c>
      <c r="E4614" s="76">
        <v>5.9200000000000003E-2</v>
      </c>
      <c r="F4614" s="76">
        <v>8.8900000000000007E-2</v>
      </c>
      <c r="G4614" s="76">
        <v>0.11899999999999999</v>
      </c>
      <c r="H4614" s="76">
        <v>0.14799999999999999</v>
      </c>
      <c r="I4614" s="76">
        <v>0.17699999999999999</v>
      </c>
      <c r="J4614" s="76">
        <v>0.20599999999999999</v>
      </c>
      <c r="K4614" s="76">
        <v>0.23499999999999999</v>
      </c>
      <c r="L4614" s="76">
        <v>0.26400000000000001</v>
      </c>
      <c r="M4614" s="76">
        <v>0.29199999999999998</v>
      </c>
    </row>
    <row r="4615" spans="3:13" x14ac:dyDescent="0.15">
      <c r="C4615" s="76">
        <v>462</v>
      </c>
      <c r="D4615" s="76">
        <v>2.8299999999999999E-2</v>
      </c>
      <c r="E4615" s="76">
        <v>5.79E-2</v>
      </c>
      <c r="F4615" s="76">
        <v>8.6999999999999994E-2</v>
      </c>
      <c r="G4615" s="76">
        <v>0.11600000000000001</v>
      </c>
      <c r="H4615" s="76">
        <v>0.14499999999999999</v>
      </c>
      <c r="I4615" s="76">
        <v>0.17299999999999999</v>
      </c>
      <c r="J4615" s="76">
        <v>0.20200000000000001</v>
      </c>
      <c r="K4615" s="76">
        <v>0.23</v>
      </c>
      <c r="L4615" s="76">
        <v>0.25800000000000001</v>
      </c>
      <c r="M4615" s="76">
        <v>0.28599999999999998</v>
      </c>
    </row>
    <row r="4616" spans="3:13" x14ac:dyDescent="0.15">
      <c r="C4616" s="76">
        <v>464</v>
      </c>
      <c r="D4616" s="76">
        <v>2.7E-2</v>
      </c>
      <c r="E4616" s="76">
        <v>5.5199999999999999E-2</v>
      </c>
      <c r="F4616" s="76">
        <v>8.2900000000000001E-2</v>
      </c>
      <c r="G4616" s="76">
        <v>0.111</v>
      </c>
      <c r="H4616" s="76">
        <v>0.13800000000000001</v>
      </c>
      <c r="I4616" s="76">
        <v>0.16500000000000001</v>
      </c>
      <c r="J4616" s="76">
        <v>0.192</v>
      </c>
      <c r="K4616" s="76">
        <v>0.219</v>
      </c>
      <c r="L4616" s="76">
        <v>0.246</v>
      </c>
      <c r="M4616" s="76">
        <v>0.27200000000000002</v>
      </c>
    </row>
    <row r="4617" spans="3:13" x14ac:dyDescent="0.15">
      <c r="C4617" s="76">
        <v>466</v>
      </c>
      <c r="D4617" s="76">
        <v>2.5499999999999998E-2</v>
      </c>
      <c r="E4617" s="76">
        <v>5.2200000000000003E-2</v>
      </c>
      <c r="F4617" s="76">
        <v>7.8399999999999997E-2</v>
      </c>
      <c r="G4617" s="76">
        <v>0.105</v>
      </c>
      <c r="H4617" s="76">
        <v>0.13</v>
      </c>
      <c r="I4617" s="76">
        <v>0.156</v>
      </c>
      <c r="J4617" s="76">
        <v>0.182</v>
      </c>
      <c r="K4617" s="76">
        <v>0.20699999999999999</v>
      </c>
      <c r="L4617" s="76">
        <v>0.23200000000000001</v>
      </c>
      <c r="M4617" s="76">
        <v>0.25800000000000001</v>
      </c>
    </row>
    <row r="4618" spans="3:13" x14ac:dyDescent="0.15">
      <c r="C4618" s="76">
        <v>468</v>
      </c>
      <c r="D4618" s="76">
        <v>2.4E-2</v>
      </c>
      <c r="E4618" s="76">
        <v>4.9099999999999998E-2</v>
      </c>
      <c r="F4618" s="76">
        <v>7.3700000000000002E-2</v>
      </c>
      <c r="G4618" s="76">
        <v>9.8299999999999998E-2</v>
      </c>
      <c r="H4618" s="76">
        <v>0.123</v>
      </c>
      <c r="I4618" s="76">
        <v>0.14699999999999999</v>
      </c>
      <c r="J4618" s="76">
        <v>0.17100000000000001</v>
      </c>
      <c r="K4618" s="76">
        <v>0.19500000000000001</v>
      </c>
      <c r="L4618" s="76">
        <v>0.219</v>
      </c>
      <c r="M4618" s="76">
        <v>0.24199999999999999</v>
      </c>
    </row>
    <row r="4619" spans="3:13" x14ac:dyDescent="0.15">
      <c r="C4619" s="76">
        <v>470</v>
      </c>
      <c r="D4619" s="76">
        <v>2.24E-2</v>
      </c>
      <c r="E4619" s="76">
        <v>4.5900000000000003E-2</v>
      </c>
      <c r="F4619" s="76">
        <v>6.8900000000000003E-2</v>
      </c>
      <c r="G4619" s="76">
        <v>9.1899999999999996E-2</v>
      </c>
      <c r="H4619" s="76">
        <v>0.115</v>
      </c>
      <c r="I4619" s="76">
        <v>0.13700000000000001</v>
      </c>
      <c r="J4619" s="76">
        <v>0.16</v>
      </c>
      <c r="K4619" s="76">
        <v>0.182</v>
      </c>
      <c r="L4619" s="76">
        <v>0.20399999999999999</v>
      </c>
      <c r="M4619" s="76">
        <v>0.22700000000000001</v>
      </c>
    </row>
    <row r="4620" spans="3:13" x14ac:dyDescent="0.15">
      <c r="C4620" s="76">
        <v>472</v>
      </c>
      <c r="D4620" s="76">
        <v>2.1000000000000001E-2</v>
      </c>
      <c r="E4620" s="76">
        <v>4.2999999999999997E-2</v>
      </c>
      <c r="F4620" s="76">
        <v>6.4600000000000005E-2</v>
      </c>
      <c r="G4620" s="76">
        <v>8.6199999999999999E-2</v>
      </c>
      <c r="H4620" s="76">
        <v>0.107</v>
      </c>
      <c r="I4620" s="76">
        <v>0.129</v>
      </c>
      <c r="J4620" s="76">
        <v>0.15</v>
      </c>
      <c r="K4620" s="76">
        <v>0.17100000000000001</v>
      </c>
      <c r="L4620" s="76">
        <v>0.192</v>
      </c>
      <c r="M4620" s="76">
        <v>0.21299999999999999</v>
      </c>
    </row>
    <row r="4621" spans="3:13" x14ac:dyDescent="0.15">
      <c r="C4621" s="76">
        <v>474</v>
      </c>
      <c r="D4621" s="76">
        <v>1.9800000000000002E-2</v>
      </c>
      <c r="E4621" s="76">
        <v>4.0599999999999997E-2</v>
      </c>
      <c r="F4621" s="76">
        <v>6.0900000000000003E-2</v>
      </c>
      <c r="G4621" s="76">
        <v>8.14E-2</v>
      </c>
      <c r="H4621" s="76">
        <v>0.10100000000000001</v>
      </c>
      <c r="I4621" s="76">
        <v>0.121</v>
      </c>
      <c r="J4621" s="76">
        <v>0.14099999999999999</v>
      </c>
      <c r="K4621" s="76">
        <v>0.161</v>
      </c>
      <c r="L4621" s="76">
        <v>0.18099999999999999</v>
      </c>
      <c r="M4621" s="76">
        <v>0.20100000000000001</v>
      </c>
    </row>
    <row r="4622" spans="3:13" x14ac:dyDescent="0.15">
      <c r="C4622" s="76">
        <v>476</v>
      </c>
      <c r="D4622" s="76">
        <v>1.8700000000000001E-2</v>
      </c>
      <c r="E4622" s="76">
        <v>3.8199999999999998E-2</v>
      </c>
      <c r="F4622" s="76">
        <v>5.7299999999999997E-2</v>
      </c>
      <c r="G4622" s="76">
        <v>7.6499999999999999E-2</v>
      </c>
      <c r="H4622" s="76">
        <v>9.5399999999999999E-2</v>
      </c>
      <c r="I4622" s="76">
        <v>0.114</v>
      </c>
      <c r="J4622" s="76">
        <v>0.13300000000000001</v>
      </c>
      <c r="K4622" s="76">
        <v>0.152</v>
      </c>
      <c r="L4622" s="76">
        <v>0.17</v>
      </c>
      <c r="M4622" s="76">
        <v>0.189</v>
      </c>
    </row>
    <row r="4623" spans="3:13" x14ac:dyDescent="0.15">
      <c r="C4623" s="76">
        <v>478</v>
      </c>
      <c r="D4623" s="76">
        <v>1.7899999999999999E-2</v>
      </c>
      <c r="E4623" s="76">
        <v>3.6499999999999998E-2</v>
      </c>
      <c r="F4623" s="76">
        <v>5.4899999999999997E-2</v>
      </c>
      <c r="G4623" s="76">
        <v>7.3099999999999998E-2</v>
      </c>
      <c r="H4623" s="76">
        <v>9.1200000000000003E-2</v>
      </c>
      <c r="I4623" s="76">
        <v>0.109</v>
      </c>
      <c r="J4623" s="76">
        <v>0.127</v>
      </c>
      <c r="K4623" s="76">
        <v>0.14499999999999999</v>
      </c>
      <c r="L4623" s="76">
        <v>0.16300000000000001</v>
      </c>
      <c r="M4623" s="76">
        <v>0.18</v>
      </c>
    </row>
    <row r="4624" spans="3:13" x14ac:dyDescent="0.15">
      <c r="C4624" s="76">
        <v>480</v>
      </c>
      <c r="D4624" s="76">
        <v>1.72E-2</v>
      </c>
      <c r="E4624" s="76">
        <v>3.5099999999999999E-2</v>
      </c>
      <c r="F4624" s="76">
        <v>5.2699999999999997E-2</v>
      </c>
      <c r="G4624" s="76">
        <v>7.0300000000000001E-2</v>
      </c>
      <c r="H4624" s="76">
        <v>8.77E-2</v>
      </c>
      <c r="I4624" s="76">
        <v>0.105</v>
      </c>
      <c r="J4624" s="76">
        <v>0.123</v>
      </c>
      <c r="K4624" s="76">
        <v>0.13900000000000001</v>
      </c>
      <c r="L4624" s="76">
        <v>0.157</v>
      </c>
      <c r="M4624" s="76">
        <v>0.17399999999999999</v>
      </c>
    </row>
    <row r="4625" spans="3:13" x14ac:dyDescent="0.15">
      <c r="C4625" s="76">
        <v>482</v>
      </c>
      <c r="D4625" s="76">
        <v>1.66E-2</v>
      </c>
      <c r="E4625" s="76">
        <v>3.39E-2</v>
      </c>
      <c r="F4625" s="76">
        <v>5.0900000000000001E-2</v>
      </c>
      <c r="G4625" s="76">
        <v>6.7799999999999999E-2</v>
      </c>
      <c r="H4625" s="76">
        <v>8.4599999999999995E-2</v>
      </c>
      <c r="I4625" s="76">
        <v>0.10100000000000001</v>
      </c>
      <c r="J4625" s="76">
        <v>0.11799999999999999</v>
      </c>
      <c r="K4625" s="76">
        <v>0.13500000000000001</v>
      </c>
      <c r="L4625" s="76">
        <v>0.151</v>
      </c>
      <c r="M4625" s="76">
        <v>0.16700000000000001</v>
      </c>
    </row>
    <row r="4626" spans="3:13" x14ac:dyDescent="0.15">
      <c r="C4626" s="76">
        <v>484</v>
      </c>
      <c r="D4626" s="76">
        <v>1.5900000000000001E-2</v>
      </c>
      <c r="E4626" s="76">
        <v>3.2599999999999997E-2</v>
      </c>
      <c r="F4626" s="76">
        <v>4.9000000000000002E-2</v>
      </c>
      <c r="G4626" s="76">
        <v>6.5299999999999997E-2</v>
      </c>
      <c r="H4626" s="76">
        <v>8.14E-2</v>
      </c>
      <c r="I4626" s="76">
        <v>9.7500000000000003E-2</v>
      </c>
      <c r="J4626" s="76">
        <v>0.114</v>
      </c>
      <c r="K4626" s="76">
        <v>0.13</v>
      </c>
      <c r="L4626" s="76">
        <v>0.14499999999999999</v>
      </c>
      <c r="M4626" s="76">
        <v>0.161</v>
      </c>
    </row>
    <row r="4627" spans="3:13" x14ac:dyDescent="0.15">
      <c r="C4627" s="76">
        <v>486</v>
      </c>
      <c r="D4627" s="76">
        <v>1.5299999999999999E-2</v>
      </c>
      <c r="E4627" s="76">
        <v>3.1300000000000001E-2</v>
      </c>
      <c r="F4627" s="76">
        <v>4.7100000000000003E-2</v>
      </c>
      <c r="G4627" s="76">
        <v>6.2700000000000006E-2</v>
      </c>
      <c r="H4627" s="76">
        <v>7.8200000000000006E-2</v>
      </c>
      <c r="I4627" s="76">
        <v>9.3600000000000003E-2</v>
      </c>
      <c r="J4627" s="76">
        <v>0.109</v>
      </c>
      <c r="K4627" s="76">
        <v>0.124</v>
      </c>
      <c r="L4627" s="76">
        <v>0.14000000000000001</v>
      </c>
      <c r="M4627" s="76">
        <v>0.155</v>
      </c>
    </row>
    <row r="4628" spans="3:13" x14ac:dyDescent="0.15">
      <c r="C4628" s="76">
        <v>488</v>
      </c>
      <c r="D4628" s="76">
        <v>1.4500000000000001E-2</v>
      </c>
      <c r="E4628" s="76">
        <v>2.9600000000000001E-2</v>
      </c>
      <c r="F4628" s="76">
        <v>4.4499999999999998E-2</v>
      </c>
      <c r="G4628" s="76">
        <v>5.9299999999999999E-2</v>
      </c>
      <c r="H4628" s="76">
        <v>7.3999999999999996E-2</v>
      </c>
      <c r="I4628" s="76">
        <v>8.8499999999999995E-2</v>
      </c>
      <c r="J4628" s="76">
        <v>0.10299999999999999</v>
      </c>
      <c r="K4628" s="76">
        <v>0.11700000000000001</v>
      </c>
      <c r="L4628" s="76">
        <v>0.13200000000000001</v>
      </c>
      <c r="M4628" s="76">
        <v>0.14599999999999999</v>
      </c>
    </row>
    <row r="4629" spans="3:13" x14ac:dyDescent="0.15">
      <c r="C4629" s="76">
        <v>490</v>
      </c>
      <c r="D4629" s="76">
        <v>1.37E-2</v>
      </c>
      <c r="E4629" s="76">
        <v>2.8000000000000001E-2</v>
      </c>
      <c r="F4629" s="76">
        <v>4.2099999999999999E-2</v>
      </c>
      <c r="G4629" s="76">
        <v>5.6000000000000001E-2</v>
      </c>
      <c r="H4629" s="76">
        <v>6.9800000000000001E-2</v>
      </c>
      <c r="I4629" s="76">
        <v>8.3599999999999994E-2</v>
      </c>
      <c r="J4629" s="76">
        <v>9.7500000000000003E-2</v>
      </c>
      <c r="K4629" s="76">
        <v>0.111</v>
      </c>
      <c r="L4629" s="76">
        <v>0.125</v>
      </c>
      <c r="M4629" s="76">
        <v>0.13800000000000001</v>
      </c>
    </row>
    <row r="4630" spans="3:13" x14ac:dyDescent="0.15">
      <c r="C4630" s="76">
        <v>492</v>
      </c>
      <c r="D4630" s="76">
        <v>1.2800000000000001E-2</v>
      </c>
      <c r="E4630" s="76">
        <v>2.6200000000000001E-2</v>
      </c>
      <c r="F4630" s="76">
        <v>3.9399999999999998E-2</v>
      </c>
      <c r="G4630" s="76">
        <v>5.2499999999999998E-2</v>
      </c>
      <c r="H4630" s="76">
        <v>6.5500000000000003E-2</v>
      </c>
      <c r="I4630" s="76">
        <v>7.8399999999999997E-2</v>
      </c>
      <c r="J4630" s="76">
        <v>9.1399999999999995E-2</v>
      </c>
      <c r="K4630" s="76">
        <v>0.104</v>
      </c>
      <c r="L4630" s="76">
        <v>0.11700000000000001</v>
      </c>
      <c r="M4630" s="76">
        <v>0.129</v>
      </c>
    </row>
    <row r="4631" spans="3:13" x14ac:dyDescent="0.15">
      <c r="C4631" s="76">
        <v>494</v>
      </c>
      <c r="D4631" s="76">
        <v>1.1900000000000001E-2</v>
      </c>
      <c r="E4631" s="76">
        <v>2.4400000000000002E-2</v>
      </c>
      <c r="F4631" s="76">
        <v>3.6700000000000003E-2</v>
      </c>
      <c r="G4631" s="76">
        <v>4.8800000000000003E-2</v>
      </c>
      <c r="H4631" s="76">
        <v>6.0900000000000003E-2</v>
      </c>
      <c r="I4631" s="76">
        <v>7.2800000000000004E-2</v>
      </c>
      <c r="J4631" s="76">
        <v>8.5099999999999995E-2</v>
      </c>
      <c r="K4631" s="76">
        <v>9.6699999999999994E-2</v>
      </c>
      <c r="L4631" s="76">
        <v>0.109</v>
      </c>
      <c r="M4631" s="76">
        <v>0.12</v>
      </c>
    </row>
    <row r="4632" spans="3:13" x14ac:dyDescent="0.15">
      <c r="C4632" s="76">
        <v>496</v>
      </c>
      <c r="D4632" s="76">
        <v>1.11E-2</v>
      </c>
      <c r="E4632" s="76">
        <v>2.2599999999999999E-2</v>
      </c>
      <c r="F4632" s="76">
        <v>3.4000000000000002E-2</v>
      </c>
      <c r="G4632" s="76">
        <v>4.5199999999999997E-2</v>
      </c>
      <c r="H4632" s="76">
        <v>5.6399999999999999E-2</v>
      </c>
      <c r="I4632" s="76">
        <v>6.7500000000000004E-2</v>
      </c>
      <c r="J4632" s="76">
        <v>7.8799999999999995E-2</v>
      </c>
      <c r="K4632" s="76">
        <v>8.9599999999999999E-2</v>
      </c>
      <c r="L4632" s="76">
        <v>0.10100000000000001</v>
      </c>
      <c r="M4632" s="76">
        <v>0.111</v>
      </c>
    </row>
    <row r="4633" spans="3:13" x14ac:dyDescent="0.15">
      <c r="C4633" s="76">
        <v>498</v>
      </c>
      <c r="D4633" s="76">
        <v>1.0200000000000001E-2</v>
      </c>
      <c r="E4633" s="76">
        <v>2.07E-2</v>
      </c>
      <c r="F4633" s="76">
        <v>3.1199999999999999E-2</v>
      </c>
      <c r="G4633" s="76">
        <v>4.1500000000000002E-2</v>
      </c>
      <c r="H4633" s="76">
        <v>5.1799999999999999E-2</v>
      </c>
      <c r="I4633" s="76">
        <v>6.1899999999999997E-2</v>
      </c>
      <c r="J4633" s="76">
        <v>7.2300000000000003E-2</v>
      </c>
      <c r="K4633" s="76">
        <v>8.2199999999999995E-2</v>
      </c>
      <c r="L4633" s="76">
        <v>9.2399999999999996E-2</v>
      </c>
      <c r="M4633" s="76">
        <v>0.10199999999999999</v>
      </c>
    </row>
    <row r="4634" spans="3:13" x14ac:dyDescent="0.15">
      <c r="C4634" s="76">
        <v>500</v>
      </c>
      <c r="D4634" s="76">
        <v>9.2099999999999994E-3</v>
      </c>
      <c r="E4634" s="76">
        <v>1.8800000000000001E-2</v>
      </c>
      <c r="F4634" s="76">
        <v>2.8299999999999999E-2</v>
      </c>
      <c r="G4634" s="76">
        <v>3.7600000000000001E-2</v>
      </c>
      <c r="H4634" s="76">
        <v>4.6899999999999997E-2</v>
      </c>
      <c r="I4634" s="76">
        <v>5.62E-2</v>
      </c>
      <c r="J4634" s="76">
        <v>6.5500000000000003E-2</v>
      </c>
      <c r="K4634" s="76">
        <v>7.4499999999999997E-2</v>
      </c>
      <c r="L4634" s="76">
        <v>8.3699999999999997E-2</v>
      </c>
      <c r="M4634" s="76">
        <v>9.2700000000000005E-2</v>
      </c>
    </row>
    <row r="4635" spans="3:13" x14ac:dyDescent="0.15">
      <c r="C4635" s="76">
        <v>502</v>
      </c>
      <c r="D4635" s="76">
        <v>8.3199999999999993E-3</v>
      </c>
      <c r="E4635" s="76">
        <v>1.7000000000000001E-2</v>
      </c>
      <c r="F4635" s="76">
        <v>2.5600000000000001E-2</v>
      </c>
      <c r="G4635" s="76">
        <v>3.4000000000000002E-2</v>
      </c>
      <c r="H4635" s="76">
        <v>4.2500000000000003E-2</v>
      </c>
      <c r="I4635" s="76">
        <v>5.0799999999999998E-2</v>
      </c>
      <c r="J4635" s="76">
        <v>5.9200000000000003E-2</v>
      </c>
      <c r="K4635" s="76">
        <v>6.7400000000000002E-2</v>
      </c>
      <c r="L4635" s="76">
        <v>7.5600000000000001E-2</v>
      </c>
      <c r="M4635" s="76">
        <v>8.3699999999999997E-2</v>
      </c>
    </row>
    <row r="4636" spans="3:13" x14ac:dyDescent="0.15">
      <c r="C4636" s="76">
        <v>504</v>
      </c>
      <c r="D4636" s="76">
        <v>7.5300000000000002E-3</v>
      </c>
      <c r="E4636" s="76">
        <v>1.54E-2</v>
      </c>
      <c r="F4636" s="76">
        <v>2.3199999999999998E-2</v>
      </c>
      <c r="G4636" s="76">
        <v>3.0800000000000001E-2</v>
      </c>
      <c r="H4636" s="76">
        <v>3.8399999999999997E-2</v>
      </c>
      <c r="I4636" s="76">
        <v>4.5999999999999999E-2</v>
      </c>
      <c r="J4636" s="76">
        <v>5.3600000000000002E-2</v>
      </c>
      <c r="K4636" s="76">
        <v>6.0999999999999999E-2</v>
      </c>
      <c r="L4636" s="76">
        <v>6.8500000000000005E-2</v>
      </c>
      <c r="M4636" s="76">
        <v>7.5800000000000006E-2</v>
      </c>
    </row>
    <row r="4637" spans="3:13" x14ac:dyDescent="0.15">
      <c r="C4637" s="76">
        <v>506</v>
      </c>
      <c r="D4637" s="76">
        <v>6.8300000000000001E-3</v>
      </c>
      <c r="E4637" s="76">
        <v>1.3899999999999999E-2</v>
      </c>
      <c r="F4637" s="76">
        <v>2.1000000000000001E-2</v>
      </c>
      <c r="G4637" s="76">
        <v>2.7900000000000001E-2</v>
      </c>
      <c r="H4637" s="76">
        <v>3.4799999999999998E-2</v>
      </c>
      <c r="I4637" s="76">
        <v>4.1599999999999998E-2</v>
      </c>
      <c r="J4637" s="76">
        <v>4.8500000000000001E-2</v>
      </c>
      <c r="K4637" s="76">
        <v>5.5199999999999999E-2</v>
      </c>
      <c r="L4637" s="76">
        <v>6.2E-2</v>
      </c>
      <c r="M4637" s="76">
        <v>6.8599999999999994E-2</v>
      </c>
    </row>
    <row r="4638" spans="3:13" x14ac:dyDescent="0.15">
      <c r="C4638" s="76">
        <v>508</v>
      </c>
      <c r="D4638" s="76">
        <v>6.1900000000000002E-3</v>
      </c>
      <c r="E4638" s="76">
        <v>1.26E-2</v>
      </c>
      <c r="F4638" s="76">
        <v>1.9E-2</v>
      </c>
      <c r="G4638" s="76">
        <v>2.52E-2</v>
      </c>
      <c r="H4638" s="76">
        <v>3.15E-2</v>
      </c>
      <c r="I4638" s="76">
        <v>3.7699999999999997E-2</v>
      </c>
      <c r="J4638" s="76">
        <v>4.3900000000000002E-2</v>
      </c>
      <c r="K4638" s="76">
        <v>4.99E-2</v>
      </c>
      <c r="L4638" s="76">
        <v>5.62E-2</v>
      </c>
      <c r="M4638" s="76">
        <v>6.2100000000000002E-2</v>
      </c>
    </row>
    <row r="4639" spans="3:13" x14ac:dyDescent="0.15">
      <c r="C4639" s="76">
        <v>510</v>
      </c>
      <c r="D4639" s="76">
        <v>5.6100000000000004E-3</v>
      </c>
      <c r="E4639" s="76">
        <v>1.14E-2</v>
      </c>
      <c r="F4639" s="76">
        <v>1.72E-2</v>
      </c>
      <c r="G4639" s="76">
        <v>2.29E-2</v>
      </c>
      <c r="H4639" s="76">
        <v>2.86E-2</v>
      </c>
      <c r="I4639" s="76">
        <v>3.4200000000000001E-2</v>
      </c>
      <c r="J4639" s="76">
        <v>3.9800000000000002E-2</v>
      </c>
      <c r="K4639" s="76">
        <v>4.53E-2</v>
      </c>
      <c r="L4639" s="76">
        <v>5.0999999999999997E-2</v>
      </c>
      <c r="M4639" s="76">
        <v>5.6500000000000002E-2</v>
      </c>
    </row>
    <row r="4640" spans="3:13" x14ac:dyDescent="0.15">
      <c r="C4640" s="76">
        <v>512</v>
      </c>
      <c r="D4640" s="76">
        <v>5.0600000000000003E-3</v>
      </c>
      <c r="E4640" s="76">
        <v>1.03E-2</v>
      </c>
      <c r="F4640" s="76">
        <v>1.55E-2</v>
      </c>
      <c r="G4640" s="76">
        <v>2.06E-2</v>
      </c>
      <c r="H4640" s="76">
        <v>2.58E-2</v>
      </c>
      <c r="I4640" s="76">
        <v>3.09E-2</v>
      </c>
      <c r="J4640" s="76">
        <v>3.5900000000000001E-2</v>
      </c>
      <c r="K4640" s="76">
        <v>4.0800000000000003E-2</v>
      </c>
      <c r="L4640" s="76">
        <v>4.5999999999999999E-2</v>
      </c>
      <c r="M4640" s="76">
        <v>5.0799999999999998E-2</v>
      </c>
    </row>
    <row r="4641" spans="3:13" x14ac:dyDescent="0.15">
      <c r="C4641" s="76">
        <v>514</v>
      </c>
      <c r="D4641" s="76">
        <v>4.62E-3</v>
      </c>
      <c r="E4641" s="76">
        <v>9.3799999999999994E-3</v>
      </c>
      <c r="F4641" s="76">
        <v>1.4200000000000001E-2</v>
      </c>
      <c r="G4641" s="76">
        <v>1.8800000000000001E-2</v>
      </c>
      <c r="H4641" s="76">
        <v>2.35E-2</v>
      </c>
      <c r="I4641" s="76">
        <v>2.81E-2</v>
      </c>
      <c r="J4641" s="76">
        <v>3.27E-2</v>
      </c>
      <c r="K4641" s="76">
        <v>3.7400000000000003E-2</v>
      </c>
      <c r="L4641" s="76">
        <v>4.19E-2</v>
      </c>
      <c r="M4641" s="76">
        <v>4.65E-2</v>
      </c>
    </row>
    <row r="4642" spans="3:13" x14ac:dyDescent="0.15">
      <c r="C4642" s="76">
        <v>516</v>
      </c>
      <c r="D4642" s="76">
        <v>4.2500000000000003E-3</v>
      </c>
      <c r="E4642" s="76">
        <v>8.6199999999999992E-3</v>
      </c>
      <c r="F4642" s="76">
        <v>1.2999999999999999E-2</v>
      </c>
      <c r="G4642" s="76">
        <v>1.7299999999999999E-2</v>
      </c>
      <c r="H4642" s="76">
        <v>2.1600000000000001E-2</v>
      </c>
      <c r="I4642" s="76">
        <v>2.5899999999999999E-2</v>
      </c>
      <c r="J4642" s="76">
        <v>3.0099999999999998E-2</v>
      </c>
      <c r="K4642" s="76">
        <v>3.44E-2</v>
      </c>
      <c r="L4642" s="76">
        <v>3.8600000000000002E-2</v>
      </c>
      <c r="M4642" s="76">
        <v>4.2700000000000002E-2</v>
      </c>
    </row>
    <row r="4643" spans="3:13" x14ac:dyDescent="0.15">
      <c r="C4643" s="76">
        <v>518</v>
      </c>
      <c r="D4643" s="76">
        <v>3.9199999999999999E-3</v>
      </c>
      <c r="E4643" s="76">
        <v>7.9600000000000001E-3</v>
      </c>
      <c r="F4643" s="76">
        <v>1.2E-2</v>
      </c>
      <c r="G4643" s="76">
        <v>1.6E-2</v>
      </c>
      <c r="H4643" s="76">
        <v>0.02</v>
      </c>
      <c r="I4643" s="76">
        <v>2.3900000000000001E-2</v>
      </c>
      <c r="J4643" s="76">
        <v>2.7699999999999999E-2</v>
      </c>
      <c r="K4643" s="76">
        <v>3.1699999999999999E-2</v>
      </c>
      <c r="L4643" s="76">
        <v>3.56E-2</v>
      </c>
      <c r="M4643" s="76">
        <v>3.9399999999999998E-2</v>
      </c>
    </row>
    <row r="4644" spans="3:13" x14ac:dyDescent="0.15">
      <c r="C4644" s="76">
        <v>520</v>
      </c>
      <c r="D4644" s="76">
        <v>3.64E-3</v>
      </c>
      <c r="E4644" s="76">
        <v>7.3800000000000003E-3</v>
      </c>
      <c r="F4644" s="76">
        <v>1.11E-2</v>
      </c>
      <c r="G4644" s="76">
        <v>1.4800000000000001E-2</v>
      </c>
      <c r="H4644" s="76">
        <v>1.8499999999999999E-2</v>
      </c>
      <c r="I4644" s="76">
        <v>2.2100000000000002E-2</v>
      </c>
      <c r="J4644" s="76">
        <v>2.5700000000000001E-2</v>
      </c>
      <c r="K4644" s="76">
        <v>2.9399999999999999E-2</v>
      </c>
      <c r="L4644" s="76">
        <v>3.2899999999999999E-2</v>
      </c>
      <c r="M4644" s="76">
        <v>3.6400000000000002E-2</v>
      </c>
    </row>
    <row r="4645" spans="3:13" x14ac:dyDescent="0.15">
      <c r="C4645" s="76">
        <v>522</v>
      </c>
      <c r="D4645" s="76">
        <v>3.3600000000000001E-3</v>
      </c>
      <c r="E4645" s="76">
        <v>6.8100000000000001E-3</v>
      </c>
      <c r="F4645" s="76">
        <v>1.03E-2</v>
      </c>
      <c r="G4645" s="76">
        <v>1.37E-2</v>
      </c>
      <c r="H4645" s="76">
        <v>1.7100000000000001E-2</v>
      </c>
      <c r="I4645" s="76">
        <v>2.0500000000000001E-2</v>
      </c>
      <c r="J4645" s="76">
        <v>2.3800000000000002E-2</v>
      </c>
      <c r="K4645" s="76">
        <v>2.7199999999999998E-2</v>
      </c>
      <c r="L4645" s="76">
        <v>3.0499999999999999E-2</v>
      </c>
      <c r="M4645" s="76">
        <v>3.3599999999999998E-2</v>
      </c>
    </row>
    <row r="4646" spans="3:13" x14ac:dyDescent="0.15">
      <c r="C4646" s="76">
        <v>524</v>
      </c>
      <c r="D4646" s="76">
        <v>3.0899999999999999E-3</v>
      </c>
      <c r="E4646" s="76">
        <v>6.2700000000000004E-3</v>
      </c>
      <c r="F4646" s="76">
        <v>9.4000000000000004E-3</v>
      </c>
      <c r="G4646" s="76">
        <v>1.2500000000000001E-2</v>
      </c>
      <c r="H4646" s="76">
        <v>1.5699999999999999E-2</v>
      </c>
      <c r="I4646" s="76">
        <v>1.8800000000000001E-2</v>
      </c>
      <c r="J4646" s="76">
        <v>2.1700000000000001E-2</v>
      </c>
      <c r="K4646" s="76">
        <v>2.4899999999999999E-2</v>
      </c>
      <c r="L4646" s="76">
        <v>2.7900000000000001E-2</v>
      </c>
      <c r="M4646" s="76">
        <v>3.09E-2</v>
      </c>
    </row>
    <row r="4647" spans="3:13" x14ac:dyDescent="0.15">
      <c r="C4647" s="76">
        <v>526</v>
      </c>
      <c r="D4647" s="76">
        <v>2.8500000000000001E-3</v>
      </c>
      <c r="E4647" s="76">
        <v>5.79E-3</v>
      </c>
      <c r="F4647" s="76">
        <v>8.6700000000000006E-3</v>
      </c>
      <c r="G4647" s="76">
        <v>1.1599999999999999E-2</v>
      </c>
      <c r="H4647" s="76">
        <v>1.4500000000000001E-2</v>
      </c>
      <c r="I4647" s="76">
        <v>1.7399999999999999E-2</v>
      </c>
      <c r="J4647" s="76">
        <v>2.01E-2</v>
      </c>
      <c r="K4647" s="76">
        <v>2.3E-2</v>
      </c>
      <c r="L4647" s="76">
        <v>2.5700000000000001E-2</v>
      </c>
      <c r="M4647" s="76">
        <v>2.8500000000000001E-2</v>
      </c>
    </row>
    <row r="4648" spans="3:13" x14ac:dyDescent="0.15">
      <c r="C4648" s="76">
        <v>528</v>
      </c>
      <c r="D4648" s="76">
        <v>2.63E-3</v>
      </c>
      <c r="E4648" s="76">
        <v>5.3499999999999997E-3</v>
      </c>
      <c r="F4648" s="76">
        <v>8.0199999999999994E-3</v>
      </c>
      <c r="G4648" s="76">
        <v>1.0699999999999999E-2</v>
      </c>
      <c r="H4648" s="76">
        <v>1.34E-2</v>
      </c>
      <c r="I4648" s="76">
        <v>1.61E-2</v>
      </c>
      <c r="J4648" s="76">
        <v>1.8599999999999998E-2</v>
      </c>
      <c r="K4648" s="76">
        <v>2.1299999999999999E-2</v>
      </c>
      <c r="L4648" s="76">
        <v>2.3800000000000002E-2</v>
      </c>
      <c r="M4648" s="76">
        <v>2.64E-2</v>
      </c>
    </row>
    <row r="4649" spans="3:13" x14ac:dyDescent="0.15">
      <c r="C4649" s="76">
        <v>530</v>
      </c>
      <c r="D4649" s="76">
        <v>2.4199999999999998E-3</v>
      </c>
      <c r="E4649" s="76">
        <v>4.9199999999999999E-3</v>
      </c>
      <c r="F4649" s="76">
        <v>7.3699999999999998E-3</v>
      </c>
      <c r="G4649" s="76">
        <v>9.8099999999999993E-3</v>
      </c>
      <c r="H4649" s="76">
        <v>1.23E-2</v>
      </c>
      <c r="I4649" s="76">
        <v>1.4800000000000001E-2</v>
      </c>
      <c r="J4649" s="76">
        <v>1.7000000000000001E-2</v>
      </c>
      <c r="K4649" s="76">
        <v>1.9599999999999999E-2</v>
      </c>
      <c r="L4649" s="76">
        <v>2.1899999999999999E-2</v>
      </c>
      <c r="M4649" s="76">
        <v>2.4199999999999999E-2</v>
      </c>
    </row>
    <row r="4650" spans="3:13" x14ac:dyDescent="0.15">
      <c r="C4650" s="76">
        <v>532</v>
      </c>
      <c r="D4650" s="76">
        <v>2.2100000000000002E-3</v>
      </c>
      <c r="E4650" s="76">
        <v>4.5100000000000001E-3</v>
      </c>
      <c r="F4650" s="76">
        <v>6.7400000000000003E-3</v>
      </c>
      <c r="G4650" s="76">
        <v>8.9899999999999997E-3</v>
      </c>
      <c r="H4650" s="76">
        <v>1.1299999999999999E-2</v>
      </c>
      <c r="I4650" s="76">
        <v>1.3599999999999999E-2</v>
      </c>
      <c r="J4650" s="76">
        <v>1.5599999999999999E-2</v>
      </c>
      <c r="K4650" s="76">
        <v>1.7899999999999999E-2</v>
      </c>
      <c r="L4650" s="76">
        <v>2.01E-2</v>
      </c>
      <c r="M4650" s="76">
        <v>2.23E-2</v>
      </c>
    </row>
    <row r="4651" spans="3:13" x14ac:dyDescent="0.15">
      <c r="C4651" s="76">
        <v>534</v>
      </c>
      <c r="D4651" s="76">
        <v>2.0200000000000001E-3</v>
      </c>
      <c r="E4651" s="76">
        <v>4.13E-3</v>
      </c>
      <c r="F4651" s="76">
        <v>6.1399999999999996E-3</v>
      </c>
      <c r="G4651" s="76">
        <v>8.2100000000000003E-3</v>
      </c>
      <c r="H4651" s="76">
        <v>1.03E-2</v>
      </c>
      <c r="I4651" s="76">
        <v>1.24E-2</v>
      </c>
      <c r="J4651" s="76">
        <v>1.43E-2</v>
      </c>
      <c r="K4651" s="76">
        <v>1.6400000000000001E-2</v>
      </c>
      <c r="L4651" s="76">
        <v>1.83E-2</v>
      </c>
      <c r="M4651" s="76">
        <v>2.0400000000000001E-2</v>
      </c>
    </row>
    <row r="4652" spans="3:13" x14ac:dyDescent="0.15">
      <c r="C4652" s="76">
        <v>536</v>
      </c>
      <c r="D4652" s="76">
        <v>1.83E-3</v>
      </c>
      <c r="E4652" s="76">
        <v>3.7100000000000002E-3</v>
      </c>
      <c r="F4652" s="76">
        <v>5.5199999999999997E-3</v>
      </c>
      <c r="G4652" s="76">
        <v>7.4000000000000003E-3</v>
      </c>
      <c r="H4652" s="76">
        <v>9.2399999999999999E-3</v>
      </c>
      <c r="I4652" s="76">
        <v>1.11E-2</v>
      </c>
      <c r="J4652" s="76">
        <v>1.2800000000000001E-2</v>
      </c>
      <c r="K4652" s="76">
        <v>1.47E-2</v>
      </c>
      <c r="L4652" s="76">
        <v>1.6500000000000001E-2</v>
      </c>
      <c r="M4652" s="76">
        <v>1.83E-2</v>
      </c>
    </row>
    <row r="4653" spans="3:13" x14ac:dyDescent="0.15">
      <c r="C4653" s="76">
        <v>538</v>
      </c>
      <c r="D4653" s="76">
        <v>1.66E-3</v>
      </c>
      <c r="E4653" s="76">
        <v>3.3899999999999998E-3</v>
      </c>
      <c r="F4653" s="76">
        <v>5.0400000000000002E-3</v>
      </c>
      <c r="G4653" s="76">
        <v>6.7499999999999999E-3</v>
      </c>
      <c r="H4653" s="76">
        <v>8.4100000000000008E-3</v>
      </c>
      <c r="I4653" s="76">
        <v>1.01E-2</v>
      </c>
      <c r="J4653" s="76">
        <v>1.17E-2</v>
      </c>
      <c r="K4653" s="76">
        <v>1.34E-2</v>
      </c>
      <c r="L4653" s="76">
        <v>1.4999999999999999E-2</v>
      </c>
      <c r="M4653" s="76">
        <v>1.67E-2</v>
      </c>
    </row>
    <row r="4654" spans="3:13" x14ac:dyDescent="0.15">
      <c r="C4654" s="76">
        <v>540</v>
      </c>
      <c r="D4654" s="76">
        <v>1.5E-3</v>
      </c>
      <c r="E4654" s="76">
        <v>3.0799999999999998E-3</v>
      </c>
      <c r="F4654" s="76">
        <v>4.5700000000000003E-3</v>
      </c>
      <c r="G4654" s="76">
        <v>6.0899999999999999E-3</v>
      </c>
      <c r="H4654" s="76">
        <v>7.62E-3</v>
      </c>
      <c r="I4654" s="76">
        <v>9.1999999999999998E-3</v>
      </c>
      <c r="J4654" s="76">
        <v>1.06E-2</v>
      </c>
      <c r="K4654" s="76">
        <v>1.21E-2</v>
      </c>
      <c r="L4654" s="76">
        <v>1.3599999999999999E-2</v>
      </c>
      <c r="M4654" s="76">
        <v>1.5100000000000001E-2</v>
      </c>
    </row>
    <row r="4655" spans="3:13" x14ac:dyDescent="0.15">
      <c r="C4655" s="76">
        <v>542</v>
      </c>
      <c r="D4655" s="76">
        <v>1.3699999999999999E-3</v>
      </c>
      <c r="E4655" s="76">
        <v>2.81E-3</v>
      </c>
      <c r="F4655" s="76">
        <v>4.1700000000000001E-3</v>
      </c>
      <c r="G4655" s="76">
        <v>5.5599999999999998E-3</v>
      </c>
      <c r="H4655" s="76">
        <v>6.9300000000000004E-3</v>
      </c>
      <c r="I4655" s="76">
        <v>8.3800000000000003E-3</v>
      </c>
      <c r="J4655" s="76">
        <v>9.7000000000000003E-3</v>
      </c>
      <c r="K4655" s="76">
        <v>1.0999999999999999E-2</v>
      </c>
      <c r="L4655" s="76">
        <v>1.24E-2</v>
      </c>
      <c r="M4655" s="76">
        <v>1.38E-2</v>
      </c>
    </row>
    <row r="4656" spans="3:13" x14ac:dyDescent="0.15">
      <c r="C4656" s="76">
        <v>544</v>
      </c>
      <c r="D4656" s="76">
        <v>1.25E-3</v>
      </c>
      <c r="E4656" s="76">
        <v>2.5500000000000002E-3</v>
      </c>
      <c r="F4656" s="76">
        <v>3.8E-3</v>
      </c>
      <c r="G4656" s="76">
        <v>5.1000000000000004E-3</v>
      </c>
      <c r="H4656" s="76">
        <v>6.3800000000000003E-3</v>
      </c>
      <c r="I4656" s="76">
        <v>7.62E-3</v>
      </c>
      <c r="J4656" s="76">
        <v>8.8500000000000002E-3</v>
      </c>
      <c r="K4656" s="76">
        <v>0.01</v>
      </c>
      <c r="L4656" s="76">
        <v>1.1299999999999999E-2</v>
      </c>
      <c r="M4656" s="76">
        <v>1.26E-2</v>
      </c>
    </row>
    <row r="4657" spans="3:13" x14ac:dyDescent="0.15">
      <c r="C4657" s="76">
        <v>546</v>
      </c>
      <c r="D4657" s="76">
        <v>1.1299999999999999E-3</v>
      </c>
      <c r="E4657" s="76">
        <v>2.3E-3</v>
      </c>
      <c r="F4657" s="76">
        <v>3.4099999999999998E-3</v>
      </c>
      <c r="G4657" s="76">
        <v>4.5799999999999999E-3</v>
      </c>
      <c r="H4657" s="76">
        <v>5.7000000000000002E-3</v>
      </c>
      <c r="I4657" s="76">
        <v>6.8999999999999999E-3</v>
      </c>
      <c r="J4657" s="76">
        <v>7.9500000000000005E-3</v>
      </c>
      <c r="K4657" s="76">
        <v>9.0399999999999994E-3</v>
      </c>
      <c r="L4657" s="76">
        <v>1.03E-2</v>
      </c>
      <c r="M4657" s="76">
        <v>1.15E-2</v>
      </c>
    </row>
    <row r="4658" spans="3:13" x14ac:dyDescent="0.15">
      <c r="C4658" s="76">
        <v>548</v>
      </c>
      <c r="D4658" s="76">
        <v>1.0200000000000001E-3</v>
      </c>
      <c r="E4658" s="76">
        <v>2.0899999999999998E-3</v>
      </c>
      <c r="F4658" s="76">
        <v>3.0999999999999999E-3</v>
      </c>
      <c r="G4658" s="76">
        <v>4.1999999999999997E-3</v>
      </c>
      <c r="H4658" s="76">
        <v>5.2100000000000002E-3</v>
      </c>
      <c r="I4658" s="76">
        <v>6.2300000000000003E-3</v>
      </c>
      <c r="J4658" s="76">
        <v>7.28E-3</v>
      </c>
      <c r="K4658" s="76">
        <v>8.1799999999999998E-3</v>
      </c>
      <c r="L4658" s="76">
        <v>9.3200000000000002E-3</v>
      </c>
      <c r="M4658" s="76">
        <v>1.03E-2</v>
      </c>
    </row>
    <row r="4659" spans="3:13" x14ac:dyDescent="0.15">
      <c r="C4659" s="76">
        <v>550</v>
      </c>
      <c r="D4659" s="76">
        <v>9.3300000000000002E-4</v>
      </c>
      <c r="E4659" s="76">
        <v>1.91E-3</v>
      </c>
      <c r="F4659" s="76">
        <v>2.82E-3</v>
      </c>
      <c r="G4659" s="76">
        <v>3.8E-3</v>
      </c>
      <c r="H4659" s="76">
        <v>4.7499999999999999E-3</v>
      </c>
      <c r="I4659" s="76">
        <v>5.6299999999999996E-3</v>
      </c>
      <c r="J4659" s="76">
        <v>6.5599999999999999E-3</v>
      </c>
      <c r="K4659" s="76">
        <v>7.4799999999999997E-3</v>
      </c>
      <c r="L4659" s="76">
        <v>8.4600000000000005E-3</v>
      </c>
      <c r="M4659" s="76">
        <v>9.3900000000000008E-3</v>
      </c>
    </row>
    <row r="4660" spans="3:13" x14ac:dyDescent="0.15">
      <c r="C4660" s="76">
        <v>552</v>
      </c>
      <c r="D4660" s="76">
        <v>8.43E-4</v>
      </c>
      <c r="E4660" s="76">
        <v>1.75E-3</v>
      </c>
      <c r="F4660" s="76">
        <v>2.5999999999999999E-3</v>
      </c>
      <c r="G4660" s="76">
        <v>3.46E-3</v>
      </c>
      <c r="H4660" s="76">
        <v>4.3099999999999996E-3</v>
      </c>
      <c r="I4660" s="76">
        <v>5.1399999999999996E-3</v>
      </c>
      <c r="J4660" s="76">
        <v>6.0299999999999998E-3</v>
      </c>
      <c r="K4660" s="76">
        <v>6.8199999999999997E-3</v>
      </c>
      <c r="L4660" s="76">
        <v>7.7099999999999998E-3</v>
      </c>
      <c r="M4660" s="76">
        <v>8.5299999999999994E-3</v>
      </c>
    </row>
    <row r="4661" spans="3:13" x14ac:dyDescent="0.15">
      <c r="C4661" s="76">
        <v>554</v>
      </c>
      <c r="D4661" s="76">
        <v>7.6800000000000002E-4</v>
      </c>
      <c r="E4661" s="76">
        <v>1.6000000000000001E-3</v>
      </c>
      <c r="F4661" s="76">
        <v>2.3600000000000001E-3</v>
      </c>
      <c r="G4661" s="76">
        <v>3.1800000000000001E-3</v>
      </c>
      <c r="H4661" s="76">
        <v>3.9100000000000003E-3</v>
      </c>
      <c r="I4661" s="76">
        <v>4.6699999999999997E-3</v>
      </c>
      <c r="J4661" s="76">
        <v>5.5199999999999997E-3</v>
      </c>
      <c r="K4661" s="76">
        <v>6.1900000000000002E-3</v>
      </c>
      <c r="L4661" s="76">
        <v>7.0200000000000002E-3</v>
      </c>
      <c r="M4661" s="76">
        <v>7.7799999999999996E-3</v>
      </c>
    </row>
    <row r="4662" spans="3:13" x14ac:dyDescent="0.15">
      <c r="C4662" s="76">
        <v>556</v>
      </c>
      <c r="D4662" s="76">
        <v>7.0299999999999996E-4</v>
      </c>
      <c r="E4662" s="76">
        <v>1.47E-3</v>
      </c>
      <c r="F4662" s="76">
        <v>2.16E-3</v>
      </c>
      <c r="G4662" s="76">
        <v>2.8800000000000002E-3</v>
      </c>
      <c r="H4662" s="76">
        <v>3.5599999999999998E-3</v>
      </c>
      <c r="I4662" s="76">
        <v>4.2399999999999998E-3</v>
      </c>
      <c r="J4662" s="76">
        <v>5.0600000000000003E-3</v>
      </c>
      <c r="K4662" s="76">
        <v>5.6800000000000002E-3</v>
      </c>
      <c r="L4662" s="76">
        <v>6.4000000000000003E-3</v>
      </c>
      <c r="M4662" s="76">
        <v>7.1000000000000004E-3</v>
      </c>
    </row>
    <row r="4663" spans="3:13" x14ac:dyDescent="0.15">
      <c r="C4663" s="76">
        <v>558</v>
      </c>
      <c r="D4663" s="76">
        <v>6.3599999999999996E-4</v>
      </c>
      <c r="E4663" s="76">
        <v>1.32E-3</v>
      </c>
      <c r="F4663" s="76">
        <v>1.9400000000000001E-3</v>
      </c>
      <c r="G4663" s="76">
        <v>2.63E-3</v>
      </c>
      <c r="H4663" s="76">
        <v>3.2200000000000002E-3</v>
      </c>
      <c r="I4663" s="76">
        <v>3.8700000000000002E-3</v>
      </c>
      <c r="J4663" s="76">
        <v>4.5999999999999999E-3</v>
      </c>
      <c r="K4663" s="76">
        <v>5.13E-3</v>
      </c>
      <c r="L4663" s="76">
        <v>5.77E-3</v>
      </c>
      <c r="M4663" s="76">
        <v>6.43E-3</v>
      </c>
    </row>
    <row r="4664" spans="3:13" x14ac:dyDescent="0.15">
      <c r="C4664" s="76">
        <v>560</v>
      </c>
      <c r="D4664" s="76">
        <v>5.8500000000000002E-4</v>
      </c>
      <c r="E4664" s="76">
        <v>1.2099999999999999E-3</v>
      </c>
      <c r="F4664" s="76">
        <v>1.81E-3</v>
      </c>
      <c r="G4664" s="76">
        <v>2.4399999999999999E-3</v>
      </c>
      <c r="H4664" s="76">
        <v>2.9399999999999999E-3</v>
      </c>
      <c r="I4664" s="76">
        <v>3.5300000000000002E-3</v>
      </c>
      <c r="J4664" s="76">
        <v>4.2100000000000002E-3</v>
      </c>
      <c r="K4664" s="76">
        <v>4.6499999999999996E-3</v>
      </c>
      <c r="L4664" s="76">
        <v>5.3400000000000001E-3</v>
      </c>
      <c r="M4664" s="76">
        <v>5.8900000000000003E-3</v>
      </c>
    </row>
    <row r="4665" spans="3:13" x14ac:dyDescent="0.15">
      <c r="C4665" s="76">
        <v>562</v>
      </c>
      <c r="D4665" s="76">
        <v>5.3300000000000005E-4</v>
      </c>
      <c r="E4665" s="76">
        <v>1.1199999999999999E-3</v>
      </c>
      <c r="F4665" s="76">
        <v>1.66E-3</v>
      </c>
      <c r="G4665" s="76">
        <v>2.1700000000000001E-3</v>
      </c>
      <c r="H4665" s="76">
        <v>2.6900000000000001E-3</v>
      </c>
      <c r="I4665" s="76">
        <v>3.1900000000000001E-3</v>
      </c>
      <c r="J4665" s="76">
        <v>3.8500000000000001E-3</v>
      </c>
      <c r="K4665" s="76">
        <v>4.2700000000000004E-3</v>
      </c>
      <c r="L4665" s="76">
        <v>4.9199999999999999E-3</v>
      </c>
      <c r="M4665" s="76">
        <v>5.4200000000000003E-3</v>
      </c>
    </row>
    <row r="4666" spans="3:13" x14ac:dyDescent="0.15">
      <c r="C4666" s="76">
        <v>564</v>
      </c>
      <c r="D4666" s="76">
        <v>4.9200000000000003E-4</v>
      </c>
      <c r="E4666" s="76">
        <v>1.0399999999999999E-3</v>
      </c>
      <c r="F4666" s="76">
        <v>1.5200000000000001E-3</v>
      </c>
      <c r="G4666" s="76">
        <v>2.0100000000000001E-3</v>
      </c>
      <c r="H4666" s="76">
        <v>2.4499999999999999E-3</v>
      </c>
      <c r="I4666" s="76">
        <v>2.9399999999999999E-3</v>
      </c>
      <c r="J4666" s="76">
        <v>3.5200000000000001E-3</v>
      </c>
      <c r="K4666" s="76">
        <v>3.9100000000000003E-3</v>
      </c>
      <c r="L4666" s="76">
        <v>4.45E-3</v>
      </c>
      <c r="M4666" s="76">
        <v>4.9899999999999996E-3</v>
      </c>
    </row>
    <row r="4667" spans="3:13" x14ac:dyDescent="0.15">
      <c r="C4667" s="76">
        <v>566</v>
      </c>
      <c r="D4667" s="76">
        <v>4.5399999999999998E-4</v>
      </c>
      <c r="E4667" s="76">
        <v>9.4899999999999997E-4</v>
      </c>
      <c r="F4667" s="76">
        <v>1.42E-3</v>
      </c>
      <c r="G4667" s="76">
        <v>1.8600000000000001E-3</v>
      </c>
      <c r="H4667" s="76">
        <v>2.2599999999999999E-3</v>
      </c>
      <c r="I4667" s="76">
        <v>2.6700000000000001E-3</v>
      </c>
      <c r="J4667" s="76">
        <v>3.2699999999999999E-3</v>
      </c>
      <c r="K4667" s="76">
        <v>3.6800000000000001E-3</v>
      </c>
      <c r="L4667" s="76">
        <v>4.0899999999999999E-3</v>
      </c>
      <c r="M4667" s="76">
        <v>4.6299999999999996E-3</v>
      </c>
    </row>
    <row r="4668" spans="3:13" x14ac:dyDescent="0.15">
      <c r="C4668" s="76">
        <v>568</v>
      </c>
      <c r="D4668" s="76">
        <v>4.1300000000000001E-4</v>
      </c>
      <c r="E4668" s="76">
        <v>8.6499999999999999E-4</v>
      </c>
      <c r="F4668" s="76">
        <v>1.2999999999999999E-3</v>
      </c>
      <c r="G4668" s="76">
        <v>1.72E-3</v>
      </c>
      <c r="H4668" s="76">
        <v>2.0699999999999998E-3</v>
      </c>
      <c r="I4668" s="76">
        <v>2.49E-3</v>
      </c>
      <c r="J4668" s="76">
        <v>3.0100000000000001E-3</v>
      </c>
      <c r="K4668" s="76">
        <v>3.3400000000000001E-3</v>
      </c>
      <c r="L4668" s="76">
        <v>3.7699999999999999E-3</v>
      </c>
      <c r="M4668" s="76">
        <v>4.2599999999999999E-3</v>
      </c>
    </row>
    <row r="4669" spans="3:13" x14ac:dyDescent="0.15">
      <c r="C4669" s="76">
        <v>570</v>
      </c>
      <c r="D4669" s="76">
        <v>3.8000000000000002E-4</v>
      </c>
      <c r="E4669" s="76">
        <v>8.0500000000000005E-4</v>
      </c>
      <c r="F4669" s="76">
        <v>1.1900000000000001E-3</v>
      </c>
      <c r="G4669" s="76">
        <v>1.57E-3</v>
      </c>
      <c r="H4669" s="76">
        <v>1.92E-3</v>
      </c>
      <c r="I4669" s="76">
        <v>2.2899999999999999E-3</v>
      </c>
      <c r="J4669" s="76">
        <v>2.8400000000000001E-3</v>
      </c>
      <c r="K4669" s="76">
        <v>3.0799999999999998E-3</v>
      </c>
      <c r="L4669" s="76">
        <v>3.4399999999999999E-3</v>
      </c>
      <c r="M4669" s="76">
        <v>3.9199999999999999E-3</v>
      </c>
    </row>
    <row r="4670" spans="3:13" x14ac:dyDescent="0.15">
      <c r="C4670" s="76">
        <v>572</v>
      </c>
      <c r="D4670" s="76">
        <v>3.5799999999999997E-4</v>
      </c>
      <c r="E4670" s="76">
        <v>7.45E-4</v>
      </c>
      <c r="F4670" s="76">
        <v>1.14E-3</v>
      </c>
      <c r="G4670" s="76">
        <v>1.4599999999999999E-3</v>
      </c>
      <c r="H4670" s="76">
        <v>1.7899999999999999E-3</v>
      </c>
      <c r="I4670" s="76">
        <v>2.1299999999999999E-3</v>
      </c>
      <c r="J4670" s="76">
        <v>2.5899999999999999E-3</v>
      </c>
      <c r="K4670" s="76">
        <v>2.8700000000000002E-3</v>
      </c>
      <c r="L4670" s="76">
        <v>3.1700000000000001E-3</v>
      </c>
      <c r="M4670" s="76">
        <v>3.65E-3</v>
      </c>
    </row>
    <row r="4671" spans="3:13" x14ac:dyDescent="0.15">
      <c r="C4671" s="76">
        <v>574</v>
      </c>
      <c r="D4671" s="76">
        <v>3.3199999999999999E-4</v>
      </c>
      <c r="E4671" s="76">
        <v>6.8300000000000001E-4</v>
      </c>
      <c r="F4671" s="76">
        <v>1.0499999999999999E-3</v>
      </c>
      <c r="G4671" s="76">
        <v>1.3600000000000001E-3</v>
      </c>
      <c r="H4671" s="76">
        <v>1.64E-3</v>
      </c>
      <c r="I4671" s="76">
        <v>1.9599999999999999E-3</v>
      </c>
      <c r="J4671" s="76">
        <v>2.3999999999999998E-3</v>
      </c>
      <c r="K4671" s="76">
        <v>2.7000000000000001E-3</v>
      </c>
      <c r="L4671" s="76">
        <v>2.9399999999999999E-3</v>
      </c>
      <c r="M4671" s="76">
        <v>3.3400000000000001E-3</v>
      </c>
    </row>
    <row r="4672" spans="3:13" x14ac:dyDescent="0.15">
      <c r="C4672" s="76">
        <v>576</v>
      </c>
      <c r="D4672" s="76">
        <v>2.9999999999999997E-4</v>
      </c>
      <c r="E4672" s="76">
        <v>6.4099999999999997E-4</v>
      </c>
      <c r="F4672" s="76">
        <v>9.6699999999999998E-4</v>
      </c>
      <c r="G4672" s="76">
        <v>1.2899999999999999E-3</v>
      </c>
      <c r="H4672" s="76">
        <v>1.5E-3</v>
      </c>
      <c r="I4672" s="76">
        <v>1.8699999999999999E-3</v>
      </c>
      <c r="J4672" s="76">
        <v>2.2200000000000002E-3</v>
      </c>
      <c r="K4672" s="76">
        <v>2.4399999999999999E-3</v>
      </c>
      <c r="L4672" s="76">
        <v>2.7200000000000002E-3</v>
      </c>
      <c r="M4672" s="76">
        <v>3.0999999999999999E-3</v>
      </c>
    </row>
    <row r="4673" spans="3:13" x14ac:dyDescent="0.15">
      <c r="C4673" s="76">
        <v>578</v>
      </c>
      <c r="D4673" s="76">
        <v>2.7999999999999998E-4</v>
      </c>
      <c r="E4673" s="76">
        <v>5.8100000000000003E-4</v>
      </c>
      <c r="F4673" s="76">
        <v>9.3000000000000005E-4</v>
      </c>
      <c r="G4673" s="76">
        <v>1.1800000000000001E-3</v>
      </c>
      <c r="H4673" s="76">
        <v>1.39E-3</v>
      </c>
      <c r="I4673" s="76">
        <v>1.65E-3</v>
      </c>
      <c r="J4673" s="76">
        <v>1.9599999999999999E-3</v>
      </c>
      <c r="K4673" s="76">
        <v>2.2699999999999999E-3</v>
      </c>
      <c r="L4673" s="76">
        <v>2.5300000000000001E-3</v>
      </c>
      <c r="M4673" s="76">
        <v>2.8400000000000001E-3</v>
      </c>
    </row>
    <row r="4674" spans="3:13" x14ac:dyDescent="0.15">
      <c r="C4674" s="76">
        <v>580</v>
      </c>
      <c r="D4674" s="76">
        <v>2.6200000000000003E-4</v>
      </c>
      <c r="E4674" s="76">
        <v>5.44E-4</v>
      </c>
      <c r="F4674" s="76">
        <v>8.2299999999999995E-4</v>
      </c>
      <c r="G4674" s="76">
        <v>1.09E-3</v>
      </c>
      <c r="H4674" s="76">
        <v>1.33E-3</v>
      </c>
      <c r="I4674" s="76">
        <v>1.5299999999999999E-3</v>
      </c>
      <c r="J4674" s="76">
        <v>1.9E-3</v>
      </c>
      <c r="K4674" s="76">
        <v>2.0600000000000002E-3</v>
      </c>
      <c r="L4674" s="76">
        <v>2.3E-3</v>
      </c>
      <c r="M4674" s="76">
        <v>2.6199999999999999E-3</v>
      </c>
    </row>
    <row r="4675" spans="3:13" x14ac:dyDescent="0.15">
      <c r="C4675" s="76">
        <v>582</v>
      </c>
      <c r="D4675" s="76">
        <v>2.3900000000000001E-4</v>
      </c>
      <c r="E4675" s="76">
        <v>5.0699999999999996E-4</v>
      </c>
      <c r="F4675" s="76">
        <v>7.6199999999999998E-4</v>
      </c>
      <c r="G4675" s="76">
        <v>1.01E-3</v>
      </c>
      <c r="H4675" s="76">
        <v>1.1999999999999999E-3</v>
      </c>
      <c r="I4675" s="76">
        <v>1.42E-3</v>
      </c>
      <c r="J4675" s="76">
        <v>1.7099999999999999E-3</v>
      </c>
      <c r="K4675" s="76">
        <v>1.9400000000000001E-3</v>
      </c>
      <c r="L4675" s="76">
        <v>2.1800000000000001E-3</v>
      </c>
      <c r="M4675" s="76">
        <v>2.3800000000000002E-3</v>
      </c>
    </row>
    <row r="4676" spans="3:13" x14ac:dyDescent="0.15">
      <c r="C4676" s="76">
        <v>584</v>
      </c>
      <c r="D4676" s="76">
        <v>2.22E-4</v>
      </c>
      <c r="E4676" s="76">
        <v>4.64E-4</v>
      </c>
      <c r="F4676" s="76">
        <v>7.18E-4</v>
      </c>
      <c r="G4676" s="76">
        <v>9.3300000000000002E-4</v>
      </c>
      <c r="H4676" s="76">
        <v>1.1000000000000001E-3</v>
      </c>
      <c r="I4676" s="76">
        <v>1.2899999999999999E-3</v>
      </c>
      <c r="J4676" s="76">
        <v>1.58E-3</v>
      </c>
      <c r="K4676" s="76">
        <v>1.81E-3</v>
      </c>
      <c r="L4676" s="76">
        <v>1.9599999999999999E-3</v>
      </c>
      <c r="M4676" s="76">
        <v>2.1800000000000001E-3</v>
      </c>
    </row>
    <row r="4677" spans="3:13" x14ac:dyDescent="0.15">
      <c r="C4677" s="76">
        <v>586</v>
      </c>
      <c r="D4677" s="76">
        <v>2.0599999999999999E-4</v>
      </c>
      <c r="E4677" s="76">
        <v>4.1199999999999999E-4</v>
      </c>
      <c r="F4677" s="76">
        <v>6.5899999999999997E-4</v>
      </c>
      <c r="G4677" s="76">
        <v>8.9899999999999995E-4</v>
      </c>
      <c r="H4677" s="76">
        <v>1.01E-3</v>
      </c>
      <c r="I4677" s="76">
        <v>1.16E-3</v>
      </c>
      <c r="J4677" s="76">
        <v>1.39E-3</v>
      </c>
      <c r="K4677" s="76">
        <v>1.66E-3</v>
      </c>
      <c r="L4677" s="76">
        <v>1.7799999999999999E-3</v>
      </c>
      <c r="M4677" s="76">
        <v>1.97E-3</v>
      </c>
    </row>
    <row r="4678" spans="3:13" x14ac:dyDescent="0.15">
      <c r="C4678" s="76">
        <v>588</v>
      </c>
      <c r="D4678" s="76">
        <v>1.8599999999999999E-4</v>
      </c>
      <c r="E4678" s="76">
        <v>3.8099999999999999E-4</v>
      </c>
      <c r="F4678" s="76">
        <v>5.8900000000000001E-4</v>
      </c>
      <c r="G4678" s="76">
        <v>7.8799999999999996E-4</v>
      </c>
      <c r="H4678" s="76">
        <v>9.3899999999999995E-4</v>
      </c>
      <c r="I4678" s="76">
        <v>1.1800000000000001E-3</v>
      </c>
      <c r="J4678" s="76">
        <v>1.2700000000000001E-3</v>
      </c>
      <c r="K4678" s="76">
        <v>1.58E-3</v>
      </c>
      <c r="L4678" s="76">
        <v>1.6999999999999999E-3</v>
      </c>
      <c r="M4678" s="76">
        <v>1.8699999999999999E-3</v>
      </c>
    </row>
    <row r="4679" spans="3:13" x14ac:dyDescent="0.15">
      <c r="C4679" s="76">
        <v>590</v>
      </c>
      <c r="D4679" s="76">
        <v>1.7000000000000001E-4</v>
      </c>
      <c r="E4679" s="76">
        <v>3.3199999999999999E-4</v>
      </c>
      <c r="F4679" s="76">
        <v>5.4000000000000001E-4</v>
      </c>
      <c r="G4679" s="76">
        <v>7.1199999999999996E-4</v>
      </c>
      <c r="H4679" s="76">
        <v>8.4599999999999996E-4</v>
      </c>
      <c r="I4679" s="76">
        <v>9.6000000000000002E-4</v>
      </c>
      <c r="J4679" s="76">
        <v>1.1800000000000001E-3</v>
      </c>
      <c r="K4679" s="76">
        <v>1.3799999999999999E-3</v>
      </c>
      <c r="L4679" s="76">
        <v>1.56E-3</v>
      </c>
      <c r="M4679" s="76">
        <v>1.6199999999999999E-3</v>
      </c>
    </row>
    <row r="4680" spans="3:13" x14ac:dyDescent="0.15">
      <c r="C4680" s="76">
        <v>592</v>
      </c>
      <c r="D4680" s="76">
        <v>1.6000000000000001E-4</v>
      </c>
      <c r="E4680" s="76">
        <v>3.1399999999999999E-4</v>
      </c>
      <c r="F4680" s="76">
        <v>4.8700000000000002E-4</v>
      </c>
      <c r="G4680" s="76">
        <v>6.7500000000000004E-4</v>
      </c>
      <c r="H4680" s="76">
        <v>7.3399999999999995E-4</v>
      </c>
      <c r="I4680" s="76">
        <v>8.7500000000000002E-4</v>
      </c>
      <c r="J4680" s="76">
        <v>1.01E-3</v>
      </c>
      <c r="K4680" s="76">
        <v>1.24E-3</v>
      </c>
      <c r="L4680" s="76">
        <v>1.41E-3</v>
      </c>
      <c r="M4680" s="76">
        <v>1.5200000000000001E-3</v>
      </c>
    </row>
    <row r="4681" spans="3:13" x14ac:dyDescent="0.15">
      <c r="C4681" s="76">
        <v>594</v>
      </c>
      <c r="D4681" s="76">
        <v>1.4899999999999999E-4</v>
      </c>
      <c r="E4681" s="76">
        <v>2.9E-4</v>
      </c>
      <c r="F4681" s="76">
        <v>4.3899999999999999E-4</v>
      </c>
      <c r="G4681" s="76">
        <v>5.9599999999999996E-4</v>
      </c>
      <c r="H4681" s="76">
        <v>7.0600000000000003E-4</v>
      </c>
      <c r="I4681" s="76">
        <v>8.1300000000000003E-4</v>
      </c>
      <c r="J4681" s="76">
        <v>9.8200000000000002E-4</v>
      </c>
      <c r="K4681" s="76">
        <v>1.0300000000000001E-3</v>
      </c>
      <c r="L4681" s="76">
        <v>1.2999999999999999E-3</v>
      </c>
      <c r="M4681" s="76">
        <v>1.42E-3</v>
      </c>
    </row>
    <row r="4682" spans="3:13" x14ac:dyDescent="0.15">
      <c r="C4682" s="76">
        <v>596</v>
      </c>
      <c r="D4682" s="76">
        <v>1.3899999999999999E-4</v>
      </c>
      <c r="E4682" s="76">
        <v>2.5799999999999998E-4</v>
      </c>
      <c r="F4682" s="76">
        <v>4.1599999999999997E-4</v>
      </c>
      <c r="G4682" s="76">
        <v>5.1999999999999995E-4</v>
      </c>
      <c r="H4682" s="76">
        <v>6.7500000000000004E-4</v>
      </c>
      <c r="I4682" s="76">
        <v>7.5500000000000003E-4</v>
      </c>
      <c r="J4682" s="76">
        <v>8.8599999999999996E-4</v>
      </c>
      <c r="K4682" s="76">
        <v>9.8700000000000003E-4</v>
      </c>
      <c r="L4682" s="76">
        <v>1.1900000000000001E-3</v>
      </c>
      <c r="M4682" s="76">
        <v>1.2999999999999999E-3</v>
      </c>
    </row>
    <row r="4683" spans="3:13" x14ac:dyDescent="0.15">
      <c r="C4683" s="76">
        <v>598</v>
      </c>
      <c r="D4683" s="76">
        <v>1.25E-4</v>
      </c>
      <c r="E4683" s="76">
        <v>2.2900000000000001E-4</v>
      </c>
      <c r="F4683" s="76">
        <v>3.7599999999999998E-4</v>
      </c>
      <c r="G4683" s="76">
        <v>4.8899999999999996E-4</v>
      </c>
      <c r="H4683" s="76">
        <v>5.9599999999999996E-4</v>
      </c>
      <c r="I4683" s="76">
        <v>7.27E-4</v>
      </c>
      <c r="J4683" s="76">
        <v>7.7200000000000001E-4</v>
      </c>
      <c r="K4683" s="76">
        <v>9.8799999999999995E-4</v>
      </c>
      <c r="L4683" s="76">
        <v>1.0200000000000001E-3</v>
      </c>
      <c r="M4683" s="76">
        <v>1.1800000000000001E-3</v>
      </c>
    </row>
    <row r="4684" spans="3:13" x14ac:dyDescent="0.15">
      <c r="C4684" s="76">
        <v>600</v>
      </c>
      <c r="D4684" s="76">
        <v>1.17E-4</v>
      </c>
      <c r="E4684" s="76">
        <v>2.1699999999999999E-4</v>
      </c>
      <c r="F4684" s="76">
        <v>3.2200000000000002E-4</v>
      </c>
      <c r="G4684" s="76">
        <v>4.46E-4</v>
      </c>
      <c r="H4684" s="76">
        <v>5.6700000000000001E-4</v>
      </c>
      <c r="I4684" s="76">
        <v>6.5700000000000003E-4</v>
      </c>
      <c r="J4684" s="76">
        <v>7.3800000000000005E-4</v>
      </c>
      <c r="K4684" s="76">
        <v>8.9899999999999995E-4</v>
      </c>
      <c r="L4684" s="76">
        <v>9.6000000000000002E-4</v>
      </c>
      <c r="M4684" s="76">
        <v>1.1199999999999999E-3</v>
      </c>
    </row>
    <row r="4685" spans="3:13" x14ac:dyDescent="0.15">
      <c r="C4685" s="76">
        <v>602</v>
      </c>
      <c r="D4685" s="76">
        <v>1.11E-4</v>
      </c>
      <c r="E4685" s="76">
        <v>1.92E-4</v>
      </c>
      <c r="F4685" s="76">
        <v>2.9500000000000001E-4</v>
      </c>
      <c r="G4685" s="76">
        <v>4.3300000000000001E-4</v>
      </c>
      <c r="H4685" s="76">
        <v>5.2300000000000003E-4</v>
      </c>
      <c r="I4685" s="76">
        <v>6.2799999999999998E-4</v>
      </c>
      <c r="J4685" s="76">
        <v>6.8300000000000001E-4</v>
      </c>
      <c r="K4685" s="76">
        <v>7.8600000000000002E-4</v>
      </c>
      <c r="L4685" s="76">
        <v>9.7599999999999998E-4</v>
      </c>
      <c r="M4685" s="76">
        <v>1E-3</v>
      </c>
    </row>
    <row r="4686" spans="3:13" x14ac:dyDescent="0.15">
      <c r="C4686" s="76">
        <v>604</v>
      </c>
      <c r="D4686" s="76">
        <v>1.0900000000000001E-4</v>
      </c>
      <c r="E4686" s="76">
        <v>1.7799999999999999E-4</v>
      </c>
      <c r="F4686" s="76">
        <v>2.6499999999999999E-4</v>
      </c>
      <c r="G4686" s="76">
        <v>4.2700000000000002E-4</v>
      </c>
      <c r="H4686" s="76">
        <v>5.0199999999999995E-4</v>
      </c>
      <c r="I4686" s="76">
        <v>5.8500000000000002E-4</v>
      </c>
      <c r="J4686" s="76">
        <v>6.3000000000000003E-4</v>
      </c>
      <c r="K4686" s="76">
        <v>7.7300000000000003E-4</v>
      </c>
      <c r="L4686" s="76">
        <v>8.9999999999999998E-4</v>
      </c>
      <c r="M4686" s="76">
        <v>8.7000000000000001E-4</v>
      </c>
    </row>
    <row r="4687" spans="3:13" x14ac:dyDescent="0.15">
      <c r="C4687" s="76">
        <v>606</v>
      </c>
      <c r="D4687" s="76">
        <v>1.0399999999999999E-4</v>
      </c>
      <c r="E4687" s="76">
        <v>1.64E-4</v>
      </c>
      <c r="F4687" s="76">
        <v>2.4600000000000002E-4</v>
      </c>
      <c r="G4687" s="76">
        <v>3.5799999999999997E-4</v>
      </c>
      <c r="H4687" s="76">
        <v>4.64E-4</v>
      </c>
      <c r="I4687" s="76">
        <v>5.5400000000000002E-4</v>
      </c>
      <c r="J4687" s="76">
        <v>5.4900000000000001E-4</v>
      </c>
      <c r="K4687" s="76">
        <v>7.18E-4</v>
      </c>
      <c r="L4687" s="76">
        <v>7.8100000000000001E-4</v>
      </c>
      <c r="M4687" s="76">
        <v>8.9499999999999996E-4</v>
      </c>
    </row>
    <row r="4688" spans="3:13" x14ac:dyDescent="0.15">
      <c r="C4688" s="76">
        <v>608</v>
      </c>
      <c r="D4688" s="76">
        <v>1.03E-4</v>
      </c>
      <c r="E4688" s="76">
        <v>1.6100000000000001E-4</v>
      </c>
      <c r="F4688" s="76">
        <v>2.1900000000000001E-4</v>
      </c>
      <c r="G4688" s="76">
        <v>3.19E-4</v>
      </c>
      <c r="H4688" s="76">
        <v>4.2700000000000002E-4</v>
      </c>
      <c r="I4688" s="76">
        <v>5.1099999999999995E-4</v>
      </c>
      <c r="J4688" s="76">
        <v>5.1199999999999998E-4</v>
      </c>
      <c r="K4688" s="76">
        <v>6.0800000000000003E-4</v>
      </c>
      <c r="L4688" s="76">
        <v>7.6300000000000001E-4</v>
      </c>
      <c r="M4688" s="76">
        <v>8.1300000000000003E-4</v>
      </c>
    </row>
    <row r="4689" spans="3:13" x14ac:dyDescent="0.15">
      <c r="C4689" s="76">
        <v>610</v>
      </c>
      <c r="D4689" s="76">
        <v>9.0099999999999995E-5</v>
      </c>
      <c r="E4689" s="76">
        <v>1.27E-4</v>
      </c>
      <c r="F4689" s="76">
        <v>1.8699999999999999E-4</v>
      </c>
      <c r="G4689" s="76">
        <v>3.1799999999999998E-4</v>
      </c>
      <c r="H4689" s="76">
        <v>4.3800000000000002E-4</v>
      </c>
      <c r="I4689" s="76">
        <v>4.7699999999999999E-4</v>
      </c>
      <c r="J4689" s="76">
        <v>5.1199999999999998E-4</v>
      </c>
      <c r="K4689" s="76">
        <v>6.0700000000000001E-4</v>
      </c>
      <c r="L4689" s="76">
        <v>6.6399999999999999E-4</v>
      </c>
      <c r="M4689" s="76">
        <v>7.3200000000000001E-4</v>
      </c>
    </row>
    <row r="4690" spans="3:13" x14ac:dyDescent="0.15">
      <c r="C4690" s="76">
        <v>612</v>
      </c>
      <c r="D4690" s="76">
        <v>8.4400000000000005E-5</v>
      </c>
      <c r="E4690" s="76">
        <v>1.4100000000000001E-4</v>
      </c>
      <c r="F4690" s="76">
        <v>1.55E-4</v>
      </c>
      <c r="G4690" s="76">
        <v>2.6800000000000001E-4</v>
      </c>
      <c r="H4690" s="76">
        <v>4.0000000000000002E-4</v>
      </c>
      <c r="I4690" s="76">
        <v>4.4799999999999999E-4</v>
      </c>
      <c r="J4690" s="76">
        <v>4.84E-4</v>
      </c>
      <c r="K4690" s="76">
        <v>5.6800000000000004E-4</v>
      </c>
      <c r="L4690" s="76">
        <v>6.02E-4</v>
      </c>
      <c r="M4690" s="76">
        <v>6.4300000000000002E-4</v>
      </c>
    </row>
    <row r="4691" spans="3:13" x14ac:dyDescent="0.15">
      <c r="C4691" s="76">
        <v>614</v>
      </c>
      <c r="D4691" s="76">
        <v>7.6699999999999994E-5</v>
      </c>
      <c r="E4691" s="76">
        <v>1.3899999999999999E-4</v>
      </c>
      <c r="F4691" s="76">
        <v>1.6799999999999999E-4</v>
      </c>
      <c r="G4691" s="76">
        <v>2.5000000000000001E-4</v>
      </c>
      <c r="H4691" s="76">
        <v>3.7399999999999998E-4</v>
      </c>
      <c r="I4691" s="76">
        <v>4.3600000000000003E-4</v>
      </c>
      <c r="J4691" s="76">
        <v>3.9500000000000001E-4</v>
      </c>
      <c r="K4691" s="76">
        <v>4.9200000000000003E-4</v>
      </c>
      <c r="L4691" s="76">
        <v>5.5599999999999996E-4</v>
      </c>
      <c r="M4691" s="76">
        <v>6.1700000000000004E-4</v>
      </c>
    </row>
    <row r="4692" spans="3:13" x14ac:dyDescent="0.15">
      <c r="C4692" s="76">
        <v>616</v>
      </c>
      <c r="D4692" s="76">
        <v>7.3700000000000002E-5</v>
      </c>
      <c r="E4692" s="76">
        <v>1.1E-4</v>
      </c>
      <c r="F4692" s="76">
        <v>1.5699999999999999E-4</v>
      </c>
      <c r="G4692" s="76">
        <v>2.43E-4</v>
      </c>
      <c r="H4692" s="76">
        <v>3.4299999999999999E-4</v>
      </c>
      <c r="I4692" s="76">
        <v>4.2099999999999999E-4</v>
      </c>
      <c r="J4692" s="76">
        <v>3.9899999999999999E-4</v>
      </c>
      <c r="K4692" s="76">
        <v>4.6200000000000001E-4</v>
      </c>
      <c r="L4692" s="76">
        <v>5.4799999999999998E-4</v>
      </c>
      <c r="M4692" s="76">
        <v>5.7300000000000005E-4</v>
      </c>
    </row>
    <row r="4693" spans="3:13" x14ac:dyDescent="0.15">
      <c r="C4693" s="76">
        <v>618</v>
      </c>
      <c r="D4693" s="76">
        <v>6.7100000000000005E-5</v>
      </c>
      <c r="E4693" s="76">
        <v>9.8099999999999999E-5</v>
      </c>
      <c r="F4693" s="76">
        <v>1.4999999999999999E-4</v>
      </c>
      <c r="G4693" s="76">
        <v>2.12E-4</v>
      </c>
      <c r="H4693" s="76">
        <v>3.3100000000000002E-4</v>
      </c>
      <c r="I4693" s="76">
        <v>4.15E-4</v>
      </c>
      <c r="J4693" s="76">
        <v>3.3700000000000001E-4</v>
      </c>
      <c r="K4693" s="76">
        <v>4.7600000000000002E-4</v>
      </c>
      <c r="L4693" s="76">
        <v>5.4900000000000001E-4</v>
      </c>
      <c r="M4693" s="76">
        <v>5.2700000000000002E-4</v>
      </c>
    </row>
    <row r="4694" spans="3:13" x14ac:dyDescent="0.15">
      <c r="C4694" s="76">
        <v>620</v>
      </c>
      <c r="D4694" s="76">
        <v>5.6499999999999998E-5</v>
      </c>
      <c r="E4694" s="76">
        <v>1.3100000000000001E-4</v>
      </c>
      <c r="F4694" s="76">
        <v>1.45E-4</v>
      </c>
      <c r="G4694" s="76">
        <v>1.9599999999999999E-4</v>
      </c>
      <c r="H4694" s="76">
        <v>2.9599999999999998E-4</v>
      </c>
      <c r="I4694" s="76">
        <v>3.39E-4</v>
      </c>
      <c r="J4694" s="76">
        <v>3.6200000000000002E-4</v>
      </c>
      <c r="K4694" s="76">
        <v>3.7500000000000001E-4</v>
      </c>
      <c r="L4694" s="76">
        <v>4.84E-4</v>
      </c>
      <c r="M4694" s="76">
        <v>5.2899999999999996E-4</v>
      </c>
    </row>
    <row r="4695" spans="3:13" x14ac:dyDescent="0.15">
      <c r="C4695" s="76">
        <v>622</v>
      </c>
      <c r="D4695" s="76">
        <v>5.0300000000000003E-5</v>
      </c>
      <c r="E4695" s="76">
        <v>1.08E-4</v>
      </c>
      <c r="F4695" s="76">
        <v>1.22E-4</v>
      </c>
      <c r="G4695" s="76">
        <v>1.8699999999999999E-4</v>
      </c>
      <c r="H4695" s="76">
        <v>2.9999999999999997E-4</v>
      </c>
      <c r="I4695" s="76">
        <v>3.6299999999999999E-4</v>
      </c>
      <c r="J4695" s="76">
        <v>3.4400000000000001E-4</v>
      </c>
      <c r="K4695" s="76">
        <v>3.2499999999999999E-4</v>
      </c>
      <c r="L4695" s="76">
        <v>4.3399999999999998E-4</v>
      </c>
      <c r="M4695" s="76">
        <v>5.44E-4</v>
      </c>
    </row>
    <row r="4696" spans="3:13" x14ac:dyDescent="0.15">
      <c r="C4696" s="76">
        <v>624</v>
      </c>
      <c r="D4696" s="76">
        <v>4.5000000000000003E-5</v>
      </c>
      <c r="E4696" s="76">
        <v>9.6299999999999996E-5</v>
      </c>
      <c r="F4696" s="76">
        <v>1.07E-4</v>
      </c>
      <c r="G4696" s="76">
        <v>1.34E-4</v>
      </c>
      <c r="H4696" s="76">
        <v>2.5500000000000002E-4</v>
      </c>
      <c r="I4696" s="76">
        <v>3.4499999999999998E-4</v>
      </c>
      <c r="J4696" s="76">
        <v>3.6099999999999999E-4</v>
      </c>
      <c r="K4696" s="76">
        <v>3.0699999999999998E-4</v>
      </c>
      <c r="L4696" s="76">
        <v>4.08E-4</v>
      </c>
      <c r="M4696" s="76">
        <v>3.8000000000000002E-4</v>
      </c>
    </row>
    <row r="4697" spans="3:13" x14ac:dyDescent="0.15">
      <c r="C4697" s="76">
        <v>626</v>
      </c>
      <c r="D4697" s="76">
        <v>3.9799999999999998E-5</v>
      </c>
      <c r="E4697" s="76">
        <v>9.7200000000000004E-5</v>
      </c>
      <c r="F4697" s="76">
        <v>1.3200000000000001E-4</v>
      </c>
      <c r="G4697" s="76">
        <v>1.6699999999999999E-4</v>
      </c>
      <c r="H4697" s="76">
        <v>2.6200000000000003E-4</v>
      </c>
      <c r="I4697" s="76">
        <v>3.3399999999999999E-4</v>
      </c>
      <c r="J4697" s="76">
        <v>3.6499999999999998E-4</v>
      </c>
      <c r="K4697" s="76">
        <v>3.1100000000000002E-4</v>
      </c>
      <c r="L4697" s="76">
        <v>4.2200000000000001E-4</v>
      </c>
      <c r="M4697" s="76">
        <v>3.9800000000000002E-4</v>
      </c>
    </row>
    <row r="4698" spans="3:13" x14ac:dyDescent="0.15">
      <c r="C4698" s="76">
        <v>628</v>
      </c>
      <c r="D4698" s="76">
        <v>3.6100000000000003E-5</v>
      </c>
      <c r="E4698" s="76">
        <v>9.8999999999999994E-5</v>
      </c>
      <c r="F4698" s="76">
        <v>1.17E-4</v>
      </c>
      <c r="G4698" s="76">
        <v>1.5100000000000001E-4</v>
      </c>
      <c r="H4698" s="76">
        <v>1.9799999999999999E-4</v>
      </c>
      <c r="I4698" s="76">
        <v>2.6400000000000002E-4</v>
      </c>
      <c r="J4698" s="76">
        <v>2.9100000000000003E-4</v>
      </c>
      <c r="K4698" s="76">
        <v>3.0600000000000001E-4</v>
      </c>
      <c r="L4698" s="76">
        <v>3.5799999999999997E-4</v>
      </c>
      <c r="M4698" s="76">
        <v>3.8299999999999999E-4</v>
      </c>
    </row>
    <row r="4699" spans="3:13" x14ac:dyDescent="0.15">
      <c r="C4699" s="76">
        <v>630</v>
      </c>
      <c r="D4699" s="76">
        <v>3.1099999999999997E-5</v>
      </c>
      <c r="E4699" s="76">
        <v>8.2200000000000006E-5</v>
      </c>
      <c r="F4699" s="76">
        <v>1.22E-4</v>
      </c>
      <c r="G4699" s="76">
        <v>1.76E-4</v>
      </c>
      <c r="H4699" s="76">
        <v>2.2499999999999999E-4</v>
      </c>
      <c r="I4699" s="76">
        <v>1.9100000000000001E-4</v>
      </c>
      <c r="J4699" s="76">
        <v>2.7399999999999999E-4</v>
      </c>
      <c r="K4699" s="76">
        <v>2.7900000000000001E-4</v>
      </c>
      <c r="L4699" s="76">
        <v>2.5000000000000001E-4</v>
      </c>
      <c r="M4699" s="76">
        <v>3.6699999999999998E-4</v>
      </c>
    </row>
    <row r="4700" spans="3:13" x14ac:dyDescent="0.15">
      <c r="C4700" s="76">
        <v>632</v>
      </c>
      <c r="D4700" s="76">
        <v>3.43E-5</v>
      </c>
      <c r="E4700" s="76">
        <v>9.2200000000000005E-5</v>
      </c>
      <c r="F4700" s="76">
        <v>1.1400000000000001E-4</v>
      </c>
      <c r="G4700" s="76">
        <v>1.55E-4</v>
      </c>
      <c r="H4700" s="76">
        <v>1.5699999999999999E-4</v>
      </c>
      <c r="I4700" s="76">
        <v>2.4000000000000001E-4</v>
      </c>
      <c r="J4700" s="76">
        <v>3.6999999999999999E-4</v>
      </c>
      <c r="K4700" s="76">
        <v>2.3900000000000001E-4</v>
      </c>
      <c r="L4700" s="76">
        <v>2.5099999999999998E-4</v>
      </c>
      <c r="M4700" s="76">
        <v>3.6999999999999999E-4</v>
      </c>
    </row>
    <row r="4701" spans="3:13" x14ac:dyDescent="0.15">
      <c r="C4701" s="76">
        <v>634</v>
      </c>
      <c r="D4701" s="76">
        <v>3.8399999999999998E-5</v>
      </c>
      <c r="E4701" s="76">
        <v>9.4500000000000007E-5</v>
      </c>
      <c r="F4701" s="76">
        <v>1.18E-4</v>
      </c>
      <c r="G4701" s="76">
        <v>1.5200000000000001E-4</v>
      </c>
      <c r="H4701" s="76">
        <v>1.7100000000000001E-4</v>
      </c>
      <c r="I4701" s="76">
        <v>2.3800000000000001E-4</v>
      </c>
      <c r="J4701" s="76">
        <v>3.97E-4</v>
      </c>
      <c r="K4701" s="76">
        <v>1.54E-4</v>
      </c>
      <c r="L4701" s="76">
        <v>2.7900000000000001E-4</v>
      </c>
      <c r="M4701" s="76">
        <v>3.6000000000000002E-4</v>
      </c>
    </row>
    <row r="4702" spans="3:13" x14ac:dyDescent="0.15">
      <c r="C4702" s="76">
        <v>636</v>
      </c>
      <c r="D4702" s="76">
        <v>1.66E-5</v>
      </c>
      <c r="E4702" s="76">
        <v>8.1299999999999997E-5</v>
      </c>
      <c r="F4702" s="76">
        <v>1.2400000000000001E-4</v>
      </c>
      <c r="G4702" s="76">
        <v>1.2999999999999999E-4</v>
      </c>
      <c r="H4702" s="76">
        <v>2.04E-4</v>
      </c>
      <c r="I4702" s="76">
        <v>2.1900000000000001E-4</v>
      </c>
      <c r="J4702" s="76">
        <v>2.9E-4</v>
      </c>
      <c r="K4702" s="76">
        <v>1.3899999999999999E-4</v>
      </c>
      <c r="L4702" s="76">
        <v>2.7599999999999999E-4</v>
      </c>
      <c r="M4702" s="76">
        <v>3.4099999999999999E-4</v>
      </c>
    </row>
    <row r="4703" spans="3:13" x14ac:dyDescent="0.15">
      <c r="C4703" s="76">
        <v>638</v>
      </c>
      <c r="D4703" s="76">
        <v>2.6400000000000001E-5</v>
      </c>
      <c r="E4703" s="76">
        <v>8.0799999999999999E-5</v>
      </c>
      <c r="F4703" s="76">
        <v>1.12E-4</v>
      </c>
      <c r="G4703" s="76">
        <v>1.5300000000000001E-4</v>
      </c>
      <c r="H4703" s="76">
        <v>1.5799999999999999E-4</v>
      </c>
      <c r="I4703" s="76">
        <v>1.9599999999999999E-4</v>
      </c>
      <c r="J4703" s="76">
        <v>3.1E-4</v>
      </c>
      <c r="K4703" s="76">
        <v>2.0799999999999999E-4</v>
      </c>
      <c r="L4703" s="76">
        <v>2.9999999999999997E-4</v>
      </c>
      <c r="M4703" s="76">
        <v>3.6600000000000001E-4</v>
      </c>
    </row>
    <row r="4704" spans="3:13" x14ac:dyDescent="0.15">
      <c r="C4704" s="76">
        <v>640</v>
      </c>
      <c r="D4704" s="76">
        <v>2.62E-5</v>
      </c>
      <c r="E4704" s="76">
        <v>7.9900000000000004E-5</v>
      </c>
      <c r="F4704" s="76">
        <v>1.21E-4</v>
      </c>
      <c r="G4704" s="76">
        <v>1.5100000000000001E-4</v>
      </c>
      <c r="H4704" s="76">
        <v>1.46E-4</v>
      </c>
      <c r="I4704" s="76">
        <v>2.0699999999999999E-4</v>
      </c>
      <c r="J4704" s="76">
        <v>3.1599999999999998E-4</v>
      </c>
      <c r="K4704" s="76">
        <v>2.2900000000000001E-4</v>
      </c>
      <c r="L4704" s="76">
        <v>2.04E-4</v>
      </c>
      <c r="M4704" s="76">
        <v>3.1500000000000001E-4</v>
      </c>
    </row>
    <row r="4705" spans="3:13" x14ac:dyDescent="0.15">
      <c r="C4705" s="76">
        <v>642</v>
      </c>
      <c r="D4705" s="76">
        <v>2.3099999999999999E-5</v>
      </c>
      <c r="E4705" s="76">
        <v>7.9599999999999997E-5</v>
      </c>
      <c r="F4705" s="76">
        <v>1.01E-4</v>
      </c>
      <c r="G4705" s="76">
        <v>1.2400000000000001E-4</v>
      </c>
      <c r="H4705" s="76">
        <v>1.44E-4</v>
      </c>
      <c r="I4705" s="76">
        <v>2.0599999999999999E-4</v>
      </c>
      <c r="J4705" s="76">
        <v>3.3300000000000002E-4</v>
      </c>
      <c r="K4705" s="76">
        <v>2.0100000000000001E-4</v>
      </c>
      <c r="L4705" s="76">
        <v>1.4899999999999999E-4</v>
      </c>
      <c r="M4705" s="76">
        <v>2.4800000000000001E-4</v>
      </c>
    </row>
    <row r="4706" spans="3:13" x14ac:dyDescent="0.15">
      <c r="C4706" s="76">
        <v>644</v>
      </c>
      <c r="D4706" s="76">
        <v>2.3300000000000001E-5</v>
      </c>
      <c r="E4706" s="76">
        <v>8.3300000000000005E-5</v>
      </c>
      <c r="F4706" s="76">
        <v>9.4699999999999998E-5</v>
      </c>
      <c r="G4706" s="76">
        <v>1.7899999999999999E-4</v>
      </c>
      <c r="H4706" s="76">
        <v>1.55E-4</v>
      </c>
      <c r="I4706" s="76">
        <v>2.22E-4</v>
      </c>
      <c r="J4706" s="76">
        <v>2.5399999999999999E-4</v>
      </c>
      <c r="K4706" s="76">
        <v>2.3800000000000001E-4</v>
      </c>
      <c r="L4706" s="76">
        <v>1.9000000000000001E-4</v>
      </c>
      <c r="M4706" s="76">
        <v>2.6699999999999998E-4</v>
      </c>
    </row>
    <row r="4707" spans="3:13" x14ac:dyDescent="0.15">
      <c r="C4707" s="76">
        <v>646</v>
      </c>
      <c r="D4707" s="76">
        <v>2.9E-5</v>
      </c>
      <c r="E4707" s="76">
        <v>8.9800000000000001E-5</v>
      </c>
      <c r="F4707" s="76">
        <v>7.25E-5</v>
      </c>
      <c r="G4707" s="76">
        <v>1.3899999999999999E-4</v>
      </c>
      <c r="H4707" s="76">
        <v>1.35E-4</v>
      </c>
      <c r="I4707" s="76">
        <v>1.95E-4</v>
      </c>
      <c r="J4707" s="76">
        <v>2.5900000000000001E-4</v>
      </c>
      <c r="K4707" s="76">
        <v>2.72E-4</v>
      </c>
      <c r="L4707" s="76">
        <v>2.1599999999999999E-4</v>
      </c>
      <c r="M4707" s="76">
        <v>2.6200000000000003E-4</v>
      </c>
    </row>
    <row r="4708" spans="3:13" x14ac:dyDescent="0.15">
      <c r="C4708" s="76">
        <v>648</v>
      </c>
      <c r="D4708" s="76">
        <v>3.0300000000000001E-5</v>
      </c>
      <c r="E4708" s="76">
        <v>8.5500000000000005E-5</v>
      </c>
      <c r="F4708" s="76">
        <v>8.8499999999999996E-5</v>
      </c>
      <c r="G4708" s="76">
        <v>1.3899999999999999E-4</v>
      </c>
      <c r="H4708" s="76">
        <v>1.16E-4</v>
      </c>
      <c r="I4708" s="76">
        <v>1.8799999999999999E-4</v>
      </c>
      <c r="J4708" s="76">
        <v>2.5000000000000001E-4</v>
      </c>
      <c r="K4708" s="76">
        <v>2.1800000000000001E-4</v>
      </c>
      <c r="L4708" s="76">
        <v>2.02E-4</v>
      </c>
      <c r="M4708" s="76">
        <v>2.7300000000000002E-4</v>
      </c>
    </row>
    <row r="4709" spans="3:13" x14ac:dyDescent="0.15">
      <c r="C4709" s="76">
        <v>650</v>
      </c>
      <c r="D4709" s="76">
        <v>2.4300000000000001E-5</v>
      </c>
      <c r="E4709" s="76">
        <v>6.7999999999999999E-5</v>
      </c>
      <c r="F4709" s="76">
        <v>9.8599999999999998E-5</v>
      </c>
      <c r="G4709" s="76">
        <v>1.2899999999999999E-4</v>
      </c>
      <c r="H4709" s="76">
        <v>1.6200000000000001E-4</v>
      </c>
      <c r="I4709" s="76">
        <v>1.5200000000000001E-4</v>
      </c>
      <c r="J4709" s="76">
        <v>2.4899999999999998E-4</v>
      </c>
      <c r="K4709" s="76">
        <v>1.83E-4</v>
      </c>
      <c r="L4709" s="76">
        <v>2.1900000000000001E-4</v>
      </c>
      <c r="M4709" s="76">
        <v>3.5100000000000002E-4</v>
      </c>
    </row>
    <row r="4710" spans="3:13" x14ac:dyDescent="0.15">
      <c r="C4710" s="76">
        <v>652</v>
      </c>
      <c r="D4710" s="76">
        <v>2.76E-5</v>
      </c>
      <c r="E4710" s="76">
        <v>5.4599999999999999E-5</v>
      </c>
      <c r="F4710" s="76">
        <v>5.5000000000000002E-5</v>
      </c>
      <c r="G4710" s="76">
        <v>1.3300000000000001E-4</v>
      </c>
      <c r="H4710" s="76">
        <v>1.4200000000000001E-4</v>
      </c>
      <c r="I4710" s="76">
        <v>1.8599999999999999E-4</v>
      </c>
      <c r="J4710" s="76">
        <v>2.7500000000000002E-4</v>
      </c>
      <c r="K4710" s="76">
        <v>1.9000000000000001E-4</v>
      </c>
      <c r="L4710" s="76">
        <v>2.5799999999999998E-4</v>
      </c>
      <c r="M4710" s="76">
        <v>2.4399999999999999E-4</v>
      </c>
    </row>
    <row r="4711" spans="3:13" x14ac:dyDescent="0.15">
      <c r="C4711" s="76">
        <v>654</v>
      </c>
      <c r="D4711" s="76">
        <v>1.95E-5</v>
      </c>
      <c r="E4711" s="76">
        <v>6.2799999999999995E-5</v>
      </c>
      <c r="F4711" s="76">
        <v>8.8900000000000006E-5</v>
      </c>
      <c r="G4711" s="76">
        <v>1.35E-4</v>
      </c>
      <c r="H4711" s="76">
        <v>1.66E-4</v>
      </c>
      <c r="I4711" s="76">
        <v>1.2999999999999999E-4</v>
      </c>
      <c r="J4711" s="76">
        <v>2.5300000000000002E-4</v>
      </c>
      <c r="K4711" s="76">
        <v>1.7899999999999999E-4</v>
      </c>
      <c r="L4711" s="76">
        <v>2.0000000000000001E-4</v>
      </c>
      <c r="M4711" s="76">
        <v>2.5900000000000001E-4</v>
      </c>
    </row>
    <row r="4712" spans="3:13" x14ac:dyDescent="0.15">
      <c r="C4712" s="76">
        <v>656</v>
      </c>
      <c r="D4712" s="76">
        <v>1.42E-5</v>
      </c>
      <c r="E4712" s="76">
        <v>5.9899999999999999E-5</v>
      </c>
      <c r="F4712" s="76">
        <v>9.9099999999999996E-5</v>
      </c>
      <c r="G4712" s="76">
        <v>1.27E-4</v>
      </c>
      <c r="H4712" s="76">
        <v>1.5100000000000001E-4</v>
      </c>
      <c r="I4712" s="76">
        <v>1.5699999999999999E-4</v>
      </c>
      <c r="J4712" s="76">
        <v>2.1800000000000001E-4</v>
      </c>
      <c r="K4712" s="76">
        <v>1.92E-4</v>
      </c>
      <c r="L4712" s="76">
        <v>2.3499999999999999E-4</v>
      </c>
      <c r="M4712" s="76">
        <v>2.7599999999999999E-4</v>
      </c>
    </row>
    <row r="4713" spans="3:13" x14ac:dyDescent="0.15">
      <c r="C4713" s="76">
        <v>658</v>
      </c>
      <c r="D4713" s="76">
        <v>2.3600000000000001E-5</v>
      </c>
      <c r="E4713" s="76">
        <v>5.3100000000000003E-5</v>
      </c>
      <c r="F4713" s="76">
        <v>9.2100000000000003E-5</v>
      </c>
      <c r="G4713" s="76">
        <v>1.3200000000000001E-4</v>
      </c>
      <c r="H4713" s="76">
        <v>1.3300000000000001E-4</v>
      </c>
      <c r="I4713" s="76">
        <v>1.5300000000000001E-4</v>
      </c>
      <c r="J4713" s="76">
        <v>2.1900000000000001E-4</v>
      </c>
      <c r="K4713" s="76">
        <v>2.02E-4</v>
      </c>
      <c r="L4713" s="76">
        <v>2.1000000000000001E-4</v>
      </c>
      <c r="M4713" s="76">
        <v>2.23E-4</v>
      </c>
    </row>
    <row r="4714" spans="3:13" x14ac:dyDescent="0.15">
      <c r="C4714" s="76">
        <v>660</v>
      </c>
      <c r="D4714" s="76">
        <v>2.2900000000000001E-5</v>
      </c>
      <c r="E4714" s="76">
        <v>4.8399999999999997E-5</v>
      </c>
      <c r="F4714" s="76">
        <v>8.8599999999999999E-5</v>
      </c>
      <c r="G4714" s="76">
        <v>1.2799999999999999E-4</v>
      </c>
      <c r="H4714" s="76">
        <v>1.4300000000000001E-4</v>
      </c>
      <c r="I4714" s="76">
        <v>1.4899999999999999E-4</v>
      </c>
      <c r="J4714" s="76">
        <v>1.7100000000000001E-4</v>
      </c>
      <c r="K4714" s="76">
        <v>2.1800000000000001E-4</v>
      </c>
      <c r="L4714" s="76">
        <v>1.8699999999999999E-4</v>
      </c>
      <c r="M4714" s="76">
        <v>2.7999999999999998E-4</v>
      </c>
    </row>
    <row r="4715" spans="3:13" x14ac:dyDescent="0.15">
      <c r="C4715" s="76">
        <v>662</v>
      </c>
      <c r="D4715" s="76">
        <v>2.4499999999999999E-5</v>
      </c>
      <c r="E4715" s="76">
        <v>5.3900000000000002E-5</v>
      </c>
      <c r="F4715" s="76">
        <v>7.86E-5</v>
      </c>
      <c r="G4715" s="76">
        <v>1.3100000000000001E-4</v>
      </c>
      <c r="H4715" s="76">
        <v>9.4699999999999998E-5</v>
      </c>
      <c r="I4715" s="76">
        <v>1.4100000000000001E-4</v>
      </c>
      <c r="J4715" s="76">
        <v>2.03E-4</v>
      </c>
      <c r="K4715" s="76">
        <v>2.0799999999999999E-4</v>
      </c>
      <c r="L4715" s="76">
        <v>3.1500000000000001E-4</v>
      </c>
      <c r="M4715" s="76">
        <v>2.1800000000000001E-4</v>
      </c>
    </row>
    <row r="4716" spans="3:13" x14ac:dyDescent="0.15">
      <c r="C4716" s="76">
        <v>664</v>
      </c>
      <c r="D4716" s="76">
        <v>2.2099999999999998E-5</v>
      </c>
      <c r="E4716" s="76">
        <v>2.9300000000000001E-5</v>
      </c>
      <c r="F4716" s="76">
        <v>8.5699999999999996E-5</v>
      </c>
      <c r="G4716" s="76">
        <v>1.25E-4</v>
      </c>
      <c r="H4716" s="76">
        <v>1.3300000000000001E-4</v>
      </c>
      <c r="I4716" s="76">
        <v>1.2300000000000001E-4</v>
      </c>
      <c r="J4716" s="76">
        <v>2.3900000000000001E-4</v>
      </c>
      <c r="K4716" s="76">
        <v>2.2000000000000001E-4</v>
      </c>
      <c r="L4716" s="76">
        <v>1.9799999999999999E-4</v>
      </c>
      <c r="M4716" s="76">
        <v>3.6299999999999999E-4</v>
      </c>
    </row>
    <row r="4717" spans="3:13" x14ac:dyDescent="0.15">
      <c r="C4717" s="76">
        <v>666</v>
      </c>
      <c r="D4717" s="76">
        <v>2.9E-5</v>
      </c>
      <c r="E4717" s="76">
        <v>4.3000000000000002E-5</v>
      </c>
      <c r="F4717" s="76">
        <v>6.7999999999999999E-5</v>
      </c>
      <c r="G4717" s="76">
        <v>9.9199999999999999E-5</v>
      </c>
      <c r="H4717" s="76">
        <v>1.1900000000000001E-4</v>
      </c>
      <c r="I4717" s="76">
        <v>1.2400000000000001E-4</v>
      </c>
      <c r="J4717" s="76">
        <v>1.74E-4</v>
      </c>
      <c r="K4717" s="76">
        <v>2.12E-4</v>
      </c>
      <c r="L4717" s="76">
        <v>2.7900000000000001E-4</v>
      </c>
      <c r="M4717" s="76">
        <v>2.3499999999999999E-4</v>
      </c>
    </row>
    <row r="4718" spans="3:13" x14ac:dyDescent="0.15">
      <c r="C4718" s="76">
        <v>668</v>
      </c>
      <c r="D4718" s="76">
        <v>2.44E-5</v>
      </c>
      <c r="E4718" s="76">
        <v>4.9200000000000003E-5</v>
      </c>
      <c r="F4718" s="76">
        <v>8.5000000000000006E-5</v>
      </c>
      <c r="G4718" s="76">
        <v>1.18E-4</v>
      </c>
      <c r="H4718" s="76">
        <v>1.3300000000000001E-4</v>
      </c>
      <c r="I4718" s="76">
        <v>8.25E-5</v>
      </c>
      <c r="J4718" s="76">
        <v>1.55E-4</v>
      </c>
      <c r="K4718" s="76">
        <v>2.4600000000000002E-4</v>
      </c>
      <c r="L4718" s="76">
        <v>3.3300000000000002E-4</v>
      </c>
      <c r="M4718" s="76">
        <v>3.5E-4</v>
      </c>
    </row>
    <row r="4719" spans="3:13" x14ac:dyDescent="0.15">
      <c r="C4719" s="76">
        <v>670</v>
      </c>
      <c r="D4719" s="76">
        <v>1.9199999999999999E-5</v>
      </c>
      <c r="E4719" s="76">
        <v>3.8099999999999998E-5</v>
      </c>
      <c r="F4719" s="76">
        <v>6.4300000000000004E-5</v>
      </c>
      <c r="G4719" s="76">
        <v>1.05E-4</v>
      </c>
      <c r="H4719" s="76">
        <v>1.25E-4</v>
      </c>
      <c r="I4719" s="76">
        <v>8.0199999999999998E-5</v>
      </c>
      <c r="J4719" s="76">
        <v>1.4799999999999999E-4</v>
      </c>
      <c r="K4719" s="76">
        <v>3.4000000000000002E-4</v>
      </c>
      <c r="L4719" s="76">
        <v>3.6299999999999999E-4</v>
      </c>
      <c r="M4719" s="76">
        <v>3.5100000000000002E-4</v>
      </c>
    </row>
    <row r="4720" spans="3:13" x14ac:dyDescent="0.15">
      <c r="C4720" s="76">
        <v>672</v>
      </c>
      <c r="D4720" s="76">
        <v>2.87E-5</v>
      </c>
      <c r="E4720" s="76">
        <v>3.1000000000000001E-5</v>
      </c>
      <c r="F4720" s="76">
        <v>4.0800000000000002E-5</v>
      </c>
      <c r="G4720" s="76">
        <v>1.2E-4</v>
      </c>
      <c r="H4720" s="76">
        <v>9.2999999999999997E-5</v>
      </c>
      <c r="I4720" s="76">
        <v>8.1000000000000004E-5</v>
      </c>
      <c r="J4720" s="76">
        <v>1.0399999999999999E-4</v>
      </c>
      <c r="K4720" s="76">
        <v>2.5700000000000001E-4</v>
      </c>
      <c r="L4720" s="76">
        <v>2.3599999999999999E-4</v>
      </c>
      <c r="M4720" s="76">
        <v>3.2000000000000003E-4</v>
      </c>
    </row>
    <row r="4721" spans="3:13" x14ac:dyDescent="0.15">
      <c r="C4721" s="76">
        <v>674</v>
      </c>
      <c r="D4721" s="76">
        <v>3.0599999999999998E-5</v>
      </c>
      <c r="E4721" s="76">
        <v>1.8E-5</v>
      </c>
      <c r="F4721" s="76">
        <v>5.6799999999999998E-5</v>
      </c>
      <c r="G4721" s="76">
        <v>7.2200000000000007E-5</v>
      </c>
      <c r="H4721" s="76">
        <v>9.9599999999999995E-5</v>
      </c>
      <c r="I4721" s="76">
        <v>1.35E-4</v>
      </c>
      <c r="J4721" s="76">
        <v>2.2900000000000001E-4</v>
      </c>
      <c r="K4721" s="76">
        <v>1.95E-4</v>
      </c>
      <c r="L4721" s="76">
        <v>1.7799999999999999E-4</v>
      </c>
      <c r="M4721" s="76">
        <v>3.3199999999999999E-4</v>
      </c>
    </row>
    <row r="4722" spans="3:13" x14ac:dyDescent="0.15">
      <c r="C4722" s="76">
        <v>676</v>
      </c>
      <c r="D4722" s="76">
        <v>2.4899999999999999E-5</v>
      </c>
      <c r="E4722" s="76">
        <v>2.02E-5</v>
      </c>
      <c r="F4722" s="76">
        <v>6.41E-5</v>
      </c>
      <c r="G4722" s="76">
        <v>1.02E-4</v>
      </c>
      <c r="H4722" s="76">
        <v>8.6100000000000006E-5</v>
      </c>
      <c r="I4722" s="76">
        <v>7.5799999999999999E-5</v>
      </c>
      <c r="J4722" s="76">
        <v>1.66E-4</v>
      </c>
      <c r="K4722" s="76">
        <v>2.4000000000000001E-4</v>
      </c>
      <c r="L4722" s="76">
        <v>2.4800000000000001E-4</v>
      </c>
      <c r="M4722" s="76">
        <v>3.4000000000000002E-4</v>
      </c>
    </row>
    <row r="4723" spans="3:13" x14ac:dyDescent="0.15">
      <c r="C4723" s="76">
        <v>678</v>
      </c>
      <c r="D4723" s="76">
        <v>2.94E-5</v>
      </c>
      <c r="E4723" s="76">
        <v>1.0900000000000001E-5</v>
      </c>
      <c r="F4723" s="76">
        <v>5.0300000000000003E-5</v>
      </c>
      <c r="G4723" s="76">
        <v>9.2499999999999999E-5</v>
      </c>
      <c r="H4723" s="76">
        <v>1.07E-4</v>
      </c>
      <c r="I4723" s="76">
        <v>6.3600000000000001E-5</v>
      </c>
      <c r="J4723" s="76">
        <v>1.56E-4</v>
      </c>
      <c r="K4723" s="76">
        <v>2.5099999999999998E-4</v>
      </c>
      <c r="L4723" s="76">
        <v>2.42E-4</v>
      </c>
      <c r="M4723" s="76">
        <v>2.61E-4</v>
      </c>
    </row>
    <row r="4724" spans="3:13" x14ac:dyDescent="0.15">
      <c r="C4724" s="76">
        <v>680</v>
      </c>
      <c r="D4724" s="76">
        <v>3.7700000000000002E-5</v>
      </c>
      <c r="E4724" s="76">
        <v>3.1699999999999998E-5</v>
      </c>
      <c r="F4724" s="76">
        <v>1.42E-5</v>
      </c>
      <c r="G4724" s="76">
        <v>5.0800000000000002E-5</v>
      </c>
      <c r="H4724" s="76">
        <v>1.4899999999999999E-4</v>
      </c>
      <c r="I4724" s="76">
        <v>1.2E-4</v>
      </c>
      <c r="J4724" s="76">
        <v>1.2999999999999999E-4</v>
      </c>
      <c r="K4724" s="76">
        <v>2.5500000000000002E-4</v>
      </c>
      <c r="L4724" s="76">
        <v>2.6400000000000002E-4</v>
      </c>
      <c r="M4724" s="76">
        <v>2.5500000000000002E-4</v>
      </c>
    </row>
    <row r="4725" spans="3:13" x14ac:dyDescent="0.15">
      <c r="C4725" s="76">
        <v>682</v>
      </c>
      <c r="D4725" s="76">
        <v>3.2199999999999997E-5</v>
      </c>
      <c r="E4725" s="76">
        <v>1.0499999999999999E-5</v>
      </c>
      <c r="F4725" s="76">
        <v>5.3600000000000002E-5</v>
      </c>
      <c r="G4725" s="76">
        <v>3.9100000000000002E-5</v>
      </c>
      <c r="H4725" s="76">
        <v>9.7800000000000006E-5</v>
      </c>
      <c r="I4725" s="76">
        <v>1.16E-4</v>
      </c>
      <c r="J4725" s="76">
        <v>1.01E-4</v>
      </c>
      <c r="K4725" s="76">
        <v>1.95E-4</v>
      </c>
      <c r="L4725" s="76">
        <v>2.4600000000000002E-4</v>
      </c>
      <c r="M4725" s="76">
        <v>3.0600000000000001E-4</v>
      </c>
    </row>
    <row r="4726" spans="3:13" x14ac:dyDescent="0.15">
      <c r="C4726" s="76">
        <v>684</v>
      </c>
      <c r="D4726" s="76">
        <v>2.55E-5</v>
      </c>
      <c r="E4726" s="76">
        <v>1.7E-5</v>
      </c>
      <c r="F4726" s="76">
        <v>3.7700000000000002E-5</v>
      </c>
      <c r="G4726" s="76">
        <v>7.1099999999999994E-5</v>
      </c>
      <c r="H4726" s="76">
        <v>1.07E-4</v>
      </c>
      <c r="I4726" s="76">
        <v>1.16E-4</v>
      </c>
      <c r="J4726" s="76">
        <v>9.0099999999999995E-5</v>
      </c>
      <c r="K4726" s="76">
        <v>2.7E-4</v>
      </c>
      <c r="L4726" s="76">
        <v>2.0799999999999999E-4</v>
      </c>
      <c r="M4726" s="76">
        <v>3.01E-4</v>
      </c>
    </row>
    <row r="4727" spans="3:13" x14ac:dyDescent="0.15">
      <c r="C4727" s="76">
        <v>686</v>
      </c>
      <c r="D4727" s="76">
        <v>3.2700000000000002E-5</v>
      </c>
      <c r="E4727" s="76">
        <v>1.8499999999999999E-5</v>
      </c>
      <c r="F4727" s="76">
        <v>3.9499999999999998E-5</v>
      </c>
      <c r="G4727" s="76">
        <v>8.7399999999999997E-5</v>
      </c>
      <c r="H4727" s="76">
        <v>8.2200000000000006E-5</v>
      </c>
      <c r="I4727" s="76">
        <v>1.02E-4</v>
      </c>
      <c r="J4727" s="76">
        <v>1.02E-4</v>
      </c>
      <c r="K4727" s="76">
        <v>2.41E-4</v>
      </c>
      <c r="L4727" s="76">
        <v>2.4899999999999998E-4</v>
      </c>
      <c r="M4727" s="76">
        <v>2.4699999999999999E-4</v>
      </c>
    </row>
    <row r="4728" spans="3:13" x14ac:dyDescent="0.15">
      <c r="C4728" s="76">
        <v>688</v>
      </c>
      <c r="D4728" s="76">
        <v>2.7399999999999999E-5</v>
      </c>
      <c r="E4728" s="76">
        <v>4.7800000000000003E-5</v>
      </c>
      <c r="F4728" s="76">
        <v>3.3099999999999998E-5</v>
      </c>
      <c r="G4728" s="76">
        <v>5.3100000000000003E-5</v>
      </c>
      <c r="H4728" s="76">
        <v>1.02E-4</v>
      </c>
      <c r="I4728" s="76">
        <v>9.4900000000000003E-5</v>
      </c>
      <c r="J4728" s="76">
        <v>9.6100000000000005E-5</v>
      </c>
      <c r="K4728" s="76">
        <v>2.4800000000000001E-4</v>
      </c>
      <c r="L4728" s="76">
        <v>2.2699999999999999E-4</v>
      </c>
      <c r="M4728" s="76">
        <v>8.8999999999999995E-5</v>
      </c>
    </row>
    <row r="4729" spans="3:13" x14ac:dyDescent="0.15">
      <c r="C4729" s="76">
        <v>690</v>
      </c>
      <c r="D4729" s="76">
        <v>2.6299999999999999E-5</v>
      </c>
      <c r="E4729" s="76">
        <v>1.7E-5</v>
      </c>
      <c r="F4729" s="76">
        <v>3.2299999999999999E-5</v>
      </c>
      <c r="G4729" s="76">
        <v>4.4799999999999998E-5</v>
      </c>
      <c r="H4729" s="76">
        <v>9.7800000000000006E-5</v>
      </c>
      <c r="I4729" s="76">
        <v>7.7200000000000006E-5</v>
      </c>
      <c r="J4729" s="76">
        <v>1.2799999999999999E-4</v>
      </c>
      <c r="K4729" s="76">
        <v>2.5999999999999998E-4</v>
      </c>
      <c r="L4729" s="76">
        <v>2.31E-4</v>
      </c>
      <c r="M4729" s="76">
        <v>3.48E-4</v>
      </c>
    </row>
    <row r="4730" spans="3:13" x14ac:dyDescent="0.15">
      <c r="C4730" s="76">
        <v>692</v>
      </c>
      <c r="D4730" s="76">
        <v>2.5400000000000001E-5</v>
      </c>
      <c r="E4730" s="76">
        <v>1.5099999999999999E-5</v>
      </c>
      <c r="F4730" s="76">
        <v>1.6699999999999999E-5</v>
      </c>
      <c r="G4730" s="76">
        <v>5.5000000000000002E-5</v>
      </c>
      <c r="H4730" s="76">
        <v>1.0900000000000001E-4</v>
      </c>
      <c r="I4730" s="76">
        <v>8.42E-5</v>
      </c>
      <c r="J4730" s="76">
        <v>1.07E-4</v>
      </c>
      <c r="K4730" s="76">
        <v>3.1199999999999999E-4</v>
      </c>
      <c r="L4730" s="76">
        <v>2.2900000000000001E-4</v>
      </c>
      <c r="M4730" s="76">
        <v>2.1599999999999999E-4</v>
      </c>
    </row>
    <row r="4731" spans="3:13" x14ac:dyDescent="0.15">
      <c r="C4731" s="76">
        <v>694</v>
      </c>
      <c r="D4731" s="76">
        <v>2.23E-5</v>
      </c>
      <c r="E4731" s="76">
        <v>6.6699999999999997E-6</v>
      </c>
      <c r="F4731" s="76">
        <v>2.4600000000000002E-5</v>
      </c>
      <c r="G4731" s="76">
        <v>5.1E-5</v>
      </c>
      <c r="H4731" s="76">
        <v>1.05E-4</v>
      </c>
      <c r="I4731" s="76">
        <v>5.8E-5</v>
      </c>
      <c r="J4731" s="76">
        <v>6.7899999999999997E-5</v>
      </c>
      <c r="K4731" s="76">
        <v>2.6699999999999998E-4</v>
      </c>
      <c r="L4731" s="76">
        <v>1.6200000000000001E-4</v>
      </c>
      <c r="M4731" s="76">
        <v>1.8599999999999999E-4</v>
      </c>
    </row>
    <row r="4732" spans="3:13" x14ac:dyDescent="0.15">
      <c r="C4732" s="76">
        <v>696</v>
      </c>
      <c r="D4732" s="76">
        <v>2.9899999999999998E-5</v>
      </c>
      <c r="E4732" s="76">
        <v>2.7100000000000001E-5</v>
      </c>
      <c r="F4732" s="76">
        <v>2.4000000000000001E-5</v>
      </c>
      <c r="G4732" s="76">
        <v>5.24E-5</v>
      </c>
      <c r="H4732" s="76">
        <v>3.5299999999999997E-5</v>
      </c>
      <c r="I4732" s="76">
        <v>6.7000000000000002E-5</v>
      </c>
      <c r="J4732" s="76">
        <v>7.4400000000000006E-5</v>
      </c>
      <c r="K4732" s="76">
        <v>2.5399999999999999E-4</v>
      </c>
      <c r="L4732" s="76">
        <v>1.18E-4</v>
      </c>
      <c r="M4732" s="76">
        <v>2.0100000000000001E-4</v>
      </c>
    </row>
    <row r="4733" spans="3:13" x14ac:dyDescent="0.15">
      <c r="C4733" s="76">
        <v>698</v>
      </c>
      <c r="D4733" s="76">
        <v>1.91E-5</v>
      </c>
      <c r="E4733" s="76">
        <v>2.6800000000000001E-5</v>
      </c>
      <c r="F4733" s="76">
        <v>3.8500000000000001E-5</v>
      </c>
      <c r="G4733" s="76">
        <v>5.38E-5</v>
      </c>
      <c r="H4733" s="76">
        <v>1.5200000000000001E-4</v>
      </c>
      <c r="I4733" s="76">
        <v>5.5999999999999999E-5</v>
      </c>
      <c r="J4733" s="76">
        <v>8.7700000000000004E-5</v>
      </c>
      <c r="K4733" s="76">
        <v>1.85E-4</v>
      </c>
      <c r="L4733" s="76">
        <v>1.3200000000000001E-4</v>
      </c>
      <c r="M4733" s="76">
        <v>1.27E-4</v>
      </c>
    </row>
    <row r="4734" spans="3:13" x14ac:dyDescent="0.15">
      <c r="C4734" s="76">
        <v>700</v>
      </c>
      <c r="D4734" s="76">
        <v>2.2200000000000001E-5</v>
      </c>
      <c r="E4734" s="76">
        <v>1.6200000000000001E-5</v>
      </c>
      <c r="F4734" s="76">
        <v>6.7700000000000006E-5</v>
      </c>
      <c r="G4734" s="76">
        <v>5.38E-5</v>
      </c>
      <c r="H4734" s="76">
        <v>1.2899999999999999E-4</v>
      </c>
      <c r="I4734" s="76">
        <v>2.8900000000000001E-5</v>
      </c>
      <c r="J4734" s="76">
        <v>3.0000000000000001E-5</v>
      </c>
      <c r="K4734" s="76">
        <v>1.8599999999999999E-4</v>
      </c>
      <c r="L4734" s="76">
        <v>1.3300000000000001E-4</v>
      </c>
      <c r="M4734" s="76">
        <v>1.3100000000000001E-4</v>
      </c>
    </row>
    <row r="4735" spans="3:13" x14ac:dyDescent="0.15">
      <c r="C4735" s="76">
        <v>702</v>
      </c>
      <c r="D4735" s="76">
        <v>2.6999999999999999E-5</v>
      </c>
      <c r="E4735" s="76">
        <v>2.6299999999999999E-5</v>
      </c>
      <c r="F4735" s="76">
        <v>5.5999999999999999E-5</v>
      </c>
      <c r="G4735" s="76">
        <v>2.5700000000000001E-5</v>
      </c>
      <c r="H4735" s="76">
        <v>1.25E-4</v>
      </c>
      <c r="I4735" s="76">
        <v>7.1400000000000001E-5</v>
      </c>
      <c r="J4735" s="76">
        <v>1.27E-4</v>
      </c>
      <c r="K4735" s="76">
        <v>1.92E-4</v>
      </c>
      <c r="L4735" s="76">
        <v>1.83E-4</v>
      </c>
      <c r="M4735" s="76">
        <v>4.9700000000000002E-5</v>
      </c>
    </row>
    <row r="4736" spans="3:13" x14ac:dyDescent="0.15">
      <c r="C4736" s="76">
        <v>704</v>
      </c>
      <c r="D4736" s="76">
        <v>2.23E-5</v>
      </c>
      <c r="E4736" s="76">
        <v>4.3900000000000003E-5</v>
      </c>
      <c r="F4736" s="76">
        <v>4.8600000000000002E-5</v>
      </c>
      <c r="G4736" s="76">
        <v>9.9799999999999993E-6</v>
      </c>
      <c r="H4736" s="76">
        <v>1.02E-4</v>
      </c>
      <c r="I4736" s="76">
        <v>6.4900000000000005E-5</v>
      </c>
      <c r="J4736" s="76">
        <v>1.08E-4</v>
      </c>
      <c r="K4736" s="76">
        <v>1.8100000000000001E-4</v>
      </c>
      <c r="L4736" s="76">
        <v>4.1999999999999998E-5</v>
      </c>
      <c r="M4736" s="76">
        <v>2.1499999999999999E-4</v>
      </c>
    </row>
    <row r="4737" spans="3:13" x14ac:dyDescent="0.15">
      <c r="C4737" s="76">
        <v>706</v>
      </c>
      <c r="D4737" s="76">
        <v>1.8899999999999999E-5</v>
      </c>
      <c r="E4737" s="76">
        <v>4.7800000000000003E-5</v>
      </c>
      <c r="F4737" s="76">
        <v>5.2299999999999997E-5</v>
      </c>
      <c r="G4737" s="76">
        <v>0</v>
      </c>
      <c r="H4737" s="76">
        <v>1.13E-4</v>
      </c>
      <c r="I4737" s="76">
        <v>7.0199999999999999E-5</v>
      </c>
      <c r="J4737" s="76">
        <v>1.47E-4</v>
      </c>
      <c r="K4737" s="76">
        <v>1.3999999999999999E-4</v>
      </c>
      <c r="L4737" s="76">
        <v>8.8599999999999999E-5</v>
      </c>
      <c r="M4737" s="76">
        <v>2.41E-5</v>
      </c>
    </row>
    <row r="4738" spans="3:13" x14ac:dyDescent="0.15">
      <c r="C4738" s="76">
        <v>708</v>
      </c>
      <c r="D4738" s="76">
        <v>1.6900000000000001E-5</v>
      </c>
      <c r="E4738" s="76">
        <v>3.93E-5</v>
      </c>
      <c r="F4738" s="76">
        <v>5.6400000000000002E-5</v>
      </c>
      <c r="G4738" s="76">
        <v>2.26E-5</v>
      </c>
      <c r="H4738" s="76">
        <v>8.0099999999999995E-5</v>
      </c>
      <c r="I4738" s="76">
        <v>4.7899999999999999E-5</v>
      </c>
      <c r="J4738" s="76">
        <v>1.2400000000000001E-4</v>
      </c>
      <c r="K4738" s="76">
        <v>1.36E-4</v>
      </c>
      <c r="L4738" s="76">
        <v>9.2600000000000001E-5</v>
      </c>
      <c r="M4738" s="76">
        <v>5.4700000000000001E-5</v>
      </c>
    </row>
    <row r="4739" spans="3:13" x14ac:dyDescent="0.15">
      <c r="C4739" s="76">
        <v>710</v>
      </c>
      <c r="D4739" s="76">
        <v>1.49E-5</v>
      </c>
      <c r="E4739" s="76">
        <v>4.5500000000000001E-5</v>
      </c>
      <c r="F4739" s="76">
        <v>6.0399999999999998E-5</v>
      </c>
      <c r="G4739" s="76">
        <v>3.4400000000000003E-5</v>
      </c>
      <c r="H4739" s="76">
        <v>8.6700000000000007E-5</v>
      </c>
      <c r="I4739" s="76">
        <v>1.2899999999999999E-4</v>
      </c>
      <c r="J4739" s="76">
        <v>1.07E-4</v>
      </c>
      <c r="K4739" s="76">
        <v>1.47E-4</v>
      </c>
      <c r="L4739" s="76">
        <v>7.9900000000000004E-5</v>
      </c>
      <c r="M4739" s="76">
        <v>5.9200000000000002E-5</v>
      </c>
    </row>
    <row r="4740" spans="3:13" x14ac:dyDescent="0.15">
      <c r="C4740" s="76">
        <v>712</v>
      </c>
      <c r="D4740" s="76">
        <v>1.11E-5</v>
      </c>
      <c r="E4740" s="76">
        <v>5.7899999999999998E-5</v>
      </c>
      <c r="F4740" s="76">
        <v>5.3600000000000002E-5</v>
      </c>
      <c r="G4740" s="76">
        <v>1.5099999999999999E-5</v>
      </c>
      <c r="H4740" s="76">
        <v>6.2799999999999995E-5</v>
      </c>
      <c r="I4740" s="76">
        <v>7.1000000000000005E-5</v>
      </c>
      <c r="J4740" s="76">
        <v>1.27E-4</v>
      </c>
      <c r="K4740" s="76">
        <v>5.7399999999999999E-5</v>
      </c>
      <c r="L4740" s="76">
        <v>9.9599999999999995E-6</v>
      </c>
      <c r="M4740" s="76">
        <v>2.3499999999999999E-5</v>
      </c>
    </row>
    <row r="4741" spans="3:13" x14ac:dyDescent="0.15">
      <c r="C4741" s="76">
        <v>714</v>
      </c>
      <c r="D4741" s="76">
        <v>8.3599999999999996E-6</v>
      </c>
      <c r="E4741" s="76">
        <v>6.3299999999999994E-5</v>
      </c>
      <c r="F4741" s="76">
        <v>5.0599999999999997E-5</v>
      </c>
      <c r="G4741" s="76">
        <v>3.3699999999999999E-6</v>
      </c>
      <c r="H4741" s="76">
        <v>1.6500000000000001E-5</v>
      </c>
      <c r="I4741" s="76">
        <v>8.6700000000000007E-5</v>
      </c>
      <c r="J4741" s="76">
        <v>1.8100000000000001E-4</v>
      </c>
      <c r="K4741" s="76">
        <v>3.3000000000000003E-5</v>
      </c>
      <c r="L4741" s="76">
        <v>4.3900000000000003E-5</v>
      </c>
      <c r="M4741" s="76">
        <v>5.2299999999999997E-5</v>
      </c>
    </row>
    <row r="4742" spans="3:13" x14ac:dyDescent="0.15">
      <c r="C4742" s="76">
        <v>716</v>
      </c>
      <c r="D4742" s="76">
        <v>3.4400000000000001E-6</v>
      </c>
      <c r="E4742" s="76">
        <v>6.9999999999999994E-5</v>
      </c>
      <c r="F4742" s="76">
        <v>2.73E-5</v>
      </c>
      <c r="G4742" s="76">
        <v>1.3499999999999999E-5</v>
      </c>
      <c r="H4742" s="76">
        <v>7.36E-5</v>
      </c>
      <c r="I4742" s="76">
        <v>7.3899999999999994E-5</v>
      </c>
      <c r="J4742" s="76">
        <v>1.45E-4</v>
      </c>
      <c r="K4742" s="76">
        <v>0</v>
      </c>
      <c r="L4742" s="76">
        <v>9.7100000000000002E-5</v>
      </c>
      <c r="M4742" s="76">
        <v>8.6899999999999998E-5</v>
      </c>
    </row>
    <row r="4743" spans="3:13" x14ac:dyDescent="0.15">
      <c r="C4743" s="76">
        <v>718</v>
      </c>
      <c r="D4743" s="76">
        <v>7.2400000000000001E-6</v>
      </c>
      <c r="E4743" s="76">
        <v>4.9700000000000002E-5</v>
      </c>
      <c r="F4743" s="76">
        <v>3.9799999999999998E-5</v>
      </c>
      <c r="G4743" s="76">
        <v>3.65E-5</v>
      </c>
      <c r="H4743" s="76">
        <v>5.1900000000000001E-5</v>
      </c>
      <c r="I4743" s="76">
        <v>8.9300000000000002E-5</v>
      </c>
      <c r="J4743" s="76">
        <v>1.3200000000000001E-4</v>
      </c>
      <c r="K4743" s="76">
        <v>5.1600000000000001E-5</v>
      </c>
      <c r="L4743" s="76">
        <v>1.1E-4</v>
      </c>
      <c r="M4743" s="76">
        <v>6.2400000000000004E-6</v>
      </c>
    </row>
    <row r="4744" spans="3:13" x14ac:dyDescent="0.15">
      <c r="C4744" s="76">
        <v>720</v>
      </c>
      <c r="D4744" s="76">
        <v>1.08E-5</v>
      </c>
      <c r="E4744" s="76">
        <v>4.8999999999999998E-5</v>
      </c>
      <c r="F4744" s="76">
        <v>4.71E-5</v>
      </c>
      <c r="G4744" s="76">
        <v>2.8399999999999999E-5</v>
      </c>
      <c r="H4744" s="76">
        <v>4.7700000000000001E-5</v>
      </c>
      <c r="I4744" s="76">
        <v>9.6899999999999997E-5</v>
      </c>
      <c r="J4744" s="76">
        <v>1.3899999999999999E-4</v>
      </c>
      <c r="K4744" s="76">
        <v>6.5900000000000003E-5</v>
      </c>
      <c r="L4744" s="76">
        <v>8.8499999999999996E-5</v>
      </c>
      <c r="M4744" s="76">
        <v>5.0500000000000001E-5</v>
      </c>
    </row>
    <row r="4745" spans="3:13" x14ac:dyDescent="0.15">
      <c r="C4745" s="76">
        <v>722</v>
      </c>
      <c r="D4745" s="76">
        <v>4.1099999999999996E-6</v>
      </c>
      <c r="E4745" s="76">
        <v>5.8900000000000002E-5</v>
      </c>
      <c r="F4745" s="76">
        <v>5.4700000000000001E-5</v>
      </c>
      <c r="G4745" s="76">
        <v>5.1700000000000003E-5</v>
      </c>
      <c r="H4745" s="76">
        <v>5.4799999999999997E-5</v>
      </c>
      <c r="I4745" s="76">
        <v>1.08E-4</v>
      </c>
      <c r="J4745" s="76">
        <v>1.12E-4</v>
      </c>
      <c r="K4745" s="76">
        <v>7.5199999999999998E-5</v>
      </c>
      <c r="L4745" s="76">
        <v>5.5000000000000002E-5</v>
      </c>
      <c r="M4745" s="76">
        <v>7.6499999999999996E-6</v>
      </c>
    </row>
    <row r="4746" spans="3:13" x14ac:dyDescent="0.15">
      <c r="C4746" s="76">
        <v>724</v>
      </c>
      <c r="D4746" s="76">
        <v>2.3099999999999999E-6</v>
      </c>
      <c r="E4746" s="76">
        <v>4.8000000000000001E-5</v>
      </c>
      <c r="F4746" s="76">
        <v>4.3600000000000003E-5</v>
      </c>
      <c r="G4746" s="76">
        <v>4.6900000000000002E-5</v>
      </c>
      <c r="H4746" s="76">
        <v>2.76E-5</v>
      </c>
      <c r="I4746" s="76">
        <v>1.35E-4</v>
      </c>
      <c r="J4746" s="76">
        <v>1.84E-4</v>
      </c>
      <c r="K4746" s="76">
        <v>9.5099999999999994E-5</v>
      </c>
      <c r="L4746" s="76">
        <v>6.4400000000000002E-6</v>
      </c>
      <c r="M4746" s="76">
        <v>1.43E-5</v>
      </c>
    </row>
    <row r="4747" spans="3:13" x14ac:dyDescent="0.15">
      <c r="C4747" s="76">
        <v>726</v>
      </c>
      <c r="D4747" s="76">
        <v>9.1400000000000006E-6</v>
      </c>
      <c r="E4747" s="76">
        <v>2.5700000000000001E-5</v>
      </c>
      <c r="F4747" s="76">
        <v>2.2200000000000001E-5</v>
      </c>
      <c r="G4747" s="76">
        <v>3.0000000000000001E-5</v>
      </c>
      <c r="H4747" s="76">
        <v>2.5199999999999999E-5</v>
      </c>
      <c r="I4747" s="76">
        <v>7.6600000000000005E-5</v>
      </c>
      <c r="J4747" s="76">
        <v>1.8100000000000001E-4</v>
      </c>
      <c r="K4747" s="76">
        <v>7.9300000000000003E-5</v>
      </c>
      <c r="L4747" s="76">
        <v>2.9799999999999998E-6</v>
      </c>
      <c r="M4747" s="76">
        <v>7.2299999999999996E-5</v>
      </c>
    </row>
    <row r="4748" spans="3:13" x14ac:dyDescent="0.15">
      <c r="C4748" s="76">
        <v>728</v>
      </c>
      <c r="D4748" s="76">
        <v>7.7200000000000006E-6</v>
      </c>
      <c r="E4748" s="76">
        <v>5.4400000000000001E-5</v>
      </c>
      <c r="F4748" s="76">
        <v>3.7100000000000001E-5</v>
      </c>
      <c r="G4748" s="76">
        <v>1.6799999999999998E-5</v>
      </c>
      <c r="H4748" s="76">
        <v>4.2200000000000003E-5</v>
      </c>
      <c r="I4748" s="76">
        <v>1.2999999999999999E-4</v>
      </c>
      <c r="J4748" s="76">
        <v>1.66E-4</v>
      </c>
      <c r="K4748" s="76">
        <v>1.27E-4</v>
      </c>
      <c r="L4748" s="76">
        <v>6.2000000000000003E-5</v>
      </c>
      <c r="M4748" s="76">
        <v>4.0800000000000002E-5</v>
      </c>
    </row>
    <row r="4749" spans="3:13" x14ac:dyDescent="0.15">
      <c r="C4749" s="76">
        <v>730</v>
      </c>
      <c r="D4749" s="76">
        <v>1.1800000000000001E-5</v>
      </c>
      <c r="E4749" s="76">
        <v>3.4E-5</v>
      </c>
      <c r="F4749" s="76">
        <v>4.74E-5</v>
      </c>
      <c r="G4749" s="76">
        <v>3.3599999999999997E-5</v>
      </c>
      <c r="H4749" s="76">
        <v>2.1100000000000001E-5</v>
      </c>
      <c r="I4749" s="76">
        <v>8.9499999999999994E-5</v>
      </c>
      <c r="J4749" s="76">
        <v>1.54E-4</v>
      </c>
      <c r="K4749" s="76">
        <v>1.44E-4</v>
      </c>
      <c r="L4749" s="76">
        <v>3.01E-5</v>
      </c>
      <c r="M4749" s="76">
        <v>1.2400000000000001E-4</v>
      </c>
    </row>
    <row r="4750" spans="3:13" x14ac:dyDescent="0.15">
      <c r="C4750" s="76">
        <v>732</v>
      </c>
      <c r="D4750" s="76">
        <v>1.1800000000000001E-5</v>
      </c>
      <c r="E4750" s="76">
        <v>3.4600000000000001E-5</v>
      </c>
      <c r="F4750" s="76">
        <v>1.06E-5</v>
      </c>
      <c r="G4750" s="76">
        <v>3.82E-5</v>
      </c>
      <c r="H4750" s="76">
        <v>3.6600000000000002E-5</v>
      </c>
      <c r="I4750" s="76">
        <v>9.0600000000000007E-5</v>
      </c>
      <c r="J4750" s="76">
        <v>1.6899999999999999E-4</v>
      </c>
      <c r="K4750" s="76">
        <v>1.84E-4</v>
      </c>
      <c r="L4750" s="76">
        <v>2.6299999999999999E-5</v>
      </c>
      <c r="M4750" s="76">
        <v>5.6799999999999998E-5</v>
      </c>
    </row>
    <row r="4751" spans="3:13" x14ac:dyDescent="0.15">
      <c r="C4751" s="76">
        <v>734</v>
      </c>
      <c r="D4751" s="76">
        <v>1.1800000000000001E-5</v>
      </c>
      <c r="E4751" s="76">
        <v>1.29E-5</v>
      </c>
      <c r="F4751" s="76">
        <v>3.43E-5</v>
      </c>
      <c r="G4751" s="76">
        <v>7.1699999999999995E-5</v>
      </c>
      <c r="H4751" s="76">
        <v>4.3099999999999997E-5</v>
      </c>
      <c r="I4751" s="76">
        <v>1.13E-4</v>
      </c>
      <c r="J4751" s="76">
        <v>1.6200000000000001E-4</v>
      </c>
      <c r="K4751" s="76">
        <v>1.7100000000000001E-4</v>
      </c>
      <c r="L4751" s="76">
        <v>4.99E-5</v>
      </c>
      <c r="M4751" s="76">
        <v>1.42E-5</v>
      </c>
    </row>
    <row r="4752" spans="3:13" x14ac:dyDescent="0.15">
      <c r="C4752" s="76">
        <v>736</v>
      </c>
      <c r="D4752" s="76">
        <v>1.15E-5</v>
      </c>
      <c r="E4752" s="76">
        <v>3.4400000000000003E-5</v>
      </c>
      <c r="F4752" s="76">
        <v>2.02E-5</v>
      </c>
      <c r="G4752" s="76">
        <v>4.5399999999999999E-5</v>
      </c>
      <c r="H4752" s="76">
        <v>6.0399999999999998E-5</v>
      </c>
      <c r="I4752" s="76">
        <v>5.6700000000000003E-5</v>
      </c>
      <c r="J4752" s="76">
        <v>1.64E-4</v>
      </c>
      <c r="K4752" s="76">
        <v>2.03E-4</v>
      </c>
      <c r="L4752" s="76">
        <v>8.2600000000000002E-5</v>
      </c>
      <c r="M4752" s="76">
        <v>7.7399999999999998E-5</v>
      </c>
    </row>
    <row r="4753" spans="3:13" x14ac:dyDescent="0.15">
      <c r="C4753" s="76">
        <v>738</v>
      </c>
      <c r="D4753" s="76">
        <v>1.27E-5</v>
      </c>
      <c r="E4753" s="76">
        <v>2.3600000000000001E-5</v>
      </c>
      <c r="F4753" s="76">
        <v>1.7099999999999999E-5</v>
      </c>
      <c r="G4753" s="76">
        <v>9.7100000000000002E-5</v>
      </c>
      <c r="H4753" s="76">
        <v>4.4799999999999998E-5</v>
      </c>
      <c r="I4753" s="76">
        <v>9.0799999999999998E-5</v>
      </c>
      <c r="J4753" s="76">
        <v>1.22E-4</v>
      </c>
      <c r="K4753" s="76">
        <v>2.05E-4</v>
      </c>
      <c r="L4753" s="76">
        <v>9.3499999999999996E-5</v>
      </c>
      <c r="M4753" s="76">
        <v>8.6600000000000004E-5</v>
      </c>
    </row>
    <row r="4754" spans="3:13" x14ac:dyDescent="0.15">
      <c r="C4754" s="76">
        <v>740</v>
      </c>
      <c r="D4754" s="76">
        <v>1.9599999999999999E-5</v>
      </c>
      <c r="E4754" s="76">
        <v>2.3099999999999999E-5</v>
      </c>
      <c r="F4754" s="76">
        <v>3.1E-6</v>
      </c>
      <c r="G4754" s="76">
        <v>9.3999999999999994E-5</v>
      </c>
      <c r="H4754" s="76">
        <v>4.0299999999999997E-5</v>
      </c>
      <c r="I4754" s="76">
        <v>9.1299999999999997E-5</v>
      </c>
      <c r="J4754" s="76">
        <v>7.1699999999999995E-5</v>
      </c>
      <c r="K4754" s="76">
        <v>1.8900000000000001E-4</v>
      </c>
      <c r="L4754" s="76">
        <v>9.98E-5</v>
      </c>
      <c r="M4754" s="76">
        <v>1.05E-4</v>
      </c>
    </row>
    <row r="4755" spans="3:13" x14ac:dyDescent="0.15">
      <c r="C4755" s="76">
        <v>742</v>
      </c>
      <c r="D4755" s="76">
        <v>2.6299999999999999E-5</v>
      </c>
      <c r="E4755" s="76">
        <v>1.08E-5</v>
      </c>
      <c r="F4755" s="76">
        <v>1.5299999999999999E-5</v>
      </c>
      <c r="G4755" s="76">
        <v>9.2999999999999997E-5</v>
      </c>
      <c r="H4755" s="76">
        <v>9.4400000000000004E-5</v>
      </c>
      <c r="I4755" s="76">
        <v>1.2799999999999999E-4</v>
      </c>
      <c r="J4755" s="76">
        <v>2.03E-4</v>
      </c>
      <c r="K4755" s="76">
        <v>1.85E-4</v>
      </c>
      <c r="L4755" s="76">
        <v>2.2799999999999999E-5</v>
      </c>
      <c r="M4755" s="76">
        <v>1.73E-4</v>
      </c>
    </row>
    <row r="4756" spans="3:13" x14ac:dyDescent="0.15">
      <c r="C4756" s="76">
        <v>744</v>
      </c>
      <c r="D4756" s="76">
        <v>2.2500000000000001E-5</v>
      </c>
      <c r="E4756" s="76">
        <v>2.1399999999999998E-5</v>
      </c>
      <c r="F4756" s="76">
        <v>0</v>
      </c>
      <c r="G4756" s="76">
        <v>5.7599999999999997E-5</v>
      </c>
      <c r="H4756" s="76">
        <v>8.8900000000000006E-5</v>
      </c>
      <c r="I4756" s="76">
        <v>5.8900000000000002E-5</v>
      </c>
      <c r="J4756" s="76">
        <v>8.8999999999999995E-5</v>
      </c>
      <c r="K4756" s="76">
        <v>2.2499999999999999E-4</v>
      </c>
      <c r="L4756" s="76">
        <v>9.3900000000000006E-5</v>
      </c>
      <c r="M4756" s="76">
        <v>1.54E-4</v>
      </c>
    </row>
    <row r="4757" spans="3:13" x14ac:dyDescent="0.15">
      <c r="C4757" s="76">
        <v>746</v>
      </c>
      <c r="D4757" s="76">
        <v>1.8600000000000001E-5</v>
      </c>
      <c r="E4757" s="76">
        <v>2.34E-5</v>
      </c>
      <c r="F4757" s="76">
        <v>2.4399999999999999E-6</v>
      </c>
      <c r="G4757" s="76">
        <v>6.1500000000000004E-5</v>
      </c>
      <c r="H4757" s="76">
        <v>4.18E-5</v>
      </c>
      <c r="I4757" s="76">
        <v>5.0099999999999998E-5</v>
      </c>
      <c r="J4757" s="76">
        <v>2.34E-5</v>
      </c>
      <c r="K4757" s="76">
        <v>2.22E-4</v>
      </c>
      <c r="L4757" s="76">
        <v>1.16E-4</v>
      </c>
      <c r="M4757" s="76">
        <v>2.7399999999999999E-4</v>
      </c>
    </row>
    <row r="4758" spans="3:13" x14ac:dyDescent="0.15">
      <c r="C4758" s="76">
        <v>748</v>
      </c>
      <c r="D4758" s="76">
        <v>2.8200000000000001E-5</v>
      </c>
      <c r="E4758" s="76">
        <v>3.3300000000000003E-5</v>
      </c>
      <c r="F4758" s="76">
        <v>1.8E-5</v>
      </c>
      <c r="G4758" s="76">
        <v>8.5000000000000006E-5</v>
      </c>
      <c r="H4758" s="76">
        <v>1.13E-4</v>
      </c>
      <c r="I4758" s="76">
        <v>4.8999999999999998E-5</v>
      </c>
      <c r="J4758" s="76">
        <v>8.0900000000000001E-5</v>
      </c>
      <c r="K4758" s="76">
        <v>2.5700000000000001E-4</v>
      </c>
      <c r="L4758" s="76">
        <v>7.5099999999999996E-5</v>
      </c>
      <c r="M4758" s="76">
        <v>2.0900000000000001E-4</v>
      </c>
    </row>
    <row r="4759" spans="3:13" x14ac:dyDescent="0.15">
      <c r="C4759" s="76">
        <v>750</v>
      </c>
      <c r="D4759" s="76">
        <v>3.5800000000000003E-5</v>
      </c>
      <c r="E4759" s="76">
        <v>2.2900000000000001E-5</v>
      </c>
      <c r="F4759" s="76">
        <v>2.7900000000000001E-5</v>
      </c>
      <c r="G4759" s="76">
        <v>8.4300000000000003E-5</v>
      </c>
      <c r="H4759" s="76">
        <v>8.3700000000000002E-5</v>
      </c>
      <c r="I4759" s="76">
        <v>5.7399999999999999E-5</v>
      </c>
      <c r="J4759" s="76">
        <v>0</v>
      </c>
      <c r="K4759" s="76">
        <v>2.0000000000000001E-4</v>
      </c>
      <c r="L4759" s="76">
        <v>1.11E-4</v>
      </c>
      <c r="M4759" s="76">
        <v>2.5700000000000001E-4</v>
      </c>
    </row>
    <row r="4760" spans="3:13" x14ac:dyDescent="0.15">
      <c r="C4760" s="76">
        <v>752</v>
      </c>
      <c r="D4760" s="76">
        <v>2.9899999999999998E-5</v>
      </c>
      <c r="E4760" s="76">
        <v>2.1399999999999998E-5</v>
      </c>
      <c r="F4760" s="76">
        <v>1.4800000000000001E-5</v>
      </c>
      <c r="G4760" s="76">
        <v>7.8100000000000001E-5</v>
      </c>
      <c r="H4760" s="76">
        <v>8.3300000000000005E-5</v>
      </c>
      <c r="I4760" s="76">
        <v>3.29E-5</v>
      </c>
      <c r="J4760" s="76">
        <v>7.6299999999999998E-5</v>
      </c>
      <c r="K4760" s="76">
        <v>2.0799999999999999E-4</v>
      </c>
      <c r="L4760" s="76">
        <v>1.5799999999999999E-4</v>
      </c>
      <c r="M4760" s="76">
        <v>2.7099999999999997E-4</v>
      </c>
    </row>
    <row r="4761" spans="3:13" x14ac:dyDescent="0.15">
      <c r="C4761" s="76">
        <v>754</v>
      </c>
      <c r="D4761" s="76">
        <v>3.2499999999999997E-5</v>
      </c>
      <c r="E4761" s="76">
        <v>3.6600000000000002E-5</v>
      </c>
      <c r="F4761" s="76">
        <v>1.1999999999999999E-6</v>
      </c>
      <c r="G4761" s="76">
        <v>6.7999999999999999E-5</v>
      </c>
      <c r="H4761" s="76">
        <v>1.08E-4</v>
      </c>
      <c r="I4761" s="76">
        <v>5.6499999999999998E-5</v>
      </c>
      <c r="J4761" s="76">
        <v>7.1899999999999999E-5</v>
      </c>
      <c r="K4761" s="76">
        <v>2.5500000000000002E-4</v>
      </c>
      <c r="L4761" s="76">
        <v>1.36E-4</v>
      </c>
      <c r="M4761" s="76">
        <v>2.1699999999999999E-4</v>
      </c>
    </row>
    <row r="4762" spans="3:13" x14ac:dyDescent="0.15">
      <c r="C4762" s="76">
        <v>756</v>
      </c>
      <c r="D4762" s="76">
        <v>2.5299999999999998E-5</v>
      </c>
      <c r="E4762" s="76">
        <v>3.8000000000000002E-5</v>
      </c>
      <c r="F4762" s="76">
        <v>5.6499999999999998E-5</v>
      </c>
      <c r="G4762" s="76">
        <v>7.36E-5</v>
      </c>
      <c r="H4762" s="76">
        <v>1.65E-4</v>
      </c>
      <c r="I4762" s="76">
        <v>1.29E-5</v>
      </c>
      <c r="J4762" s="76">
        <v>2.69E-5</v>
      </c>
      <c r="K4762" s="76">
        <v>3.1100000000000002E-4</v>
      </c>
      <c r="L4762" s="76">
        <v>1.6100000000000001E-4</v>
      </c>
      <c r="M4762" s="76">
        <v>2.0900000000000001E-4</v>
      </c>
    </row>
    <row r="4763" spans="3:13" x14ac:dyDescent="0.15">
      <c r="C4763" s="76">
        <v>758</v>
      </c>
      <c r="D4763" s="76">
        <v>3.2499999999999997E-5</v>
      </c>
      <c r="E4763" s="76">
        <v>1.52E-5</v>
      </c>
      <c r="F4763" s="76">
        <v>3.2499999999999997E-5</v>
      </c>
      <c r="G4763" s="76">
        <v>6.8800000000000005E-5</v>
      </c>
      <c r="H4763" s="76">
        <v>1.22E-4</v>
      </c>
      <c r="I4763" s="76">
        <v>3.8300000000000003E-5</v>
      </c>
      <c r="J4763" s="76">
        <v>6.1600000000000007E-5</v>
      </c>
      <c r="K4763" s="76">
        <v>1.4999999999999999E-4</v>
      </c>
      <c r="L4763" s="76">
        <v>2.3000000000000001E-4</v>
      </c>
      <c r="M4763" s="76">
        <v>1.73E-4</v>
      </c>
    </row>
    <row r="4764" spans="3:13" x14ac:dyDescent="0.15">
      <c r="C4764" s="76">
        <v>760</v>
      </c>
      <c r="D4764" s="76">
        <v>3.0300000000000001E-5</v>
      </c>
      <c r="E4764" s="76">
        <v>2.1500000000000001E-5</v>
      </c>
      <c r="F4764" s="76">
        <v>5.6699999999999999E-6</v>
      </c>
      <c r="G4764" s="76">
        <v>7.7700000000000005E-5</v>
      </c>
      <c r="H4764" s="76">
        <v>1.3799999999999999E-4</v>
      </c>
      <c r="I4764" s="76">
        <v>6.58E-5</v>
      </c>
      <c r="J4764" s="76">
        <v>3.2199999999999997E-5</v>
      </c>
      <c r="K4764" s="76">
        <v>9.7100000000000002E-5</v>
      </c>
      <c r="L4764" s="76">
        <v>2.1699999999999999E-4</v>
      </c>
      <c r="M4764" s="76">
        <v>2.05E-4</v>
      </c>
    </row>
    <row r="4765" spans="3:13" x14ac:dyDescent="0.15">
      <c r="C4765" s="76">
        <v>762</v>
      </c>
      <c r="D4765" s="76">
        <v>2.6699999999999998E-5</v>
      </c>
      <c r="E4765" s="76">
        <v>3.4999999999999997E-5</v>
      </c>
      <c r="F4765" s="76">
        <v>5.1499999999999998E-5</v>
      </c>
      <c r="G4765" s="76">
        <v>3.0899999999999999E-5</v>
      </c>
      <c r="H4765" s="76">
        <v>1.18E-4</v>
      </c>
      <c r="I4765" s="76">
        <v>4.3900000000000003E-5</v>
      </c>
      <c r="J4765" s="76">
        <v>7.9899999999999997E-6</v>
      </c>
      <c r="K4765" s="76">
        <v>4.5899999999999998E-5</v>
      </c>
      <c r="L4765" s="76">
        <v>1.65E-4</v>
      </c>
      <c r="M4765" s="76">
        <v>2.5500000000000002E-4</v>
      </c>
    </row>
    <row r="4766" spans="3:13" x14ac:dyDescent="0.15">
      <c r="C4766" s="76">
        <v>764</v>
      </c>
      <c r="D4766" s="76">
        <v>3.01E-5</v>
      </c>
      <c r="E4766" s="76">
        <v>4.5899999999999998E-5</v>
      </c>
      <c r="F4766" s="76">
        <v>3.7100000000000001E-5</v>
      </c>
      <c r="G4766" s="76">
        <v>1.44E-4</v>
      </c>
      <c r="H4766" s="76">
        <v>1.26E-4</v>
      </c>
      <c r="I4766" s="76">
        <v>8.8599999999999999E-5</v>
      </c>
      <c r="J4766" s="76">
        <v>9.7999999999999993E-6</v>
      </c>
      <c r="K4766" s="76">
        <v>5.1E-5</v>
      </c>
      <c r="L4766" s="76">
        <v>2.1499999999999999E-4</v>
      </c>
      <c r="M4766" s="76">
        <v>2.5900000000000001E-4</v>
      </c>
    </row>
    <row r="4767" spans="3:13" x14ac:dyDescent="0.15">
      <c r="C4767" s="76">
        <v>766</v>
      </c>
      <c r="D4767" s="76">
        <v>2.9099999999999999E-5</v>
      </c>
      <c r="E4767" s="76">
        <v>2.1299999999999999E-5</v>
      </c>
      <c r="F4767" s="76">
        <v>6.6699999999999997E-6</v>
      </c>
      <c r="G4767" s="76">
        <v>8.2600000000000002E-5</v>
      </c>
      <c r="H4767" s="76">
        <v>1E-4</v>
      </c>
      <c r="I4767" s="76">
        <v>9.7700000000000003E-5</v>
      </c>
      <c r="J4767" s="76">
        <v>2.6800000000000001E-5</v>
      </c>
      <c r="K4767" s="76">
        <v>1.98E-5</v>
      </c>
      <c r="L4767" s="76">
        <v>3.9300000000000001E-4</v>
      </c>
      <c r="M4767" s="76">
        <v>1.3200000000000001E-4</v>
      </c>
    </row>
    <row r="4768" spans="3:13" x14ac:dyDescent="0.15">
      <c r="C4768" s="76">
        <v>768</v>
      </c>
      <c r="D4768" s="76">
        <v>1.24E-5</v>
      </c>
      <c r="E4768" s="76">
        <v>3.0700000000000001E-5</v>
      </c>
      <c r="F4768" s="76">
        <v>2.2099999999999998E-5</v>
      </c>
      <c r="G4768" s="76">
        <v>3.0899999999999999E-5</v>
      </c>
      <c r="H4768" s="76">
        <v>1.02E-4</v>
      </c>
      <c r="I4768" s="76">
        <v>5.1199999999999998E-5</v>
      </c>
      <c r="J4768" s="76">
        <v>4.7200000000000002E-5</v>
      </c>
      <c r="K4768" s="76">
        <v>8.8799999999999997E-6</v>
      </c>
      <c r="L4768" s="76">
        <v>3.1599999999999998E-4</v>
      </c>
      <c r="M4768" s="76">
        <v>1.5300000000000001E-4</v>
      </c>
    </row>
    <row r="4769" spans="2:13" x14ac:dyDescent="0.15">
      <c r="C4769" s="76">
        <v>770</v>
      </c>
      <c r="D4769" s="76">
        <v>2.1399999999999998E-5</v>
      </c>
      <c r="E4769" s="76">
        <v>2.6699999999999998E-5</v>
      </c>
      <c r="F4769" s="76">
        <v>1.9599999999999999E-5</v>
      </c>
      <c r="G4769" s="76">
        <v>7.6199999999999995E-5</v>
      </c>
      <c r="H4769" s="76">
        <v>1.0900000000000001E-4</v>
      </c>
      <c r="I4769" s="76">
        <v>8.9099999999999997E-5</v>
      </c>
      <c r="J4769" s="76">
        <v>5.1700000000000003E-5</v>
      </c>
      <c r="K4769" s="76">
        <v>1.27E-4</v>
      </c>
      <c r="L4769" s="76">
        <v>2.81E-4</v>
      </c>
      <c r="M4769" s="76">
        <v>2.3000000000000001E-4</v>
      </c>
    </row>
    <row r="4770" spans="2:13" x14ac:dyDescent="0.15">
      <c r="C4770" s="76">
        <v>772</v>
      </c>
      <c r="D4770" s="76">
        <v>2.4000000000000001E-5</v>
      </c>
      <c r="E4770" s="76">
        <v>4.85E-5</v>
      </c>
      <c r="F4770" s="76">
        <v>1.9700000000000001E-5</v>
      </c>
      <c r="G4770" s="76">
        <v>1.2500000000000001E-5</v>
      </c>
      <c r="H4770" s="76">
        <v>8.9900000000000003E-5</v>
      </c>
      <c r="I4770" s="76">
        <v>1.3899999999999999E-4</v>
      </c>
      <c r="J4770" s="76">
        <v>2.05E-5</v>
      </c>
      <c r="K4770" s="76">
        <v>7.2000000000000002E-5</v>
      </c>
      <c r="L4770" s="76">
        <v>2.9500000000000001E-4</v>
      </c>
      <c r="M4770" s="76">
        <v>1.37E-4</v>
      </c>
    </row>
    <row r="4771" spans="2:13" x14ac:dyDescent="0.15">
      <c r="C4771" s="76">
        <v>774</v>
      </c>
      <c r="D4771" s="76">
        <v>2.83E-5</v>
      </c>
      <c r="E4771" s="76">
        <v>4.7200000000000002E-5</v>
      </c>
      <c r="F4771" s="76">
        <v>2.6800000000000001E-5</v>
      </c>
      <c r="G4771" s="76">
        <v>1.98E-5</v>
      </c>
      <c r="H4771" s="76">
        <v>3.6699999999999998E-5</v>
      </c>
      <c r="I4771" s="76">
        <v>1.8599999999999999E-4</v>
      </c>
      <c r="J4771" s="76">
        <v>2.97E-5</v>
      </c>
      <c r="K4771" s="76">
        <v>1.5999999999999999E-5</v>
      </c>
      <c r="L4771" s="76">
        <v>2.3900000000000001E-4</v>
      </c>
      <c r="M4771" s="76">
        <v>1.7899999999999999E-4</v>
      </c>
    </row>
    <row r="4772" spans="2:13" x14ac:dyDescent="0.15">
      <c r="C4772" s="76">
        <v>776</v>
      </c>
      <c r="D4772" s="76">
        <v>1.7200000000000001E-5</v>
      </c>
      <c r="E4772" s="76">
        <v>2.1999999999999999E-5</v>
      </c>
      <c r="F4772" s="76">
        <v>4.4799999999999998E-5</v>
      </c>
      <c r="G4772" s="76">
        <v>5.7300000000000002E-6</v>
      </c>
      <c r="H4772" s="76">
        <v>1.2899999999999999E-4</v>
      </c>
      <c r="I4772" s="76">
        <v>1.8900000000000001E-4</v>
      </c>
      <c r="J4772" s="76">
        <v>7.0500000000000006E-5</v>
      </c>
      <c r="K4772" s="76">
        <v>4.0000000000000003E-5</v>
      </c>
      <c r="L4772" s="76">
        <v>2.5300000000000002E-4</v>
      </c>
      <c r="M4772" s="76">
        <v>1.7100000000000001E-4</v>
      </c>
    </row>
    <row r="4773" spans="2:13" x14ac:dyDescent="0.15">
      <c r="C4773" s="76">
        <v>778</v>
      </c>
      <c r="D4773" s="76">
        <v>2.8E-5</v>
      </c>
      <c r="E4773" s="76">
        <v>1.63E-5</v>
      </c>
      <c r="F4773" s="76">
        <v>1.0000000000000001E-5</v>
      </c>
      <c r="G4773" s="76">
        <v>2.7100000000000001E-5</v>
      </c>
      <c r="H4773" s="76">
        <v>1.1E-4</v>
      </c>
      <c r="I4773" s="76">
        <v>1.5200000000000001E-4</v>
      </c>
      <c r="J4773" s="76">
        <v>1.11E-4</v>
      </c>
      <c r="K4773" s="76">
        <v>0</v>
      </c>
      <c r="L4773" s="76">
        <v>2.3900000000000001E-4</v>
      </c>
      <c r="M4773" s="76">
        <v>1.9799999999999999E-4</v>
      </c>
    </row>
    <row r="4774" spans="2:13" x14ac:dyDescent="0.15">
      <c r="C4774" s="76">
        <v>780</v>
      </c>
      <c r="D4774" s="76">
        <v>2.2799999999999999E-5</v>
      </c>
      <c r="E4774" s="120">
        <v>4.4700000000000002E-5</v>
      </c>
      <c r="F4774" s="120">
        <v>3.2700000000000002E-5</v>
      </c>
      <c r="G4774" s="120">
        <v>4.07E-5</v>
      </c>
      <c r="H4774" s="120">
        <v>1.2400000000000001E-4</v>
      </c>
      <c r="I4774" s="76">
        <v>2.0599999999999999E-4</v>
      </c>
      <c r="J4774" s="120">
        <v>8.7399999999999997E-5</v>
      </c>
      <c r="K4774" s="120">
        <v>2.55E-5</v>
      </c>
      <c r="L4774" s="76">
        <v>2.34E-4</v>
      </c>
      <c r="M4774" s="76">
        <v>2.5500000000000002E-4</v>
      </c>
    </row>
    <row r="4775" spans="2:13" x14ac:dyDescent="0.15">
      <c r="B4775" s="76">
        <v>53</v>
      </c>
      <c r="C4775" s="76" t="s">
        <v>561</v>
      </c>
      <c r="D4775" s="76">
        <v>1</v>
      </c>
      <c r="E4775" s="76">
        <v>2</v>
      </c>
      <c r="F4775" s="76">
        <v>3</v>
      </c>
      <c r="G4775" s="76">
        <v>4</v>
      </c>
      <c r="H4775" s="76">
        <v>5</v>
      </c>
      <c r="I4775" s="76">
        <v>6</v>
      </c>
      <c r="J4775" s="76">
        <v>7</v>
      </c>
      <c r="K4775" s="76">
        <v>8</v>
      </c>
      <c r="L4775" s="76">
        <v>9</v>
      </c>
      <c r="M4775" s="76">
        <v>10</v>
      </c>
    </row>
    <row r="4776" spans="2:13" x14ac:dyDescent="0.15">
      <c r="C4776" s="76" t="s">
        <v>556</v>
      </c>
      <c r="D4776" s="76">
        <v>3.57</v>
      </c>
      <c r="E4776" s="76">
        <v>3.7069999999999999</v>
      </c>
      <c r="F4776" s="76">
        <v>3.8050000000000002</v>
      </c>
      <c r="G4776" s="76">
        <v>3.8849999999999998</v>
      </c>
      <c r="H4776" s="76">
        <v>3.9540000000000002</v>
      </c>
      <c r="I4776" s="76">
        <v>4.016</v>
      </c>
      <c r="J4776" s="76">
        <v>4.0720000000000001</v>
      </c>
      <c r="K4776" s="76">
        <v>4.125</v>
      </c>
      <c r="L4776" s="76">
        <v>4.173</v>
      </c>
      <c r="M4776" s="76">
        <v>4.218</v>
      </c>
    </row>
    <row r="4777" spans="2:13" x14ac:dyDescent="0.15">
      <c r="C4777" s="76" t="s">
        <v>562</v>
      </c>
      <c r="D4777" s="76">
        <v>0.08</v>
      </c>
      <c r="E4777" s="76">
        <v>0.16</v>
      </c>
      <c r="F4777" s="76">
        <v>0.24</v>
      </c>
      <c r="G4777" s="76">
        <v>0.32</v>
      </c>
      <c r="H4777" s="76">
        <v>0.4</v>
      </c>
      <c r="I4777" s="76">
        <v>0.48</v>
      </c>
      <c r="J4777" s="76">
        <v>0.56000000000000005</v>
      </c>
      <c r="K4777" s="76">
        <v>0.64</v>
      </c>
      <c r="L4777" s="76">
        <v>0.72</v>
      </c>
      <c r="M4777" s="76">
        <v>0.8</v>
      </c>
    </row>
    <row r="4778" spans="2:13" x14ac:dyDescent="0.15">
      <c r="C4778" s="76" t="s">
        <v>557</v>
      </c>
      <c r="D4778" s="76">
        <v>2</v>
      </c>
      <c r="E4778" s="76">
        <v>4</v>
      </c>
      <c r="F4778" s="76">
        <v>6</v>
      </c>
      <c r="G4778" s="76">
        <v>8</v>
      </c>
      <c r="H4778" s="76">
        <v>10</v>
      </c>
      <c r="I4778" s="76">
        <v>12</v>
      </c>
      <c r="J4778" s="76">
        <v>14</v>
      </c>
      <c r="K4778" s="76">
        <v>16</v>
      </c>
      <c r="L4778" s="76">
        <v>18</v>
      </c>
      <c r="M4778" s="76">
        <v>20</v>
      </c>
    </row>
    <row r="4779" spans="2:13" x14ac:dyDescent="0.15">
      <c r="C4779" s="76" t="s">
        <v>560</v>
      </c>
      <c r="D4779" s="76">
        <v>8.2799999999999994</v>
      </c>
      <c r="E4779" s="76">
        <v>8.4339999999999993</v>
      </c>
      <c r="F4779" s="76">
        <v>8.4329999999999998</v>
      </c>
      <c r="G4779" s="76">
        <v>8.4329999999999998</v>
      </c>
      <c r="H4779" s="76">
        <v>8.4019999999999992</v>
      </c>
      <c r="I4779" s="76">
        <v>8.391</v>
      </c>
      <c r="J4779" s="76">
        <v>8.3710000000000004</v>
      </c>
      <c r="K4779" s="76">
        <v>8.343</v>
      </c>
      <c r="L4779" s="76">
        <v>8.3170000000000002</v>
      </c>
      <c r="M4779" s="76">
        <v>8.2899999999999991</v>
      </c>
    </row>
    <row r="4780" spans="2:13" x14ac:dyDescent="0.15">
      <c r="C4780" s="76" t="s">
        <v>563</v>
      </c>
      <c r="D4780" s="76">
        <v>7.2863009999999999</v>
      </c>
      <c r="E4780" s="76">
        <v>7.1469300000000002</v>
      </c>
      <c r="F4780" s="76">
        <v>6.9628319999999997</v>
      </c>
      <c r="G4780" s="76">
        <v>6.8203250000000004</v>
      </c>
      <c r="H4780" s="76">
        <v>6.6757720000000003</v>
      </c>
      <c r="I4780" s="76">
        <v>6.5640770000000002</v>
      </c>
      <c r="J4780" s="76">
        <v>6.4575509999999996</v>
      </c>
      <c r="K4780" s="76">
        <v>6.3550449999999996</v>
      </c>
      <c r="L4780" s="76">
        <v>6.2617019999999997</v>
      </c>
      <c r="M4780" s="76">
        <v>6.1745219999999996</v>
      </c>
    </row>
    <row r="4781" spans="2:13" x14ac:dyDescent="0.15">
      <c r="C4781" s="76" t="s">
        <v>564</v>
      </c>
      <c r="D4781" s="76">
        <v>165.6</v>
      </c>
      <c r="E4781" s="76">
        <v>337.4</v>
      </c>
      <c r="F4781" s="76">
        <v>506</v>
      </c>
      <c r="G4781" s="76">
        <v>674.7</v>
      </c>
      <c r="H4781" s="76">
        <v>840.3</v>
      </c>
      <c r="I4781" s="76">
        <v>1007</v>
      </c>
      <c r="J4781" s="76">
        <v>1172</v>
      </c>
      <c r="K4781" s="76">
        <v>1335</v>
      </c>
      <c r="L4781" s="76">
        <v>1497</v>
      </c>
      <c r="M4781" s="76">
        <v>1658</v>
      </c>
    </row>
    <row r="4782" spans="2:13" x14ac:dyDescent="0.15">
      <c r="C4782" s="76" t="s">
        <v>565</v>
      </c>
      <c r="D4782" s="76">
        <v>165.6</v>
      </c>
      <c r="E4782" s="76">
        <v>337.4</v>
      </c>
      <c r="F4782" s="76">
        <v>506</v>
      </c>
      <c r="G4782" s="76">
        <v>674.7</v>
      </c>
      <c r="H4782" s="76">
        <v>840.3</v>
      </c>
      <c r="I4782" s="76">
        <v>1007</v>
      </c>
      <c r="J4782" s="76">
        <v>1172</v>
      </c>
      <c r="K4782" s="76">
        <v>1335</v>
      </c>
      <c r="L4782" s="76">
        <v>1497</v>
      </c>
      <c r="M4782" s="76">
        <v>1658</v>
      </c>
    </row>
    <row r="4783" spans="2:13" x14ac:dyDescent="0.15">
      <c r="C4783" s="76" t="s">
        <v>566</v>
      </c>
      <c r="D4783" s="76">
        <v>0.13550000000000001</v>
      </c>
      <c r="E4783" s="76">
        <v>0.13539999999999999</v>
      </c>
      <c r="F4783" s="76">
        <v>0.1353</v>
      </c>
      <c r="G4783" s="76">
        <v>0.1353</v>
      </c>
      <c r="H4783" s="76">
        <v>0.1353</v>
      </c>
      <c r="I4783" s="76">
        <v>0.1353</v>
      </c>
      <c r="J4783" s="76">
        <v>0.13539999999999999</v>
      </c>
      <c r="K4783" s="76">
        <v>0.13539999999999999</v>
      </c>
      <c r="L4783" s="76">
        <v>0.1353</v>
      </c>
      <c r="M4783" s="76">
        <v>0.13539999999999999</v>
      </c>
    </row>
    <row r="4784" spans="2:13" x14ac:dyDescent="0.15">
      <c r="C4784" s="76" t="s">
        <v>567</v>
      </c>
      <c r="D4784" s="76">
        <v>0.1182</v>
      </c>
      <c r="E4784" s="76">
        <v>0.1181</v>
      </c>
      <c r="F4784" s="76">
        <v>0.1179</v>
      </c>
      <c r="G4784" s="76">
        <v>0.11799999999999999</v>
      </c>
      <c r="H4784" s="76">
        <v>0.1178</v>
      </c>
      <c r="I4784" s="76">
        <v>0.1179</v>
      </c>
      <c r="J4784" s="76">
        <v>0.1178</v>
      </c>
      <c r="K4784" s="76">
        <v>0.1178</v>
      </c>
      <c r="L4784" s="76">
        <v>0.1177</v>
      </c>
      <c r="M4784" s="76">
        <v>0.1176</v>
      </c>
    </row>
    <row r="4785" spans="3:13" x14ac:dyDescent="0.15">
      <c r="C4785" s="76" t="s">
        <v>568</v>
      </c>
      <c r="D4785" s="76">
        <v>9.1556999999999995</v>
      </c>
      <c r="E4785" s="76">
        <v>9.3352000000000004</v>
      </c>
      <c r="F4785" s="76">
        <v>9.3434000000000008</v>
      </c>
      <c r="G4785" s="76">
        <v>9.3328000000000007</v>
      </c>
      <c r="H4785" s="76">
        <v>9.3117000000000001</v>
      </c>
      <c r="I4785" s="76">
        <v>9.3003</v>
      </c>
      <c r="J4785" s="76">
        <v>9.2730999999999995</v>
      </c>
      <c r="K4785" s="76">
        <v>9.2586999999999993</v>
      </c>
      <c r="L4785" s="76">
        <v>9.2207000000000008</v>
      </c>
      <c r="M4785" s="76">
        <v>9.1990999999999996</v>
      </c>
    </row>
    <row r="4786" spans="3:13" x14ac:dyDescent="0.15">
      <c r="C4786" s="76" t="s">
        <v>569</v>
      </c>
    </row>
    <row r="4787" spans="3:13" x14ac:dyDescent="0.15">
      <c r="C4787" s="76" t="s">
        <v>570</v>
      </c>
      <c r="D4787" s="76">
        <v>4</v>
      </c>
      <c r="E4787" s="76">
        <v>4</v>
      </c>
      <c r="F4787" s="76">
        <v>4</v>
      </c>
      <c r="G4787" s="76">
        <v>4</v>
      </c>
      <c r="H4787" s="76">
        <v>4</v>
      </c>
      <c r="I4787" s="76">
        <v>4</v>
      </c>
      <c r="J4787" s="76">
        <v>4</v>
      </c>
      <c r="K4787" s="76">
        <v>4</v>
      </c>
      <c r="L4787" s="76">
        <v>4</v>
      </c>
      <c r="M4787" s="76">
        <v>4</v>
      </c>
    </row>
    <row r="4788" spans="3:13" x14ac:dyDescent="0.15">
      <c r="C4788" s="76" t="s">
        <v>571</v>
      </c>
      <c r="D4788" s="76">
        <v>100</v>
      </c>
      <c r="E4788" s="76">
        <v>100</v>
      </c>
      <c r="F4788" s="76">
        <v>100</v>
      </c>
      <c r="G4788" s="76">
        <v>100</v>
      </c>
      <c r="H4788" s="76">
        <v>100</v>
      </c>
      <c r="I4788" s="76">
        <v>100</v>
      </c>
      <c r="J4788" s="76">
        <v>100</v>
      </c>
      <c r="K4788" s="76">
        <v>100</v>
      </c>
      <c r="L4788" s="76">
        <v>100</v>
      </c>
      <c r="M4788" s="76">
        <v>100</v>
      </c>
    </row>
    <row r="4789" spans="3:13" x14ac:dyDescent="0.15">
      <c r="C4789" s="76" t="s">
        <v>572</v>
      </c>
      <c r="D4789" s="76" t="s">
        <v>574</v>
      </c>
      <c r="E4789" s="76" t="s">
        <v>574</v>
      </c>
      <c r="F4789" s="76" t="s">
        <v>574</v>
      </c>
      <c r="G4789" s="76" t="s">
        <v>574</v>
      </c>
      <c r="H4789" s="76" t="s">
        <v>574</v>
      </c>
      <c r="I4789" s="76" t="s">
        <v>574</v>
      </c>
      <c r="J4789" s="76" t="s">
        <v>574</v>
      </c>
      <c r="K4789" s="76" t="s">
        <v>574</v>
      </c>
      <c r="L4789" s="76" t="s">
        <v>574</v>
      </c>
      <c r="M4789" s="76" t="s">
        <v>574</v>
      </c>
    </row>
    <row r="4790" spans="3:13" x14ac:dyDescent="0.15">
      <c r="C4790" s="76" t="s">
        <v>573</v>
      </c>
      <c r="D4790" s="76">
        <v>1</v>
      </c>
      <c r="E4790" s="76">
        <v>2</v>
      </c>
      <c r="F4790" s="76">
        <v>3</v>
      </c>
      <c r="G4790" s="76">
        <v>4</v>
      </c>
      <c r="H4790" s="76">
        <v>5</v>
      </c>
      <c r="I4790" s="76">
        <v>6</v>
      </c>
      <c r="J4790" s="76">
        <v>7</v>
      </c>
      <c r="K4790" s="76">
        <v>8</v>
      </c>
      <c r="L4790" s="76">
        <v>9</v>
      </c>
      <c r="M4790" s="76">
        <v>10</v>
      </c>
    </row>
    <row r="4791" spans="3:13" x14ac:dyDescent="0.15">
      <c r="C4791" s="76">
        <v>380</v>
      </c>
      <c r="D4791" s="76">
        <v>1.46E-4</v>
      </c>
      <c r="E4791" s="76">
        <v>2.6800000000000001E-4</v>
      </c>
      <c r="F4791" s="76">
        <v>4.5600000000000003E-4</v>
      </c>
      <c r="G4791" s="76">
        <v>2.2900000000000001E-4</v>
      </c>
      <c r="H4791" s="76">
        <v>5.1199999999999998E-4</v>
      </c>
      <c r="I4791" s="76">
        <v>1.24E-3</v>
      </c>
      <c r="J4791" s="76">
        <v>3.9300000000000001E-4</v>
      </c>
      <c r="K4791" s="76">
        <v>1.17E-3</v>
      </c>
      <c r="L4791" s="76">
        <v>1.56E-3</v>
      </c>
      <c r="M4791" s="76">
        <v>1.7700000000000001E-3</v>
      </c>
    </row>
    <row r="4792" spans="3:13" x14ac:dyDescent="0.15">
      <c r="C4792" s="76">
        <v>382</v>
      </c>
      <c r="D4792" s="76">
        <v>1.3799999999999999E-4</v>
      </c>
      <c r="E4792" s="76">
        <v>2.7300000000000002E-4</v>
      </c>
      <c r="F4792" s="76">
        <v>4.5600000000000003E-4</v>
      </c>
      <c r="G4792" s="76">
        <v>2.52E-4</v>
      </c>
      <c r="H4792" s="76">
        <v>4.46E-4</v>
      </c>
      <c r="I4792" s="76">
        <v>1.0200000000000001E-3</v>
      </c>
      <c r="J4792" s="76">
        <v>3.8099999999999999E-4</v>
      </c>
      <c r="K4792" s="76">
        <v>1.2800000000000001E-3</v>
      </c>
      <c r="L4792" s="76">
        <v>1.41E-3</v>
      </c>
      <c r="M4792" s="76">
        <v>1.47E-3</v>
      </c>
    </row>
    <row r="4793" spans="3:13" x14ac:dyDescent="0.15">
      <c r="C4793" s="76">
        <v>384</v>
      </c>
      <c r="D4793" s="76">
        <v>9.0099999999999995E-5</v>
      </c>
      <c r="E4793" s="76">
        <v>2.7399999999999999E-4</v>
      </c>
      <c r="F4793" s="76">
        <v>4.2499999999999998E-4</v>
      </c>
      <c r="G4793" s="76">
        <v>3.8400000000000001E-4</v>
      </c>
      <c r="H4793" s="76">
        <v>5.9500000000000004E-4</v>
      </c>
      <c r="I4793" s="76">
        <v>9.5100000000000002E-4</v>
      </c>
      <c r="J4793" s="76">
        <v>2.99E-4</v>
      </c>
      <c r="K4793" s="76">
        <v>9.4399999999999996E-4</v>
      </c>
      <c r="L4793" s="76">
        <v>1.1100000000000001E-3</v>
      </c>
      <c r="M4793" s="76">
        <v>1.5900000000000001E-3</v>
      </c>
    </row>
    <row r="4794" spans="3:13" x14ac:dyDescent="0.15">
      <c r="C4794" s="76">
        <v>386</v>
      </c>
      <c r="D4794" s="76">
        <v>1.2899999999999999E-4</v>
      </c>
      <c r="E4794" s="76">
        <v>2.81E-4</v>
      </c>
      <c r="F4794" s="76">
        <v>3.59E-4</v>
      </c>
      <c r="G4794" s="76">
        <v>3.2400000000000001E-4</v>
      </c>
      <c r="H4794" s="76">
        <v>5.4299999999999997E-4</v>
      </c>
      <c r="I4794" s="76">
        <v>9.5699999999999995E-4</v>
      </c>
      <c r="J4794" s="76">
        <v>2.1900000000000001E-4</v>
      </c>
      <c r="K4794" s="76">
        <v>1.15E-3</v>
      </c>
      <c r="L4794" s="76">
        <v>1.25E-3</v>
      </c>
      <c r="M4794" s="76">
        <v>1.34E-3</v>
      </c>
    </row>
    <row r="4795" spans="3:13" x14ac:dyDescent="0.15">
      <c r="C4795" s="76">
        <v>388</v>
      </c>
      <c r="D4795" s="76">
        <v>1.3100000000000001E-4</v>
      </c>
      <c r="E4795" s="76">
        <v>2.7300000000000002E-4</v>
      </c>
      <c r="F4795" s="76">
        <v>4.5899999999999999E-4</v>
      </c>
      <c r="G4795" s="76">
        <v>2.4399999999999999E-4</v>
      </c>
      <c r="H4795" s="76">
        <v>6.9300000000000004E-4</v>
      </c>
      <c r="I4795" s="76">
        <v>8.8999999999999995E-4</v>
      </c>
      <c r="J4795" s="76">
        <v>2.5900000000000001E-4</v>
      </c>
      <c r="K4795" s="76">
        <v>1.15E-3</v>
      </c>
      <c r="L4795" s="76">
        <v>1.5299999999999999E-3</v>
      </c>
      <c r="M4795" s="76">
        <v>1.1999999999999999E-3</v>
      </c>
    </row>
    <row r="4796" spans="3:13" x14ac:dyDescent="0.15">
      <c r="C4796" s="76">
        <v>390</v>
      </c>
      <c r="D4796" s="76">
        <v>1.4300000000000001E-4</v>
      </c>
      <c r="E4796" s="76">
        <v>2.6400000000000002E-4</v>
      </c>
      <c r="F4796" s="76">
        <v>4.1800000000000002E-4</v>
      </c>
      <c r="G4796" s="76">
        <v>3.2899999999999997E-4</v>
      </c>
      <c r="H4796" s="76">
        <v>8.2299999999999995E-4</v>
      </c>
      <c r="I4796" s="76">
        <v>8.7799999999999998E-4</v>
      </c>
      <c r="J4796" s="76">
        <v>5.3399999999999997E-4</v>
      </c>
      <c r="K4796" s="76">
        <v>1.1800000000000001E-3</v>
      </c>
      <c r="L4796" s="76">
        <v>1.4499999999999999E-3</v>
      </c>
      <c r="M4796" s="76">
        <v>1.2199999999999999E-3</v>
      </c>
    </row>
    <row r="4797" spans="3:13" x14ac:dyDescent="0.15">
      <c r="C4797" s="76">
        <v>392</v>
      </c>
      <c r="D4797" s="76">
        <v>1.4999999999999999E-4</v>
      </c>
      <c r="E4797" s="76">
        <v>2.4899999999999998E-4</v>
      </c>
      <c r="F4797" s="76">
        <v>3.3199999999999999E-4</v>
      </c>
      <c r="G4797" s="76">
        <v>2.5700000000000001E-4</v>
      </c>
      <c r="H4797" s="76">
        <v>7.76E-4</v>
      </c>
      <c r="I4797" s="76">
        <v>8.5099999999999998E-4</v>
      </c>
      <c r="J4797" s="76">
        <v>6.0400000000000004E-4</v>
      </c>
      <c r="K4797" s="76">
        <v>1.2899999999999999E-3</v>
      </c>
      <c r="L4797" s="76">
        <v>1.39E-3</v>
      </c>
      <c r="M4797" s="76">
        <v>1.01E-3</v>
      </c>
    </row>
    <row r="4798" spans="3:13" x14ac:dyDescent="0.15">
      <c r="C4798" s="76">
        <v>394</v>
      </c>
      <c r="D4798" s="76">
        <v>1.13E-4</v>
      </c>
      <c r="E4798" s="76">
        <v>2.2000000000000001E-4</v>
      </c>
      <c r="F4798" s="76">
        <v>4.4099999999999999E-4</v>
      </c>
      <c r="G4798" s="76">
        <v>3.88E-4</v>
      </c>
      <c r="H4798" s="76">
        <v>6.6500000000000001E-4</v>
      </c>
      <c r="I4798" s="76">
        <v>9.2000000000000003E-4</v>
      </c>
      <c r="J4798" s="76">
        <v>5.31E-4</v>
      </c>
      <c r="K4798" s="76">
        <v>1.2899999999999999E-3</v>
      </c>
      <c r="L4798" s="76">
        <v>1.09E-3</v>
      </c>
      <c r="M4798" s="76">
        <v>1.15E-3</v>
      </c>
    </row>
    <row r="4799" spans="3:13" x14ac:dyDescent="0.15">
      <c r="C4799" s="76">
        <v>396</v>
      </c>
      <c r="D4799" s="76">
        <v>8.4499999999999994E-5</v>
      </c>
      <c r="E4799" s="76">
        <v>2.9500000000000001E-4</v>
      </c>
      <c r="F4799" s="76">
        <v>4.2400000000000001E-4</v>
      </c>
      <c r="G4799" s="76">
        <v>3.19E-4</v>
      </c>
      <c r="H4799" s="76">
        <v>7.2099999999999996E-4</v>
      </c>
      <c r="I4799" s="76">
        <v>8.34E-4</v>
      </c>
      <c r="J4799" s="76">
        <v>7.6300000000000001E-4</v>
      </c>
      <c r="K4799" s="76">
        <v>1.1800000000000001E-3</v>
      </c>
      <c r="L4799" s="76">
        <v>1.16E-3</v>
      </c>
      <c r="M4799" s="76">
        <v>1.31E-3</v>
      </c>
    </row>
    <row r="4800" spans="3:13" x14ac:dyDescent="0.15">
      <c r="C4800" s="76">
        <v>398</v>
      </c>
      <c r="D4800" s="76">
        <v>1.2E-4</v>
      </c>
      <c r="E4800" s="76">
        <v>2.9300000000000002E-4</v>
      </c>
      <c r="F4800" s="76">
        <v>4.17E-4</v>
      </c>
      <c r="G4800" s="76">
        <v>4.2700000000000002E-4</v>
      </c>
      <c r="H4800" s="76">
        <v>7.3099999999999999E-4</v>
      </c>
      <c r="I4800" s="76">
        <v>7.94E-4</v>
      </c>
      <c r="J4800" s="76">
        <v>8.7000000000000001E-4</v>
      </c>
      <c r="K4800" s="76">
        <v>1.2899999999999999E-3</v>
      </c>
      <c r="L4800" s="76">
        <v>1.1100000000000001E-3</v>
      </c>
      <c r="M4800" s="76">
        <v>1.09E-3</v>
      </c>
    </row>
    <row r="4801" spans="3:13" x14ac:dyDescent="0.15">
      <c r="C4801" s="76">
        <v>400</v>
      </c>
      <c r="D4801" s="76">
        <v>1.34E-4</v>
      </c>
      <c r="E4801" s="76">
        <v>2.9700000000000001E-4</v>
      </c>
      <c r="F4801" s="76">
        <v>4.0999999999999999E-4</v>
      </c>
      <c r="G4801" s="76">
        <v>4.84E-4</v>
      </c>
      <c r="H4801" s="76">
        <v>8.5300000000000003E-4</v>
      </c>
      <c r="I4801" s="76">
        <v>7.7300000000000003E-4</v>
      </c>
      <c r="J4801" s="76">
        <v>8.6300000000000005E-4</v>
      </c>
      <c r="K4801" s="76">
        <v>1.2899999999999999E-3</v>
      </c>
      <c r="L4801" s="76">
        <v>1.2199999999999999E-3</v>
      </c>
      <c r="M4801" s="76">
        <v>8.6799999999999996E-4</v>
      </c>
    </row>
    <row r="4802" spans="3:13" x14ac:dyDescent="0.15">
      <c r="C4802" s="76">
        <v>402</v>
      </c>
      <c r="D4802" s="76">
        <v>1.4100000000000001E-4</v>
      </c>
      <c r="E4802" s="76">
        <v>3.0899999999999998E-4</v>
      </c>
      <c r="F4802" s="76">
        <v>4.2499999999999998E-4</v>
      </c>
      <c r="G4802" s="76">
        <v>5.5199999999999997E-4</v>
      </c>
      <c r="H4802" s="76">
        <v>7.8399999999999997E-4</v>
      </c>
      <c r="I4802" s="76">
        <v>9.1E-4</v>
      </c>
      <c r="J4802" s="76">
        <v>9.3800000000000003E-4</v>
      </c>
      <c r="K4802" s="76">
        <v>1.2600000000000001E-3</v>
      </c>
      <c r="L4802" s="76">
        <v>1.3600000000000001E-3</v>
      </c>
      <c r="M4802" s="76">
        <v>1.01E-3</v>
      </c>
    </row>
    <row r="4803" spans="3:13" x14ac:dyDescent="0.15">
      <c r="C4803" s="76">
        <v>404</v>
      </c>
      <c r="D4803" s="76">
        <v>1.3799999999999999E-4</v>
      </c>
      <c r="E4803" s="76">
        <v>2.9300000000000002E-4</v>
      </c>
      <c r="F4803" s="76">
        <v>4.0999999999999999E-4</v>
      </c>
      <c r="G4803" s="76">
        <v>5.7399999999999997E-4</v>
      </c>
      <c r="H4803" s="76">
        <v>8.8999999999999995E-4</v>
      </c>
      <c r="I4803" s="76">
        <v>9.3400000000000004E-4</v>
      </c>
      <c r="J4803" s="76">
        <v>1.0200000000000001E-3</v>
      </c>
      <c r="K4803" s="76">
        <v>1.34E-3</v>
      </c>
      <c r="L4803" s="76">
        <v>1.5499999999999999E-3</v>
      </c>
      <c r="M4803" s="76">
        <v>1.17E-3</v>
      </c>
    </row>
    <row r="4804" spans="3:13" x14ac:dyDescent="0.15">
      <c r="C4804" s="76">
        <v>406</v>
      </c>
      <c r="D4804" s="76">
        <v>1.4899999999999999E-4</v>
      </c>
      <c r="E4804" s="76">
        <v>2.9599999999999998E-4</v>
      </c>
      <c r="F4804" s="76">
        <v>4.5199999999999998E-4</v>
      </c>
      <c r="G4804" s="76">
        <v>6.4899999999999995E-4</v>
      </c>
      <c r="H4804" s="76">
        <v>8.9599999999999999E-4</v>
      </c>
      <c r="I4804" s="76">
        <v>9.2699999999999998E-4</v>
      </c>
      <c r="J4804" s="76">
        <v>1.09E-3</v>
      </c>
      <c r="K4804" s="76">
        <v>1.4E-3</v>
      </c>
      <c r="L4804" s="76">
        <v>1.2600000000000001E-3</v>
      </c>
      <c r="M4804" s="76">
        <v>1.39E-3</v>
      </c>
    </row>
    <row r="4805" spans="3:13" x14ac:dyDescent="0.15">
      <c r="C4805" s="76">
        <v>408</v>
      </c>
      <c r="D4805" s="76">
        <v>1.46E-4</v>
      </c>
      <c r="E4805" s="76">
        <v>3.3100000000000002E-4</v>
      </c>
      <c r="F4805" s="76">
        <v>5.2499999999999997E-4</v>
      </c>
      <c r="G4805" s="76">
        <v>8.1899999999999996E-4</v>
      </c>
      <c r="H4805" s="76">
        <v>9.3700000000000001E-4</v>
      </c>
      <c r="I4805" s="76">
        <v>1.0300000000000001E-3</v>
      </c>
      <c r="J4805" s="76">
        <v>1.1900000000000001E-3</v>
      </c>
      <c r="K4805" s="76">
        <v>1.3699999999999999E-3</v>
      </c>
      <c r="L4805" s="76">
        <v>1.5399999999999999E-3</v>
      </c>
      <c r="M4805" s="76">
        <v>1.25E-3</v>
      </c>
    </row>
    <row r="4806" spans="3:13" x14ac:dyDescent="0.15">
      <c r="C4806" s="76">
        <v>410</v>
      </c>
      <c r="D4806" s="76">
        <v>1.7000000000000001E-4</v>
      </c>
      <c r="E4806" s="76">
        <v>3.6099999999999999E-4</v>
      </c>
      <c r="F4806" s="76">
        <v>5.2499999999999997E-4</v>
      </c>
      <c r="G4806" s="76">
        <v>7.3800000000000005E-4</v>
      </c>
      <c r="H4806" s="76">
        <v>1.1100000000000001E-3</v>
      </c>
      <c r="I4806" s="76">
        <v>1.07E-3</v>
      </c>
      <c r="J4806" s="76">
        <v>1.4E-3</v>
      </c>
      <c r="K4806" s="76">
        <v>1.5399999999999999E-3</v>
      </c>
      <c r="L4806" s="76">
        <v>1.6900000000000001E-3</v>
      </c>
      <c r="M4806" s="76">
        <v>1.7899999999999999E-3</v>
      </c>
    </row>
    <row r="4807" spans="3:13" x14ac:dyDescent="0.15">
      <c r="C4807" s="76">
        <v>412</v>
      </c>
      <c r="D4807" s="76">
        <v>1.94E-4</v>
      </c>
      <c r="E4807" s="76">
        <v>4.0099999999999999E-4</v>
      </c>
      <c r="F4807" s="76">
        <v>5.6599999999999999E-4</v>
      </c>
      <c r="G4807" s="76">
        <v>8.3299999999999997E-4</v>
      </c>
      <c r="H4807" s="76">
        <v>1.1800000000000001E-3</v>
      </c>
      <c r="I4807" s="76">
        <v>1.2800000000000001E-3</v>
      </c>
      <c r="J4807" s="76">
        <v>1.5100000000000001E-3</v>
      </c>
      <c r="K4807" s="76">
        <v>1.6100000000000001E-3</v>
      </c>
      <c r="L4807" s="76">
        <v>1.8500000000000001E-3</v>
      </c>
      <c r="M4807" s="76">
        <v>1.92E-3</v>
      </c>
    </row>
    <row r="4808" spans="3:13" x14ac:dyDescent="0.15">
      <c r="C4808" s="76">
        <v>414</v>
      </c>
      <c r="D4808" s="76">
        <v>2.2900000000000001E-4</v>
      </c>
      <c r="E4808" s="76">
        <v>4.75E-4</v>
      </c>
      <c r="F4808" s="76">
        <v>6.7299999999999999E-4</v>
      </c>
      <c r="G4808" s="76">
        <v>9.9200000000000004E-4</v>
      </c>
      <c r="H4808" s="76">
        <v>1.2999999999999999E-3</v>
      </c>
      <c r="I4808" s="76">
        <v>1.4300000000000001E-3</v>
      </c>
      <c r="J4808" s="76">
        <v>1.7700000000000001E-3</v>
      </c>
      <c r="K4808" s="76">
        <v>1.9599999999999999E-3</v>
      </c>
      <c r="L4808" s="76">
        <v>2.1299999999999999E-3</v>
      </c>
      <c r="M4808" s="76">
        <v>2.1700000000000001E-3</v>
      </c>
    </row>
    <row r="4809" spans="3:13" x14ac:dyDescent="0.15">
      <c r="C4809" s="76">
        <v>416</v>
      </c>
      <c r="D4809" s="76">
        <v>2.7099999999999997E-4</v>
      </c>
      <c r="E4809" s="76">
        <v>5.4799999999999998E-4</v>
      </c>
      <c r="F4809" s="76">
        <v>8.0800000000000002E-4</v>
      </c>
      <c r="G4809" s="76">
        <v>1.17E-3</v>
      </c>
      <c r="H4809" s="76">
        <v>1.48E-3</v>
      </c>
      <c r="I4809" s="76">
        <v>1.6800000000000001E-3</v>
      </c>
      <c r="J4809" s="76">
        <v>2.0200000000000001E-3</v>
      </c>
      <c r="K4809" s="76">
        <v>2.2399999999999998E-3</v>
      </c>
      <c r="L4809" s="76">
        <v>2.5200000000000001E-3</v>
      </c>
      <c r="M4809" s="76">
        <v>2.7100000000000002E-3</v>
      </c>
    </row>
    <row r="4810" spans="3:13" x14ac:dyDescent="0.15">
      <c r="C4810" s="76">
        <v>418</v>
      </c>
      <c r="D4810" s="76">
        <v>3.2899999999999997E-4</v>
      </c>
      <c r="E4810" s="76">
        <v>6.4700000000000001E-4</v>
      </c>
      <c r="F4810" s="76">
        <v>9.2299999999999999E-4</v>
      </c>
      <c r="G4810" s="76">
        <v>1.3699999999999999E-3</v>
      </c>
      <c r="H4810" s="76">
        <v>1.7600000000000001E-3</v>
      </c>
      <c r="I4810" s="76">
        <v>1.9300000000000001E-3</v>
      </c>
      <c r="J4810" s="76">
        <v>2.5000000000000001E-3</v>
      </c>
      <c r="K4810" s="76">
        <v>2.4399999999999999E-3</v>
      </c>
      <c r="L4810" s="76">
        <v>2.9499999999999999E-3</v>
      </c>
      <c r="M4810" s="76">
        <v>3.2200000000000002E-3</v>
      </c>
    </row>
    <row r="4811" spans="3:13" x14ac:dyDescent="0.15">
      <c r="C4811" s="76">
        <v>420</v>
      </c>
      <c r="D4811" s="76">
        <v>3.59E-4</v>
      </c>
      <c r="E4811" s="76">
        <v>7.7300000000000003E-4</v>
      </c>
      <c r="F4811" s="76">
        <v>1.1100000000000001E-3</v>
      </c>
      <c r="G4811" s="76">
        <v>1.6000000000000001E-3</v>
      </c>
      <c r="H4811" s="76">
        <v>2.0100000000000001E-3</v>
      </c>
      <c r="I4811" s="76">
        <v>2.3E-3</v>
      </c>
      <c r="J4811" s="76">
        <v>2.9499999999999999E-3</v>
      </c>
      <c r="K4811" s="76">
        <v>2.9199999999999999E-3</v>
      </c>
      <c r="L4811" s="76">
        <v>3.5100000000000001E-3</v>
      </c>
      <c r="M4811" s="76">
        <v>3.9699999999999996E-3</v>
      </c>
    </row>
    <row r="4812" spans="3:13" x14ac:dyDescent="0.15">
      <c r="C4812" s="76">
        <v>422</v>
      </c>
      <c r="D4812" s="76">
        <v>4.6500000000000003E-4</v>
      </c>
      <c r="E4812" s="76">
        <v>9.0600000000000001E-4</v>
      </c>
      <c r="F4812" s="76">
        <v>1.3500000000000001E-3</v>
      </c>
      <c r="G4812" s="76">
        <v>1.9499999999999999E-3</v>
      </c>
      <c r="H4812" s="76">
        <v>2.5200000000000001E-3</v>
      </c>
      <c r="I4812" s="76">
        <v>2.82E-3</v>
      </c>
      <c r="J4812" s="76">
        <v>3.5000000000000001E-3</v>
      </c>
      <c r="K4812" s="76">
        <v>3.7299999999999998E-3</v>
      </c>
      <c r="L4812" s="76">
        <v>4.1999999999999997E-3</v>
      </c>
      <c r="M4812" s="76">
        <v>4.7200000000000002E-3</v>
      </c>
    </row>
    <row r="4813" spans="3:13" x14ac:dyDescent="0.15">
      <c r="C4813" s="76">
        <v>424</v>
      </c>
      <c r="D4813" s="76">
        <v>5.7300000000000005E-4</v>
      </c>
      <c r="E4813" s="76">
        <v>1.16E-3</v>
      </c>
      <c r="F4813" s="76">
        <v>1.7099999999999999E-3</v>
      </c>
      <c r="G4813" s="76">
        <v>2.4299999999999999E-3</v>
      </c>
      <c r="H4813" s="76">
        <v>3.0000000000000001E-3</v>
      </c>
      <c r="I4813" s="76">
        <v>3.49E-3</v>
      </c>
      <c r="J4813" s="76">
        <v>4.2300000000000003E-3</v>
      </c>
      <c r="K4813" s="76">
        <v>4.5700000000000003E-3</v>
      </c>
      <c r="L4813" s="76">
        <v>5.2900000000000004E-3</v>
      </c>
      <c r="M4813" s="76">
        <v>5.9800000000000001E-3</v>
      </c>
    </row>
    <row r="4814" spans="3:13" x14ac:dyDescent="0.15">
      <c r="C4814" s="76">
        <v>426</v>
      </c>
      <c r="D4814" s="76">
        <v>7.2300000000000001E-4</v>
      </c>
      <c r="E4814" s="76">
        <v>1.47E-3</v>
      </c>
      <c r="F4814" s="76">
        <v>2.1700000000000001E-3</v>
      </c>
      <c r="G4814" s="76">
        <v>3.0300000000000001E-3</v>
      </c>
      <c r="H4814" s="76">
        <v>3.79E-3</v>
      </c>
      <c r="I4814" s="76">
        <v>4.4600000000000004E-3</v>
      </c>
      <c r="J4814" s="76">
        <v>5.3600000000000002E-3</v>
      </c>
      <c r="K4814" s="76">
        <v>5.9199999999999999E-3</v>
      </c>
      <c r="L4814" s="76">
        <v>6.7799999999999996E-3</v>
      </c>
      <c r="M4814" s="76">
        <v>7.4999999999999997E-3</v>
      </c>
    </row>
    <row r="4815" spans="3:13" x14ac:dyDescent="0.15">
      <c r="C4815" s="76">
        <v>428</v>
      </c>
      <c r="D4815" s="76">
        <v>9.4499999999999998E-4</v>
      </c>
      <c r="E4815" s="76">
        <v>1.9E-3</v>
      </c>
      <c r="F4815" s="76">
        <v>2.81E-3</v>
      </c>
      <c r="G4815" s="76">
        <v>3.8800000000000002E-3</v>
      </c>
      <c r="H4815" s="76">
        <v>4.8900000000000002E-3</v>
      </c>
      <c r="I4815" s="76">
        <v>5.8399999999999997E-3</v>
      </c>
      <c r="J4815" s="76">
        <v>7.0299999999999998E-3</v>
      </c>
      <c r="K4815" s="76">
        <v>7.6899999999999998E-3</v>
      </c>
      <c r="L4815" s="76">
        <v>8.7299999999999999E-3</v>
      </c>
      <c r="M4815" s="76">
        <v>9.8700000000000003E-3</v>
      </c>
    </row>
    <row r="4816" spans="3:13" x14ac:dyDescent="0.15">
      <c r="C4816" s="76">
        <v>430</v>
      </c>
      <c r="D4816" s="76">
        <v>1.2600000000000001E-3</v>
      </c>
      <c r="E4816" s="76">
        <v>2.5600000000000002E-3</v>
      </c>
      <c r="F4816" s="76">
        <v>3.8400000000000001E-3</v>
      </c>
      <c r="G4816" s="76">
        <v>5.2199999999999998E-3</v>
      </c>
      <c r="H4816" s="76">
        <v>6.5100000000000002E-3</v>
      </c>
      <c r="I4816" s="76">
        <v>7.8300000000000002E-3</v>
      </c>
      <c r="J4816" s="76">
        <v>9.2899999999999996E-3</v>
      </c>
      <c r="K4816" s="76">
        <v>1.03E-2</v>
      </c>
      <c r="L4816" s="76">
        <v>1.17E-2</v>
      </c>
      <c r="M4816" s="76">
        <v>1.32E-2</v>
      </c>
    </row>
    <row r="4817" spans="3:13" x14ac:dyDescent="0.15">
      <c r="C4817" s="76">
        <v>432</v>
      </c>
      <c r="D4817" s="76">
        <v>1.73E-3</v>
      </c>
      <c r="E4817" s="76">
        <v>3.5000000000000001E-3</v>
      </c>
      <c r="F4817" s="76">
        <v>5.2599999999999999E-3</v>
      </c>
      <c r="G4817" s="76">
        <v>7.1700000000000002E-3</v>
      </c>
      <c r="H4817" s="76">
        <v>8.8699999999999994E-3</v>
      </c>
      <c r="I4817" s="76">
        <v>1.0699999999999999E-2</v>
      </c>
      <c r="J4817" s="76">
        <v>1.26E-2</v>
      </c>
      <c r="K4817" s="76">
        <v>1.4200000000000001E-2</v>
      </c>
      <c r="L4817" s="76">
        <v>1.61E-2</v>
      </c>
      <c r="M4817" s="76">
        <v>1.7999999999999999E-2</v>
      </c>
    </row>
    <row r="4818" spans="3:13" x14ac:dyDescent="0.15">
      <c r="C4818" s="76">
        <v>434</v>
      </c>
      <c r="D4818" s="76">
        <v>2.3999999999999998E-3</v>
      </c>
      <c r="E4818" s="76">
        <v>4.8799999999999998E-3</v>
      </c>
      <c r="F4818" s="76">
        <v>7.3299999999999997E-3</v>
      </c>
      <c r="G4818" s="76">
        <v>9.8799999999999999E-3</v>
      </c>
      <c r="H4818" s="76">
        <v>1.23E-2</v>
      </c>
      <c r="I4818" s="76">
        <v>1.4800000000000001E-2</v>
      </c>
      <c r="J4818" s="76">
        <v>1.7399999999999999E-2</v>
      </c>
      <c r="K4818" s="76">
        <v>1.9800000000000002E-2</v>
      </c>
      <c r="L4818" s="76">
        <v>2.2200000000000001E-2</v>
      </c>
      <c r="M4818" s="76">
        <v>2.4799999999999999E-2</v>
      </c>
    </row>
    <row r="4819" spans="3:13" x14ac:dyDescent="0.15">
      <c r="C4819" s="76">
        <v>436</v>
      </c>
      <c r="D4819" s="76">
        <v>3.4299999999999999E-3</v>
      </c>
      <c r="E4819" s="76">
        <v>6.9800000000000001E-3</v>
      </c>
      <c r="F4819" s="76">
        <v>1.0500000000000001E-2</v>
      </c>
      <c r="G4819" s="76">
        <v>1.41E-2</v>
      </c>
      <c r="H4819" s="76">
        <v>1.7600000000000001E-2</v>
      </c>
      <c r="I4819" s="76">
        <v>2.1100000000000001E-2</v>
      </c>
      <c r="J4819" s="76">
        <v>2.4899999999999999E-2</v>
      </c>
      <c r="K4819" s="76">
        <v>2.8199999999999999E-2</v>
      </c>
      <c r="L4819" s="76">
        <v>3.1800000000000002E-2</v>
      </c>
      <c r="M4819" s="76">
        <v>3.5400000000000001E-2</v>
      </c>
    </row>
    <row r="4820" spans="3:13" x14ac:dyDescent="0.15">
      <c r="C4820" s="76">
        <v>438</v>
      </c>
      <c r="D4820" s="76">
        <v>4.8900000000000002E-3</v>
      </c>
      <c r="E4820" s="76">
        <v>9.9799999999999993E-3</v>
      </c>
      <c r="F4820" s="76">
        <v>1.4999999999999999E-2</v>
      </c>
      <c r="G4820" s="76">
        <v>2.01E-2</v>
      </c>
      <c r="H4820" s="76">
        <v>2.5000000000000001E-2</v>
      </c>
      <c r="I4820" s="76">
        <v>0.03</v>
      </c>
      <c r="J4820" s="76">
        <v>3.5200000000000002E-2</v>
      </c>
      <c r="K4820" s="76">
        <v>4.0099999999999997E-2</v>
      </c>
      <c r="L4820" s="76">
        <v>4.5100000000000001E-2</v>
      </c>
      <c r="M4820" s="76">
        <v>5.0299999999999997E-2</v>
      </c>
    </row>
    <row r="4821" spans="3:13" x14ac:dyDescent="0.15">
      <c r="C4821" s="76">
        <v>440</v>
      </c>
      <c r="D4821" s="76">
        <v>6.7299999999999999E-3</v>
      </c>
      <c r="E4821" s="76">
        <v>1.38E-2</v>
      </c>
      <c r="F4821" s="76">
        <v>2.07E-2</v>
      </c>
      <c r="G4821" s="76">
        <v>2.7699999999999999E-2</v>
      </c>
      <c r="H4821" s="76">
        <v>3.4500000000000003E-2</v>
      </c>
      <c r="I4821" s="76">
        <v>4.1399999999999999E-2</v>
      </c>
      <c r="J4821" s="76">
        <v>4.8399999999999999E-2</v>
      </c>
      <c r="K4821" s="76">
        <v>5.5100000000000003E-2</v>
      </c>
      <c r="L4821" s="76">
        <v>6.2E-2</v>
      </c>
      <c r="M4821" s="76">
        <v>6.88E-2</v>
      </c>
    </row>
    <row r="4822" spans="3:13" x14ac:dyDescent="0.15">
      <c r="C4822" s="76">
        <v>442</v>
      </c>
      <c r="D4822" s="76">
        <v>9.0200000000000002E-3</v>
      </c>
      <c r="E4822" s="76">
        <v>1.84E-2</v>
      </c>
      <c r="F4822" s="76">
        <v>2.7699999999999999E-2</v>
      </c>
      <c r="G4822" s="76">
        <v>3.6999999999999998E-2</v>
      </c>
      <c r="H4822" s="76">
        <v>4.6100000000000002E-2</v>
      </c>
      <c r="I4822" s="76">
        <v>5.5300000000000002E-2</v>
      </c>
      <c r="J4822" s="76">
        <v>6.4600000000000005E-2</v>
      </c>
      <c r="K4822" s="76">
        <v>7.3599999999999999E-2</v>
      </c>
      <c r="L4822" s="76">
        <v>8.2799999999999999E-2</v>
      </c>
      <c r="M4822" s="76">
        <v>9.1899999999999996E-2</v>
      </c>
    </row>
    <row r="4823" spans="3:13" x14ac:dyDescent="0.15">
      <c r="C4823" s="76">
        <v>444</v>
      </c>
      <c r="D4823" s="76">
        <v>1.17E-2</v>
      </c>
      <c r="E4823" s="76">
        <v>2.3900000000000001E-2</v>
      </c>
      <c r="F4823" s="76">
        <v>3.5900000000000001E-2</v>
      </c>
      <c r="G4823" s="76">
        <v>4.8000000000000001E-2</v>
      </c>
      <c r="H4823" s="76">
        <v>5.9900000000000002E-2</v>
      </c>
      <c r="I4823" s="76">
        <v>7.1800000000000003E-2</v>
      </c>
      <c r="J4823" s="76">
        <v>8.3799999999999999E-2</v>
      </c>
      <c r="K4823" s="76">
        <v>9.5399999999999999E-2</v>
      </c>
      <c r="L4823" s="76">
        <v>0.107</v>
      </c>
      <c r="M4823" s="76">
        <v>0.11899999999999999</v>
      </c>
    </row>
    <row r="4824" spans="3:13" x14ac:dyDescent="0.15">
      <c r="C4824" s="76">
        <v>446</v>
      </c>
      <c r="D4824" s="76">
        <v>1.4800000000000001E-2</v>
      </c>
      <c r="E4824" s="76">
        <v>3.0099999999999998E-2</v>
      </c>
      <c r="F4824" s="76">
        <v>4.53E-2</v>
      </c>
      <c r="G4824" s="76">
        <v>6.0400000000000002E-2</v>
      </c>
      <c r="H4824" s="76">
        <v>7.5399999999999995E-2</v>
      </c>
      <c r="I4824" s="76">
        <v>9.0300000000000005E-2</v>
      </c>
      <c r="J4824" s="76">
        <v>0.105</v>
      </c>
      <c r="K4824" s="76">
        <v>0.12</v>
      </c>
      <c r="L4824" s="76">
        <v>0.13500000000000001</v>
      </c>
      <c r="M4824" s="76">
        <v>0.14899999999999999</v>
      </c>
    </row>
    <row r="4825" spans="3:13" x14ac:dyDescent="0.15">
      <c r="C4825" s="76">
        <v>448</v>
      </c>
      <c r="D4825" s="76">
        <v>1.7999999999999999E-2</v>
      </c>
      <c r="E4825" s="76">
        <v>3.6700000000000003E-2</v>
      </c>
      <c r="F4825" s="76">
        <v>5.5199999999999999E-2</v>
      </c>
      <c r="G4825" s="76">
        <v>7.3599999999999999E-2</v>
      </c>
      <c r="H4825" s="76">
        <v>9.1700000000000004E-2</v>
      </c>
      <c r="I4825" s="76">
        <v>0.11</v>
      </c>
      <c r="J4825" s="76">
        <v>0.128</v>
      </c>
      <c r="K4825" s="76">
        <v>0.14599999999999999</v>
      </c>
      <c r="L4825" s="76">
        <v>0.16400000000000001</v>
      </c>
      <c r="M4825" s="76">
        <v>0.182</v>
      </c>
    </row>
    <row r="4826" spans="3:13" x14ac:dyDescent="0.15">
      <c r="C4826" s="76">
        <v>450</v>
      </c>
      <c r="D4826" s="76">
        <v>2.1399999999999999E-2</v>
      </c>
      <c r="E4826" s="76">
        <v>4.3700000000000003E-2</v>
      </c>
      <c r="F4826" s="76">
        <v>6.5600000000000006E-2</v>
      </c>
      <c r="G4826" s="76">
        <v>8.7499999999999994E-2</v>
      </c>
      <c r="H4826" s="76">
        <v>0.109</v>
      </c>
      <c r="I4826" s="76">
        <v>0.13100000000000001</v>
      </c>
      <c r="J4826" s="76">
        <v>0.152</v>
      </c>
      <c r="K4826" s="76">
        <v>0.17299999999999999</v>
      </c>
      <c r="L4826" s="76">
        <v>0.19500000000000001</v>
      </c>
      <c r="M4826" s="76">
        <v>0.216</v>
      </c>
    </row>
    <row r="4827" spans="3:13" x14ac:dyDescent="0.15">
      <c r="C4827" s="76">
        <v>452</v>
      </c>
      <c r="D4827" s="76">
        <v>2.4299999999999999E-2</v>
      </c>
      <c r="E4827" s="76">
        <v>4.9700000000000001E-2</v>
      </c>
      <c r="F4827" s="76">
        <v>7.46E-2</v>
      </c>
      <c r="G4827" s="76">
        <v>9.9500000000000005E-2</v>
      </c>
      <c r="H4827" s="76">
        <v>0.124</v>
      </c>
      <c r="I4827" s="76">
        <v>0.14799999999999999</v>
      </c>
      <c r="J4827" s="76">
        <v>0.17299999999999999</v>
      </c>
      <c r="K4827" s="76">
        <v>0.19700000000000001</v>
      </c>
      <c r="L4827" s="76">
        <v>0.221</v>
      </c>
      <c r="M4827" s="76">
        <v>0.245</v>
      </c>
    </row>
    <row r="4828" spans="3:13" x14ac:dyDescent="0.15">
      <c r="C4828" s="76">
        <v>454</v>
      </c>
      <c r="D4828" s="76">
        <v>2.6599999999999999E-2</v>
      </c>
      <c r="E4828" s="76">
        <v>5.4300000000000001E-2</v>
      </c>
      <c r="F4828" s="76">
        <v>8.1500000000000003E-2</v>
      </c>
      <c r="G4828" s="76">
        <v>0.109</v>
      </c>
      <c r="H4828" s="76">
        <v>0.13500000000000001</v>
      </c>
      <c r="I4828" s="76">
        <v>0.16200000000000001</v>
      </c>
      <c r="J4828" s="76">
        <v>0.189</v>
      </c>
      <c r="K4828" s="76">
        <v>0.215</v>
      </c>
      <c r="L4828" s="76">
        <v>0.24099999999999999</v>
      </c>
      <c r="M4828" s="76">
        <v>0.26700000000000002</v>
      </c>
    </row>
    <row r="4829" spans="3:13" x14ac:dyDescent="0.15">
      <c r="C4829" s="76">
        <v>456</v>
      </c>
      <c r="D4829" s="76">
        <v>2.8199999999999999E-2</v>
      </c>
      <c r="E4829" s="76">
        <v>5.7500000000000002E-2</v>
      </c>
      <c r="F4829" s="76">
        <v>8.6400000000000005E-2</v>
      </c>
      <c r="G4829" s="76">
        <v>0.115</v>
      </c>
      <c r="H4829" s="76">
        <v>0.14299999999999999</v>
      </c>
      <c r="I4829" s="76">
        <v>0.17199999999999999</v>
      </c>
      <c r="J4829" s="76">
        <v>0.2</v>
      </c>
      <c r="K4829" s="76">
        <v>0.22800000000000001</v>
      </c>
      <c r="L4829" s="76">
        <v>0.25600000000000001</v>
      </c>
      <c r="M4829" s="76">
        <v>0.28299999999999997</v>
      </c>
    </row>
    <row r="4830" spans="3:13" x14ac:dyDescent="0.15">
      <c r="C4830" s="76">
        <v>458</v>
      </c>
      <c r="D4830" s="76">
        <v>2.9000000000000001E-2</v>
      </c>
      <c r="E4830" s="76">
        <v>5.91E-2</v>
      </c>
      <c r="F4830" s="76">
        <v>8.8800000000000004E-2</v>
      </c>
      <c r="G4830" s="76">
        <v>0.11799999999999999</v>
      </c>
      <c r="H4830" s="76">
        <v>0.14699999999999999</v>
      </c>
      <c r="I4830" s="76">
        <v>0.17599999999999999</v>
      </c>
      <c r="J4830" s="76">
        <v>0.20499999999999999</v>
      </c>
      <c r="K4830" s="76">
        <v>0.23400000000000001</v>
      </c>
      <c r="L4830" s="76">
        <v>0.26300000000000001</v>
      </c>
      <c r="M4830" s="76">
        <v>0.29099999999999998</v>
      </c>
    </row>
    <row r="4831" spans="3:13" x14ac:dyDescent="0.15">
      <c r="C4831" s="76">
        <v>460</v>
      </c>
      <c r="D4831" s="76">
        <v>2.9000000000000001E-2</v>
      </c>
      <c r="E4831" s="76">
        <v>5.9200000000000003E-2</v>
      </c>
      <c r="F4831" s="76">
        <v>8.8999999999999996E-2</v>
      </c>
      <c r="G4831" s="76">
        <v>0.11799999999999999</v>
      </c>
      <c r="H4831" s="76">
        <v>0.14799999999999999</v>
      </c>
      <c r="I4831" s="76">
        <v>0.17699999999999999</v>
      </c>
      <c r="J4831" s="76">
        <v>0.20599999999999999</v>
      </c>
      <c r="K4831" s="76">
        <v>0.23400000000000001</v>
      </c>
      <c r="L4831" s="76">
        <v>0.26300000000000001</v>
      </c>
      <c r="M4831" s="76">
        <v>0.29099999999999998</v>
      </c>
    </row>
    <row r="4832" spans="3:13" x14ac:dyDescent="0.15">
      <c r="C4832" s="76">
        <v>462</v>
      </c>
      <c r="D4832" s="76">
        <v>2.8400000000000002E-2</v>
      </c>
      <c r="E4832" s="76">
        <v>5.79E-2</v>
      </c>
      <c r="F4832" s="76">
        <v>8.6999999999999994E-2</v>
      </c>
      <c r="G4832" s="76">
        <v>0.11600000000000001</v>
      </c>
      <c r="H4832" s="76">
        <v>0.14399999999999999</v>
      </c>
      <c r="I4832" s="76">
        <v>0.17299999999999999</v>
      </c>
      <c r="J4832" s="76">
        <v>0.20100000000000001</v>
      </c>
      <c r="K4832" s="76">
        <v>0.22900000000000001</v>
      </c>
      <c r="L4832" s="76">
        <v>0.25700000000000001</v>
      </c>
      <c r="M4832" s="76">
        <v>0.28499999999999998</v>
      </c>
    </row>
    <row r="4833" spans="3:13" x14ac:dyDescent="0.15">
      <c r="C4833" s="76">
        <v>464</v>
      </c>
      <c r="D4833" s="76">
        <v>2.7E-2</v>
      </c>
      <c r="E4833" s="76">
        <v>5.5199999999999999E-2</v>
      </c>
      <c r="F4833" s="76">
        <v>8.2900000000000001E-2</v>
      </c>
      <c r="G4833" s="76">
        <v>0.11</v>
      </c>
      <c r="H4833" s="76">
        <v>0.13700000000000001</v>
      </c>
      <c r="I4833" s="76">
        <v>0.16500000000000001</v>
      </c>
      <c r="J4833" s="76">
        <v>0.191</v>
      </c>
      <c r="K4833" s="76">
        <v>0.218</v>
      </c>
      <c r="L4833" s="76">
        <v>0.245</v>
      </c>
      <c r="M4833" s="76">
        <v>0.27200000000000002</v>
      </c>
    </row>
    <row r="4834" spans="3:13" x14ac:dyDescent="0.15">
      <c r="C4834" s="76">
        <v>466</v>
      </c>
      <c r="D4834" s="76">
        <v>2.5499999999999998E-2</v>
      </c>
      <c r="E4834" s="76">
        <v>5.2200000000000003E-2</v>
      </c>
      <c r="F4834" s="76">
        <v>7.8399999999999997E-2</v>
      </c>
      <c r="G4834" s="76">
        <v>0.104</v>
      </c>
      <c r="H4834" s="76">
        <v>0.13</v>
      </c>
      <c r="I4834" s="76">
        <v>0.156</v>
      </c>
      <c r="J4834" s="76">
        <v>0.18099999999999999</v>
      </c>
      <c r="K4834" s="76">
        <v>0.20599999999999999</v>
      </c>
      <c r="L4834" s="76">
        <v>0.23200000000000001</v>
      </c>
      <c r="M4834" s="76">
        <v>0.25700000000000001</v>
      </c>
    </row>
    <row r="4835" spans="3:13" x14ac:dyDescent="0.15">
      <c r="C4835" s="76">
        <v>468</v>
      </c>
      <c r="D4835" s="76">
        <v>2.4E-2</v>
      </c>
      <c r="E4835" s="76">
        <v>4.9000000000000002E-2</v>
      </c>
      <c r="F4835" s="76">
        <v>7.3599999999999999E-2</v>
      </c>
      <c r="G4835" s="76">
        <v>9.7900000000000001E-2</v>
      </c>
      <c r="H4835" s="76">
        <v>0.122</v>
      </c>
      <c r="I4835" s="76">
        <v>0.14599999999999999</v>
      </c>
      <c r="J4835" s="76">
        <v>0.17</v>
      </c>
      <c r="K4835" s="76">
        <v>0.19400000000000001</v>
      </c>
      <c r="L4835" s="76">
        <v>0.218</v>
      </c>
      <c r="M4835" s="76">
        <v>0.24099999999999999</v>
      </c>
    </row>
    <row r="4836" spans="3:13" x14ac:dyDescent="0.15">
      <c r="C4836" s="76">
        <v>470</v>
      </c>
      <c r="D4836" s="76">
        <v>2.24E-2</v>
      </c>
      <c r="E4836" s="76">
        <v>4.58E-2</v>
      </c>
      <c r="F4836" s="76">
        <v>6.8900000000000003E-2</v>
      </c>
      <c r="G4836" s="76">
        <v>9.1600000000000001E-2</v>
      </c>
      <c r="H4836" s="76">
        <v>0.114</v>
      </c>
      <c r="I4836" s="76">
        <v>0.13700000000000001</v>
      </c>
      <c r="J4836" s="76">
        <v>0.159</v>
      </c>
      <c r="K4836" s="76">
        <v>0.18099999999999999</v>
      </c>
      <c r="L4836" s="76">
        <v>0.20300000000000001</v>
      </c>
      <c r="M4836" s="76">
        <v>0.22500000000000001</v>
      </c>
    </row>
    <row r="4837" spans="3:13" x14ac:dyDescent="0.15">
      <c r="C4837" s="76">
        <v>472</v>
      </c>
      <c r="D4837" s="76">
        <v>2.1000000000000001E-2</v>
      </c>
      <c r="E4837" s="76">
        <v>4.2900000000000001E-2</v>
      </c>
      <c r="F4837" s="76">
        <v>6.4500000000000002E-2</v>
      </c>
      <c r="G4837" s="76">
        <v>8.5800000000000001E-2</v>
      </c>
      <c r="H4837" s="76">
        <v>0.107</v>
      </c>
      <c r="I4837" s="76">
        <v>0.128</v>
      </c>
      <c r="J4837" s="76">
        <v>0.14899999999999999</v>
      </c>
      <c r="K4837" s="76">
        <v>0.17</v>
      </c>
      <c r="L4837" s="76">
        <v>0.191</v>
      </c>
      <c r="M4837" s="76">
        <v>0.21099999999999999</v>
      </c>
    </row>
    <row r="4838" spans="3:13" x14ac:dyDescent="0.15">
      <c r="C4838" s="76">
        <v>474</v>
      </c>
      <c r="D4838" s="76">
        <v>1.9800000000000002E-2</v>
      </c>
      <c r="E4838" s="76">
        <v>4.0500000000000001E-2</v>
      </c>
      <c r="F4838" s="76">
        <v>6.08E-2</v>
      </c>
      <c r="G4838" s="76">
        <v>8.09E-2</v>
      </c>
      <c r="H4838" s="76">
        <v>0.10100000000000001</v>
      </c>
      <c r="I4838" s="76">
        <v>0.121</v>
      </c>
      <c r="J4838" s="76">
        <v>0.14099999999999999</v>
      </c>
      <c r="K4838" s="76">
        <v>0.16</v>
      </c>
      <c r="L4838" s="76">
        <v>0.18</v>
      </c>
      <c r="M4838" s="76">
        <v>0.19900000000000001</v>
      </c>
    </row>
    <row r="4839" spans="3:13" x14ac:dyDescent="0.15">
      <c r="C4839" s="76">
        <v>476</v>
      </c>
      <c r="D4839" s="76">
        <v>1.8599999999999998E-2</v>
      </c>
      <c r="E4839" s="76">
        <v>3.8100000000000002E-2</v>
      </c>
      <c r="F4839" s="76">
        <v>5.7200000000000001E-2</v>
      </c>
      <c r="G4839" s="76">
        <v>7.6100000000000001E-2</v>
      </c>
      <c r="H4839" s="76">
        <v>9.4899999999999998E-2</v>
      </c>
      <c r="I4839" s="76">
        <v>0.114</v>
      </c>
      <c r="J4839" s="76">
        <v>0.13200000000000001</v>
      </c>
      <c r="K4839" s="76">
        <v>0.151</v>
      </c>
      <c r="L4839" s="76">
        <v>0.16900000000000001</v>
      </c>
      <c r="M4839" s="76">
        <v>0.188</v>
      </c>
    </row>
    <row r="4840" spans="3:13" x14ac:dyDescent="0.15">
      <c r="C4840" s="76">
        <v>478</v>
      </c>
      <c r="D4840" s="76">
        <v>1.78E-2</v>
      </c>
      <c r="E4840" s="76">
        <v>3.6400000000000002E-2</v>
      </c>
      <c r="F4840" s="76">
        <v>5.4699999999999999E-2</v>
      </c>
      <c r="G4840" s="76">
        <v>7.2800000000000004E-2</v>
      </c>
      <c r="H4840" s="76">
        <v>9.0800000000000006E-2</v>
      </c>
      <c r="I4840" s="76">
        <v>0.109</v>
      </c>
      <c r="J4840" s="76">
        <v>0.126</v>
      </c>
      <c r="K4840" s="76">
        <v>0.14399999999999999</v>
      </c>
      <c r="L4840" s="76">
        <v>0.16200000000000001</v>
      </c>
      <c r="M4840" s="76">
        <v>0.17899999999999999</v>
      </c>
    </row>
    <row r="4841" spans="3:13" x14ac:dyDescent="0.15">
      <c r="C4841" s="76">
        <v>480</v>
      </c>
      <c r="D4841" s="76">
        <v>1.7100000000000001E-2</v>
      </c>
      <c r="E4841" s="76">
        <v>3.5000000000000003E-2</v>
      </c>
      <c r="F4841" s="76">
        <v>5.2600000000000001E-2</v>
      </c>
      <c r="G4841" s="76">
        <v>6.9900000000000004E-2</v>
      </c>
      <c r="H4841" s="76">
        <v>8.7300000000000003E-2</v>
      </c>
      <c r="I4841" s="76">
        <v>0.105</v>
      </c>
      <c r="J4841" s="76">
        <v>0.122</v>
      </c>
      <c r="K4841" s="76">
        <v>0.13900000000000001</v>
      </c>
      <c r="L4841" s="76">
        <v>0.156</v>
      </c>
      <c r="M4841" s="76">
        <v>0.17199999999999999</v>
      </c>
    </row>
    <row r="4842" spans="3:13" x14ac:dyDescent="0.15">
      <c r="C4842" s="76">
        <v>482</v>
      </c>
      <c r="D4842" s="76">
        <v>1.6500000000000001E-2</v>
      </c>
      <c r="E4842" s="76">
        <v>3.3799999999999997E-2</v>
      </c>
      <c r="F4842" s="76">
        <v>5.0799999999999998E-2</v>
      </c>
      <c r="G4842" s="76">
        <v>6.7400000000000002E-2</v>
      </c>
      <c r="H4842" s="76">
        <v>8.4199999999999997E-2</v>
      </c>
      <c r="I4842" s="76">
        <v>0.10100000000000001</v>
      </c>
      <c r="J4842" s="76">
        <v>0.11700000000000001</v>
      </c>
      <c r="K4842" s="76">
        <v>0.13400000000000001</v>
      </c>
      <c r="L4842" s="76">
        <v>0.15</v>
      </c>
      <c r="M4842" s="76">
        <v>0.16600000000000001</v>
      </c>
    </row>
    <row r="4843" spans="3:13" x14ac:dyDescent="0.15">
      <c r="C4843" s="76">
        <v>484</v>
      </c>
      <c r="D4843" s="76">
        <v>1.5900000000000001E-2</v>
      </c>
      <c r="E4843" s="76">
        <v>3.2500000000000001E-2</v>
      </c>
      <c r="F4843" s="76">
        <v>4.8800000000000003E-2</v>
      </c>
      <c r="G4843" s="76">
        <v>6.4899999999999999E-2</v>
      </c>
      <c r="H4843" s="76">
        <v>8.1000000000000003E-2</v>
      </c>
      <c r="I4843" s="76">
        <v>9.7000000000000003E-2</v>
      </c>
      <c r="J4843" s="76">
        <v>0.113</v>
      </c>
      <c r="K4843" s="76">
        <v>0.129</v>
      </c>
      <c r="L4843" s="76">
        <v>0.14399999999999999</v>
      </c>
      <c r="M4843" s="76">
        <v>0.16</v>
      </c>
    </row>
    <row r="4844" spans="3:13" x14ac:dyDescent="0.15">
      <c r="C4844" s="76">
        <v>486</v>
      </c>
      <c r="D4844" s="76">
        <v>1.5299999999999999E-2</v>
      </c>
      <c r="E4844" s="76">
        <v>3.1199999999999999E-2</v>
      </c>
      <c r="F4844" s="76">
        <v>4.6899999999999997E-2</v>
      </c>
      <c r="G4844" s="76">
        <v>6.2399999999999997E-2</v>
      </c>
      <c r="H4844" s="76">
        <v>7.7899999999999997E-2</v>
      </c>
      <c r="I4844" s="76">
        <v>9.3200000000000005E-2</v>
      </c>
      <c r="J4844" s="76">
        <v>0.108</v>
      </c>
      <c r="K4844" s="76">
        <v>0.124</v>
      </c>
      <c r="L4844" s="76">
        <v>0.13900000000000001</v>
      </c>
      <c r="M4844" s="76">
        <v>0.154</v>
      </c>
    </row>
    <row r="4845" spans="3:13" x14ac:dyDescent="0.15">
      <c r="C4845" s="76">
        <v>488</v>
      </c>
      <c r="D4845" s="76">
        <v>1.4500000000000001E-2</v>
      </c>
      <c r="E4845" s="76">
        <v>2.9499999999999998E-2</v>
      </c>
      <c r="F4845" s="76">
        <v>4.4400000000000002E-2</v>
      </c>
      <c r="G4845" s="76">
        <v>5.8999999999999997E-2</v>
      </c>
      <c r="H4845" s="76">
        <v>7.3599999999999999E-2</v>
      </c>
      <c r="I4845" s="76">
        <v>8.8099999999999998E-2</v>
      </c>
      <c r="J4845" s="76">
        <v>0.10199999999999999</v>
      </c>
      <c r="K4845" s="76">
        <v>0.11700000000000001</v>
      </c>
      <c r="L4845" s="76">
        <v>0.13100000000000001</v>
      </c>
      <c r="M4845" s="76">
        <v>0.14499999999999999</v>
      </c>
    </row>
    <row r="4846" spans="3:13" x14ac:dyDescent="0.15">
      <c r="C4846" s="76">
        <v>490</v>
      </c>
      <c r="D4846" s="76">
        <v>1.37E-2</v>
      </c>
      <c r="E4846" s="76">
        <v>2.7900000000000001E-2</v>
      </c>
      <c r="F4846" s="76">
        <v>4.19E-2</v>
      </c>
      <c r="G4846" s="76">
        <v>5.57E-2</v>
      </c>
      <c r="H4846" s="76">
        <v>6.9500000000000006E-2</v>
      </c>
      <c r="I4846" s="76">
        <v>8.3199999999999996E-2</v>
      </c>
      <c r="J4846" s="76">
        <v>9.6799999999999997E-2</v>
      </c>
      <c r="K4846" s="76">
        <v>0.11</v>
      </c>
      <c r="L4846" s="76">
        <v>0.124</v>
      </c>
      <c r="M4846" s="76">
        <v>0.13700000000000001</v>
      </c>
    </row>
    <row r="4847" spans="3:13" x14ac:dyDescent="0.15">
      <c r="C4847" s="76">
        <v>492</v>
      </c>
      <c r="D4847" s="76">
        <v>1.2800000000000001E-2</v>
      </c>
      <c r="E4847" s="76">
        <v>2.6100000000000002E-2</v>
      </c>
      <c r="F4847" s="76">
        <v>3.9199999999999999E-2</v>
      </c>
      <c r="G4847" s="76">
        <v>5.2200000000000003E-2</v>
      </c>
      <c r="H4847" s="76">
        <v>6.5199999999999994E-2</v>
      </c>
      <c r="I4847" s="76">
        <v>7.8E-2</v>
      </c>
      <c r="J4847" s="76">
        <v>9.06E-2</v>
      </c>
      <c r="K4847" s="76">
        <v>0.10299999999999999</v>
      </c>
      <c r="L4847" s="76">
        <v>0.11600000000000001</v>
      </c>
      <c r="M4847" s="76">
        <v>0.128</v>
      </c>
    </row>
    <row r="4848" spans="3:13" x14ac:dyDescent="0.15">
      <c r="C4848" s="76">
        <v>494</v>
      </c>
      <c r="D4848" s="76">
        <v>1.1900000000000001E-2</v>
      </c>
      <c r="E4848" s="76">
        <v>2.4299999999999999E-2</v>
      </c>
      <c r="F4848" s="76">
        <v>3.6499999999999998E-2</v>
      </c>
      <c r="G4848" s="76">
        <v>4.8599999999999997E-2</v>
      </c>
      <c r="H4848" s="76">
        <v>6.0600000000000001E-2</v>
      </c>
      <c r="I4848" s="76">
        <v>7.2499999999999995E-2</v>
      </c>
      <c r="J4848" s="76">
        <v>8.43E-2</v>
      </c>
      <c r="K4848" s="76">
        <v>9.6000000000000002E-2</v>
      </c>
      <c r="L4848" s="76">
        <v>0.108</v>
      </c>
      <c r="M4848" s="76">
        <v>0.11899999999999999</v>
      </c>
    </row>
    <row r="4849" spans="3:13" x14ac:dyDescent="0.15">
      <c r="C4849" s="76">
        <v>496</v>
      </c>
      <c r="D4849" s="76">
        <v>1.0999999999999999E-2</v>
      </c>
      <c r="E4849" s="76">
        <v>2.2499999999999999E-2</v>
      </c>
      <c r="F4849" s="76">
        <v>3.3799999999999997E-2</v>
      </c>
      <c r="G4849" s="76">
        <v>4.4999999999999998E-2</v>
      </c>
      <c r="H4849" s="76">
        <v>5.62E-2</v>
      </c>
      <c r="I4849" s="76">
        <v>6.7100000000000007E-2</v>
      </c>
      <c r="J4849" s="76">
        <v>7.8100000000000003E-2</v>
      </c>
      <c r="K4849" s="76">
        <v>8.8999999999999996E-2</v>
      </c>
      <c r="L4849" s="76">
        <v>9.98E-2</v>
      </c>
      <c r="M4849" s="76">
        <v>0.111</v>
      </c>
    </row>
    <row r="4850" spans="3:13" x14ac:dyDescent="0.15">
      <c r="C4850" s="76">
        <v>498</v>
      </c>
      <c r="D4850" s="76">
        <v>1.01E-2</v>
      </c>
      <c r="E4850" s="76">
        <v>2.07E-2</v>
      </c>
      <c r="F4850" s="76">
        <v>3.1E-2</v>
      </c>
      <c r="G4850" s="76">
        <v>4.1300000000000003E-2</v>
      </c>
      <c r="H4850" s="76">
        <v>5.16E-2</v>
      </c>
      <c r="I4850" s="76">
        <v>6.1600000000000002E-2</v>
      </c>
      <c r="J4850" s="76">
        <v>7.17E-2</v>
      </c>
      <c r="K4850" s="76">
        <v>8.1799999999999998E-2</v>
      </c>
      <c r="L4850" s="76">
        <v>9.1600000000000001E-2</v>
      </c>
      <c r="M4850" s="76">
        <v>0.10199999999999999</v>
      </c>
    </row>
    <row r="4851" spans="3:13" x14ac:dyDescent="0.15">
      <c r="C4851" s="76">
        <v>500</v>
      </c>
      <c r="D4851" s="76">
        <v>9.1900000000000003E-3</v>
      </c>
      <c r="E4851" s="76">
        <v>1.8700000000000001E-2</v>
      </c>
      <c r="F4851" s="76">
        <v>2.81E-2</v>
      </c>
      <c r="G4851" s="76">
        <v>3.7499999999999999E-2</v>
      </c>
      <c r="H4851" s="76">
        <v>4.6800000000000001E-2</v>
      </c>
      <c r="I4851" s="76">
        <v>5.5899999999999998E-2</v>
      </c>
      <c r="J4851" s="76">
        <v>6.5100000000000005E-2</v>
      </c>
      <c r="K4851" s="76">
        <v>7.4099999999999999E-2</v>
      </c>
      <c r="L4851" s="76">
        <v>8.3000000000000004E-2</v>
      </c>
      <c r="M4851" s="76">
        <v>9.2100000000000001E-2</v>
      </c>
    </row>
    <row r="4852" spans="3:13" x14ac:dyDescent="0.15">
      <c r="C4852" s="76">
        <v>502</v>
      </c>
      <c r="D4852" s="76">
        <v>8.2799999999999992E-3</v>
      </c>
      <c r="E4852" s="76">
        <v>1.6899999999999998E-2</v>
      </c>
      <c r="F4852" s="76">
        <v>2.5399999999999999E-2</v>
      </c>
      <c r="G4852" s="76">
        <v>3.3799999999999997E-2</v>
      </c>
      <c r="H4852" s="76">
        <v>4.2200000000000001E-2</v>
      </c>
      <c r="I4852" s="76">
        <v>5.04E-2</v>
      </c>
      <c r="J4852" s="76">
        <v>5.8700000000000002E-2</v>
      </c>
      <c r="K4852" s="76">
        <v>6.6900000000000001E-2</v>
      </c>
      <c r="L4852" s="76">
        <v>7.4899999999999994E-2</v>
      </c>
      <c r="M4852" s="76">
        <v>8.3299999999999999E-2</v>
      </c>
    </row>
    <row r="4853" spans="3:13" x14ac:dyDescent="0.15">
      <c r="C4853" s="76">
        <v>504</v>
      </c>
      <c r="D4853" s="76">
        <v>7.5199999999999998E-3</v>
      </c>
      <c r="E4853" s="76">
        <v>1.5299999999999999E-2</v>
      </c>
      <c r="F4853" s="76">
        <v>2.3E-2</v>
      </c>
      <c r="G4853" s="76">
        <v>3.0700000000000002E-2</v>
      </c>
      <c r="H4853" s="76">
        <v>3.8199999999999998E-2</v>
      </c>
      <c r="I4853" s="76">
        <v>4.5600000000000002E-2</v>
      </c>
      <c r="J4853" s="76">
        <v>5.3199999999999997E-2</v>
      </c>
      <c r="K4853" s="76">
        <v>6.0600000000000001E-2</v>
      </c>
      <c r="L4853" s="76">
        <v>6.7900000000000002E-2</v>
      </c>
      <c r="M4853" s="76">
        <v>7.5499999999999998E-2</v>
      </c>
    </row>
    <row r="4854" spans="3:13" x14ac:dyDescent="0.15">
      <c r="C4854" s="76">
        <v>506</v>
      </c>
      <c r="D4854" s="76">
        <v>6.8100000000000001E-3</v>
      </c>
      <c r="E4854" s="76">
        <v>1.3899999999999999E-2</v>
      </c>
      <c r="F4854" s="76">
        <v>2.0799999999999999E-2</v>
      </c>
      <c r="G4854" s="76">
        <v>2.7799999999999998E-2</v>
      </c>
      <c r="H4854" s="76">
        <v>3.4599999999999999E-2</v>
      </c>
      <c r="I4854" s="76">
        <v>4.1300000000000003E-2</v>
      </c>
      <c r="J4854" s="76">
        <v>4.8300000000000003E-2</v>
      </c>
      <c r="K4854" s="76">
        <v>5.4800000000000001E-2</v>
      </c>
      <c r="L4854" s="76">
        <v>6.1499999999999999E-2</v>
      </c>
      <c r="M4854" s="76">
        <v>6.8400000000000002E-2</v>
      </c>
    </row>
    <row r="4855" spans="3:13" x14ac:dyDescent="0.15">
      <c r="C4855" s="76">
        <v>508</v>
      </c>
      <c r="D4855" s="76">
        <v>6.1599999999999997E-3</v>
      </c>
      <c r="E4855" s="76">
        <v>1.26E-2</v>
      </c>
      <c r="F4855" s="76">
        <v>1.8800000000000001E-2</v>
      </c>
      <c r="G4855" s="76">
        <v>2.5100000000000001E-2</v>
      </c>
      <c r="H4855" s="76">
        <v>3.1399999999999997E-2</v>
      </c>
      <c r="I4855" s="76">
        <v>3.7400000000000003E-2</v>
      </c>
      <c r="J4855" s="76">
        <v>4.36E-2</v>
      </c>
      <c r="K4855" s="76">
        <v>4.9599999999999998E-2</v>
      </c>
      <c r="L4855" s="76">
        <v>5.57E-2</v>
      </c>
      <c r="M4855" s="76">
        <v>6.1899999999999997E-2</v>
      </c>
    </row>
    <row r="4856" spans="3:13" x14ac:dyDescent="0.15">
      <c r="C4856" s="76">
        <v>510</v>
      </c>
      <c r="D4856" s="76">
        <v>5.6100000000000004E-3</v>
      </c>
      <c r="E4856" s="76">
        <v>1.14E-2</v>
      </c>
      <c r="F4856" s="76">
        <v>1.7100000000000001E-2</v>
      </c>
      <c r="G4856" s="76">
        <v>2.29E-2</v>
      </c>
      <c r="H4856" s="76">
        <v>2.8500000000000001E-2</v>
      </c>
      <c r="I4856" s="76">
        <v>3.4000000000000002E-2</v>
      </c>
      <c r="J4856" s="76">
        <v>3.9600000000000003E-2</v>
      </c>
      <c r="K4856" s="76">
        <v>4.5100000000000001E-2</v>
      </c>
      <c r="L4856" s="76">
        <v>5.0599999999999999E-2</v>
      </c>
      <c r="M4856" s="76">
        <v>5.62E-2</v>
      </c>
    </row>
    <row r="4857" spans="3:13" x14ac:dyDescent="0.15">
      <c r="C4857" s="76">
        <v>512</v>
      </c>
      <c r="D4857" s="76">
        <v>5.0499999999999998E-3</v>
      </c>
      <c r="E4857" s="76">
        <v>1.03E-2</v>
      </c>
      <c r="F4857" s="76">
        <v>1.54E-2</v>
      </c>
      <c r="G4857" s="76">
        <v>2.06E-2</v>
      </c>
      <c r="H4857" s="76">
        <v>2.5600000000000001E-2</v>
      </c>
      <c r="I4857" s="76">
        <v>3.0599999999999999E-2</v>
      </c>
      <c r="J4857" s="76">
        <v>3.5700000000000003E-2</v>
      </c>
      <c r="K4857" s="76">
        <v>4.07E-2</v>
      </c>
      <c r="L4857" s="76">
        <v>4.5699999999999998E-2</v>
      </c>
      <c r="M4857" s="76">
        <v>5.0700000000000002E-2</v>
      </c>
    </row>
    <row r="4858" spans="3:13" x14ac:dyDescent="0.15">
      <c r="C4858" s="76">
        <v>514</v>
      </c>
      <c r="D4858" s="76">
        <v>4.62E-3</v>
      </c>
      <c r="E4858" s="76">
        <v>9.3699999999999999E-3</v>
      </c>
      <c r="F4858" s="76">
        <v>1.4E-2</v>
      </c>
      <c r="G4858" s="76">
        <v>1.8800000000000001E-2</v>
      </c>
      <c r="H4858" s="76">
        <v>2.3400000000000001E-2</v>
      </c>
      <c r="I4858" s="76">
        <v>2.8000000000000001E-2</v>
      </c>
      <c r="J4858" s="76">
        <v>3.2599999999999997E-2</v>
      </c>
      <c r="K4858" s="76">
        <v>3.7199999999999997E-2</v>
      </c>
      <c r="L4858" s="76">
        <v>4.1700000000000001E-2</v>
      </c>
      <c r="M4858" s="76">
        <v>4.6300000000000001E-2</v>
      </c>
    </row>
    <row r="4859" spans="3:13" x14ac:dyDescent="0.15">
      <c r="C4859" s="76">
        <v>516</v>
      </c>
      <c r="D4859" s="76">
        <v>4.2500000000000003E-3</v>
      </c>
      <c r="E4859" s="76">
        <v>8.6099999999999996E-3</v>
      </c>
      <c r="F4859" s="76">
        <v>1.29E-2</v>
      </c>
      <c r="G4859" s="76">
        <v>1.7299999999999999E-2</v>
      </c>
      <c r="H4859" s="76">
        <v>2.1499999999999998E-2</v>
      </c>
      <c r="I4859" s="76">
        <v>2.5700000000000001E-2</v>
      </c>
      <c r="J4859" s="76">
        <v>0.03</v>
      </c>
      <c r="K4859" s="76">
        <v>3.4099999999999998E-2</v>
      </c>
      <c r="L4859" s="76">
        <v>3.8300000000000001E-2</v>
      </c>
      <c r="M4859" s="76">
        <v>4.2599999999999999E-2</v>
      </c>
    </row>
    <row r="4860" spans="3:13" x14ac:dyDescent="0.15">
      <c r="C4860" s="76">
        <v>518</v>
      </c>
      <c r="D4860" s="76">
        <v>3.9199999999999999E-3</v>
      </c>
      <c r="E4860" s="76">
        <v>7.9500000000000005E-3</v>
      </c>
      <c r="F4860" s="76">
        <v>1.1900000000000001E-2</v>
      </c>
      <c r="G4860" s="76">
        <v>1.5900000000000001E-2</v>
      </c>
      <c r="H4860" s="76">
        <v>1.9900000000000001E-2</v>
      </c>
      <c r="I4860" s="76">
        <v>2.3699999999999999E-2</v>
      </c>
      <c r="J4860" s="76">
        <v>2.7699999999999999E-2</v>
      </c>
      <c r="K4860" s="76">
        <v>3.15E-2</v>
      </c>
      <c r="L4860" s="76">
        <v>3.5400000000000001E-2</v>
      </c>
      <c r="M4860" s="76">
        <v>3.9300000000000002E-2</v>
      </c>
    </row>
    <row r="4861" spans="3:13" x14ac:dyDescent="0.15">
      <c r="C4861" s="76">
        <v>520</v>
      </c>
      <c r="D4861" s="76">
        <v>3.63E-3</v>
      </c>
      <c r="E4861" s="76">
        <v>7.3699999999999998E-3</v>
      </c>
      <c r="F4861" s="76">
        <v>1.11E-2</v>
      </c>
      <c r="G4861" s="76">
        <v>1.4800000000000001E-2</v>
      </c>
      <c r="H4861" s="76">
        <v>1.84E-2</v>
      </c>
      <c r="I4861" s="76">
        <v>2.1999999999999999E-2</v>
      </c>
      <c r="J4861" s="76">
        <v>2.5600000000000001E-2</v>
      </c>
      <c r="K4861" s="76">
        <v>2.92E-2</v>
      </c>
      <c r="L4861" s="76">
        <v>3.2800000000000003E-2</v>
      </c>
      <c r="M4861" s="76">
        <v>3.6400000000000002E-2</v>
      </c>
    </row>
    <row r="4862" spans="3:13" x14ac:dyDescent="0.15">
      <c r="C4862" s="76">
        <v>522</v>
      </c>
      <c r="D4862" s="76">
        <v>3.3600000000000001E-3</v>
      </c>
      <c r="E4862" s="76">
        <v>6.8100000000000001E-3</v>
      </c>
      <c r="F4862" s="76">
        <v>1.0200000000000001E-2</v>
      </c>
      <c r="G4862" s="76">
        <v>1.37E-2</v>
      </c>
      <c r="H4862" s="76">
        <v>1.7000000000000001E-2</v>
      </c>
      <c r="I4862" s="76">
        <v>2.0400000000000001E-2</v>
      </c>
      <c r="J4862" s="76">
        <v>2.3800000000000002E-2</v>
      </c>
      <c r="K4862" s="76">
        <v>2.7E-2</v>
      </c>
      <c r="L4862" s="76">
        <v>3.0300000000000001E-2</v>
      </c>
      <c r="M4862" s="76">
        <v>3.3599999999999998E-2</v>
      </c>
    </row>
    <row r="4863" spans="3:13" x14ac:dyDescent="0.15">
      <c r="C4863" s="76">
        <v>524</v>
      </c>
      <c r="D4863" s="76">
        <v>3.0899999999999999E-3</v>
      </c>
      <c r="E4863" s="76">
        <v>6.2399999999999999E-3</v>
      </c>
      <c r="F4863" s="76">
        <v>9.3900000000000008E-3</v>
      </c>
      <c r="G4863" s="76">
        <v>1.2500000000000001E-2</v>
      </c>
      <c r="H4863" s="76">
        <v>1.5599999999999999E-2</v>
      </c>
      <c r="I4863" s="76">
        <v>1.8599999999999998E-2</v>
      </c>
      <c r="J4863" s="76">
        <v>2.1700000000000001E-2</v>
      </c>
      <c r="K4863" s="76">
        <v>2.47E-2</v>
      </c>
      <c r="L4863" s="76">
        <v>2.7799999999999998E-2</v>
      </c>
      <c r="M4863" s="76">
        <v>3.0800000000000001E-2</v>
      </c>
    </row>
    <row r="4864" spans="3:13" x14ac:dyDescent="0.15">
      <c r="C4864" s="76">
        <v>526</v>
      </c>
      <c r="D4864" s="76">
        <v>2.8400000000000001E-3</v>
      </c>
      <c r="E4864" s="76">
        <v>5.77E-3</v>
      </c>
      <c r="F4864" s="76">
        <v>8.6400000000000001E-3</v>
      </c>
      <c r="G4864" s="76">
        <v>1.1599999999999999E-2</v>
      </c>
      <c r="H4864" s="76">
        <v>1.44E-2</v>
      </c>
      <c r="I4864" s="76">
        <v>1.72E-2</v>
      </c>
      <c r="J4864" s="76">
        <v>2.01E-2</v>
      </c>
      <c r="K4864" s="76">
        <v>2.2800000000000001E-2</v>
      </c>
      <c r="L4864" s="76">
        <v>2.5700000000000001E-2</v>
      </c>
      <c r="M4864" s="76">
        <v>2.8500000000000001E-2</v>
      </c>
    </row>
    <row r="4865" spans="3:13" x14ac:dyDescent="0.15">
      <c r="C4865" s="76">
        <v>528</v>
      </c>
      <c r="D4865" s="76">
        <v>2.63E-3</v>
      </c>
      <c r="E4865" s="76">
        <v>5.3299999999999997E-3</v>
      </c>
      <c r="F4865" s="76">
        <v>8.0000000000000002E-3</v>
      </c>
      <c r="G4865" s="76">
        <v>1.0699999999999999E-2</v>
      </c>
      <c r="H4865" s="76">
        <v>1.3299999999999999E-2</v>
      </c>
      <c r="I4865" s="76">
        <v>1.5900000000000001E-2</v>
      </c>
      <c r="J4865" s="76">
        <v>1.8499999999999999E-2</v>
      </c>
      <c r="K4865" s="76">
        <v>2.1100000000000001E-2</v>
      </c>
      <c r="L4865" s="76">
        <v>2.3800000000000002E-2</v>
      </c>
      <c r="M4865" s="76">
        <v>2.63E-2</v>
      </c>
    </row>
    <row r="4866" spans="3:13" x14ac:dyDescent="0.15">
      <c r="C4866" s="76">
        <v>530</v>
      </c>
      <c r="D4866" s="76">
        <v>2.4299999999999999E-3</v>
      </c>
      <c r="E4866" s="76">
        <v>4.8999999999999998E-3</v>
      </c>
      <c r="F4866" s="76">
        <v>7.3600000000000002E-3</v>
      </c>
      <c r="G4866" s="76">
        <v>9.8499999999999994E-3</v>
      </c>
      <c r="H4866" s="76">
        <v>1.2200000000000001E-2</v>
      </c>
      <c r="I4866" s="76">
        <v>1.47E-2</v>
      </c>
      <c r="J4866" s="76">
        <v>1.7000000000000001E-2</v>
      </c>
      <c r="K4866" s="76">
        <v>1.9400000000000001E-2</v>
      </c>
      <c r="L4866" s="76">
        <v>2.1899999999999999E-2</v>
      </c>
      <c r="M4866" s="76">
        <v>2.4199999999999999E-2</v>
      </c>
    </row>
    <row r="4867" spans="3:13" x14ac:dyDescent="0.15">
      <c r="C4867" s="76">
        <v>532</v>
      </c>
      <c r="D4867" s="76">
        <v>2.2200000000000002E-3</v>
      </c>
      <c r="E4867" s="76">
        <v>4.4999999999999997E-3</v>
      </c>
      <c r="F4867" s="76">
        <v>6.7400000000000003E-3</v>
      </c>
      <c r="G4867" s="76">
        <v>9.0100000000000006E-3</v>
      </c>
      <c r="H4867" s="76">
        <v>1.12E-2</v>
      </c>
      <c r="I4867" s="76">
        <v>1.34E-2</v>
      </c>
      <c r="J4867" s="76">
        <v>1.5699999999999999E-2</v>
      </c>
      <c r="K4867" s="76">
        <v>1.78E-2</v>
      </c>
      <c r="L4867" s="76">
        <v>0.02</v>
      </c>
      <c r="M4867" s="76">
        <v>2.2100000000000002E-2</v>
      </c>
    </row>
    <row r="4868" spans="3:13" x14ac:dyDescent="0.15">
      <c r="C4868" s="76">
        <v>534</v>
      </c>
      <c r="D4868" s="76">
        <v>2.0200000000000001E-3</v>
      </c>
      <c r="E4868" s="76">
        <v>4.1099999999999999E-3</v>
      </c>
      <c r="F4868" s="76">
        <v>6.1399999999999996E-3</v>
      </c>
      <c r="G4868" s="76">
        <v>8.2100000000000003E-3</v>
      </c>
      <c r="H4868" s="76">
        <v>1.0200000000000001E-2</v>
      </c>
      <c r="I4868" s="76">
        <v>1.23E-2</v>
      </c>
      <c r="J4868" s="76">
        <v>1.43E-2</v>
      </c>
      <c r="K4868" s="76">
        <v>1.6299999999999999E-2</v>
      </c>
      <c r="L4868" s="76">
        <v>1.8200000000000001E-2</v>
      </c>
      <c r="M4868" s="76">
        <v>2.0199999999999999E-2</v>
      </c>
    </row>
    <row r="4869" spans="3:13" x14ac:dyDescent="0.15">
      <c r="C4869" s="76">
        <v>536</v>
      </c>
      <c r="D4869" s="76">
        <v>1.82E-3</v>
      </c>
      <c r="E4869" s="76">
        <v>3.7100000000000002E-3</v>
      </c>
      <c r="F4869" s="76">
        <v>5.5399999999999998E-3</v>
      </c>
      <c r="G4869" s="76">
        <v>7.4099999999999999E-3</v>
      </c>
      <c r="H4869" s="76">
        <v>9.1800000000000007E-3</v>
      </c>
      <c r="I4869" s="76">
        <v>1.11E-2</v>
      </c>
      <c r="J4869" s="76">
        <v>1.29E-2</v>
      </c>
      <c r="K4869" s="76">
        <v>1.46E-2</v>
      </c>
      <c r="L4869" s="76">
        <v>1.6500000000000001E-2</v>
      </c>
      <c r="M4869" s="76">
        <v>1.8100000000000002E-2</v>
      </c>
    </row>
    <row r="4870" spans="3:13" x14ac:dyDescent="0.15">
      <c r="C4870" s="76">
        <v>538</v>
      </c>
      <c r="D4870" s="76">
        <v>1.65E-3</v>
      </c>
      <c r="E4870" s="76">
        <v>3.3700000000000002E-3</v>
      </c>
      <c r="F4870" s="76">
        <v>5.0600000000000003E-3</v>
      </c>
      <c r="G4870" s="76">
        <v>6.7499999999999999E-3</v>
      </c>
      <c r="H4870" s="76">
        <v>8.3800000000000003E-3</v>
      </c>
      <c r="I4870" s="76">
        <v>1.01E-2</v>
      </c>
      <c r="J4870" s="76">
        <v>1.17E-2</v>
      </c>
      <c r="K4870" s="76">
        <v>1.3299999999999999E-2</v>
      </c>
      <c r="L4870" s="76">
        <v>1.4999999999999999E-2</v>
      </c>
      <c r="M4870" s="76">
        <v>1.6500000000000001E-2</v>
      </c>
    </row>
    <row r="4871" spans="3:13" x14ac:dyDescent="0.15">
      <c r="C4871" s="76">
        <v>540</v>
      </c>
      <c r="D4871" s="76">
        <v>1.5E-3</v>
      </c>
      <c r="E4871" s="76">
        <v>3.0699999999999998E-3</v>
      </c>
      <c r="F4871" s="76">
        <v>4.5799999999999999E-3</v>
      </c>
      <c r="G4871" s="76">
        <v>6.1399999999999996E-3</v>
      </c>
      <c r="H4871" s="76">
        <v>7.6299999999999996E-3</v>
      </c>
      <c r="I4871" s="76">
        <v>9.1999999999999998E-3</v>
      </c>
      <c r="J4871" s="76">
        <v>1.0699999999999999E-2</v>
      </c>
      <c r="K4871" s="76">
        <v>1.21E-2</v>
      </c>
      <c r="L4871" s="76">
        <v>1.37E-2</v>
      </c>
      <c r="M4871" s="76">
        <v>1.49E-2</v>
      </c>
    </row>
    <row r="4872" spans="3:13" x14ac:dyDescent="0.15">
      <c r="C4872" s="76">
        <v>542</v>
      </c>
      <c r="D4872" s="76">
        <v>1.3699999999999999E-3</v>
      </c>
      <c r="E4872" s="76">
        <v>2.8E-3</v>
      </c>
      <c r="F4872" s="76">
        <v>4.1700000000000001E-3</v>
      </c>
      <c r="G4872" s="76">
        <v>5.5799999999999999E-3</v>
      </c>
      <c r="H4872" s="76">
        <v>6.9100000000000003E-3</v>
      </c>
      <c r="I4872" s="76">
        <v>8.3499999999999998E-3</v>
      </c>
      <c r="J4872" s="76">
        <v>9.6900000000000007E-3</v>
      </c>
      <c r="K4872" s="76">
        <v>1.11E-2</v>
      </c>
      <c r="L4872" s="76">
        <v>1.24E-2</v>
      </c>
      <c r="M4872" s="76">
        <v>1.3599999999999999E-2</v>
      </c>
    </row>
    <row r="4873" spans="3:13" x14ac:dyDescent="0.15">
      <c r="C4873" s="76">
        <v>544</v>
      </c>
      <c r="D4873" s="76">
        <v>1.25E-3</v>
      </c>
      <c r="E4873" s="76">
        <v>2.5500000000000002E-3</v>
      </c>
      <c r="F4873" s="76">
        <v>3.79E-3</v>
      </c>
      <c r="G4873" s="76">
        <v>5.0600000000000003E-3</v>
      </c>
      <c r="H4873" s="76">
        <v>6.3E-3</v>
      </c>
      <c r="I4873" s="76">
        <v>7.5900000000000004E-3</v>
      </c>
      <c r="J4873" s="76">
        <v>8.8400000000000006E-3</v>
      </c>
      <c r="K4873" s="76">
        <v>1.01E-2</v>
      </c>
      <c r="L4873" s="76">
        <v>1.14E-2</v>
      </c>
      <c r="M4873" s="76">
        <v>1.23E-2</v>
      </c>
    </row>
    <row r="4874" spans="3:13" x14ac:dyDescent="0.15">
      <c r="C4874" s="76">
        <v>546</v>
      </c>
      <c r="D4874" s="76">
        <v>1.1100000000000001E-3</v>
      </c>
      <c r="E4874" s="76">
        <v>2.31E-3</v>
      </c>
      <c r="F4874" s="76">
        <v>3.46E-3</v>
      </c>
      <c r="G4874" s="76">
        <v>4.5599999999999998E-3</v>
      </c>
      <c r="H4874" s="76">
        <v>5.7099999999999998E-3</v>
      </c>
      <c r="I4874" s="76">
        <v>6.8100000000000001E-3</v>
      </c>
      <c r="J4874" s="76">
        <v>7.9600000000000001E-3</v>
      </c>
      <c r="K4874" s="76">
        <v>9.0500000000000008E-3</v>
      </c>
      <c r="L4874" s="76">
        <v>1.0200000000000001E-2</v>
      </c>
      <c r="M4874" s="76">
        <v>1.11E-2</v>
      </c>
    </row>
    <row r="4875" spans="3:13" x14ac:dyDescent="0.15">
      <c r="C4875" s="76">
        <v>548</v>
      </c>
      <c r="D4875" s="76">
        <v>1.01E-3</v>
      </c>
      <c r="E4875" s="76">
        <v>2.0899999999999998E-3</v>
      </c>
      <c r="F4875" s="76">
        <v>3.0999999999999999E-3</v>
      </c>
      <c r="G4875" s="76">
        <v>4.15E-3</v>
      </c>
      <c r="H4875" s="76">
        <v>5.0699999999999999E-3</v>
      </c>
      <c r="I4875" s="76">
        <v>6.1999999999999998E-3</v>
      </c>
      <c r="J4875" s="76">
        <v>7.2500000000000004E-3</v>
      </c>
      <c r="K4875" s="76">
        <v>8.2299999999999995E-3</v>
      </c>
      <c r="L4875" s="76">
        <v>9.2300000000000004E-3</v>
      </c>
      <c r="M4875" s="76">
        <v>1.01E-2</v>
      </c>
    </row>
    <row r="4876" spans="3:13" x14ac:dyDescent="0.15">
      <c r="C4876" s="76">
        <v>550</v>
      </c>
      <c r="D4876" s="76">
        <v>9.2100000000000005E-4</v>
      </c>
      <c r="E4876" s="76">
        <v>1.91E-3</v>
      </c>
      <c r="F4876" s="76">
        <v>2.8400000000000001E-3</v>
      </c>
      <c r="G4876" s="76">
        <v>3.8E-3</v>
      </c>
      <c r="H4876" s="76">
        <v>4.7099999999999998E-3</v>
      </c>
      <c r="I4876" s="76">
        <v>5.7000000000000002E-3</v>
      </c>
      <c r="J4876" s="76">
        <v>6.6100000000000004E-3</v>
      </c>
      <c r="K4876" s="76">
        <v>7.4599999999999996E-3</v>
      </c>
      <c r="L4876" s="76">
        <v>8.4899999999999993E-3</v>
      </c>
      <c r="M4876" s="76">
        <v>9.1699999999999993E-3</v>
      </c>
    </row>
    <row r="4877" spans="3:13" x14ac:dyDescent="0.15">
      <c r="C4877" s="76">
        <v>552</v>
      </c>
      <c r="D4877" s="76">
        <v>8.4500000000000005E-4</v>
      </c>
      <c r="E4877" s="76">
        <v>1.74E-3</v>
      </c>
      <c r="F4877" s="76">
        <v>2.5899999999999999E-3</v>
      </c>
      <c r="G4877" s="76">
        <v>3.47E-3</v>
      </c>
      <c r="H4877" s="76">
        <v>4.2900000000000004E-3</v>
      </c>
      <c r="I4877" s="76">
        <v>5.2100000000000002E-3</v>
      </c>
      <c r="J4877" s="76">
        <v>6.0400000000000002E-3</v>
      </c>
      <c r="K4877" s="76">
        <v>6.77E-3</v>
      </c>
      <c r="L4877" s="76">
        <v>7.7499999999999999E-3</v>
      </c>
      <c r="M4877" s="76">
        <v>8.3400000000000002E-3</v>
      </c>
    </row>
    <row r="4878" spans="3:13" x14ac:dyDescent="0.15">
      <c r="C4878" s="76">
        <v>554</v>
      </c>
      <c r="D4878" s="76">
        <v>7.6300000000000001E-4</v>
      </c>
      <c r="E4878" s="76">
        <v>1.5900000000000001E-3</v>
      </c>
      <c r="F4878" s="76">
        <v>2.3600000000000001E-3</v>
      </c>
      <c r="G4878" s="76">
        <v>3.1800000000000001E-3</v>
      </c>
      <c r="H4878" s="76">
        <v>3.9399999999999999E-3</v>
      </c>
      <c r="I4878" s="76">
        <v>4.7999999999999996E-3</v>
      </c>
      <c r="J4878" s="76">
        <v>5.4900000000000001E-3</v>
      </c>
      <c r="K4878" s="76">
        <v>6.1900000000000002E-3</v>
      </c>
      <c r="L4878" s="76">
        <v>6.9800000000000001E-3</v>
      </c>
      <c r="M4878" s="76">
        <v>7.6E-3</v>
      </c>
    </row>
    <row r="4879" spans="3:13" x14ac:dyDescent="0.15">
      <c r="C4879" s="76">
        <v>556</v>
      </c>
      <c r="D4879" s="76">
        <v>6.9200000000000002E-4</v>
      </c>
      <c r="E4879" s="76">
        <v>1.4599999999999999E-3</v>
      </c>
      <c r="F4879" s="76">
        <v>2.1700000000000001E-3</v>
      </c>
      <c r="G4879" s="76">
        <v>2.8800000000000002E-3</v>
      </c>
      <c r="H4879" s="76">
        <v>3.5799999999999998E-3</v>
      </c>
      <c r="I4879" s="76">
        <v>4.3800000000000002E-3</v>
      </c>
      <c r="J4879" s="76">
        <v>5.0000000000000001E-3</v>
      </c>
      <c r="K4879" s="76">
        <v>5.7000000000000002E-3</v>
      </c>
      <c r="L4879" s="76">
        <v>6.3899999999999998E-3</v>
      </c>
      <c r="M4879" s="76">
        <v>6.9100000000000003E-3</v>
      </c>
    </row>
    <row r="4880" spans="3:13" x14ac:dyDescent="0.15">
      <c r="C4880" s="76">
        <v>558</v>
      </c>
      <c r="D4880" s="76">
        <v>6.2699999999999995E-4</v>
      </c>
      <c r="E4880" s="76">
        <v>1.33E-3</v>
      </c>
      <c r="F4880" s="76">
        <v>1.9599999999999999E-3</v>
      </c>
      <c r="G4880" s="76">
        <v>2.5699999999999998E-3</v>
      </c>
      <c r="H4880" s="76">
        <v>3.2499999999999999E-3</v>
      </c>
      <c r="I4880" s="76">
        <v>3.9300000000000003E-3</v>
      </c>
      <c r="J4880" s="76">
        <v>4.5300000000000002E-3</v>
      </c>
      <c r="K4880" s="76">
        <v>5.1000000000000004E-3</v>
      </c>
      <c r="L4880" s="76">
        <v>5.79E-3</v>
      </c>
      <c r="M4880" s="76">
        <v>6.2399999999999999E-3</v>
      </c>
    </row>
    <row r="4881" spans="3:13" x14ac:dyDescent="0.15">
      <c r="C4881" s="76">
        <v>560</v>
      </c>
      <c r="D4881" s="76">
        <v>5.7499999999999999E-4</v>
      </c>
      <c r="E4881" s="76">
        <v>1.2199999999999999E-3</v>
      </c>
      <c r="F4881" s="76">
        <v>1.7799999999999999E-3</v>
      </c>
      <c r="G4881" s="76">
        <v>2.4199999999999998E-3</v>
      </c>
      <c r="H4881" s="76">
        <v>2.98E-3</v>
      </c>
      <c r="I4881" s="76">
        <v>3.5999999999999999E-3</v>
      </c>
      <c r="J4881" s="76">
        <v>4.1700000000000001E-3</v>
      </c>
      <c r="K4881" s="76">
        <v>4.7000000000000002E-3</v>
      </c>
      <c r="L4881" s="76">
        <v>5.3200000000000001E-3</v>
      </c>
      <c r="M4881" s="76">
        <v>5.7299999999999999E-3</v>
      </c>
    </row>
    <row r="4882" spans="3:13" x14ac:dyDescent="0.15">
      <c r="C4882" s="76">
        <v>562</v>
      </c>
      <c r="D4882" s="76">
        <v>5.3200000000000003E-4</v>
      </c>
      <c r="E4882" s="76">
        <v>1.1199999999999999E-3</v>
      </c>
      <c r="F4882" s="76">
        <v>1.6299999999999999E-3</v>
      </c>
      <c r="G4882" s="76">
        <v>2.1800000000000001E-3</v>
      </c>
      <c r="H4882" s="76">
        <v>2.7000000000000001E-3</v>
      </c>
      <c r="I4882" s="76">
        <v>3.3400000000000001E-3</v>
      </c>
      <c r="J4882" s="76">
        <v>3.81E-3</v>
      </c>
      <c r="K4882" s="76">
        <v>4.2700000000000004E-3</v>
      </c>
      <c r="L4882" s="76">
        <v>4.8500000000000001E-3</v>
      </c>
      <c r="M4882" s="76">
        <v>5.28E-3</v>
      </c>
    </row>
    <row r="4883" spans="3:13" x14ac:dyDescent="0.15">
      <c r="C4883" s="76">
        <v>564</v>
      </c>
      <c r="D4883" s="76">
        <v>4.8700000000000002E-4</v>
      </c>
      <c r="E4883" s="76">
        <v>1.0200000000000001E-3</v>
      </c>
      <c r="F4883" s="76">
        <v>1.5299999999999999E-3</v>
      </c>
      <c r="G4883" s="76">
        <v>2.0300000000000001E-3</v>
      </c>
      <c r="H4883" s="76">
        <v>2.47E-3</v>
      </c>
      <c r="I4883" s="76">
        <v>3.0400000000000002E-3</v>
      </c>
      <c r="J4883" s="76">
        <v>3.48E-3</v>
      </c>
      <c r="K4883" s="76">
        <v>3.9199999999999999E-3</v>
      </c>
      <c r="L4883" s="76">
        <v>4.4600000000000004E-3</v>
      </c>
      <c r="M4883" s="76">
        <v>4.7999999999999996E-3</v>
      </c>
    </row>
    <row r="4884" spans="3:13" x14ac:dyDescent="0.15">
      <c r="C4884" s="76">
        <v>566</v>
      </c>
      <c r="D4884" s="76">
        <v>4.4799999999999999E-4</v>
      </c>
      <c r="E4884" s="76">
        <v>9.4499999999999998E-4</v>
      </c>
      <c r="F4884" s="76">
        <v>1.3799999999999999E-3</v>
      </c>
      <c r="G4884" s="76">
        <v>1.8400000000000001E-3</v>
      </c>
      <c r="H4884" s="76">
        <v>2.31E-3</v>
      </c>
      <c r="I4884" s="76">
        <v>2.8E-3</v>
      </c>
      <c r="J4884" s="76">
        <v>3.1800000000000001E-3</v>
      </c>
      <c r="K4884" s="76">
        <v>3.6099999999999999E-3</v>
      </c>
      <c r="L4884" s="76">
        <v>4.1000000000000003E-3</v>
      </c>
      <c r="M4884" s="76">
        <v>4.4999999999999997E-3</v>
      </c>
    </row>
    <row r="4885" spans="3:13" x14ac:dyDescent="0.15">
      <c r="C4885" s="76">
        <v>568</v>
      </c>
      <c r="D4885" s="76">
        <v>4.1199999999999999E-4</v>
      </c>
      <c r="E4885" s="76">
        <v>8.6499999999999999E-4</v>
      </c>
      <c r="F4885" s="76">
        <v>1.2700000000000001E-3</v>
      </c>
      <c r="G4885" s="76">
        <v>1.6800000000000001E-3</v>
      </c>
      <c r="H4885" s="76">
        <v>2.1299999999999999E-3</v>
      </c>
      <c r="I4885" s="76">
        <v>2.5799999999999998E-3</v>
      </c>
      <c r="J4885" s="76">
        <v>2.9499999999999999E-3</v>
      </c>
      <c r="K4885" s="76">
        <v>3.3400000000000001E-3</v>
      </c>
      <c r="L4885" s="76">
        <v>3.7499999999999999E-3</v>
      </c>
      <c r="M4885" s="76">
        <v>4.0699999999999998E-3</v>
      </c>
    </row>
    <row r="4886" spans="3:13" x14ac:dyDescent="0.15">
      <c r="C4886" s="76">
        <v>570</v>
      </c>
      <c r="D4886" s="76">
        <v>3.8000000000000002E-4</v>
      </c>
      <c r="E4886" s="76">
        <v>7.9900000000000001E-4</v>
      </c>
      <c r="F4886" s="76">
        <v>1.17E-3</v>
      </c>
      <c r="G4886" s="76">
        <v>1.58E-3</v>
      </c>
      <c r="H4886" s="76">
        <v>1.9400000000000001E-3</v>
      </c>
      <c r="I4886" s="76">
        <v>2.3500000000000001E-3</v>
      </c>
      <c r="J4886" s="76">
        <v>2.7399999999999998E-3</v>
      </c>
      <c r="K4886" s="76">
        <v>3.13E-3</v>
      </c>
      <c r="L4886" s="76">
        <v>3.47E-3</v>
      </c>
      <c r="M4886" s="76">
        <v>3.82E-3</v>
      </c>
    </row>
    <row r="4887" spans="3:13" x14ac:dyDescent="0.15">
      <c r="C4887" s="76">
        <v>572</v>
      </c>
      <c r="D4887" s="76">
        <v>3.59E-4</v>
      </c>
      <c r="E4887" s="76">
        <v>7.4100000000000001E-4</v>
      </c>
      <c r="F4887" s="76">
        <v>1.09E-3</v>
      </c>
      <c r="G4887" s="76">
        <v>1.48E-3</v>
      </c>
      <c r="H4887" s="76">
        <v>1.8600000000000001E-3</v>
      </c>
      <c r="I4887" s="76">
        <v>2.2100000000000002E-3</v>
      </c>
      <c r="J4887" s="76">
        <v>2.5500000000000002E-3</v>
      </c>
      <c r="K4887" s="76">
        <v>2.8600000000000001E-3</v>
      </c>
      <c r="L4887" s="76">
        <v>3.2699999999999999E-3</v>
      </c>
      <c r="M4887" s="76">
        <v>3.5799999999999998E-3</v>
      </c>
    </row>
    <row r="4888" spans="3:13" x14ac:dyDescent="0.15">
      <c r="C4888" s="76">
        <v>574</v>
      </c>
      <c r="D4888" s="76">
        <v>3.3300000000000002E-4</v>
      </c>
      <c r="E4888" s="76">
        <v>6.9300000000000004E-4</v>
      </c>
      <c r="F4888" s="76">
        <v>1.0200000000000001E-3</v>
      </c>
      <c r="G4888" s="76">
        <v>1.3600000000000001E-3</v>
      </c>
      <c r="H4888" s="76">
        <v>1.72E-3</v>
      </c>
      <c r="I4888" s="76">
        <v>2.0400000000000001E-3</v>
      </c>
      <c r="J4888" s="76">
        <v>2.3800000000000002E-3</v>
      </c>
      <c r="K4888" s="76">
        <v>2.64E-3</v>
      </c>
      <c r="L4888" s="76">
        <v>2.98E-3</v>
      </c>
      <c r="M4888" s="76">
        <v>3.3300000000000001E-3</v>
      </c>
    </row>
    <row r="4889" spans="3:13" x14ac:dyDescent="0.15">
      <c r="C4889" s="76">
        <v>576</v>
      </c>
      <c r="D4889" s="76">
        <v>3.1100000000000002E-4</v>
      </c>
      <c r="E4889" s="76">
        <v>6.2600000000000004E-4</v>
      </c>
      <c r="F4889" s="76">
        <v>9.5100000000000002E-4</v>
      </c>
      <c r="G4889" s="76">
        <v>1.2600000000000001E-3</v>
      </c>
      <c r="H4889" s="76">
        <v>1.58E-3</v>
      </c>
      <c r="I4889" s="76">
        <v>1.91E-3</v>
      </c>
      <c r="J4889" s="76">
        <v>2.1700000000000001E-3</v>
      </c>
      <c r="K4889" s="76">
        <v>2.5000000000000001E-3</v>
      </c>
      <c r="L4889" s="76">
        <v>2.7000000000000001E-3</v>
      </c>
      <c r="M4889" s="76">
        <v>3.0899999999999999E-3</v>
      </c>
    </row>
    <row r="4890" spans="3:13" x14ac:dyDescent="0.15">
      <c r="C4890" s="76">
        <v>578</v>
      </c>
      <c r="D4890" s="76">
        <v>2.9E-4</v>
      </c>
      <c r="E4890" s="76">
        <v>5.7399999999999997E-4</v>
      </c>
      <c r="F4890" s="76">
        <v>8.7699999999999996E-4</v>
      </c>
      <c r="G4890" s="76">
        <v>1.16E-3</v>
      </c>
      <c r="H4890" s="76">
        <v>1.4599999999999999E-3</v>
      </c>
      <c r="I4890" s="76">
        <v>1.7600000000000001E-3</v>
      </c>
      <c r="J4890" s="76">
        <v>2.0200000000000001E-3</v>
      </c>
      <c r="K4890" s="76">
        <v>2.3400000000000001E-3</v>
      </c>
      <c r="L4890" s="76">
        <v>2.5400000000000002E-3</v>
      </c>
      <c r="M4890" s="76">
        <v>2.8600000000000001E-3</v>
      </c>
    </row>
    <row r="4891" spans="3:13" x14ac:dyDescent="0.15">
      <c r="C4891" s="76">
        <v>580</v>
      </c>
      <c r="D4891" s="76">
        <v>2.7E-4</v>
      </c>
      <c r="E4891" s="76">
        <v>5.2300000000000003E-4</v>
      </c>
      <c r="F4891" s="76">
        <v>8.0000000000000004E-4</v>
      </c>
      <c r="G4891" s="76">
        <v>1.09E-3</v>
      </c>
      <c r="H4891" s="76">
        <v>1.33E-3</v>
      </c>
      <c r="I4891" s="76">
        <v>1.6199999999999999E-3</v>
      </c>
      <c r="J4891" s="76">
        <v>1.8500000000000001E-3</v>
      </c>
      <c r="K4891" s="76">
        <v>2.15E-3</v>
      </c>
      <c r="L4891" s="76">
        <v>2.2499999999999998E-3</v>
      </c>
      <c r="M4891" s="76">
        <v>2.6700000000000001E-3</v>
      </c>
    </row>
    <row r="4892" spans="3:13" x14ac:dyDescent="0.15">
      <c r="C4892" s="76">
        <v>582</v>
      </c>
      <c r="D4892" s="76">
        <v>2.5300000000000002E-4</v>
      </c>
      <c r="E4892" s="76">
        <v>4.8000000000000001E-4</v>
      </c>
      <c r="F4892" s="76">
        <v>7.2999999999999996E-4</v>
      </c>
      <c r="G4892" s="76">
        <v>9.8299999999999993E-4</v>
      </c>
      <c r="H4892" s="76">
        <v>1.24E-3</v>
      </c>
      <c r="I4892" s="76">
        <v>1.49E-3</v>
      </c>
      <c r="J4892" s="76">
        <v>1.73E-3</v>
      </c>
      <c r="K4892" s="76">
        <v>2.0200000000000001E-3</v>
      </c>
      <c r="L4892" s="76">
        <v>2.0899999999999998E-3</v>
      </c>
      <c r="M4892" s="76">
        <v>2.3800000000000002E-3</v>
      </c>
    </row>
    <row r="4893" spans="3:13" x14ac:dyDescent="0.15">
      <c r="C4893" s="76">
        <v>584</v>
      </c>
      <c r="D4893" s="76">
        <v>2.4000000000000001E-4</v>
      </c>
      <c r="E4893" s="76">
        <v>4.5199999999999998E-4</v>
      </c>
      <c r="F4893" s="76">
        <v>6.8199999999999999E-4</v>
      </c>
      <c r="G4893" s="76">
        <v>8.9499999999999996E-4</v>
      </c>
      <c r="H4893" s="76">
        <v>1.15E-3</v>
      </c>
      <c r="I4893" s="76">
        <v>1.3500000000000001E-3</v>
      </c>
      <c r="J4893" s="76">
        <v>1.6000000000000001E-3</v>
      </c>
      <c r="K4893" s="76">
        <v>1.8699999999999999E-3</v>
      </c>
      <c r="L4893" s="76">
        <v>1.9E-3</v>
      </c>
      <c r="M4893" s="76">
        <v>2.2599999999999999E-3</v>
      </c>
    </row>
    <row r="4894" spans="3:13" x14ac:dyDescent="0.15">
      <c r="C4894" s="76">
        <v>586</v>
      </c>
      <c r="D4894" s="76">
        <v>2.1800000000000001E-4</v>
      </c>
      <c r="E4894" s="76">
        <v>4.0499999999999998E-4</v>
      </c>
      <c r="F4894" s="76">
        <v>6.0800000000000003E-4</v>
      </c>
      <c r="G4894" s="76">
        <v>8.1800000000000004E-4</v>
      </c>
      <c r="H4894" s="76">
        <v>1.0200000000000001E-3</v>
      </c>
      <c r="I4894" s="76">
        <v>1.16E-3</v>
      </c>
      <c r="J4894" s="76">
        <v>1.4499999999999999E-3</v>
      </c>
      <c r="K4894" s="76">
        <v>1.6800000000000001E-3</v>
      </c>
      <c r="L4894" s="76">
        <v>1.74E-3</v>
      </c>
      <c r="M4894" s="76">
        <v>2.0500000000000002E-3</v>
      </c>
    </row>
    <row r="4895" spans="3:13" x14ac:dyDescent="0.15">
      <c r="C4895" s="76">
        <v>588</v>
      </c>
      <c r="D4895" s="76">
        <v>2.02E-4</v>
      </c>
      <c r="E4895" s="76">
        <v>3.77E-4</v>
      </c>
      <c r="F4895" s="76">
        <v>5.6400000000000005E-4</v>
      </c>
      <c r="G4895" s="76">
        <v>7.6000000000000004E-4</v>
      </c>
      <c r="H4895" s="76">
        <v>9.4399999999999996E-4</v>
      </c>
      <c r="I4895" s="76">
        <v>1.15E-3</v>
      </c>
      <c r="J4895" s="76">
        <v>1.2700000000000001E-3</v>
      </c>
      <c r="K4895" s="76">
        <v>1.5E-3</v>
      </c>
      <c r="L4895" s="76">
        <v>1.6299999999999999E-3</v>
      </c>
      <c r="M4895" s="76">
        <v>1.9E-3</v>
      </c>
    </row>
    <row r="4896" spans="3:13" x14ac:dyDescent="0.15">
      <c r="C4896" s="76">
        <v>590</v>
      </c>
      <c r="D4896" s="76">
        <v>1.9000000000000001E-4</v>
      </c>
      <c r="E4896" s="76">
        <v>3.1500000000000001E-4</v>
      </c>
      <c r="F4896" s="76">
        <v>5.1199999999999998E-4</v>
      </c>
      <c r="G4896" s="76">
        <v>6.7500000000000004E-4</v>
      </c>
      <c r="H4896" s="76">
        <v>7.9900000000000001E-4</v>
      </c>
      <c r="I4896" s="76">
        <v>9.5699999999999995E-4</v>
      </c>
      <c r="J4896" s="76">
        <v>1.25E-3</v>
      </c>
      <c r="K4896" s="76">
        <v>1.42E-3</v>
      </c>
      <c r="L4896" s="76">
        <v>1.4400000000000001E-3</v>
      </c>
      <c r="M4896" s="76">
        <v>1.75E-3</v>
      </c>
    </row>
    <row r="4897" spans="3:13" x14ac:dyDescent="0.15">
      <c r="C4897" s="76">
        <v>592</v>
      </c>
      <c r="D4897" s="76">
        <v>1.66E-4</v>
      </c>
      <c r="E4897" s="76">
        <v>2.9799999999999998E-4</v>
      </c>
      <c r="F4897" s="76">
        <v>4.5600000000000003E-4</v>
      </c>
      <c r="G4897" s="76">
        <v>6.2100000000000002E-4</v>
      </c>
      <c r="H4897" s="76">
        <v>7.8899999999999999E-4</v>
      </c>
      <c r="I4897" s="76">
        <v>8.8199999999999997E-4</v>
      </c>
      <c r="J4897" s="76">
        <v>1.0499999999999999E-3</v>
      </c>
      <c r="K4897" s="76">
        <v>1.31E-3</v>
      </c>
      <c r="L4897" s="76">
        <v>1.3600000000000001E-3</v>
      </c>
      <c r="M4897" s="76">
        <v>1.5200000000000001E-3</v>
      </c>
    </row>
    <row r="4898" spans="3:13" x14ac:dyDescent="0.15">
      <c r="C4898" s="76">
        <v>594</v>
      </c>
      <c r="D4898" s="76">
        <v>1.5699999999999999E-4</v>
      </c>
      <c r="E4898" s="76">
        <v>2.8499999999999999E-4</v>
      </c>
      <c r="F4898" s="76">
        <v>4.2099999999999999E-4</v>
      </c>
      <c r="G4898" s="76">
        <v>5.9800000000000001E-4</v>
      </c>
      <c r="H4898" s="76">
        <v>7.2000000000000005E-4</v>
      </c>
      <c r="I4898" s="76">
        <v>8.0999999999999996E-4</v>
      </c>
      <c r="J4898" s="76">
        <v>9.41E-4</v>
      </c>
      <c r="K4898" s="76">
        <v>1.16E-3</v>
      </c>
      <c r="L4898" s="76">
        <v>1.2899999999999999E-3</v>
      </c>
      <c r="M4898" s="76">
        <v>1.4400000000000001E-3</v>
      </c>
    </row>
    <row r="4899" spans="3:13" x14ac:dyDescent="0.15">
      <c r="C4899" s="76">
        <v>596</v>
      </c>
      <c r="D4899" s="76">
        <v>1.3999999999999999E-4</v>
      </c>
      <c r="E4899" s="76">
        <v>2.4899999999999998E-4</v>
      </c>
      <c r="F4899" s="76">
        <v>3.7399999999999998E-4</v>
      </c>
      <c r="G4899" s="76">
        <v>5.3399999999999997E-4</v>
      </c>
      <c r="H4899" s="76">
        <v>6.6500000000000001E-4</v>
      </c>
      <c r="I4899" s="76">
        <v>7.5600000000000005E-4</v>
      </c>
      <c r="J4899" s="76">
        <v>8.52E-4</v>
      </c>
      <c r="K4899" s="76">
        <v>1.06E-3</v>
      </c>
      <c r="L4899" s="76">
        <v>1.1800000000000001E-3</v>
      </c>
      <c r="M4899" s="76">
        <v>1.3799999999999999E-3</v>
      </c>
    </row>
    <row r="4900" spans="3:13" x14ac:dyDescent="0.15">
      <c r="C4900" s="76">
        <v>598</v>
      </c>
      <c r="D4900" s="76">
        <v>1.3300000000000001E-4</v>
      </c>
      <c r="E4900" s="76">
        <v>2.3699999999999999E-4</v>
      </c>
      <c r="F4900" s="76">
        <v>3.5199999999999999E-4</v>
      </c>
      <c r="G4900" s="76">
        <v>4.6900000000000002E-4</v>
      </c>
      <c r="H4900" s="76">
        <v>6.11E-4</v>
      </c>
      <c r="I4900" s="76">
        <v>6.9200000000000002E-4</v>
      </c>
      <c r="J4900" s="76">
        <v>7.3800000000000005E-4</v>
      </c>
      <c r="K4900" s="76">
        <v>9.3700000000000001E-4</v>
      </c>
      <c r="L4900" s="76">
        <v>1E-3</v>
      </c>
      <c r="M4900" s="76">
        <v>1.2600000000000001E-3</v>
      </c>
    </row>
    <row r="4901" spans="3:13" x14ac:dyDescent="0.15">
      <c r="C4901" s="76">
        <v>600</v>
      </c>
      <c r="D4901" s="76">
        <v>1.27E-4</v>
      </c>
      <c r="E4901" s="76">
        <v>2.1699999999999999E-4</v>
      </c>
      <c r="F4901" s="76">
        <v>3.0299999999999999E-4</v>
      </c>
      <c r="G4901" s="76">
        <v>4.35E-4</v>
      </c>
      <c r="H4901" s="76">
        <v>5.6700000000000001E-4</v>
      </c>
      <c r="I4901" s="76">
        <v>5.9500000000000004E-4</v>
      </c>
      <c r="J4901" s="76">
        <v>7.2300000000000001E-4</v>
      </c>
      <c r="K4901" s="76">
        <v>9.1399999999999999E-4</v>
      </c>
      <c r="L4901" s="76">
        <v>9.3499999999999996E-4</v>
      </c>
      <c r="M4901" s="76">
        <v>1.1800000000000001E-3</v>
      </c>
    </row>
    <row r="4902" spans="3:13" x14ac:dyDescent="0.15">
      <c r="C4902" s="76">
        <v>602</v>
      </c>
      <c r="D4902" s="76">
        <v>1.15E-4</v>
      </c>
      <c r="E4902" s="76">
        <v>2.03E-4</v>
      </c>
      <c r="F4902" s="76">
        <v>2.7300000000000002E-4</v>
      </c>
      <c r="G4902" s="76">
        <v>4.0499999999999998E-4</v>
      </c>
      <c r="H4902" s="76">
        <v>4.9899999999999999E-4</v>
      </c>
      <c r="I4902" s="76">
        <v>5.8900000000000001E-4</v>
      </c>
      <c r="J4902" s="76">
        <v>6.7699999999999998E-4</v>
      </c>
      <c r="K4902" s="76">
        <v>8.2899999999999998E-4</v>
      </c>
      <c r="L4902" s="76">
        <v>9.2900000000000003E-4</v>
      </c>
      <c r="M4902" s="76">
        <v>1.08E-3</v>
      </c>
    </row>
    <row r="4903" spans="3:13" x14ac:dyDescent="0.15">
      <c r="C4903" s="76">
        <v>604</v>
      </c>
      <c r="D4903" s="76">
        <v>1.05E-4</v>
      </c>
      <c r="E4903" s="76">
        <v>1.84E-4</v>
      </c>
      <c r="F4903" s="76">
        <v>2.5999999999999998E-4</v>
      </c>
      <c r="G4903" s="76">
        <v>3.9199999999999999E-4</v>
      </c>
      <c r="H4903" s="76">
        <v>4.4000000000000002E-4</v>
      </c>
      <c r="I4903" s="76">
        <v>5.6400000000000005E-4</v>
      </c>
      <c r="J4903" s="76">
        <v>6.2399999999999999E-4</v>
      </c>
      <c r="K4903" s="76">
        <v>7.5799999999999999E-4</v>
      </c>
      <c r="L4903" s="76">
        <v>8.9499999999999996E-4</v>
      </c>
      <c r="M4903" s="76">
        <v>9.59E-4</v>
      </c>
    </row>
    <row r="4904" spans="3:13" x14ac:dyDescent="0.15">
      <c r="C4904" s="76">
        <v>606</v>
      </c>
      <c r="D4904" s="76">
        <v>9.5799999999999998E-5</v>
      </c>
      <c r="E4904" s="76">
        <v>1.66E-4</v>
      </c>
      <c r="F4904" s="76">
        <v>2.4399999999999999E-4</v>
      </c>
      <c r="G4904" s="76">
        <v>3.5799999999999997E-4</v>
      </c>
      <c r="H4904" s="76">
        <v>4.3899999999999999E-4</v>
      </c>
      <c r="I4904" s="76">
        <v>5.1999999999999995E-4</v>
      </c>
      <c r="J4904" s="76">
        <v>5.5000000000000003E-4</v>
      </c>
      <c r="K4904" s="76">
        <v>7.0299999999999996E-4</v>
      </c>
      <c r="L4904" s="76">
        <v>7.6800000000000002E-4</v>
      </c>
      <c r="M4904" s="76">
        <v>8.6499999999999999E-4</v>
      </c>
    </row>
    <row r="4905" spans="3:13" x14ac:dyDescent="0.15">
      <c r="C4905" s="76">
        <v>608</v>
      </c>
      <c r="D4905" s="76">
        <v>8.7700000000000004E-5</v>
      </c>
      <c r="E4905" s="76">
        <v>1.5899999999999999E-4</v>
      </c>
      <c r="F4905" s="76">
        <v>2.1000000000000001E-4</v>
      </c>
      <c r="G4905" s="76">
        <v>3.2600000000000001E-4</v>
      </c>
      <c r="H4905" s="76">
        <v>3.7100000000000002E-4</v>
      </c>
      <c r="I4905" s="76">
        <v>4.4999999999999999E-4</v>
      </c>
      <c r="J4905" s="76">
        <v>4.7899999999999999E-4</v>
      </c>
      <c r="K4905" s="76">
        <v>6.7199999999999996E-4</v>
      </c>
      <c r="L4905" s="76">
        <v>7.2099999999999996E-4</v>
      </c>
      <c r="M4905" s="76">
        <v>9.0600000000000001E-4</v>
      </c>
    </row>
    <row r="4906" spans="3:13" x14ac:dyDescent="0.15">
      <c r="C4906" s="76">
        <v>610</v>
      </c>
      <c r="D4906" s="76">
        <v>9.0400000000000002E-5</v>
      </c>
      <c r="E4906" s="76">
        <v>1.3300000000000001E-4</v>
      </c>
      <c r="F4906" s="76">
        <v>2.0799999999999999E-4</v>
      </c>
      <c r="G4906" s="76">
        <v>3.1599999999999998E-4</v>
      </c>
      <c r="H4906" s="76">
        <v>3.5399999999999999E-4</v>
      </c>
      <c r="I4906" s="76">
        <v>4.06E-4</v>
      </c>
      <c r="J4906" s="76">
        <v>4.6299999999999998E-4</v>
      </c>
      <c r="K4906" s="76">
        <v>6.2E-4</v>
      </c>
      <c r="L4906" s="76">
        <v>6.7599999999999995E-4</v>
      </c>
      <c r="M4906" s="76">
        <v>8.1499999999999997E-4</v>
      </c>
    </row>
    <row r="4907" spans="3:13" x14ac:dyDescent="0.15">
      <c r="C4907" s="76">
        <v>612</v>
      </c>
      <c r="D4907" s="76">
        <v>7.7399999999999998E-5</v>
      </c>
      <c r="E4907" s="76">
        <v>1.36E-4</v>
      </c>
      <c r="F4907" s="76">
        <v>2.04E-4</v>
      </c>
      <c r="G4907" s="76">
        <v>2.9300000000000002E-4</v>
      </c>
      <c r="H4907" s="76">
        <v>3.5100000000000002E-4</v>
      </c>
      <c r="I4907" s="76">
        <v>3.7100000000000002E-4</v>
      </c>
      <c r="J4907" s="76">
        <v>4.17E-4</v>
      </c>
      <c r="K4907" s="76">
        <v>5.5400000000000002E-4</v>
      </c>
      <c r="L4907" s="76">
        <v>6.3699999999999998E-4</v>
      </c>
      <c r="M4907" s="76">
        <v>7.7800000000000005E-4</v>
      </c>
    </row>
    <row r="4908" spans="3:13" x14ac:dyDescent="0.15">
      <c r="C4908" s="76">
        <v>614</v>
      </c>
      <c r="D4908" s="76">
        <v>7.3300000000000006E-5</v>
      </c>
      <c r="E4908" s="76">
        <v>1.37E-4</v>
      </c>
      <c r="F4908" s="76">
        <v>1.9000000000000001E-4</v>
      </c>
      <c r="G4908" s="76">
        <v>2.5700000000000001E-4</v>
      </c>
      <c r="H4908" s="76">
        <v>3.3599999999999998E-4</v>
      </c>
      <c r="I4908" s="76">
        <v>3.8099999999999999E-4</v>
      </c>
      <c r="J4908" s="76">
        <v>3.5399999999999999E-4</v>
      </c>
      <c r="K4908" s="76">
        <v>4.6299999999999998E-4</v>
      </c>
      <c r="L4908" s="76">
        <v>6.1300000000000005E-4</v>
      </c>
      <c r="M4908" s="76">
        <v>6.78E-4</v>
      </c>
    </row>
    <row r="4909" spans="3:13" x14ac:dyDescent="0.15">
      <c r="C4909" s="76">
        <v>616</v>
      </c>
      <c r="D4909" s="76">
        <v>7.1000000000000005E-5</v>
      </c>
      <c r="E4909" s="76">
        <v>1.3100000000000001E-4</v>
      </c>
      <c r="F4909" s="76">
        <v>1.73E-4</v>
      </c>
      <c r="G4909" s="76">
        <v>2.5599999999999999E-4</v>
      </c>
      <c r="H4909" s="76">
        <v>2.81E-4</v>
      </c>
      <c r="I4909" s="76">
        <v>3.5E-4</v>
      </c>
      <c r="J4909" s="76">
        <v>3.2699999999999998E-4</v>
      </c>
      <c r="K4909" s="76">
        <v>4.4900000000000002E-4</v>
      </c>
      <c r="L4909" s="76">
        <v>5.4000000000000001E-4</v>
      </c>
      <c r="M4909" s="76">
        <v>6.8800000000000003E-4</v>
      </c>
    </row>
    <row r="4910" spans="3:13" x14ac:dyDescent="0.15">
      <c r="C4910" s="76">
        <v>618</v>
      </c>
      <c r="D4910" s="76">
        <v>5.7299999999999997E-5</v>
      </c>
      <c r="E4910" s="76">
        <v>1.17E-4</v>
      </c>
      <c r="F4910" s="76">
        <v>1.7699999999999999E-4</v>
      </c>
      <c r="G4910" s="76">
        <v>2.2599999999999999E-4</v>
      </c>
      <c r="H4910" s="76">
        <v>2.3699999999999999E-4</v>
      </c>
      <c r="I4910" s="76">
        <v>3.9599999999999998E-4</v>
      </c>
      <c r="J4910" s="76">
        <v>4.3800000000000002E-4</v>
      </c>
      <c r="K4910" s="76">
        <v>4.0200000000000001E-4</v>
      </c>
      <c r="L4910" s="76">
        <v>4.8899999999999996E-4</v>
      </c>
      <c r="M4910" s="76">
        <v>5.4000000000000001E-4</v>
      </c>
    </row>
    <row r="4911" spans="3:13" x14ac:dyDescent="0.15">
      <c r="C4911" s="76">
        <v>620</v>
      </c>
      <c r="D4911" s="76">
        <v>5.4799999999999997E-5</v>
      </c>
      <c r="E4911" s="76">
        <v>1.27E-4</v>
      </c>
      <c r="F4911" s="76">
        <v>1.8599999999999999E-4</v>
      </c>
      <c r="G4911" s="76">
        <v>2.04E-4</v>
      </c>
      <c r="H4911" s="76">
        <v>2.1699999999999999E-4</v>
      </c>
      <c r="I4911" s="76">
        <v>2.9399999999999999E-4</v>
      </c>
      <c r="J4911" s="76">
        <v>3.3500000000000001E-4</v>
      </c>
      <c r="K4911" s="76">
        <v>3.5799999999999997E-4</v>
      </c>
      <c r="L4911" s="76">
        <v>5.2099999999999998E-4</v>
      </c>
      <c r="M4911" s="76">
        <v>5.3399999999999997E-4</v>
      </c>
    </row>
    <row r="4912" spans="3:13" x14ac:dyDescent="0.15">
      <c r="C4912" s="76">
        <v>622</v>
      </c>
      <c r="D4912" s="76">
        <v>4.0299999999999997E-5</v>
      </c>
      <c r="E4912" s="76">
        <v>1.15E-4</v>
      </c>
      <c r="F4912" s="76">
        <v>1.76E-4</v>
      </c>
      <c r="G4912" s="76">
        <v>1.7200000000000001E-4</v>
      </c>
      <c r="H4912" s="76">
        <v>2.0900000000000001E-4</v>
      </c>
      <c r="I4912" s="76">
        <v>2.8899999999999998E-4</v>
      </c>
      <c r="J4912" s="76">
        <v>3.4099999999999999E-4</v>
      </c>
      <c r="K4912" s="76">
        <v>3.88E-4</v>
      </c>
      <c r="L4912" s="76">
        <v>4.4099999999999999E-4</v>
      </c>
      <c r="M4912" s="76">
        <v>5.04E-4</v>
      </c>
    </row>
    <row r="4913" spans="3:13" x14ac:dyDescent="0.15">
      <c r="C4913" s="76">
        <v>624</v>
      </c>
      <c r="D4913" s="76">
        <v>4.5500000000000001E-5</v>
      </c>
      <c r="E4913" s="76">
        <v>1.07E-4</v>
      </c>
      <c r="F4913" s="76">
        <v>1.7200000000000001E-4</v>
      </c>
      <c r="G4913" s="76">
        <v>1.65E-4</v>
      </c>
      <c r="H4913" s="76">
        <v>1.9000000000000001E-4</v>
      </c>
      <c r="I4913" s="76">
        <v>2.8899999999999998E-4</v>
      </c>
      <c r="J4913" s="76">
        <v>3.4000000000000002E-4</v>
      </c>
      <c r="K4913" s="76">
        <v>3.88E-4</v>
      </c>
      <c r="L4913" s="76">
        <v>4.0900000000000002E-4</v>
      </c>
      <c r="M4913" s="76">
        <v>3.8699999999999997E-4</v>
      </c>
    </row>
    <row r="4914" spans="3:13" x14ac:dyDescent="0.15">
      <c r="C4914" s="76">
        <v>626</v>
      </c>
      <c r="D4914" s="76">
        <v>4.2700000000000001E-5</v>
      </c>
      <c r="E4914" s="76">
        <v>8.8300000000000005E-5</v>
      </c>
      <c r="F4914" s="76">
        <v>1.7100000000000001E-4</v>
      </c>
      <c r="G4914" s="76">
        <v>1.75E-4</v>
      </c>
      <c r="H4914" s="76">
        <v>1.75E-4</v>
      </c>
      <c r="I4914" s="76">
        <v>3.1199999999999999E-4</v>
      </c>
      <c r="J4914" s="76">
        <v>3.5399999999999999E-4</v>
      </c>
      <c r="K4914" s="76">
        <v>3.0400000000000002E-4</v>
      </c>
      <c r="L4914" s="76">
        <v>3.8900000000000002E-4</v>
      </c>
      <c r="M4914" s="76">
        <v>4.0499999999999998E-4</v>
      </c>
    </row>
    <row r="4915" spans="3:13" x14ac:dyDescent="0.15">
      <c r="C4915" s="76">
        <v>628</v>
      </c>
      <c r="D4915" s="76">
        <v>4.2200000000000003E-5</v>
      </c>
      <c r="E4915" s="76">
        <v>9.3900000000000006E-5</v>
      </c>
      <c r="F4915" s="76">
        <v>1.54E-4</v>
      </c>
      <c r="G4915" s="76">
        <v>1.3999999999999999E-4</v>
      </c>
      <c r="H4915" s="76">
        <v>1.4799999999999999E-4</v>
      </c>
      <c r="I4915" s="76">
        <v>2.1499999999999999E-4</v>
      </c>
      <c r="J4915" s="76">
        <v>3.1700000000000001E-4</v>
      </c>
      <c r="K4915" s="76">
        <v>2.5099999999999998E-4</v>
      </c>
      <c r="L4915" s="76">
        <v>3.3199999999999999E-4</v>
      </c>
      <c r="M4915" s="76">
        <v>3.9300000000000001E-4</v>
      </c>
    </row>
    <row r="4916" spans="3:13" x14ac:dyDescent="0.15">
      <c r="C4916" s="76">
        <v>630</v>
      </c>
      <c r="D4916" s="76">
        <v>3.8699999999999999E-5</v>
      </c>
      <c r="E4916" s="76">
        <v>1.05E-4</v>
      </c>
      <c r="F4916" s="76">
        <v>1.5699999999999999E-4</v>
      </c>
      <c r="G4916" s="76">
        <v>1.3799999999999999E-4</v>
      </c>
      <c r="H4916" s="76">
        <v>1.21E-4</v>
      </c>
      <c r="I4916" s="76">
        <v>2.41E-4</v>
      </c>
      <c r="J4916" s="76">
        <v>3.3700000000000001E-4</v>
      </c>
      <c r="K4916" s="76">
        <v>3.1799999999999998E-4</v>
      </c>
      <c r="L4916" s="76">
        <v>2.9599999999999998E-4</v>
      </c>
      <c r="M4916" s="76">
        <v>3.6999999999999999E-4</v>
      </c>
    </row>
    <row r="4917" spans="3:13" x14ac:dyDescent="0.15">
      <c r="C4917" s="76">
        <v>632</v>
      </c>
      <c r="D4917" s="76">
        <v>3.7700000000000002E-5</v>
      </c>
      <c r="E4917" s="76">
        <v>9.2499999999999999E-5</v>
      </c>
      <c r="F4917" s="76">
        <v>1.63E-4</v>
      </c>
      <c r="G4917" s="76">
        <v>1.2300000000000001E-4</v>
      </c>
      <c r="H4917" s="76">
        <v>1E-4</v>
      </c>
      <c r="I4917" s="76">
        <v>1.84E-4</v>
      </c>
      <c r="J4917" s="76">
        <v>3.5199999999999999E-4</v>
      </c>
      <c r="K4917" s="76">
        <v>3.7599999999999998E-4</v>
      </c>
      <c r="L4917" s="76">
        <v>2.7700000000000001E-4</v>
      </c>
      <c r="M4917" s="76">
        <v>4.1899999999999999E-4</v>
      </c>
    </row>
    <row r="4918" spans="3:13" x14ac:dyDescent="0.15">
      <c r="C4918" s="76">
        <v>634</v>
      </c>
      <c r="D4918" s="76">
        <v>3.3200000000000001E-5</v>
      </c>
      <c r="E4918" s="76">
        <v>9.0000000000000006E-5</v>
      </c>
      <c r="F4918" s="76">
        <v>1.45E-4</v>
      </c>
      <c r="G4918" s="76">
        <v>1.27E-4</v>
      </c>
      <c r="H4918" s="76">
        <v>1.36E-4</v>
      </c>
      <c r="I4918" s="76">
        <v>2.1699999999999999E-4</v>
      </c>
      <c r="J4918" s="76">
        <v>3.21E-4</v>
      </c>
      <c r="K4918" s="76">
        <v>2.7799999999999998E-4</v>
      </c>
      <c r="L4918" s="76">
        <v>3.2200000000000002E-4</v>
      </c>
      <c r="M4918" s="76">
        <v>3.9800000000000002E-4</v>
      </c>
    </row>
    <row r="4919" spans="3:13" x14ac:dyDescent="0.15">
      <c r="C4919" s="76">
        <v>636</v>
      </c>
      <c r="D4919" s="76">
        <v>3.57E-5</v>
      </c>
      <c r="E4919" s="76">
        <v>9.6399999999999999E-5</v>
      </c>
      <c r="F4919" s="76">
        <v>1.46E-4</v>
      </c>
      <c r="G4919" s="76">
        <v>1.0900000000000001E-4</v>
      </c>
      <c r="H4919" s="76">
        <v>1.2899999999999999E-4</v>
      </c>
      <c r="I4919" s="76">
        <v>2.4000000000000001E-4</v>
      </c>
      <c r="J4919" s="76">
        <v>2.7599999999999999E-4</v>
      </c>
      <c r="K4919" s="76">
        <v>3.1100000000000002E-4</v>
      </c>
      <c r="L4919" s="76">
        <v>2.5799999999999998E-4</v>
      </c>
      <c r="M4919" s="76">
        <v>3.48E-4</v>
      </c>
    </row>
    <row r="4920" spans="3:13" x14ac:dyDescent="0.15">
      <c r="C4920" s="76">
        <v>638</v>
      </c>
      <c r="D4920" s="76">
        <v>2.3499999999999999E-5</v>
      </c>
      <c r="E4920" s="76">
        <v>8.7399999999999997E-5</v>
      </c>
      <c r="F4920" s="76">
        <v>1.4999999999999999E-4</v>
      </c>
      <c r="G4920" s="76">
        <v>1.27E-4</v>
      </c>
      <c r="H4920" s="76">
        <v>1.3999999999999999E-4</v>
      </c>
      <c r="I4920" s="76">
        <v>1.95E-4</v>
      </c>
      <c r="J4920" s="76">
        <v>2.7999999999999998E-4</v>
      </c>
      <c r="K4920" s="76">
        <v>2.8400000000000002E-4</v>
      </c>
      <c r="L4920" s="76">
        <v>2.4399999999999999E-4</v>
      </c>
      <c r="M4920" s="76">
        <v>3.2299999999999999E-4</v>
      </c>
    </row>
    <row r="4921" spans="3:13" x14ac:dyDescent="0.15">
      <c r="C4921" s="76">
        <v>640</v>
      </c>
      <c r="D4921" s="76">
        <v>2.7500000000000001E-5</v>
      </c>
      <c r="E4921" s="76">
        <v>8.5099999999999995E-5</v>
      </c>
      <c r="F4921" s="76">
        <v>1.4300000000000001E-4</v>
      </c>
      <c r="G4921" s="76">
        <v>1.08E-4</v>
      </c>
      <c r="H4921" s="76">
        <v>9.7100000000000002E-5</v>
      </c>
      <c r="I4921" s="76">
        <v>1.8799999999999999E-4</v>
      </c>
      <c r="J4921" s="76">
        <v>2.6600000000000001E-4</v>
      </c>
      <c r="K4921" s="76">
        <v>2.8299999999999999E-4</v>
      </c>
      <c r="L4921" s="76">
        <v>2.0900000000000001E-4</v>
      </c>
      <c r="M4921" s="76">
        <v>2.99E-4</v>
      </c>
    </row>
    <row r="4922" spans="3:13" x14ac:dyDescent="0.15">
      <c r="C4922" s="76">
        <v>642</v>
      </c>
      <c r="D4922" s="76">
        <v>2.9200000000000002E-5</v>
      </c>
      <c r="E4922" s="76">
        <v>9.0600000000000007E-5</v>
      </c>
      <c r="F4922" s="76">
        <v>1.21E-4</v>
      </c>
      <c r="G4922" s="76">
        <v>9.0400000000000002E-5</v>
      </c>
      <c r="H4922" s="76">
        <v>1.05E-4</v>
      </c>
      <c r="I4922" s="76">
        <v>1.9799999999999999E-4</v>
      </c>
      <c r="J4922" s="76">
        <v>2.9100000000000003E-4</v>
      </c>
      <c r="K4922" s="76">
        <v>3.0200000000000002E-4</v>
      </c>
      <c r="L4922" s="76">
        <v>2.0000000000000001E-4</v>
      </c>
      <c r="M4922" s="76">
        <v>2.7799999999999998E-4</v>
      </c>
    </row>
    <row r="4923" spans="3:13" x14ac:dyDescent="0.15">
      <c r="C4923" s="76">
        <v>644</v>
      </c>
      <c r="D4923" s="76">
        <v>2.02E-5</v>
      </c>
      <c r="E4923" s="76">
        <v>7.3999999999999996E-5</v>
      </c>
      <c r="F4923" s="76">
        <v>7.7200000000000006E-5</v>
      </c>
      <c r="G4923" s="76">
        <v>8.6600000000000004E-5</v>
      </c>
      <c r="H4923" s="76">
        <v>1.26E-4</v>
      </c>
      <c r="I4923" s="76">
        <v>1.64E-4</v>
      </c>
      <c r="J4923" s="76">
        <v>2.6400000000000002E-4</v>
      </c>
      <c r="K4923" s="76">
        <v>3.01E-4</v>
      </c>
      <c r="L4923" s="76">
        <v>1.95E-4</v>
      </c>
      <c r="M4923" s="76">
        <v>3.8499999999999998E-4</v>
      </c>
    </row>
    <row r="4924" spans="3:13" x14ac:dyDescent="0.15">
      <c r="C4924" s="76">
        <v>646</v>
      </c>
      <c r="D4924" s="76">
        <v>2.8099999999999999E-5</v>
      </c>
      <c r="E4924" s="76">
        <v>8.3100000000000001E-5</v>
      </c>
      <c r="F4924" s="76">
        <v>1.5100000000000001E-4</v>
      </c>
      <c r="G4924" s="76">
        <v>1.0900000000000001E-4</v>
      </c>
      <c r="H4924" s="76">
        <v>1.21E-4</v>
      </c>
      <c r="I4924" s="76">
        <v>1.63E-4</v>
      </c>
      <c r="J4924" s="76">
        <v>2.99E-4</v>
      </c>
      <c r="K4924" s="76">
        <v>2.7500000000000002E-4</v>
      </c>
      <c r="L4924" s="76">
        <v>2.41E-4</v>
      </c>
      <c r="M4924" s="76">
        <v>2.7300000000000002E-4</v>
      </c>
    </row>
    <row r="4925" spans="3:13" x14ac:dyDescent="0.15">
      <c r="C4925" s="76">
        <v>648</v>
      </c>
      <c r="D4925" s="76">
        <v>3.1099999999999997E-5</v>
      </c>
      <c r="E4925" s="76">
        <v>7.64E-5</v>
      </c>
      <c r="F4925" s="76">
        <v>1.07E-4</v>
      </c>
      <c r="G4925" s="76">
        <v>9.6000000000000002E-5</v>
      </c>
      <c r="H4925" s="76">
        <v>1.25E-4</v>
      </c>
      <c r="I4925" s="76">
        <v>1.4100000000000001E-4</v>
      </c>
      <c r="J4925" s="76">
        <v>2.9E-4</v>
      </c>
      <c r="K4925" s="76">
        <v>2.5700000000000001E-4</v>
      </c>
      <c r="L4925" s="76">
        <v>1.92E-4</v>
      </c>
      <c r="M4925" s="76">
        <v>2.5500000000000002E-4</v>
      </c>
    </row>
    <row r="4926" spans="3:13" x14ac:dyDescent="0.15">
      <c r="C4926" s="76">
        <v>650</v>
      </c>
      <c r="D4926" s="76">
        <v>2.6800000000000001E-5</v>
      </c>
      <c r="E4926" s="76">
        <v>7.7100000000000004E-5</v>
      </c>
      <c r="F4926" s="76">
        <v>8.6700000000000007E-5</v>
      </c>
      <c r="G4926" s="76">
        <v>8.8800000000000004E-5</v>
      </c>
      <c r="H4926" s="76">
        <v>1.25E-4</v>
      </c>
      <c r="I4926" s="76">
        <v>1.37E-4</v>
      </c>
      <c r="J4926" s="76">
        <v>2.7300000000000002E-4</v>
      </c>
      <c r="K4926" s="76">
        <v>2.8299999999999999E-4</v>
      </c>
      <c r="L4926" s="76">
        <v>1.73E-4</v>
      </c>
      <c r="M4926" s="76">
        <v>2.5500000000000002E-4</v>
      </c>
    </row>
    <row r="4927" spans="3:13" x14ac:dyDescent="0.15">
      <c r="C4927" s="76">
        <v>652</v>
      </c>
      <c r="D4927" s="76">
        <v>2.3900000000000002E-5</v>
      </c>
      <c r="E4927" s="76">
        <v>7.5900000000000002E-5</v>
      </c>
      <c r="F4927" s="76">
        <v>9.8900000000000005E-5</v>
      </c>
      <c r="G4927" s="76">
        <v>7.4400000000000006E-5</v>
      </c>
      <c r="H4927" s="76">
        <v>1.3200000000000001E-4</v>
      </c>
      <c r="I4927" s="76">
        <v>1.35E-4</v>
      </c>
      <c r="J4927" s="76">
        <v>2.7700000000000001E-4</v>
      </c>
      <c r="K4927" s="76">
        <v>2.72E-4</v>
      </c>
      <c r="L4927" s="76">
        <v>1.95E-4</v>
      </c>
      <c r="M4927" s="76">
        <v>2.7E-4</v>
      </c>
    </row>
    <row r="4928" spans="3:13" x14ac:dyDescent="0.15">
      <c r="C4928" s="76">
        <v>654</v>
      </c>
      <c r="D4928" s="76">
        <v>1.9199999999999999E-5</v>
      </c>
      <c r="E4928" s="76">
        <v>5.1E-5</v>
      </c>
      <c r="F4928" s="76">
        <v>6.4800000000000003E-5</v>
      </c>
      <c r="G4928" s="76">
        <v>7.2200000000000007E-5</v>
      </c>
      <c r="H4928" s="76">
        <v>8.3300000000000005E-5</v>
      </c>
      <c r="I4928" s="76">
        <v>1.35E-4</v>
      </c>
      <c r="J4928" s="76">
        <v>2.5399999999999999E-4</v>
      </c>
      <c r="K4928" s="76">
        <v>2.8299999999999999E-4</v>
      </c>
      <c r="L4928" s="76">
        <v>1.64E-4</v>
      </c>
      <c r="M4928" s="76">
        <v>2.9599999999999998E-4</v>
      </c>
    </row>
    <row r="4929" spans="3:13" x14ac:dyDescent="0.15">
      <c r="C4929" s="76">
        <v>656</v>
      </c>
      <c r="D4929" s="76">
        <v>2.2900000000000001E-5</v>
      </c>
      <c r="E4929" s="76">
        <v>7.7399999999999998E-5</v>
      </c>
      <c r="F4929" s="76">
        <v>7.0500000000000006E-5</v>
      </c>
      <c r="G4929" s="76">
        <v>1.01E-4</v>
      </c>
      <c r="H4929" s="76">
        <v>1.56E-4</v>
      </c>
      <c r="I4929" s="76">
        <v>1.4300000000000001E-4</v>
      </c>
      <c r="J4929" s="76">
        <v>2.3800000000000001E-4</v>
      </c>
      <c r="K4929" s="76">
        <v>2.7099999999999997E-4</v>
      </c>
      <c r="L4929" s="76">
        <v>2.12E-4</v>
      </c>
      <c r="M4929" s="76">
        <v>3.0800000000000001E-4</v>
      </c>
    </row>
    <row r="4930" spans="3:13" x14ac:dyDescent="0.15">
      <c r="C4930" s="76">
        <v>658</v>
      </c>
      <c r="D4930" s="76">
        <v>2.6400000000000001E-5</v>
      </c>
      <c r="E4930" s="76">
        <v>5.6900000000000001E-5</v>
      </c>
      <c r="F4930" s="76">
        <v>7.3800000000000005E-5</v>
      </c>
      <c r="G4930" s="76">
        <v>1.03E-4</v>
      </c>
      <c r="H4930" s="76">
        <v>1.5799999999999999E-4</v>
      </c>
      <c r="I4930" s="76">
        <v>1.3300000000000001E-4</v>
      </c>
      <c r="J4930" s="76">
        <v>2.42E-4</v>
      </c>
      <c r="K4930" s="76">
        <v>2.43E-4</v>
      </c>
      <c r="L4930" s="76">
        <v>1.9599999999999999E-4</v>
      </c>
      <c r="M4930" s="76">
        <v>2.7E-4</v>
      </c>
    </row>
    <row r="4931" spans="3:13" x14ac:dyDescent="0.15">
      <c r="C4931" s="76">
        <v>660</v>
      </c>
      <c r="D4931" s="76">
        <v>2.8600000000000001E-5</v>
      </c>
      <c r="E4931" s="76">
        <v>5.0899999999999997E-5</v>
      </c>
      <c r="F4931" s="76">
        <v>5.5300000000000002E-5</v>
      </c>
      <c r="G4931" s="76">
        <v>1.01E-4</v>
      </c>
      <c r="H4931" s="76">
        <v>1.3300000000000001E-4</v>
      </c>
      <c r="I4931" s="76">
        <v>1.1E-4</v>
      </c>
      <c r="J4931" s="76">
        <v>2.4699999999999999E-4</v>
      </c>
      <c r="K4931" s="76">
        <v>2.1000000000000001E-4</v>
      </c>
      <c r="L4931" s="76">
        <v>1.95E-4</v>
      </c>
      <c r="M4931" s="76">
        <v>2.61E-4</v>
      </c>
    </row>
    <row r="4932" spans="3:13" x14ac:dyDescent="0.15">
      <c r="C4932" s="76">
        <v>662</v>
      </c>
      <c r="D4932" s="76">
        <v>2.5700000000000001E-5</v>
      </c>
      <c r="E4932" s="76">
        <v>4.8399999999999997E-5</v>
      </c>
      <c r="F4932" s="76">
        <v>6.4999999999999994E-5</v>
      </c>
      <c r="G4932" s="76">
        <v>6.3800000000000006E-5</v>
      </c>
      <c r="H4932" s="76">
        <v>1.54E-4</v>
      </c>
      <c r="I4932" s="76">
        <v>1.07E-4</v>
      </c>
      <c r="J4932" s="76">
        <v>2.34E-4</v>
      </c>
      <c r="K4932" s="76">
        <v>2.5700000000000001E-4</v>
      </c>
      <c r="L4932" s="76">
        <v>1.5200000000000001E-4</v>
      </c>
      <c r="M4932" s="76">
        <v>3.6400000000000001E-4</v>
      </c>
    </row>
    <row r="4933" spans="3:13" x14ac:dyDescent="0.15">
      <c r="C4933" s="76">
        <v>664</v>
      </c>
      <c r="D4933" s="76">
        <v>1.8899999999999999E-5</v>
      </c>
      <c r="E4933" s="76">
        <v>3.4799999999999999E-5</v>
      </c>
      <c r="F4933" s="76">
        <v>5.2899999999999998E-5</v>
      </c>
      <c r="G4933" s="76">
        <v>1.02E-4</v>
      </c>
      <c r="H4933" s="76">
        <v>1.5899999999999999E-4</v>
      </c>
      <c r="I4933" s="76">
        <v>8.0599999999999994E-5</v>
      </c>
      <c r="J4933" s="76">
        <v>2.1699999999999999E-4</v>
      </c>
      <c r="K4933" s="76">
        <v>2.4499999999999999E-4</v>
      </c>
      <c r="L4933" s="76">
        <v>2.1000000000000001E-4</v>
      </c>
      <c r="M4933" s="76">
        <v>4.1999999999999998E-5</v>
      </c>
    </row>
    <row r="4934" spans="3:13" x14ac:dyDescent="0.15">
      <c r="C4934" s="76">
        <v>666</v>
      </c>
      <c r="D4934" s="76">
        <v>2.3200000000000001E-5</v>
      </c>
      <c r="E4934" s="76">
        <v>3.7799999999999997E-5</v>
      </c>
      <c r="F4934" s="76">
        <v>5.3999999999999998E-5</v>
      </c>
      <c r="G4934" s="76">
        <v>1.15E-4</v>
      </c>
      <c r="H4934" s="76">
        <v>1.54E-4</v>
      </c>
      <c r="I4934" s="76">
        <v>8.9599999999999996E-5</v>
      </c>
      <c r="J4934" s="76">
        <v>1.8200000000000001E-4</v>
      </c>
      <c r="K4934" s="76">
        <v>1.55E-4</v>
      </c>
      <c r="L4934" s="76">
        <v>2.6600000000000001E-4</v>
      </c>
      <c r="M4934" s="76">
        <v>2.5300000000000002E-4</v>
      </c>
    </row>
    <row r="4935" spans="3:13" x14ac:dyDescent="0.15">
      <c r="C4935" s="76">
        <v>668</v>
      </c>
      <c r="D4935" s="76">
        <v>2.44E-5</v>
      </c>
      <c r="E4935" s="76">
        <v>3.5200000000000002E-5</v>
      </c>
      <c r="F4935" s="76">
        <v>4.4799999999999998E-5</v>
      </c>
      <c r="G4935" s="76">
        <v>1.3300000000000001E-4</v>
      </c>
      <c r="H4935" s="76">
        <v>1.3799999999999999E-4</v>
      </c>
      <c r="I4935" s="76">
        <v>6.9200000000000002E-5</v>
      </c>
      <c r="J4935" s="76">
        <v>1.8599999999999999E-4</v>
      </c>
      <c r="K4935" s="76">
        <v>1.64E-4</v>
      </c>
      <c r="L4935" s="76">
        <v>2.43E-4</v>
      </c>
      <c r="M4935" s="76">
        <v>2.2499999999999999E-4</v>
      </c>
    </row>
    <row r="4936" spans="3:13" x14ac:dyDescent="0.15">
      <c r="C4936" s="76">
        <v>670</v>
      </c>
      <c r="D4936" s="76">
        <v>2.2900000000000001E-5</v>
      </c>
      <c r="E4936" s="76">
        <v>4.32E-5</v>
      </c>
      <c r="F4936" s="76">
        <v>3.1900000000000003E-5</v>
      </c>
      <c r="G4936" s="76">
        <v>1.3100000000000001E-4</v>
      </c>
      <c r="H4936" s="76">
        <v>9.7100000000000002E-5</v>
      </c>
      <c r="I4936" s="76">
        <v>8.9300000000000002E-5</v>
      </c>
      <c r="J4936" s="76">
        <v>3.8300000000000003E-5</v>
      </c>
      <c r="K4936" s="76">
        <v>1.8900000000000001E-4</v>
      </c>
      <c r="L4936" s="76">
        <v>1.8100000000000001E-4</v>
      </c>
      <c r="M4936" s="76">
        <v>1.37E-4</v>
      </c>
    </row>
    <row r="4937" spans="3:13" x14ac:dyDescent="0.15">
      <c r="C4937" s="76">
        <v>672</v>
      </c>
      <c r="D4937" s="76">
        <v>3.3200000000000001E-5</v>
      </c>
      <c r="E4937" s="76">
        <v>3.4600000000000001E-5</v>
      </c>
      <c r="F4937" s="76">
        <v>1.26E-5</v>
      </c>
      <c r="G4937" s="76">
        <v>9.1700000000000006E-5</v>
      </c>
      <c r="H4937" s="76">
        <v>1.02E-4</v>
      </c>
      <c r="I4937" s="76">
        <v>7.0900000000000002E-5</v>
      </c>
      <c r="J4937" s="76">
        <v>2.2900000000000001E-4</v>
      </c>
      <c r="K4937" s="76">
        <v>2.5500000000000002E-4</v>
      </c>
      <c r="L4937" s="76">
        <v>1.85E-4</v>
      </c>
      <c r="M4937" s="76">
        <v>2.6600000000000001E-4</v>
      </c>
    </row>
    <row r="4938" spans="3:13" x14ac:dyDescent="0.15">
      <c r="C4938" s="76">
        <v>674</v>
      </c>
      <c r="D4938" s="76">
        <v>1.63E-5</v>
      </c>
      <c r="E4938" s="76">
        <v>1.5500000000000001E-5</v>
      </c>
      <c r="F4938" s="76">
        <v>2.4300000000000001E-5</v>
      </c>
      <c r="G4938" s="76">
        <v>1.11E-4</v>
      </c>
      <c r="H4938" s="76">
        <v>1.08E-4</v>
      </c>
      <c r="I4938" s="76">
        <v>1.02E-4</v>
      </c>
      <c r="J4938" s="76">
        <v>1.1E-4</v>
      </c>
      <c r="K4938" s="76">
        <v>1.2899999999999999E-4</v>
      </c>
      <c r="L4938" s="76">
        <v>1.8200000000000001E-4</v>
      </c>
      <c r="M4938" s="76">
        <v>3.4000000000000002E-4</v>
      </c>
    </row>
    <row r="4939" spans="3:13" x14ac:dyDescent="0.15">
      <c r="C4939" s="76">
        <v>676</v>
      </c>
      <c r="D4939" s="76">
        <v>2.51E-5</v>
      </c>
      <c r="E4939" s="76">
        <v>3.0199999999999999E-5</v>
      </c>
      <c r="F4939" s="76">
        <v>9.5100000000000004E-6</v>
      </c>
      <c r="G4939" s="76">
        <v>1.3300000000000001E-4</v>
      </c>
      <c r="H4939" s="76">
        <v>1.3899999999999999E-4</v>
      </c>
      <c r="I4939" s="76">
        <v>8.7899999999999995E-5</v>
      </c>
      <c r="J4939" s="76">
        <v>1.2E-4</v>
      </c>
      <c r="K4939" s="76">
        <v>9.1500000000000001E-5</v>
      </c>
      <c r="L4939" s="76">
        <v>1.8200000000000001E-4</v>
      </c>
      <c r="M4939" s="76">
        <v>1.3300000000000001E-4</v>
      </c>
    </row>
    <row r="4940" spans="3:13" x14ac:dyDescent="0.15">
      <c r="C4940" s="76">
        <v>678</v>
      </c>
      <c r="D4940" s="76">
        <v>2.4700000000000001E-5</v>
      </c>
      <c r="E4940" s="76">
        <v>9.0599999999999997E-6</v>
      </c>
      <c r="F4940" s="76">
        <v>2.8500000000000002E-5</v>
      </c>
      <c r="G4940" s="76">
        <v>1.06E-4</v>
      </c>
      <c r="H4940" s="76">
        <v>1.2400000000000001E-4</v>
      </c>
      <c r="I4940" s="76">
        <v>7.6000000000000004E-5</v>
      </c>
      <c r="J4940" s="76">
        <v>5.27E-5</v>
      </c>
      <c r="K4940" s="76">
        <v>5.0599999999999997E-5</v>
      </c>
      <c r="L4940" s="76">
        <v>1.34E-4</v>
      </c>
      <c r="M4940" s="76">
        <v>1.25E-4</v>
      </c>
    </row>
    <row r="4941" spans="3:13" x14ac:dyDescent="0.15">
      <c r="C4941" s="76">
        <v>680</v>
      </c>
      <c r="D4941" s="76">
        <v>1.63E-5</v>
      </c>
      <c r="E4941" s="76">
        <v>3.2799999999999999E-6</v>
      </c>
      <c r="F4941" s="76">
        <v>2.2200000000000001E-5</v>
      </c>
      <c r="G4941" s="76">
        <v>9.2399999999999996E-5</v>
      </c>
      <c r="H4941" s="76">
        <v>9.0299999999999999E-5</v>
      </c>
      <c r="I4941" s="76">
        <v>4.7299999999999998E-5</v>
      </c>
      <c r="J4941" s="76">
        <v>6.0699999999999998E-5</v>
      </c>
      <c r="K4941" s="76">
        <v>9.3599999999999998E-5</v>
      </c>
      <c r="L4941" s="76">
        <v>9.31E-5</v>
      </c>
      <c r="M4941" s="76">
        <v>1.26E-4</v>
      </c>
    </row>
    <row r="4942" spans="3:13" x14ac:dyDescent="0.15">
      <c r="C4942" s="76">
        <v>682</v>
      </c>
      <c r="D4942" s="76">
        <v>1.5699999999999999E-5</v>
      </c>
      <c r="E4942" s="76">
        <v>2.5400000000000001E-5</v>
      </c>
      <c r="F4942" s="76">
        <v>1.26E-5</v>
      </c>
      <c r="G4942" s="76">
        <v>8.0599999999999994E-5</v>
      </c>
      <c r="H4942" s="76">
        <v>1.2899999999999999E-4</v>
      </c>
      <c r="I4942" s="76">
        <v>1.02E-4</v>
      </c>
      <c r="J4942" s="76">
        <v>1.05E-4</v>
      </c>
      <c r="K4942" s="76">
        <v>8.9699999999999998E-5</v>
      </c>
      <c r="L4942" s="76">
        <v>2.0900000000000001E-4</v>
      </c>
      <c r="M4942" s="76">
        <v>1.73E-4</v>
      </c>
    </row>
    <row r="4943" spans="3:13" x14ac:dyDescent="0.15">
      <c r="C4943" s="76">
        <v>684</v>
      </c>
      <c r="D4943" s="76">
        <v>1.1800000000000001E-5</v>
      </c>
      <c r="E4943" s="76">
        <v>1.34E-5</v>
      </c>
      <c r="F4943" s="76">
        <v>0</v>
      </c>
      <c r="G4943" s="76">
        <v>6.1699999999999995E-5</v>
      </c>
      <c r="H4943" s="76">
        <v>1.0399999999999999E-4</v>
      </c>
      <c r="I4943" s="76">
        <v>4.9400000000000001E-5</v>
      </c>
      <c r="J4943" s="76">
        <v>9.3999999999999994E-5</v>
      </c>
      <c r="K4943" s="76">
        <v>1.03E-4</v>
      </c>
      <c r="L4943" s="76">
        <v>2.02E-4</v>
      </c>
      <c r="M4943" s="76">
        <v>1.3300000000000001E-4</v>
      </c>
    </row>
    <row r="4944" spans="3:13" x14ac:dyDescent="0.15">
      <c r="C4944" s="76">
        <v>686</v>
      </c>
      <c r="D4944" s="76">
        <v>1.49E-5</v>
      </c>
      <c r="E4944" s="76">
        <v>1.5E-5</v>
      </c>
      <c r="F4944" s="76">
        <v>1.24E-5</v>
      </c>
      <c r="G4944" s="76">
        <v>8.3399999999999994E-5</v>
      </c>
      <c r="H4944" s="76">
        <v>7.4499999999999995E-5</v>
      </c>
      <c r="I4944" s="76">
        <v>5.5099999999999998E-5</v>
      </c>
      <c r="J4944" s="76">
        <v>6.6600000000000006E-5</v>
      </c>
      <c r="K4944" s="76">
        <v>8.2999999999999998E-5</v>
      </c>
      <c r="L4944" s="76">
        <v>1.75E-4</v>
      </c>
      <c r="M4944" s="76">
        <v>1.4200000000000001E-4</v>
      </c>
    </row>
    <row r="4945" spans="3:13" x14ac:dyDescent="0.15">
      <c r="C4945" s="76">
        <v>688</v>
      </c>
      <c r="D4945" s="76">
        <v>1.0000000000000001E-5</v>
      </c>
      <c r="E4945" s="76">
        <v>2.5999999999999998E-5</v>
      </c>
      <c r="F4945" s="76">
        <v>1.7600000000000001E-5</v>
      </c>
      <c r="G4945" s="76">
        <v>8.2399999999999997E-5</v>
      </c>
      <c r="H4945" s="76">
        <v>1.0399999999999999E-4</v>
      </c>
      <c r="I4945" s="76">
        <v>6.2700000000000006E-5</v>
      </c>
      <c r="J4945" s="76">
        <v>8.3900000000000006E-5</v>
      </c>
      <c r="K4945" s="76">
        <v>2.3799999999999999E-5</v>
      </c>
      <c r="L4945" s="76">
        <v>1.2999999999999999E-4</v>
      </c>
      <c r="M4945" s="76">
        <v>4.1900000000000002E-5</v>
      </c>
    </row>
    <row r="4946" spans="3:13" x14ac:dyDescent="0.15">
      <c r="C4946" s="76">
        <v>690</v>
      </c>
      <c r="D4946" s="76">
        <v>5.6699999999999999E-6</v>
      </c>
      <c r="E4946" s="76">
        <v>1.11E-5</v>
      </c>
      <c r="F4946" s="76">
        <v>1.13E-5</v>
      </c>
      <c r="G4946" s="76">
        <v>5.6400000000000002E-5</v>
      </c>
      <c r="H4946" s="76">
        <v>7.08E-5</v>
      </c>
      <c r="I4946" s="76">
        <v>4.9100000000000001E-5</v>
      </c>
      <c r="J4946" s="76">
        <v>7.8200000000000003E-5</v>
      </c>
      <c r="K4946" s="76">
        <v>7.9699999999999999E-5</v>
      </c>
      <c r="L4946" s="76">
        <v>1.54E-4</v>
      </c>
      <c r="M4946" s="76">
        <v>8.5799999999999998E-5</v>
      </c>
    </row>
    <row r="4947" spans="3:13" x14ac:dyDescent="0.15">
      <c r="C4947" s="76">
        <v>692</v>
      </c>
      <c r="D4947" s="76">
        <v>9.2699999999999993E-6</v>
      </c>
      <c r="E4947" s="76">
        <v>1.8499999999999999E-5</v>
      </c>
      <c r="F4947" s="76">
        <v>1.2300000000000001E-5</v>
      </c>
      <c r="G4947" s="76">
        <v>5.2099999999999999E-5</v>
      </c>
      <c r="H4947" s="76">
        <v>1.03E-4</v>
      </c>
      <c r="I4947" s="76">
        <v>4.5800000000000002E-5</v>
      </c>
      <c r="J4947" s="76">
        <v>7.0199999999999999E-5</v>
      </c>
      <c r="K4947" s="76">
        <v>9.6199999999999994E-5</v>
      </c>
      <c r="L4947" s="76">
        <v>1.36E-4</v>
      </c>
      <c r="M4947" s="76">
        <v>9.7499999999999998E-5</v>
      </c>
    </row>
    <row r="4948" spans="3:13" x14ac:dyDescent="0.15">
      <c r="C4948" s="76">
        <v>694</v>
      </c>
      <c r="D4948" s="76">
        <v>4.4100000000000001E-6</v>
      </c>
      <c r="E4948" s="76">
        <v>9.7699999999999996E-6</v>
      </c>
      <c r="F4948" s="76">
        <v>1.6699999999999999E-5</v>
      </c>
      <c r="G4948" s="76">
        <v>8.1699999999999994E-5</v>
      </c>
      <c r="H4948" s="76">
        <v>7.1600000000000006E-5</v>
      </c>
      <c r="I4948" s="76">
        <v>4.2299999999999998E-5</v>
      </c>
      <c r="J4948" s="76">
        <v>8.8499999999999996E-5</v>
      </c>
      <c r="K4948" s="76">
        <v>1.18E-4</v>
      </c>
      <c r="L4948" s="76">
        <v>7.2399999999999998E-5</v>
      </c>
      <c r="M4948" s="76">
        <v>1.2799999999999999E-4</v>
      </c>
    </row>
    <row r="4949" spans="3:13" x14ac:dyDescent="0.15">
      <c r="C4949" s="76">
        <v>696</v>
      </c>
      <c r="D4949" s="76">
        <v>6.6899999999999997E-7</v>
      </c>
      <c r="E4949" s="76">
        <v>3.0800000000000003E-5</v>
      </c>
      <c r="F4949" s="76">
        <v>2.6000000000000001E-6</v>
      </c>
      <c r="G4949" s="76">
        <v>4.74E-5</v>
      </c>
      <c r="H4949" s="76">
        <v>2.02E-5</v>
      </c>
      <c r="I4949" s="76">
        <v>3.0000000000000001E-5</v>
      </c>
      <c r="J4949" s="76">
        <v>8.9499999999999994E-5</v>
      </c>
      <c r="K4949" s="76">
        <v>1.17E-4</v>
      </c>
      <c r="L4949" s="76">
        <v>1.17E-4</v>
      </c>
      <c r="M4949" s="76">
        <v>1.44E-4</v>
      </c>
    </row>
    <row r="4950" spans="3:13" x14ac:dyDescent="0.15">
      <c r="C4950" s="76">
        <v>698</v>
      </c>
      <c r="D4950" s="76">
        <v>4.51E-6</v>
      </c>
      <c r="E4950" s="76">
        <v>2.9200000000000002E-5</v>
      </c>
      <c r="F4950" s="76">
        <v>8.85E-6</v>
      </c>
      <c r="G4950" s="76">
        <v>6.2799999999999995E-5</v>
      </c>
      <c r="H4950" s="76">
        <v>2.2200000000000001E-5</v>
      </c>
      <c r="I4950" s="76">
        <v>5.8900000000000002E-5</v>
      </c>
      <c r="J4950" s="76">
        <v>1.26E-4</v>
      </c>
      <c r="K4950" s="76">
        <v>1.7899999999999999E-4</v>
      </c>
      <c r="L4950" s="76">
        <v>8.5799999999999998E-5</v>
      </c>
      <c r="M4950" s="76">
        <v>9.0500000000000004E-5</v>
      </c>
    </row>
    <row r="4951" spans="3:13" x14ac:dyDescent="0.15">
      <c r="C4951" s="76">
        <v>700</v>
      </c>
      <c r="D4951" s="76">
        <v>3.7000000000000002E-6</v>
      </c>
      <c r="E4951" s="76">
        <v>3.8399999999999998E-5</v>
      </c>
      <c r="F4951" s="76">
        <v>2.6800000000000001E-5</v>
      </c>
      <c r="G4951" s="76">
        <v>4.1199999999999999E-5</v>
      </c>
      <c r="H4951" s="76">
        <v>4.2400000000000001E-5</v>
      </c>
      <c r="I4951" s="76">
        <v>1.08E-4</v>
      </c>
      <c r="J4951" s="76">
        <v>1.13E-4</v>
      </c>
      <c r="K4951" s="76">
        <v>2.1800000000000001E-4</v>
      </c>
      <c r="L4951" s="76">
        <v>5.7000000000000003E-5</v>
      </c>
      <c r="M4951" s="76">
        <v>8.8399999999999994E-5</v>
      </c>
    </row>
    <row r="4952" spans="3:13" x14ac:dyDescent="0.15">
      <c r="C4952" s="76">
        <v>702</v>
      </c>
      <c r="D4952" s="76">
        <v>1.03E-5</v>
      </c>
      <c r="E4952" s="76">
        <v>2.87E-5</v>
      </c>
      <c r="F4952" s="76">
        <v>4.1499999999999999E-5</v>
      </c>
      <c r="G4952" s="76">
        <v>2.0400000000000001E-5</v>
      </c>
      <c r="H4952" s="76">
        <v>4.0599999999999998E-5</v>
      </c>
      <c r="I4952" s="76">
        <v>7.9499999999999994E-5</v>
      </c>
      <c r="J4952" s="76">
        <v>1.2899999999999999E-4</v>
      </c>
      <c r="K4952" s="76">
        <v>2.52E-4</v>
      </c>
      <c r="L4952" s="76">
        <v>8.4599999999999996E-5</v>
      </c>
      <c r="M4952" s="76">
        <v>1.36E-4</v>
      </c>
    </row>
    <row r="4953" spans="3:13" x14ac:dyDescent="0.15">
      <c r="C4953" s="76">
        <v>704</v>
      </c>
      <c r="D4953" s="76">
        <v>7.8399999999999995E-6</v>
      </c>
      <c r="E4953" s="76">
        <v>4.6100000000000002E-5</v>
      </c>
      <c r="F4953" s="76">
        <v>1.8E-5</v>
      </c>
      <c r="G4953" s="76">
        <v>5.7200000000000001E-5</v>
      </c>
      <c r="H4953" s="76">
        <v>1.42E-5</v>
      </c>
      <c r="I4953" s="76">
        <v>4.8199999999999999E-5</v>
      </c>
      <c r="J4953" s="76">
        <v>1.12E-4</v>
      </c>
      <c r="K4953" s="76">
        <v>2.0799999999999999E-4</v>
      </c>
      <c r="L4953" s="76">
        <v>8.4699999999999999E-5</v>
      </c>
      <c r="M4953" s="76">
        <v>4.1100000000000003E-5</v>
      </c>
    </row>
    <row r="4954" spans="3:13" x14ac:dyDescent="0.15">
      <c r="C4954" s="76">
        <v>706</v>
      </c>
      <c r="D4954" s="76">
        <v>1.2799999999999999E-5</v>
      </c>
      <c r="E4954" s="76">
        <v>3.57E-5</v>
      </c>
      <c r="F4954" s="76">
        <v>2.02E-5</v>
      </c>
      <c r="G4954" s="76">
        <v>5.1499999999999998E-5</v>
      </c>
      <c r="H4954" s="76">
        <v>4.9200000000000003E-5</v>
      </c>
      <c r="I4954" s="76">
        <v>5.5500000000000001E-5</v>
      </c>
      <c r="J4954" s="76">
        <v>1.6000000000000001E-4</v>
      </c>
      <c r="K4954" s="76">
        <v>2.2499999999999999E-4</v>
      </c>
      <c r="L4954" s="76">
        <v>7.9900000000000004E-5</v>
      </c>
      <c r="M4954" s="76">
        <v>1.3100000000000001E-4</v>
      </c>
    </row>
    <row r="4955" spans="3:13" x14ac:dyDescent="0.15">
      <c r="C4955" s="76">
        <v>708</v>
      </c>
      <c r="D4955" s="76">
        <v>7.8099999999999998E-6</v>
      </c>
      <c r="E4955" s="76">
        <v>3.4400000000000003E-5</v>
      </c>
      <c r="F4955" s="76">
        <v>2.0699999999999998E-5</v>
      </c>
      <c r="G4955" s="76">
        <v>5.2299999999999997E-5</v>
      </c>
      <c r="H4955" s="76">
        <v>4.6300000000000001E-5</v>
      </c>
      <c r="I4955" s="76">
        <v>5.8699999999999997E-5</v>
      </c>
      <c r="J4955" s="76">
        <v>1.45E-4</v>
      </c>
      <c r="K4955" s="76">
        <v>2.6800000000000001E-4</v>
      </c>
      <c r="L4955" s="76">
        <v>8.1500000000000002E-5</v>
      </c>
      <c r="M4955" s="76">
        <v>8.4800000000000001E-5</v>
      </c>
    </row>
    <row r="4956" spans="3:13" x14ac:dyDescent="0.15">
      <c r="C4956" s="76">
        <v>710</v>
      </c>
      <c r="D4956" s="76">
        <v>7.2899999999999997E-6</v>
      </c>
      <c r="E4956" s="76">
        <v>3.1099999999999997E-5</v>
      </c>
      <c r="F4956" s="76">
        <v>3.9799999999999998E-5</v>
      </c>
      <c r="G4956" s="76">
        <v>4.2299999999999998E-5</v>
      </c>
      <c r="H4956" s="76">
        <v>4.7899999999999999E-5</v>
      </c>
      <c r="I4956" s="76">
        <v>1.2E-4</v>
      </c>
      <c r="J4956" s="76">
        <v>1.73E-4</v>
      </c>
      <c r="K4956" s="76">
        <v>2.9100000000000003E-4</v>
      </c>
      <c r="L4956" s="76">
        <v>1.1400000000000001E-4</v>
      </c>
      <c r="M4956" s="76">
        <v>5.41E-5</v>
      </c>
    </row>
    <row r="4957" spans="3:13" x14ac:dyDescent="0.15">
      <c r="C4957" s="76">
        <v>712</v>
      </c>
      <c r="D4957" s="76">
        <v>9.91E-6</v>
      </c>
      <c r="E4957" s="76">
        <v>3.3200000000000001E-5</v>
      </c>
      <c r="F4957" s="76">
        <v>3.04E-5</v>
      </c>
      <c r="G4957" s="76">
        <v>4.6400000000000003E-5</v>
      </c>
      <c r="H4957" s="76">
        <v>2.97E-5</v>
      </c>
      <c r="I4957" s="76">
        <v>6.1799999999999998E-5</v>
      </c>
      <c r="J4957" s="76">
        <v>2.14E-4</v>
      </c>
      <c r="K4957" s="76">
        <v>3.97E-4</v>
      </c>
      <c r="L4957" s="76">
        <v>2.7500000000000001E-5</v>
      </c>
      <c r="M4957" s="76">
        <v>8.0500000000000005E-5</v>
      </c>
    </row>
    <row r="4958" spans="3:13" x14ac:dyDescent="0.15">
      <c r="C4958" s="76">
        <v>714</v>
      </c>
      <c r="D4958" s="76">
        <v>4.7600000000000002E-6</v>
      </c>
      <c r="E4958" s="76">
        <v>1.7799999999999999E-5</v>
      </c>
      <c r="F4958" s="76">
        <v>4.8099999999999997E-5</v>
      </c>
      <c r="G4958" s="76">
        <v>2.02E-5</v>
      </c>
      <c r="H4958" s="76">
        <v>2.0599999999999999E-5</v>
      </c>
      <c r="I4958" s="76">
        <v>8.6399999999999999E-5</v>
      </c>
      <c r="J4958" s="76">
        <v>1.76E-4</v>
      </c>
      <c r="K4958" s="76">
        <v>3.7100000000000002E-4</v>
      </c>
      <c r="L4958" s="76">
        <v>1.2799999999999999E-4</v>
      </c>
      <c r="M4958" s="76">
        <v>4.4299999999999999E-5</v>
      </c>
    </row>
    <row r="4959" spans="3:13" x14ac:dyDescent="0.15">
      <c r="C4959" s="76">
        <v>716</v>
      </c>
      <c r="D4959" s="76">
        <v>1.38E-5</v>
      </c>
      <c r="E4959" s="76">
        <v>3.93E-5</v>
      </c>
      <c r="F4959" s="76">
        <v>5.5300000000000002E-5</v>
      </c>
      <c r="G4959" s="76">
        <v>8.1300000000000001E-6</v>
      </c>
      <c r="H4959" s="76">
        <v>5.6799999999999998E-5</v>
      </c>
      <c r="I4959" s="76">
        <v>1.07E-4</v>
      </c>
      <c r="J4959" s="76">
        <v>1.54E-4</v>
      </c>
      <c r="K4959" s="76">
        <v>2.2000000000000001E-4</v>
      </c>
      <c r="L4959" s="76">
        <v>9.8999999999999994E-5</v>
      </c>
      <c r="M4959" s="76">
        <v>8.8700000000000001E-5</v>
      </c>
    </row>
    <row r="4960" spans="3:13" x14ac:dyDescent="0.15">
      <c r="C4960" s="76">
        <v>718</v>
      </c>
      <c r="D4960" s="76">
        <v>2.3E-5</v>
      </c>
      <c r="E4960" s="76">
        <v>2.9E-5</v>
      </c>
      <c r="F4960" s="76">
        <v>4.2899999999999999E-5</v>
      </c>
      <c r="G4960" s="76">
        <v>3.0199999999999999E-5</v>
      </c>
      <c r="H4960" s="76">
        <v>7.2000000000000002E-5</v>
      </c>
      <c r="I4960" s="76">
        <v>8.9400000000000005E-5</v>
      </c>
      <c r="J4960" s="76">
        <v>1.8200000000000001E-4</v>
      </c>
      <c r="K4960" s="76">
        <v>2.34E-4</v>
      </c>
      <c r="L4960" s="76">
        <v>4.9799999999999998E-5</v>
      </c>
      <c r="M4960" s="76">
        <v>3.9900000000000001E-5</v>
      </c>
    </row>
    <row r="4961" spans="3:13" x14ac:dyDescent="0.15">
      <c r="C4961" s="76">
        <v>720</v>
      </c>
      <c r="D4961" s="76">
        <v>2.3499999999999999E-5</v>
      </c>
      <c r="E4961" s="76">
        <v>2.6299999999999999E-5</v>
      </c>
      <c r="F4961" s="76">
        <v>5.2599999999999998E-5</v>
      </c>
      <c r="G4961" s="76">
        <v>6.7600000000000003E-5</v>
      </c>
      <c r="H4961" s="76">
        <v>4.4199999999999997E-5</v>
      </c>
      <c r="I4961" s="76">
        <v>1.1E-4</v>
      </c>
      <c r="J4961" s="76">
        <v>1.08E-4</v>
      </c>
      <c r="K4961" s="76">
        <v>2.4899999999999998E-4</v>
      </c>
      <c r="L4961" s="76">
        <v>8.5199999999999997E-5</v>
      </c>
      <c r="M4961" s="76">
        <v>1.3999999999999999E-4</v>
      </c>
    </row>
    <row r="4962" spans="3:13" x14ac:dyDescent="0.15">
      <c r="C4962" s="76">
        <v>722</v>
      </c>
      <c r="D4962" s="76">
        <v>2.6699999999999998E-5</v>
      </c>
      <c r="E4962" s="76">
        <v>3.3200000000000001E-5</v>
      </c>
      <c r="F4962" s="76">
        <v>6.8899999999999994E-5</v>
      </c>
      <c r="G4962" s="76">
        <v>5.3600000000000002E-5</v>
      </c>
      <c r="H4962" s="76">
        <v>3.5200000000000002E-5</v>
      </c>
      <c r="I4962" s="76">
        <v>1.01E-4</v>
      </c>
      <c r="J4962" s="76">
        <v>1.1400000000000001E-4</v>
      </c>
      <c r="K4962" s="76">
        <v>2.5599999999999999E-4</v>
      </c>
      <c r="L4962" s="76">
        <v>5.77E-5</v>
      </c>
      <c r="M4962" s="76">
        <v>8.2700000000000004E-5</v>
      </c>
    </row>
    <row r="4963" spans="3:13" x14ac:dyDescent="0.15">
      <c r="C4963" s="76">
        <v>724</v>
      </c>
      <c r="D4963" s="76">
        <v>1.8E-5</v>
      </c>
      <c r="E4963" s="76">
        <v>3.2100000000000001E-5</v>
      </c>
      <c r="F4963" s="76">
        <v>4.8199999999999999E-5</v>
      </c>
      <c r="G4963" s="76">
        <v>8.85E-6</v>
      </c>
      <c r="H4963" s="76">
        <v>2.76E-5</v>
      </c>
      <c r="I4963" s="76">
        <v>1.01E-4</v>
      </c>
      <c r="J4963" s="76">
        <v>1.2999999999999999E-4</v>
      </c>
      <c r="K4963" s="76">
        <v>2.5000000000000001E-4</v>
      </c>
      <c r="L4963" s="76">
        <v>7.3100000000000001E-5</v>
      </c>
      <c r="M4963" s="76">
        <v>1.1900000000000001E-4</v>
      </c>
    </row>
    <row r="4964" spans="3:13" x14ac:dyDescent="0.15">
      <c r="C4964" s="76">
        <v>726</v>
      </c>
      <c r="D4964" s="76">
        <v>1.95E-5</v>
      </c>
      <c r="E4964" s="76">
        <v>3.3800000000000002E-5</v>
      </c>
      <c r="F4964" s="76">
        <v>1.0900000000000001E-4</v>
      </c>
      <c r="G4964" s="76">
        <v>4.3000000000000002E-5</v>
      </c>
      <c r="H4964" s="76">
        <v>4.0099999999999999E-5</v>
      </c>
      <c r="I4964" s="76">
        <v>7.4300000000000004E-5</v>
      </c>
      <c r="J4964" s="76">
        <v>1.2300000000000001E-4</v>
      </c>
      <c r="K4964" s="76">
        <v>2.4499999999999999E-4</v>
      </c>
      <c r="L4964" s="76">
        <v>3.7299999999999999E-5</v>
      </c>
      <c r="M4964" s="76">
        <v>1.92E-4</v>
      </c>
    </row>
    <row r="4965" spans="3:13" x14ac:dyDescent="0.15">
      <c r="C4965" s="76">
        <v>728</v>
      </c>
      <c r="D4965" s="76">
        <v>3.04E-5</v>
      </c>
      <c r="E4965" s="76">
        <v>2.9899999999999998E-5</v>
      </c>
      <c r="F4965" s="76">
        <v>9.6399999999999999E-5</v>
      </c>
      <c r="G4965" s="76">
        <v>4.1900000000000002E-5</v>
      </c>
      <c r="H4965" s="76">
        <v>5.5399999999999998E-5</v>
      </c>
      <c r="I4965" s="76">
        <v>8.8200000000000003E-5</v>
      </c>
      <c r="J4965" s="76">
        <v>1.0900000000000001E-4</v>
      </c>
      <c r="K4965" s="76">
        <v>1.5100000000000001E-4</v>
      </c>
      <c r="L4965" s="76">
        <v>5.7299999999999997E-5</v>
      </c>
      <c r="M4965" s="76">
        <v>1.56E-4</v>
      </c>
    </row>
    <row r="4966" spans="3:13" x14ac:dyDescent="0.15">
      <c r="C4966" s="76">
        <v>730</v>
      </c>
      <c r="D4966" s="76">
        <v>2.1699999999999999E-5</v>
      </c>
      <c r="E4966" s="76">
        <v>3.2499999999999997E-5</v>
      </c>
      <c r="F4966" s="76">
        <v>8.0699999999999996E-5</v>
      </c>
      <c r="G4966" s="76">
        <v>5.8699999999999997E-5</v>
      </c>
      <c r="H4966" s="76">
        <v>4.4799999999999998E-5</v>
      </c>
      <c r="I4966" s="76">
        <v>1.47E-4</v>
      </c>
      <c r="J4966" s="76">
        <v>9.9199999999999999E-5</v>
      </c>
      <c r="K4966" s="76">
        <v>1.6200000000000001E-4</v>
      </c>
      <c r="L4966" s="76">
        <v>1.18E-4</v>
      </c>
      <c r="M4966" s="76">
        <v>1.84E-4</v>
      </c>
    </row>
    <row r="4967" spans="3:13" x14ac:dyDescent="0.15">
      <c r="C4967" s="76">
        <v>732</v>
      </c>
      <c r="D4967" s="76">
        <v>2.5299999999999998E-5</v>
      </c>
      <c r="E4967" s="76">
        <v>3.6600000000000002E-5</v>
      </c>
      <c r="F4967" s="76">
        <v>8.2299999999999995E-5</v>
      </c>
      <c r="G4967" s="76">
        <v>1.7499999999999998E-5</v>
      </c>
      <c r="H4967" s="76">
        <v>6.6500000000000004E-5</v>
      </c>
      <c r="I4967" s="76">
        <v>1.4100000000000001E-4</v>
      </c>
      <c r="J4967" s="76">
        <v>1.0399999999999999E-4</v>
      </c>
      <c r="K4967" s="76">
        <v>6.0399999999999998E-5</v>
      </c>
      <c r="L4967" s="76">
        <v>4.49E-5</v>
      </c>
      <c r="M4967" s="76">
        <v>2.32E-4</v>
      </c>
    </row>
    <row r="4968" spans="3:13" x14ac:dyDescent="0.15">
      <c r="C4968" s="76">
        <v>734</v>
      </c>
      <c r="D4968" s="76">
        <v>2.3099999999999999E-5</v>
      </c>
      <c r="E4968" s="76">
        <v>4.8099999999999997E-5</v>
      </c>
      <c r="F4968" s="76">
        <v>8.1899999999999999E-5</v>
      </c>
      <c r="G4968" s="76">
        <v>6.2500000000000001E-5</v>
      </c>
      <c r="H4968" s="76">
        <v>3.0499999999999999E-5</v>
      </c>
      <c r="I4968" s="76">
        <v>1.64E-4</v>
      </c>
      <c r="J4968" s="76">
        <v>1.02E-4</v>
      </c>
      <c r="K4968" s="76">
        <v>1.1900000000000001E-4</v>
      </c>
      <c r="L4968" s="76">
        <v>1.0399999999999999E-4</v>
      </c>
      <c r="M4968" s="76">
        <v>1.2899999999999999E-4</v>
      </c>
    </row>
    <row r="4969" spans="3:13" x14ac:dyDescent="0.15">
      <c r="C4969" s="76">
        <v>736</v>
      </c>
      <c r="D4969" s="76">
        <v>1.9300000000000002E-5</v>
      </c>
      <c r="E4969" s="76">
        <v>4.2400000000000001E-5</v>
      </c>
      <c r="F4969" s="76">
        <v>1.02E-4</v>
      </c>
      <c r="G4969" s="76">
        <v>4.3399999999999998E-5</v>
      </c>
      <c r="H4969" s="76">
        <v>6.4800000000000003E-5</v>
      </c>
      <c r="I4969" s="76">
        <v>1.5899999999999999E-4</v>
      </c>
      <c r="J4969" s="76">
        <v>1.13E-4</v>
      </c>
      <c r="K4969" s="76">
        <v>8.8999999999999995E-5</v>
      </c>
      <c r="L4969" s="76">
        <v>1.2E-4</v>
      </c>
      <c r="M4969" s="76">
        <v>2.4699999999999999E-4</v>
      </c>
    </row>
    <row r="4970" spans="3:13" x14ac:dyDescent="0.15">
      <c r="C4970" s="76">
        <v>738</v>
      </c>
      <c r="D4970" s="76">
        <v>1.47E-5</v>
      </c>
      <c r="E4970" s="76">
        <v>2.48E-5</v>
      </c>
      <c r="F4970" s="76">
        <v>9.0199999999999997E-5</v>
      </c>
      <c r="G4970" s="76">
        <v>5.6100000000000002E-5</v>
      </c>
      <c r="H4970" s="76">
        <v>6.7600000000000003E-5</v>
      </c>
      <c r="I4970" s="76">
        <v>1.22E-4</v>
      </c>
      <c r="J4970" s="76">
        <v>1.63E-4</v>
      </c>
      <c r="K4970" s="76">
        <v>1.15E-4</v>
      </c>
      <c r="L4970" s="76">
        <v>1.08E-4</v>
      </c>
      <c r="M4970" s="76">
        <v>2.04E-4</v>
      </c>
    </row>
    <row r="4971" spans="3:13" x14ac:dyDescent="0.15">
      <c r="C4971" s="76">
        <v>740</v>
      </c>
      <c r="D4971" s="76">
        <v>2.72E-5</v>
      </c>
      <c r="E4971" s="76">
        <v>3.8399999999999998E-5</v>
      </c>
      <c r="F4971" s="76">
        <v>9.7399999999999996E-5</v>
      </c>
      <c r="G4971" s="76">
        <v>6.8999999999999997E-5</v>
      </c>
      <c r="H4971" s="76">
        <v>6.1600000000000007E-5</v>
      </c>
      <c r="I4971" s="76">
        <v>1.6699999999999999E-4</v>
      </c>
      <c r="J4971" s="76">
        <v>1.66E-4</v>
      </c>
      <c r="K4971" s="76">
        <v>1.3300000000000001E-4</v>
      </c>
      <c r="L4971" s="76">
        <v>1.8799999999999999E-4</v>
      </c>
      <c r="M4971" s="76">
        <v>2.14E-4</v>
      </c>
    </row>
    <row r="4972" spans="3:13" x14ac:dyDescent="0.15">
      <c r="C4972" s="76">
        <v>742</v>
      </c>
      <c r="D4972" s="76">
        <v>1.9400000000000001E-5</v>
      </c>
      <c r="E4972" s="76">
        <v>3.8699999999999999E-5</v>
      </c>
      <c r="F4972" s="76">
        <v>8.5900000000000001E-5</v>
      </c>
      <c r="G4972" s="76">
        <v>8.6399999999999999E-5</v>
      </c>
      <c r="H4972" s="76">
        <v>5.5500000000000001E-5</v>
      </c>
      <c r="I4972" s="76">
        <v>1.8200000000000001E-4</v>
      </c>
      <c r="J4972" s="76">
        <v>1.4799999999999999E-4</v>
      </c>
      <c r="K4972" s="76">
        <v>1.2400000000000001E-4</v>
      </c>
      <c r="L4972" s="76">
        <v>1.73E-4</v>
      </c>
      <c r="M4972" s="76">
        <v>2.1100000000000001E-4</v>
      </c>
    </row>
    <row r="4973" spans="3:13" x14ac:dyDescent="0.15">
      <c r="C4973" s="76">
        <v>744</v>
      </c>
      <c r="D4973" s="76">
        <v>1.08E-5</v>
      </c>
      <c r="E4973" s="76">
        <v>3.5099999999999999E-5</v>
      </c>
      <c r="F4973" s="76">
        <v>6.7899999999999997E-5</v>
      </c>
      <c r="G4973" s="76">
        <v>7.7700000000000005E-5</v>
      </c>
      <c r="H4973" s="76">
        <v>6.5400000000000004E-5</v>
      </c>
      <c r="I4973" s="76">
        <v>2.23E-4</v>
      </c>
      <c r="J4973" s="76">
        <v>1.46E-4</v>
      </c>
      <c r="K4973" s="76">
        <v>1.8100000000000001E-4</v>
      </c>
      <c r="L4973" s="76">
        <v>1.2300000000000001E-4</v>
      </c>
      <c r="M4973" s="76">
        <v>2.7500000000000002E-4</v>
      </c>
    </row>
    <row r="4974" spans="3:13" x14ac:dyDescent="0.15">
      <c r="C4974" s="76">
        <v>746</v>
      </c>
      <c r="D4974" s="76">
        <v>2.1100000000000001E-5</v>
      </c>
      <c r="E4974" s="76">
        <v>2.73E-5</v>
      </c>
      <c r="F4974" s="76">
        <v>7.3700000000000002E-5</v>
      </c>
      <c r="G4974" s="76">
        <v>6.58E-5</v>
      </c>
      <c r="H4974" s="76">
        <v>5.8199999999999998E-5</v>
      </c>
      <c r="I4974" s="76">
        <v>1.92E-4</v>
      </c>
      <c r="J4974" s="76">
        <v>1.7000000000000001E-4</v>
      </c>
      <c r="K4974" s="76">
        <v>8.7999999999999998E-5</v>
      </c>
      <c r="L4974" s="76">
        <v>1.6000000000000001E-4</v>
      </c>
      <c r="M4974" s="76">
        <v>3.0200000000000002E-4</v>
      </c>
    </row>
    <row r="4975" spans="3:13" x14ac:dyDescent="0.15">
      <c r="C4975" s="76">
        <v>748</v>
      </c>
      <c r="D4975" s="76">
        <v>2.58E-5</v>
      </c>
      <c r="E4975" s="76">
        <v>3.65E-5</v>
      </c>
      <c r="F4975" s="76">
        <v>6.3100000000000002E-5</v>
      </c>
      <c r="G4975" s="76">
        <v>9.0400000000000002E-5</v>
      </c>
      <c r="H4975" s="76">
        <v>6.3800000000000006E-5</v>
      </c>
      <c r="I4975" s="76">
        <v>1.6000000000000001E-4</v>
      </c>
      <c r="J4975" s="76">
        <v>1.8000000000000001E-4</v>
      </c>
      <c r="K4975" s="76">
        <v>1.1900000000000001E-4</v>
      </c>
      <c r="L4975" s="76">
        <v>1.84E-4</v>
      </c>
      <c r="M4975" s="76">
        <v>2.7900000000000001E-4</v>
      </c>
    </row>
    <row r="4976" spans="3:13" x14ac:dyDescent="0.15">
      <c r="C4976" s="76">
        <v>750</v>
      </c>
      <c r="D4976" s="76">
        <v>2.5299999999999998E-5</v>
      </c>
      <c r="E4976" s="76">
        <v>1.45E-5</v>
      </c>
      <c r="F4976" s="76">
        <v>5.6499999999999998E-5</v>
      </c>
      <c r="G4976" s="76">
        <v>8.5900000000000001E-5</v>
      </c>
      <c r="H4976" s="76">
        <v>7.9200000000000001E-5</v>
      </c>
      <c r="I4976" s="76">
        <v>1.7899999999999999E-4</v>
      </c>
      <c r="J4976" s="76">
        <v>1.54E-4</v>
      </c>
      <c r="K4976" s="76">
        <v>1.35E-4</v>
      </c>
      <c r="L4976" s="76">
        <v>1.75E-4</v>
      </c>
      <c r="M4976" s="76">
        <v>2.7399999999999999E-4</v>
      </c>
    </row>
    <row r="4977" spans="2:13" x14ac:dyDescent="0.15">
      <c r="C4977" s="76">
        <v>752</v>
      </c>
      <c r="D4977" s="76">
        <v>2.12E-5</v>
      </c>
      <c r="E4977" s="76">
        <v>8.5599999999999994E-6</v>
      </c>
      <c r="F4977" s="76">
        <v>4.6300000000000001E-5</v>
      </c>
      <c r="G4977" s="76">
        <v>1.3100000000000001E-4</v>
      </c>
      <c r="H4977" s="76">
        <v>3.1000000000000001E-5</v>
      </c>
      <c r="I4977" s="76">
        <v>2.3499999999999999E-4</v>
      </c>
      <c r="J4977" s="76">
        <v>2.2100000000000001E-4</v>
      </c>
      <c r="K4977" s="76">
        <v>1.6899999999999999E-4</v>
      </c>
      <c r="L4977" s="76">
        <v>1.95E-4</v>
      </c>
      <c r="M4977" s="76">
        <v>2.72E-4</v>
      </c>
    </row>
    <row r="4978" spans="2:13" x14ac:dyDescent="0.15">
      <c r="C4978" s="76">
        <v>754</v>
      </c>
      <c r="D4978" s="76">
        <v>1.7900000000000001E-5</v>
      </c>
      <c r="E4978" s="76">
        <v>4.6400000000000003E-5</v>
      </c>
      <c r="F4978" s="76">
        <v>7.0099999999999996E-5</v>
      </c>
      <c r="G4978" s="76">
        <v>1.25E-4</v>
      </c>
      <c r="H4978" s="76">
        <v>5.8499999999999999E-5</v>
      </c>
      <c r="I4978" s="76">
        <v>1.7699999999999999E-4</v>
      </c>
      <c r="J4978" s="76">
        <v>1.83E-4</v>
      </c>
      <c r="K4978" s="76">
        <v>1.65E-4</v>
      </c>
      <c r="L4978" s="76">
        <v>1.9699999999999999E-4</v>
      </c>
      <c r="M4978" s="76">
        <v>2.7900000000000001E-4</v>
      </c>
    </row>
    <row r="4979" spans="2:13" x14ac:dyDescent="0.15">
      <c r="C4979" s="76">
        <v>756</v>
      </c>
      <c r="D4979" s="76">
        <v>2.9200000000000002E-5</v>
      </c>
      <c r="E4979" s="76">
        <v>5.3100000000000003E-5</v>
      </c>
      <c r="F4979" s="76">
        <v>5.1499999999999998E-5</v>
      </c>
      <c r="G4979" s="76">
        <v>1.07E-4</v>
      </c>
      <c r="H4979" s="76">
        <v>1.0399999999999999E-4</v>
      </c>
      <c r="I4979" s="76">
        <v>1.7100000000000001E-4</v>
      </c>
      <c r="J4979" s="76">
        <v>1.2E-4</v>
      </c>
      <c r="K4979" s="76">
        <v>7.2999999999999999E-5</v>
      </c>
      <c r="L4979" s="76">
        <v>2.2900000000000001E-4</v>
      </c>
      <c r="M4979" s="76">
        <v>3.1E-4</v>
      </c>
    </row>
    <row r="4980" spans="2:13" x14ac:dyDescent="0.15">
      <c r="C4980" s="76">
        <v>758</v>
      </c>
      <c r="D4980" s="76">
        <v>1.7099999999999999E-5</v>
      </c>
      <c r="E4980" s="76">
        <v>8.0099999999999995E-5</v>
      </c>
      <c r="F4980" s="76">
        <v>2.6699999999999998E-5</v>
      </c>
      <c r="G4980" s="76">
        <v>9.3599999999999998E-5</v>
      </c>
      <c r="H4980" s="76">
        <v>6.6199999999999996E-5</v>
      </c>
      <c r="I4980" s="76">
        <v>2.24E-4</v>
      </c>
      <c r="J4980" s="76">
        <v>4.2899999999999999E-5</v>
      </c>
      <c r="K4980" s="76">
        <v>1.5100000000000001E-4</v>
      </c>
      <c r="L4980" s="76">
        <v>1.9599999999999999E-4</v>
      </c>
      <c r="M4980" s="76">
        <v>3.28E-4</v>
      </c>
    </row>
    <row r="4981" spans="2:13" x14ac:dyDescent="0.15">
      <c r="C4981" s="76">
        <v>760</v>
      </c>
      <c r="D4981" s="76">
        <v>2.05E-5</v>
      </c>
      <c r="E4981" s="76">
        <v>5.8999999999999998E-5</v>
      </c>
      <c r="F4981" s="76">
        <v>2.6800000000000001E-5</v>
      </c>
      <c r="G4981" s="76">
        <v>1.3999999999999999E-4</v>
      </c>
      <c r="H4981" s="76">
        <v>7.2100000000000004E-5</v>
      </c>
      <c r="I4981" s="76">
        <v>2.05E-4</v>
      </c>
      <c r="J4981" s="76">
        <v>3.1099999999999997E-5</v>
      </c>
      <c r="K4981" s="76">
        <v>1.6200000000000001E-4</v>
      </c>
      <c r="L4981" s="76">
        <v>2.1599999999999999E-4</v>
      </c>
      <c r="M4981" s="76">
        <v>3.2499999999999999E-4</v>
      </c>
    </row>
    <row r="4982" spans="2:13" x14ac:dyDescent="0.15">
      <c r="C4982" s="76">
        <v>762</v>
      </c>
      <c r="D4982" s="76">
        <v>2.4899999999999999E-5</v>
      </c>
      <c r="E4982" s="76">
        <v>5.9500000000000003E-5</v>
      </c>
      <c r="F4982" s="76">
        <v>2.1399999999999998E-5</v>
      </c>
      <c r="G4982" s="76">
        <v>1.1E-4</v>
      </c>
      <c r="H4982" s="76">
        <v>7.9800000000000002E-5</v>
      </c>
      <c r="I4982" s="76">
        <v>1.84E-4</v>
      </c>
      <c r="J4982" s="76">
        <v>2.51E-5</v>
      </c>
      <c r="K4982" s="76">
        <v>2.14E-4</v>
      </c>
      <c r="L4982" s="76">
        <v>1.9599999999999999E-4</v>
      </c>
      <c r="M4982" s="76">
        <v>3.5500000000000001E-4</v>
      </c>
    </row>
    <row r="4983" spans="2:13" x14ac:dyDescent="0.15">
      <c r="C4983" s="76">
        <v>764</v>
      </c>
      <c r="D4983" s="76">
        <v>3.2100000000000001E-5</v>
      </c>
      <c r="E4983" s="76">
        <v>4.0599999999999998E-5</v>
      </c>
      <c r="F4983" s="76">
        <v>1.95E-5</v>
      </c>
      <c r="G4983" s="76">
        <v>1.15E-4</v>
      </c>
      <c r="H4983" s="76">
        <v>9.1000000000000003E-5</v>
      </c>
      <c r="I4983" s="76">
        <v>2.3000000000000001E-4</v>
      </c>
      <c r="J4983" s="76">
        <v>6.6699999999999995E-5</v>
      </c>
      <c r="K4983" s="76">
        <v>2.02E-4</v>
      </c>
      <c r="L4983" s="76">
        <v>1.3799999999999999E-4</v>
      </c>
      <c r="M4983" s="76">
        <v>2.6699999999999998E-4</v>
      </c>
    </row>
    <row r="4984" spans="2:13" x14ac:dyDescent="0.15">
      <c r="C4984" s="76">
        <v>766</v>
      </c>
      <c r="D4984" s="76">
        <v>3.0499999999999999E-5</v>
      </c>
      <c r="E4984" s="76">
        <v>5.4500000000000003E-5</v>
      </c>
      <c r="F4984" s="76">
        <v>2.0000000000000002E-5</v>
      </c>
      <c r="G4984" s="76">
        <v>9.4900000000000003E-5</v>
      </c>
      <c r="H4984" s="76">
        <v>5.7599999999999997E-5</v>
      </c>
      <c r="I4984" s="76">
        <v>2.22E-4</v>
      </c>
      <c r="J4984" s="76">
        <v>8.0400000000000003E-5</v>
      </c>
      <c r="K4984" s="76">
        <v>1.2999999999999999E-4</v>
      </c>
      <c r="L4984" s="76">
        <v>1.7699999999999999E-4</v>
      </c>
      <c r="M4984" s="76">
        <v>1.94E-4</v>
      </c>
    </row>
    <row r="4985" spans="2:13" x14ac:dyDescent="0.15">
      <c r="C4985" s="76">
        <v>768</v>
      </c>
      <c r="D4985" s="76">
        <v>3.1300000000000002E-5</v>
      </c>
      <c r="E4985" s="76">
        <v>4.8999999999999998E-5</v>
      </c>
      <c r="F4985" s="76">
        <v>0</v>
      </c>
      <c r="G4985" s="76">
        <v>9.1100000000000005E-5</v>
      </c>
      <c r="H4985" s="76">
        <v>1.13E-4</v>
      </c>
      <c r="I4985" s="76">
        <v>1.7000000000000001E-4</v>
      </c>
      <c r="J4985" s="76">
        <v>3.2400000000000001E-5</v>
      </c>
      <c r="K4985" s="76">
        <v>1.35E-4</v>
      </c>
      <c r="L4985" s="76">
        <v>1.9599999999999999E-4</v>
      </c>
      <c r="M4985" s="76">
        <v>2.1599999999999999E-4</v>
      </c>
    </row>
    <row r="4986" spans="2:13" x14ac:dyDescent="0.15">
      <c r="C4986" s="76">
        <v>770</v>
      </c>
      <c r="D4986" s="76">
        <v>5.0000000000000002E-5</v>
      </c>
      <c r="E4986" s="76">
        <v>5.4400000000000001E-5</v>
      </c>
      <c r="F4986" s="76">
        <v>1.5699999999999999E-5</v>
      </c>
      <c r="G4986" s="76">
        <v>7.3399999999999995E-5</v>
      </c>
      <c r="H4986" s="76">
        <v>1.2799999999999999E-4</v>
      </c>
      <c r="I4986" s="76">
        <v>1.47E-4</v>
      </c>
      <c r="J4986" s="76">
        <v>5.1400000000000003E-5</v>
      </c>
      <c r="K4986" s="76">
        <v>2.4899999999999998E-4</v>
      </c>
      <c r="L4986" s="76">
        <v>2.23E-4</v>
      </c>
      <c r="M4986" s="76">
        <v>1.4300000000000001E-4</v>
      </c>
    </row>
    <row r="4987" spans="2:13" x14ac:dyDescent="0.15">
      <c r="C4987" s="76">
        <v>772</v>
      </c>
      <c r="D4987" s="76">
        <v>4.0299999999999997E-5</v>
      </c>
      <c r="E4987" s="76">
        <v>5.0899999999999997E-5</v>
      </c>
      <c r="F4987" s="76">
        <v>1.52E-5</v>
      </c>
      <c r="G4987" s="76">
        <v>5.8799999999999999E-5</v>
      </c>
      <c r="H4987" s="76">
        <v>1.13E-4</v>
      </c>
      <c r="I4987" s="76">
        <v>1.5300000000000001E-4</v>
      </c>
      <c r="J4987" s="76">
        <v>5.13E-6</v>
      </c>
      <c r="K4987" s="76">
        <v>1.83E-4</v>
      </c>
      <c r="L4987" s="76">
        <v>2.0699999999999999E-4</v>
      </c>
      <c r="M4987" s="76">
        <v>1.9599999999999999E-4</v>
      </c>
    </row>
    <row r="4988" spans="2:13" x14ac:dyDescent="0.15">
      <c r="C4988" s="76">
        <v>774</v>
      </c>
      <c r="D4988" s="76">
        <v>3.5500000000000002E-5</v>
      </c>
      <c r="E4988" s="76">
        <v>3.8099999999999998E-5</v>
      </c>
      <c r="F4988" s="76">
        <v>3.0900000000000001E-6</v>
      </c>
      <c r="G4988" s="76">
        <v>2.3E-5</v>
      </c>
      <c r="H4988" s="76">
        <v>5.9899999999999999E-5</v>
      </c>
      <c r="I4988" s="76">
        <v>1.34E-4</v>
      </c>
      <c r="J4988" s="76">
        <v>3.5200000000000002E-6</v>
      </c>
      <c r="K4988" s="76">
        <v>1.66E-4</v>
      </c>
      <c r="L4988" s="76">
        <v>1.6200000000000001E-4</v>
      </c>
      <c r="M4988" s="76">
        <v>1.3899999999999999E-4</v>
      </c>
    </row>
    <row r="4989" spans="2:13" x14ac:dyDescent="0.15">
      <c r="C4989" s="76">
        <v>776</v>
      </c>
      <c r="D4989" s="76">
        <v>2.9499999999999999E-5</v>
      </c>
      <c r="E4989" s="76">
        <v>3.0800000000000003E-5</v>
      </c>
      <c r="F4989" s="76">
        <v>4.7400000000000004E-6</v>
      </c>
      <c r="G4989" s="76">
        <v>1.0900000000000001E-5</v>
      </c>
      <c r="H4989" s="76">
        <v>1E-4</v>
      </c>
      <c r="I4989" s="76">
        <v>1.13E-4</v>
      </c>
      <c r="J4989" s="76">
        <v>0</v>
      </c>
      <c r="K4989" s="76">
        <v>1.6000000000000001E-4</v>
      </c>
      <c r="L4989" s="76">
        <v>1.9699999999999999E-4</v>
      </c>
      <c r="M4989" s="76">
        <v>1.36E-4</v>
      </c>
    </row>
    <row r="4990" spans="2:13" x14ac:dyDescent="0.15">
      <c r="C4990" s="76">
        <v>778</v>
      </c>
      <c r="D4990" s="76">
        <v>2.3799999999999999E-5</v>
      </c>
      <c r="E4990" s="76">
        <v>5.0500000000000001E-5</v>
      </c>
      <c r="F4990" s="76">
        <v>3.2700000000000002E-5</v>
      </c>
      <c r="G4990" s="76">
        <v>3.6600000000000002E-5</v>
      </c>
      <c r="H4990" s="76">
        <v>1E-4</v>
      </c>
      <c r="I4990" s="76">
        <v>6.6199999999999996E-5</v>
      </c>
      <c r="J4990" s="76">
        <v>9.1300000000000007E-6</v>
      </c>
      <c r="K4990" s="76">
        <v>1.3999999999999999E-4</v>
      </c>
      <c r="L4990" s="76">
        <v>1.17E-4</v>
      </c>
      <c r="M4990" s="76">
        <v>1.07E-4</v>
      </c>
    </row>
    <row r="4991" spans="2:13" x14ac:dyDescent="0.15">
      <c r="C4991" s="76">
        <v>780</v>
      </c>
      <c r="D4991" s="76">
        <v>2.2200000000000001E-5</v>
      </c>
      <c r="E4991" s="76">
        <v>5.13E-5</v>
      </c>
      <c r="F4991" s="76">
        <v>2.6800000000000001E-5</v>
      </c>
      <c r="G4991" s="76">
        <v>1.98E-5</v>
      </c>
      <c r="H4991" s="76">
        <v>6.5599999999999995E-5</v>
      </c>
      <c r="I4991" s="76">
        <v>6.1400000000000002E-5</v>
      </c>
      <c r="J4991" s="76">
        <v>8.8799999999999997E-6</v>
      </c>
      <c r="K4991" s="76">
        <v>1.85E-4</v>
      </c>
      <c r="L4991" s="76">
        <v>1.1400000000000001E-4</v>
      </c>
      <c r="M4991" s="76">
        <v>6.28E-6</v>
      </c>
    </row>
    <row r="4992" spans="2:13" x14ac:dyDescent="0.15">
      <c r="B4992" s="76">
        <v>54</v>
      </c>
      <c r="C4992" s="76" t="s">
        <v>561</v>
      </c>
      <c r="D4992" s="76">
        <v>1</v>
      </c>
      <c r="E4992" s="76">
        <v>2</v>
      </c>
      <c r="F4992" s="76">
        <v>3</v>
      </c>
      <c r="G4992" s="76">
        <v>4</v>
      </c>
      <c r="H4992" s="76">
        <v>5</v>
      </c>
      <c r="I4992" s="76">
        <v>6</v>
      </c>
      <c r="J4992" s="76">
        <v>7</v>
      </c>
      <c r="K4992" s="76">
        <v>8</v>
      </c>
      <c r="L4992" s="76">
        <v>9</v>
      </c>
      <c r="M4992" s="76">
        <v>10</v>
      </c>
    </row>
    <row r="4993" spans="3:13" x14ac:dyDescent="0.15">
      <c r="C4993" s="76" t="s">
        <v>556</v>
      </c>
      <c r="D4993" s="76">
        <v>3.5659999999999998</v>
      </c>
      <c r="E4993" s="76">
        <v>3.7010000000000001</v>
      </c>
      <c r="F4993" s="76">
        <v>3.798</v>
      </c>
      <c r="G4993" s="76">
        <v>3.875</v>
      </c>
      <c r="H4993" s="76">
        <v>3.9430000000000001</v>
      </c>
      <c r="I4993" s="76">
        <v>4.0030000000000001</v>
      </c>
      <c r="J4993" s="76">
        <v>4.0570000000000004</v>
      </c>
      <c r="K4993" s="76">
        <v>4.1070000000000002</v>
      </c>
      <c r="L4993" s="76">
        <v>4.1539999999999999</v>
      </c>
      <c r="M4993" s="76">
        <v>4.1980000000000004</v>
      </c>
    </row>
    <row r="4994" spans="3:13" x14ac:dyDescent="0.15">
      <c r="C4994" s="76" t="s">
        <v>562</v>
      </c>
      <c r="D4994" s="76">
        <v>0.08</v>
      </c>
      <c r="E4994" s="76">
        <v>0.16</v>
      </c>
      <c r="F4994" s="76">
        <v>0.24</v>
      </c>
      <c r="G4994" s="76">
        <v>0.32</v>
      </c>
      <c r="H4994" s="76">
        <v>0.4</v>
      </c>
      <c r="I4994" s="76">
        <v>0.48</v>
      </c>
      <c r="J4994" s="76">
        <v>0.56000000000000005</v>
      </c>
      <c r="K4994" s="76">
        <v>0.64</v>
      </c>
      <c r="L4994" s="76">
        <v>0.72</v>
      </c>
      <c r="M4994" s="76">
        <v>0.8</v>
      </c>
    </row>
    <row r="4995" spans="3:13" x14ac:dyDescent="0.15">
      <c r="C4995" s="76" t="s">
        <v>557</v>
      </c>
      <c r="D4995" s="76">
        <v>2</v>
      </c>
      <c r="E4995" s="76">
        <v>4</v>
      </c>
      <c r="F4995" s="76">
        <v>6</v>
      </c>
      <c r="G4995" s="76">
        <v>8</v>
      </c>
      <c r="H4995" s="76">
        <v>10</v>
      </c>
      <c r="I4995" s="76">
        <v>12</v>
      </c>
      <c r="J4995" s="76">
        <v>14</v>
      </c>
      <c r="K4995" s="76">
        <v>16</v>
      </c>
      <c r="L4995" s="76">
        <v>18</v>
      </c>
      <c r="M4995" s="76">
        <v>20</v>
      </c>
    </row>
    <row r="4996" spans="3:13" x14ac:dyDescent="0.15">
      <c r="C4996" s="76" t="s">
        <v>560</v>
      </c>
      <c r="D4996" s="76">
        <v>8.2490000000000006</v>
      </c>
      <c r="E4996" s="76">
        <v>8.4060000000000006</v>
      </c>
      <c r="F4996" s="76">
        <v>8.4079999999999995</v>
      </c>
      <c r="G4996" s="76">
        <v>8.4039999999999999</v>
      </c>
      <c r="H4996" s="76">
        <v>8.3879999999999999</v>
      </c>
      <c r="I4996" s="76">
        <v>8.3580000000000005</v>
      </c>
      <c r="J4996" s="76">
        <v>8.3569999999999993</v>
      </c>
      <c r="K4996" s="76">
        <v>8.3309999999999995</v>
      </c>
      <c r="L4996" s="76">
        <v>8.2940000000000005</v>
      </c>
      <c r="M4996" s="76">
        <v>8.26</v>
      </c>
    </row>
    <row r="4997" spans="3:13" x14ac:dyDescent="0.15">
      <c r="C4997" s="76" t="s">
        <v>563</v>
      </c>
      <c r="D4997" s="76">
        <v>7.2671390000000002</v>
      </c>
      <c r="E4997" s="76">
        <v>7.1345429999999999</v>
      </c>
      <c r="F4997" s="76">
        <v>6.9555709999999999</v>
      </c>
      <c r="G4997" s="76">
        <v>6.8144489999999998</v>
      </c>
      <c r="H4997" s="76">
        <v>6.6842579999999998</v>
      </c>
      <c r="I4997" s="76">
        <v>6.560257</v>
      </c>
      <c r="J4997" s="76">
        <v>6.4710749999999999</v>
      </c>
      <c r="K4997" s="76">
        <v>6.372001</v>
      </c>
      <c r="L4997" s="76">
        <v>6.2725910000000002</v>
      </c>
      <c r="M4997" s="76">
        <v>6.1817399999999996</v>
      </c>
    </row>
    <row r="4998" spans="3:13" x14ac:dyDescent="0.15">
      <c r="C4998" s="76" t="s">
        <v>564</v>
      </c>
      <c r="D4998" s="76">
        <v>165</v>
      </c>
      <c r="E4998" s="76">
        <v>336.3</v>
      </c>
      <c r="F4998" s="76">
        <v>504.5</v>
      </c>
      <c r="G4998" s="76">
        <v>672.4</v>
      </c>
      <c r="H4998" s="76">
        <v>838.9</v>
      </c>
      <c r="I4998" s="76">
        <v>1003</v>
      </c>
      <c r="J4998" s="76">
        <v>1170</v>
      </c>
      <c r="K4998" s="76">
        <v>1333</v>
      </c>
      <c r="L4998" s="76">
        <v>1493</v>
      </c>
      <c r="M4998" s="76">
        <v>1652</v>
      </c>
    </row>
    <row r="4999" spans="3:13" x14ac:dyDescent="0.15">
      <c r="C4999" s="76" t="s">
        <v>565</v>
      </c>
      <c r="D4999" s="76">
        <v>165</v>
      </c>
      <c r="E4999" s="76">
        <v>336.3</v>
      </c>
      <c r="F4999" s="76">
        <v>504.5</v>
      </c>
      <c r="G4999" s="76">
        <v>672.4</v>
      </c>
      <c r="H4999" s="76">
        <v>838.9</v>
      </c>
      <c r="I4999" s="76">
        <v>1003</v>
      </c>
      <c r="J4999" s="76">
        <v>1170</v>
      </c>
      <c r="K4999" s="76">
        <v>1333</v>
      </c>
      <c r="L4999" s="76">
        <v>1493</v>
      </c>
      <c r="M4999" s="76">
        <v>1652</v>
      </c>
    </row>
    <row r="5000" spans="3:13" x14ac:dyDescent="0.15">
      <c r="C5000" s="76" t="s">
        <v>566</v>
      </c>
      <c r="D5000" s="76">
        <v>0.13539999999999999</v>
      </c>
      <c r="E5000" s="76">
        <v>0.13550000000000001</v>
      </c>
      <c r="F5000" s="76">
        <v>0.1353</v>
      </c>
      <c r="G5000" s="76">
        <v>0.13539999999999999</v>
      </c>
      <c r="H5000" s="76">
        <v>0.13539999999999999</v>
      </c>
      <c r="I5000" s="76">
        <v>0.13539999999999999</v>
      </c>
      <c r="J5000" s="76">
        <v>0.13550000000000001</v>
      </c>
      <c r="K5000" s="76">
        <v>0.13539999999999999</v>
      </c>
      <c r="L5000" s="76">
        <v>0.13539999999999999</v>
      </c>
      <c r="M5000" s="76">
        <v>0.13539999999999999</v>
      </c>
    </row>
    <row r="5001" spans="3:13" x14ac:dyDescent="0.15">
      <c r="C5001" s="76" t="s">
        <v>567</v>
      </c>
      <c r="D5001" s="76">
        <v>0.11799999999999999</v>
      </c>
      <c r="E5001" s="76">
        <v>0.1179</v>
      </c>
      <c r="F5001" s="76">
        <v>0.1177</v>
      </c>
      <c r="G5001" s="76">
        <v>0.1177</v>
      </c>
      <c r="H5001" s="76">
        <v>0.11749999999999999</v>
      </c>
      <c r="I5001" s="76">
        <v>0.11749999999999999</v>
      </c>
      <c r="J5001" s="76">
        <v>0.1176</v>
      </c>
      <c r="K5001" s="76">
        <v>0.11749999999999999</v>
      </c>
      <c r="L5001" s="76">
        <v>0.1174</v>
      </c>
      <c r="M5001" s="76">
        <v>0.1173</v>
      </c>
    </row>
    <row r="5002" spans="3:13" x14ac:dyDescent="0.15">
      <c r="C5002" s="76" t="s">
        <v>568</v>
      </c>
      <c r="D5002" s="76">
        <v>9.1338000000000008</v>
      </c>
      <c r="E5002" s="76">
        <v>9.3045000000000009</v>
      </c>
      <c r="F5002" s="76">
        <v>9.3173999999999992</v>
      </c>
      <c r="G5002" s="76">
        <v>9.3209999999999997</v>
      </c>
      <c r="H5002" s="76">
        <v>9.3117999999999999</v>
      </c>
      <c r="I5002" s="76">
        <v>9.2797999999999998</v>
      </c>
      <c r="J5002" s="76">
        <v>9.2766000000000002</v>
      </c>
      <c r="K5002" s="76">
        <v>9.2531999999999996</v>
      </c>
      <c r="L5002" s="76">
        <v>9.2087000000000003</v>
      </c>
      <c r="M5002" s="76">
        <v>9.1763999999999992</v>
      </c>
    </row>
    <row r="5003" spans="3:13" x14ac:dyDescent="0.15">
      <c r="C5003" s="76" t="s">
        <v>569</v>
      </c>
    </row>
    <row r="5004" spans="3:13" x14ac:dyDescent="0.15">
      <c r="C5004" s="76" t="s">
        <v>570</v>
      </c>
      <c r="D5004" s="76">
        <v>4</v>
      </c>
      <c r="E5004" s="76">
        <v>4</v>
      </c>
      <c r="F5004" s="76">
        <v>4</v>
      </c>
      <c r="G5004" s="76">
        <v>4</v>
      </c>
      <c r="H5004" s="76">
        <v>4</v>
      </c>
      <c r="I5004" s="76">
        <v>4</v>
      </c>
      <c r="J5004" s="76">
        <v>4</v>
      </c>
      <c r="K5004" s="76">
        <v>4</v>
      </c>
      <c r="L5004" s="76">
        <v>4</v>
      </c>
      <c r="M5004" s="76">
        <v>4</v>
      </c>
    </row>
    <row r="5005" spans="3:13" x14ac:dyDescent="0.15">
      <c r="C5005" s="76" t="s">
        <v>571</v>
      </c>
      <c r="D5005" s="76">
        <v>100</v>
      </c>
      <c r="E5005" s="76">
        <v>100</v>
      </c>
      <c r="F5005" s="76">
        <v>100</v>
      </c>
      <c r="G5005" s="76">
        <v>100</v>
      </c>
      <c r="H5005" s="76">
        <v>100</v>
      </c>
      <c r="I5005" s="76">
        <v>100</v>
      </c>
      <c r="J5005" s="76">
        <v>100</v>
      </c>
      <c r="K5005" s="76">
        <v>100</v>
      </c>
      <c r="L5005" s="76">
        <v>100</v>
      </c>
      <c r="M5005" s="76">
        <v>100</v>
      </c>
    </row>
    <row r="5006" spans="3:13" x14ac:dyDescent="0.15">
      <c r="C5006" s="76" t="s">
        <v>572</v>
      </c>
      <c r="D5006" s="76" t="s">
        <v>574</v>
      </c>
      <c r="E5006" s="76" t="s">
        <v>574</v>
      </c>
      <c r="F5006" s="76" t="s">
        <v>574</v>
      </c>
      <c r="G5006" s="76" t="s">
        <v>574</v>
      </c>
      <c r="H5006" s="76" t="s">
        <v>574</v>
      </c>
      <c r="I5006" s="76" t="s">
        <v>574</v>
      </c>
      <c r="J5006" s="76" t="s">
        <v>574</v>
      </c>
      <c r="K5006" s="76" t="s">
        <v>574</v>
      </c>
      <c r="L5006" s="76" t="s">
        <v>574</v>
      </c>
      <c r="M5006" s="76" t="s">
        <v>574</v>
      </c>
    </row>
    <row r="5007" spans="3:13" x14ac:dyDescent="0.15">
      <c r="C5007" s="76" t="s">
        <v>573</v>
      </c>
      <c r="D5007" s="76">
        <v>1</v>
      </c>
      <c r="E5007" s="76">
        <v>2</v>
      </c>
      <c r="F5007" s="76">
        <v>3</v>
      </c>
      <c r="G5007" s="76">
        <v>4</v>
      </c>
      <c r="H5007" s="76">
        <v>5</v>
      </c>
      <c r="I5007" s="76">
        <v>6</v>
      </c>
      <c r="J5007" s="76">
        <v>7</v>
      </c>
      <c r="K5007" s="76">
        <v>8</v>
      </c>
      <c r="L5007" s="76">
        <v>9</v>
      </c>
      <c r="M5007" s="76">
        <v>10</v>
      </c>
    </row>
    <row r="5008" spans="3:13" x14ac:dyDescent="0.15">
      <c r="C5008" s="76">
        <v>380</v>
      </c>
      <c r="D5008" s="76">
        <v>1.7000000000000001E-4</v>
      </c>
      <c r="E5008" s="76">
        <v>3.86E-4</v>
      </c>
      <c r="F5008" s="76">
        <v>1.37E-4</v>
      </c>
      <c r="G5008" s="76">
        <v>7.1599999999999995E-4</v>
      </c>
      <c r="H5008" s="76">
        <v>5.04E-4</v>
      </c>
      <c r="I5008" s="76">
        <v>1.01E-3</v>
      </c>
      <c r="J5008" s="76">
        <v>7.3499999999999998E-4</v>
      </c>
      <c r="K5008" s="76">
        <v>1.15E-3</v>
      </c>
      <c r="L5008" s="76">
        <v>8.0500000000000005E-4</v>
      </c>
      <c r="M5008" s="76">
        <v>1.8600000000000001E-3</v>
      </c>
    </row>
    <row r="5009" spans="3:13" x14ac:dyDescent="0.15">
      <c r="C5009" s="76">
        <v>382</v>
      </c>
      <c r="D5009" s="76">
        <v>1.63E-4</v>
      </c>
      <c r="E5009" s="76">
        <v>4.4900000000000002E-4</v>
      </c>
      <c r="F5009" s="76">
        <v>3.7199999999999999E-4</v>
      </c>
      <c r="G5009" s="76">
        <v>6.4599999999999998E-4</v>
      </c>
      <c r="H5009" s="76">
        <v>5.0299999999999997E-4</v>
      </c>
      <c r="I5009" s="76">
        <v>9.3700000000000001E-4</v>
      </c>
      <c r="J5009" s="76">
        <v>8.8000000000000003E-4</v>
      </c>
      <c r="K5009" s="76">
        <v>1.2700000000000001E-3</v>
      </c>
      <c r="L5009" s="76">
        <v>9.8799999999999995E-4</v>
      </c>
      <c r="M5009" s="76">
        <v>1.25E-3</v>
      </c>
    </row>
    <row r="5010" spans="3:13" x14ac:dyDescent="0.15">
      <c r="C5010" s="76">
        <v>384</v>
      </c>
      <c r="D5010" s="76">
        <v>1.27E-4</v>
      </c>
      <c r="E5010" s="76">
        <v>3.8699999999999997E-4</v>
      </c>
      <c r="F5010" s="76">
        <v>4.0299999999999998E-4</v>
      </c>
      <c r="G5010" s="76">
        <v>7.8200000000000003E-4</v>
      </c>
      <c r="H5010" s="76">
        <v>6.3900000000000003E-4</v>
      </c>
      <c r="I5010" s="76">
        <v>1.1199999999999999E-3</v>
      </c>
      <c r="J5010" s="76">
        <v>1.01E-3</v>
      </c>
      <c r="K5010" s="76">
        <v>1.14E-3</v>
      </c>
      <c r="L5010" s="76">
        <v>9.41E-4</v>
      </c>
      <c r="M5010" s="76">
        <v>1.01E-3</v>
      </c>
    </row>
    <row r="5011" spans="3:13" x14ac:dyDescent="0.15">
      <c r="C5011" s="76">
        <v>386</v>
      </c>
      <c r="D5011" s="76">
        <v>1.5200000000000001E-4</v>
      </c>
      <c r="E5011" s="76">
        <v>3.6000000000000002E-4</v>
      </c>
      <c r="F5011" s="76">
        <v>3.9599999999999998E-4</v>
      </c>
      <c r="G5011" s="76">
        <v>6.4300000000000002E-4</v>
      </c>
      <c r="H5011" s="76">
        <v>5.4799999999999998E-4</v>
      </c>
      <c r="I5011" s="76">
        <v>1.0499999999999999E-3</v>
      </c>
      <c r="J5011" s="76">
        <v>1.1299999999999999E-3</v>
      </c>
      <c r="K5011" s="76">
        <v>1.33E-3</v>
      </c>
      <c r="L5011" s="76">
        <v>7.2800000000000002E-4</v>
      </c>
      <c r="M5011" s="76">
        <v>9.9599999999999992E-4</v>
      </c>
    </row>
    <row r="5012" spans="3:13" x14ac:dyDescent="0.15">
      <c r="C5012" s="76">
        <v>388</v>
      </c>
      <c r="D5012" s="76">
        <v>1.6000000000000001E-4</v>
      </c>
      <c r="E5012" s="76">
        <v>3.3599999999999998E-4</v>
      </c>
      <c r="F5012" s="76">
        <v>3.5799999999999997E-4</v>
      </c>
      <c r="G5012" s="76">
        <v>6.6600000000000003E-4</v>
      </c>
      <c r="H5012" s="76">
        <v>5.7499999999999999E-4</v>
      </c>
      <c r="I5012" s="76">
        <v>1.0399999999999999E-3</v>
      </c>
      <c r="J5012" s="76">
        <v>1.01E-3</v>
      </c>
      <c r="K5012" s="76">
        <v>1.3600000000000001E-3</v>
      </c>
      <c r="L5012" s="76">
        <v>7.1400000000000001E-4</v>
      </c>
      <c r="M5012" s="76">
        <v>1.1800000000000001E-3</v>
      </c>
    </row>
    <row r="5013" spans="3:13" x14ac:dyDescent="0.15">
      <c r="C5013" s="76">
        <v>390</v>
      </c>
      <c r="D5013" s="76">
        <v>1.3200000000000001E-4</v>
      </c>
      <c r="E5013" s="76">
        <v>3.1399999999999999E-4</v>
      </c>
      <c r="F5013" s="76">
        <v>3.8499999999999998E-4</v>
      </c>
      <c r="G5013" s="76">
        <v>6.8099999999999996E-4</v>
      </c>
      <c r="H5013" s="76">
        <v>4.8099999999999998E-4</v>
      </c>
      <c r="I5013" s="76">
        <v>9.9799999999999997E-4</v>
      </c>
      <c r="J5013" s="76">
        <v>1.2099999999999999E-3</v>
      </c>
      <c r="K5013" s="76">
        <v>1.5200000000000001E-3</v>
      </c>
      <c r="L5013" s="76">
        <v>7.8399999999999997E-4</v>
      </c>
      <c r="M5013" s="76">
        <v>9.0300000000000005E-4</v>
      </c>
    </row>
    <row r="5014" spans="3:13" x14ac:dyDescent="0.15">
      <c r="C5014" s="76">
        <v>392</v>
      </c>
      <c r="D5014" s="76">
        <v>1.25E-4</v>
      </c>
      <c r="E5014" s="76">
        <v>2.3599999999999999E-4</v>
      </c>
      <c r="F5014" s="76">
        <v>3.7800000000000003E-4</v>
      </c>
      <c r="G5014" s="76">
        <v>6.3299999999999999E-4</v>
      </c>
      <c r="H5014" s="76">
        <v>5.1400000000000003E-4</v>
      </c>
      <c r="I5014" s="76">
        <v>9.4899999999999997E-4</v>
      </c>
      <c r="J5014" s="76">
        <v>9.8400000000000007E-4</v>
      </c>
      <c r="K5014" s="76">
        <v>1.39E-3</v>
      </c>
      <c r="L5014" s="76">
        <v>9.5100000000000002E-4</v>
      </c>
      <c r="M5014" s="76">
        <v>1.07E-3</v>
      </c>
    </row>
    <row r="5015" spans="3:13" x14ac:dyDescent="0.15">
      <c r="C5015" s="76">
        <v>394</v>
      </c>
      <c r="D5015" s="76">
        <v>1.17E-4</v>
      </c>
      <c r="E5015" s="76">
        <v>2.7799999999999998E-4</v>
      </c>
      <c r="F5015" s="76">
        <v>2.8499999999999999E-4</v>
      </c>
      <c r="G5015" s="76">
        <v>6.5300000000000004E-4</v>
      </c>
      <c r="H5015" s="76">
        <v>5.7799999999999995E-4</v>
      </c>
      <c r="I5015" s="76">
        <v>9.7499999999999996E-4</v>
      </c>
      <c r="J5015" s="76">
        <v>9.5200000000000005E-4</v>
      </c>
      <c r="K5015" s="76">
        <v>1.1900000000000001E-3</v>
      </c>
      <c r="L5015" s="76">
        <v>1.0300000000000001E-3</v>
      </c>
      <c r="M5015" s="76">
        <v>8.7699999999999996E-4</v>
      </c>
    </row>
    <row r="5016" spans="3:13" x14ac:dyDescent="0.15">
      <c r="C5016" s="76">
        <v>396</v>
      </c>
      <c r="D5016" s="76">
        <v>1.2799999999999999E-4</v>
      </c>
      <c r="E5016" s="76">
        <v>2.6600000000000001E-4</v>
      </c>
      <c r="F5016" s="76">
        <v>3.7599999999999998E-4</v>
      </c>
      <c r="G5016" s="76">
        <v>4.5399999999999998E-4</v>
      </c>
      <c r="H5016" s="76">
        <v>7.3899999999999997E-4</v>
      </c>
      <c r="I5016" s="76">
        <v>9.9400000000000009E-4</v>
      </c>
      <c r="J5016" s="76">
        <v>9.8799999999999995E-4</v>
      </c>
      <c r="K5016" s="76">
        <v>1.2199999999999999E-3</v>
      </c>
      <c r="L5016" s="76">
        <v>9.2000000000000003E-4</v>
      </c>
      <c r="M5016" s="76">
        <v>1.08E-3</v>
      </c>
    </row>
    <row r="5017" spans="3:13" x14ac:dyDescent="0.15">
      <c r="C5017" s="76">
        <v>398</v>
      </c>
      <c r="D5017" s="76">
        <v>1.26E-4</v>
      </c>
      <c r="E5017" s="76">
        <v>2.5599999999999999E-4</v>
      </c>
      <c r="F5017" s="76">
        <v>3.1500000000000001E-4</v>
      </c>
      <c r="G5017" s="76">
        <v>5.2999999999999998E-4</v>
      </c>
      <c r="H5017" s="76">
        <v>7.7200000000000001E-4</v>
      </c>
      <c r="I5017" s="76">
        <v>9.4700000000000003E-4</v>
      </c>
      <c r="J5017" s="76">
        <v>8.9400000000000005E-4</v>
      </c>
      <c r="K5017" s="76">
        <v>1.2600000000000001E-3</v>
      </c>
      <c r="L5017" s="76">
        <v>8.8999999999999995E-4</v>
      </c>
      <c r="M5017" s="76">
        <v>1.0399999999999999E-3</v>
      </c>
    </row>
    <row r="5018" spans="3:13" x14ac:dyDescent="0.15">
      <c r="C5018" s="76">
        <v>400</v>
      </c>
      <c r="D5018" s="76">
        <v>1.4100000000000001E-4</v>
      </c>
      <c r="E5018" s="76">
        <v>2.6699999999999998E-4</v>
      </c>
      <c r="F5018" s="76">
        <v>4.2099999999999999E-4</v>
      </c>
      <c r="G5018" s="76">
        <v>4.5300000000000001E-4</v>
      </c>
      <c r="H5018" s="76">
        <v>7.45E-4</v>
      </c>
      <c r="I5018" s="76">
        <v>9.3000000000000005E-4</v>
      </c>
      <c r="J5018" s="76">
        <v>9.859999999999999E-4</v>
      </c>
      <c r="K5018" s="76">
        <v>1.25E-3</v>
      </c>
      <c r="L5018" s="76">
        <v>1.1100000000000001E-3</v>
      </c>
      <c r="M5018" s="76">
        <v>1.1900000000000001E-3</v>
      </c>
    </row>
    <row r="5019" spans="3:13" x14ac:dyDescent="0.15">
      <c r="C5019" s="76">
        <v>402</v>
      </c>
      <c r="D5019" s="76">
        <v>1.45E-4</v>
      </c>
      <c r="E5019" s="76">
        <v>2.9E-4</v>
      </c>
      <c r="F5019" s="76">
        <v>4.2299999999999998E-4</v>
      </c>
      <c r="G5019" s="76">
        <v>4.8299999999999998E-4</v>
      </c>
      <c r="H5019" s="76">
        <v>7.0699999999999995E-4</v>
      </c>
      <c r="I5019" s="76">
        <v>9.1100000000000003E-4</v>
      </c>
      <c r="J5019" s="76">
        <v>1.1900000000000001E-3</v>
      </c>
      <c r="K5019" s="76">
        <v>1.2099999999999999E-3</v>
      </c>
      <c r="L5019" s="76">
        <v>1.3600000000000001E-3</v>
      </c>
      <c r="M5019" s="76">
        <v>1.31E-3</v>
      </c>
    </row>
    <row r="5020" spans="3:13" x14ac:dyDescent="0.15">
      <c r="C5020" s="76">
        <v>404</v>
      </c>
      <c r="D5020" s="76">
        <v>1.27E-4</v>
      </c>
      <c r="E5020" s="76">
        <v>2.6200000000000003E-4</v>
      </c>
      <c r="F5020" s="76">
        <v>4.08E-4</v>
      </c>
      <c r="G5020" s="76">
        <v>4.9899999999999999E-4</v>
      </c>
      <c r="H5020" s="76">
        <v>8.6700000000000004E-4</v>
      </c>
      <c r="I5020" s="76">
        <v>9.5699999999999995E-4</v>
      </c>
      <c r="J5020" s="76">
        <v>1.09E-3</v>
      </c>
      <c r="K5020" s="76">
        <v>1.34E-3</v>
      </c>
      <c r="L5020" s="76">
        <v>1.4300000000000001E-3</v>
      </c>
      <c r="M5020" s="76">
        <v>1.2999999999999999E-3</v>
      </c>
    </row>
    <row r="5021" spans="3:13" x14ac:dyDescent="0.15">
      <c r="C5021" s="76">
        <v>406</v>
      </c>
      <c r="D5021" s="76">
        <v>1.4100000000000001E-4</v>
      </c>
      <c r="E5021" s="76">
        <v>2.7799999999999998E-4</v>
      </c>
      <c r="F5021" s="76">
        <v>4.1399999999999998E-4</v>
      </c>
      <c r="G5021" s="76">
        <v>4.9600000000000002E-4</v>
      </c>
      <c r="H5021" s="76">
        <v>9.3300000000000002E-4</v>
      </c>
      <c r="I5021" s="76">
        <v>1.0200000000000001E-3</v>
      </c>
      <c r="J5021" s="76">
        <v>1.06E-3</v>
      </c>
      <c r="K5021" s="76">
        <v>1.4599999999999999E-3</v>
      </c>
      <c r="L5021" s="76">
        <v>1.2600000000000001E-3</v>
      </c>
      <c r="M5021" s="76">
        <v>1.3600000000000001E-3</v>
      </c>
    </row>
    <row r="5022" spans="3:13" x14ac:dyDescent="0.15">
      <c r="C5022" s="76">
        <v>408</v>
      </c>
      <c r="D5022" s="76">
        <v>1.5300000000000001E-4</v>
      </c>
      <c r="E5022" s="76">
        <v>3.1100000000000002E-4</v>
      </c>
      <c r="F5022" s="76">
        <v>4.4499999999999997E-4</v>
      </c>
      <c r="G5022" s="76">
        <v>5.8200000000000005E-4</v>
      </c>
      <c r="H5022" s="76">
        <v>9.6299999999999999E-4</v>
      </c>
      <c r="I5022" s="76">
        <v>9.7400000000000004E-4</v>
      </c>
      <c r="J5022" s="76">
        <v>1.23E-3</v>
      </c>
      <c r="K5022" s="76">
        <v>1.5100000000000001E-3</v>
      </c>
      <c r="L5022" s="76">
        <v>1.2700000000000001E-3</v>
      </c>
      <c r="M5022" s="76">
        <v>1.6999999999999999E-3</v>
      </c>
    </row>
    <row r="5023" spans="3:13" x14ac:dyDescent="0.15">
      <c r="C5023" s="76">
        <v>410</v>
      </c>
      <c r="D5023" s="76">
        <v>1.64E-4</v>
      </c>
      <c r="E5023" s="76">
        <v>3.4299999999999999E-4</v>
      </c>
      <c r="F5023" s="76">
        <v>5.31E-4</v>
      </c>
      <c r="G5023" s="76">
        <v>5.8100000000000003E-4</v>
      </c>
      <c r="H5023" s="76">
        <v>1.1199999999999999E-3</v>
      </c>
      <c r="I5023" s="76">
        <v>1.08E-3</v>
      </c>
      <c r="J5023" s="76">
        <v>1.32E-3</v>
      </c>
      <c r="K5023" s="76">
        <v>1.5399999999999999E-3</v>
      </c>
      <c r="L5023" s="76">
        <v>1.41E-3</v>
      </c>
      <c r="M5023" s="76">
        <v>1.82E-3</v>
      </c>
    </row>
    <row r="5024" spans="3:13" x14ac:dyDescent="0.15">
      <c r="C5024" s="76">
        <v>412</v>
      </c>
      <c r="D5024" s="76">
        <v>2.0000000000000001E-4</v>
      </c>
      <c r="E5024" s="76">
        <v>3.6299999999999999E-4</v>
      </c>
      <c r="F5024" s="76">
        <v>6.2E-4</v>
      </c>
      <c r="G5024" s="76">
        <v>6.9200000000000002E-4</v>
      </c>
      <c r="H5024" s="76">
        <v>1.2700000000000001E-3</v>
      </c>
      <c r="I5024" s="76">
        <v>1.2099999999999999E-3</v>
      </c>
      <c r="J5024" s="76">
        <v>1.49E-3</v>
      </c>
      <c r="K5024" s="76">
        <v>1.7799999999999999E-3</v>
      </c>
      <c r="L5024" s="76">
        <v>1.72E-3</v>
      </c>
      <c r="M5024" s="76">
        <v>2E-3</v>
      </c>
    </row>
    <row r="5025" spans="3:13" x14ac:dyDescent="0.15">
      <c r="C5025" s="76">
        <v>414</v>
      </c>
      <c r="D5025" s="76">
        <v>2.32E-4</v>
      </c>
      <c r="E5025" s="76">
        <v>4.3800000000000002E-4</v>
      </c>
      <c r="F5025" s="76">
        <v>7.3499999999999998E-4</v>
      </c>
      <c r="G5025" s="76">
        <v>7.7399999999999995E-4</v>
      </c>
      <c r="H5025" s="76">
        <v>1.4400000000000001E-3</v>
      </c>
      <c r="I5025" s="76">
        <v>1.39E-3</v>
      </c>
      <c r="J5025" s="76">
        <v>1.6900000000000001E-3</v>
      </c>
      <c r="K5025" s="76">
        <v>1.92E-3</v>
      </c>
      <c r="L5025" s="76">
        <v>2.0300000000000001E-3</v>
      </c>
      <c r="M5025" s="76">
        <v>2.3E-3</v>
      </c>
    </row>
    <row r="5026" spans="3:13" x14ac:dyDescent="0.15">
      <c r="C5026" s="76">
        <v>416</v>
      </c>
      <c r="D5026" s="76">
        <v>2.5999999999999998E-4</v>
      </c>
      <c r="E5026" s="76">
        <v>5.1400000000000003E-4</v>
      </c>
      <c r="F5026" s="76">
        <v>8.6600000000000002E-4</v>
      </c>
      <c r="G5026" s="76">
        <v>9.1299999999999997E-4</v>
      </c>
      <c r="H5026" s="76">
        <v>1.5499999999999999E-3</v>
      </c>
      <c r="I5026" s="76">
        <v>1.6999999999999999E-3</v>
      </c>
      <c r="J5026" s="76">
        <v>1.9300000000000001E-3</v>
      </c>
      <c r="K5026" s="76">
        <v>2.2399999999999998E-3</v>
      </c>
      <c r="L5026" s="76">
        <v>2.4399999999999999E-3</v>
      </c>
      <c r="M5026" s="76">
        <v>2.7399999999999998E-3</v>
      </c>
    </row>
    <row r="5027" spans="3:13" x14ac:dyDescent="0.15">
      <c r="C5027" s="76">
        <v>418</v>
      </c>
      <c r="D5027" s="76">
        <v>3.0800000000000001E-4</v>
      </c>
      <c r="E5027" s="76">
        <v>6.0800000000000003E-4</v>
      </c>
      <c r="F5027" s="76">
        <v>1E-3</v>
      </c>
      <c r="G5027" s="76">
        <v>1.15E-3</v>
      </c>
      <c r="H5027" s="76">
        <v>1.75E-3</v>
      </c>
      <c r="I5027" s="76">
        <v>1.98E-3</v>
      </c>
      <c r="J5027" s="76">
        <v>2.2699999999999999E-3</v>
      </c>
      <c r="K5027" s="76">
        <v>2.5999999999999999E-3</v>
      </c>
      <c r="L5027" s="76">
        <v>2.9299999999999999E-3</v>
      </c>
      <c r="M5027" s="76">
        <v>3.2699999999999999E-3</v>
      </c>
    </row>
    <row r="5028" spans="3:13" x14ac:dyDescent="0.15">
      <c r="C5028" s="76">
        <v>420</v>
      </c>
      <c r="D5028" s="76">
        <v>3.6299999999999999E-4</v>
      </c>
      <c r="E5028" s="76">
        <v>7.3999999999999999E-4</v>
      </c>
      <c r="F5028" s="76">
        <v>1.14E-3</v>
      </c>
      <c r="G5028" s="76">
        <v>1.4400000000000001E-3</v>
      </c>
      <c r="H5028" s="76">
        <v>2.0699999999999998E-3</v>
      </c>
      <c r="I5028" s="76">
        <v>2.3500000000000001E-3</v>
      </c>
      <c r="J5028" s="76">
        <v>2.7299999999999998E-3</v>
      </c>
      <c r="K5028" s="76">
        <v>3.15E-3</v>
      </c>
      <c r="L5028" s="76">
        <v>3.47E-3</v>
      </c>
      <c r="M5028" s="76">
        <v>4.1099999999999999E-3</v>
      </c>
    </row>
    <row r="5029" spans="3:13" x14ac:dyDescent="0.15">
      <c r="C5029" s="76">
        <v>422</v>
      </c>
      <c r="D5029" s="76">
        <v>4.2900000000000002E-4</v>
      </c>
      <c r="E5029" s="76">
        <v>9.0499999999999999E-4</v>
      </c>
      <c r="F5029" s="76">
        <v>1.41E-3</v>
      </c>
      <c r="G5029" s="76">
        <v>1.7600000000000001E-3</v>
      </c>
      <c r="H5029" s="76">
        <v>2.47E-3</v>
      </c>
      <c r="I5029" s="76">
        <v>2.7899999999999999E-3</v>
      </c>
      <c r="J5029" s="76">
        <v>3.2599999999999999E-3</v>
      </c>
      <c r="K5029" s="76">
        <v>3.7299999999999998E-3</v>
      </c>
      <c r="L5029" s="76">
        <v>4.1799999999999997E-3</v>
      </c>
      <c r="M5029" s="76">
        <v>4.8500000000000001E-3</v>
      </c>
    </row>
    <row r="5030" spans="3:13" x14ac:dyDescent="0.15">
      <c r="C5030" s="76">
        <v>424</v>
      </c>
      <c r="D5030" s="76">
        <v>5.62E-4</v>
      </c>
      <c r="E5030" s="76">
        <v>1.1199999999999999E-3</v>
      </c>
      <c r="F5030" s="76">
        <v>1.7600000000000001E-3</v>
      </c>
      <c r="G5030" s="76">
        <v>2.2200000000000002E-3</v>
      </c>
      <c r="H5030" s="76">
        <v>3.0699999999999998E-3</v>
      </c>
      <c r="I5030" s="76">
        <v>3.5200000000000001E-3</v>
      </c>
      <c r="J5030" s="76">
        <v>4.0699999999999998E-3</v>
      </c>
      <c r="K5030" s="76">
        <v>4.7400000000000003E-3</v>
      </c>
      <c r="L5030" s="76">
        <v>5.3499999999999997E-3</v>
      </c>
      <c r="M5030" s="76">
        <v>5.7800000000000004E-3</v>
      </c>
    </row>
    <row r="5031" spans="3:13" x14ac:dyDescent="0.15">
      <c r="C5031" s="76">
        <v>426</v>
      </c>
      <c r="D5031" s="76">
        <v>7.2800000000000002E-4</v>
      </c>
      <c r="E5031" s="76">
        <v>1.41E-3</v>
      </c>
      <c r="F5031" s="76">
        <v>2.2399999999999998E-3</v>
      </c>
      <c r="G5031" s="76">
        <v>2.8800000000000002E-3</v>
      </c>
      <c r="H5031" s="76">
        <v>3.8E-3</v>
      </c>
      <c r="I5031" s="76">
        <v>4.4799999999999996E-3</v>
      </c>
      <c r="J5031" s="76">
        <v>5.28E-3</v>
      </c>
      <c r="K5031" s="76">
        <v>5.96E-3</v>
      </c>
      <c r="L5031" s="76">
        <v>6.77E-3</v>
      </c>
      <c r="M5031" s="76">
        <v>7.5599999999999999E-3</v>
      </c>
    </row>
    <row r="5032" spans="3:13" x14ac:dyDescent="0.15">
      <c r="C5032" s="76">
        <v>428</v>
      </c>
      <c r="D5032" s="76">
        <v>9.5E-4</v>
      </c>
      <c r="E5032" s="76">
        <v>1.89E-3</v>
      </c>
      <c r="F5032" s="76">
        <v>2.9299999999999999E-3</v>
      </c>
      <c r="G5032" s="76">
        <v>3.7599999999999999E-3</v>
      </c>
      <c r="H5032" s="76">
        <v>5.0000000000000001E-3</v>
      </c>
      <c r="I5032" s="76">
        <v>5.8799999999999998E-3</v>
      </c>
      <c r="J5032" s="76">
        <v>6.8700000000000002E-3</v>
      </c>
      <c r="K5032" s="76">
        <v>7.8200000000000006E-3</v>
      </c>
      <c r="L5032" s="76">
        <v>8.8599999999999998E-3</v>
      </c>
      <c r="M5032" s="76">
        <v>9.9100000000000004E-3</v>
      </c>
    </row>
    <row r="5033" spans="3:13" x14ac:dyDescent="0.15">
      <c r="C5033" s="76">
        <v>430</v>
      </c>
      <c r="D5033" s="76">
        <v>1.2600000000000001E-3</v>
      </c>
      <c r="E5033" s="76">
        <v>2.5400000000000002E-3</v>
      </c>
      <c r="F5033" s="76">
        <v>3.9199999999999999E-3</v>
      </c>
      <c r="G5033" s="76">
        <v>5.1200000000000004E-3</v>
      </c>
      <c r="H5033" s="76">
        <v>6.6600000000000001E-3</v>
      </c>
      <c r="I5033" s="76">
        <v>7.8700000000000003E-3</v>
      </c>
      <c r="J5033" s="76">
        <v>9.2099999999999994E-3</v>
      </c>
      <c r="K5033" s="76">
        <v>1.0500000000000001E-2</v>
      </c>
      <c r="L5033" s="76">
        <v>1.1900000000000001E-2</v>
      </c>
      <c r="M5033" s="76">
        <v>1.32E-2</v>
      </c>
    </row>
    <row r="5034" spans="3:13" x14ac:dyDescent="0.15">
      <c r="C5034" s="76">
        <v>432</v>
      </c>
      <c r="D5034" s="76">
        <v>1.73E-3</v>
      </c>
      <c r="E5034" s="76">
        <v>3.5100000000000001E-3</v>
      </c>
      <c r="F5034" s="76">
        <v>5.3400000000000001E-3</v>
      </c>
      <c r="G5034" s="76">
        <v>7.0400000000000003E-3</v>
      </c>
      <c r="H5034" s="76">
        <v>9.0500000000000008E-3</v>
      </c>
      <c r="I5034" s="76">
        <v>1.0800000000000001E-2</v>
      </c>
      <c r="J5034" s="76">
        <v>1.2500000000000001E-2</v>
      </c>
      <c r="K5034" s="76">
        <v>1.43E-2</v>
      </c>
      <c r="L5034" s="76">
        <v>1.6199999999999999E-2</v>
      </c>
      <c r="M5034" s="76">
        <v>1.7999999999999999E-2</v>
      </c>
    </row>
    <row r="5035" spans="3:13" x14ac:dyDescent="0.15">
      <c r="C5035" s="76">
        <v>434</v>
      </c>
      <c r="D5035" s="76">
        <v>2.3999999999999998E-3</v>
      </c>
      <c r="E5035" s="76">
        <v>4.8799999999999998E-3</v>
      </c>
      <c r="F5035" s="76">
        <v>7.43E-3</v>
      </c>
      <c r="G5035" s="76">
        <v>9.8200000000000006E-3</v>
      </c>
      <c r="H5035" s="76">
        <v>1.24E-2</v>
      </c>
      <c r="I5035" s="76">
        <v>1.4999999999999999E-2</v>
      </c>
      <c r="J5035" s="76">
        <v>1.7500000000000002E-2</v>
      </c>
      <c r="K5035" s="76">
        <v>1.9900000000000001E-2</v>
      </c>
      <c r="L5035" s="76">
        <v>2.2499999999999999E-2</v>
      </c>
      <c r="M5035" s="76">
        <v>2.5000000000000001E-2</v>
      </c>
    </row>
    <row r="5036" spans="3:13" x14ac:dyDescent="0.15">
      <c r="C5036" s="76">
        <v>436</v>
      </c>
      <c r="D5036" s="76">
        <v>3.4399999999999999E-3</v>
      </c>
      <c r="E5036" s="76">
        <v>7.0000000000000001E-3</v>
      </c>
      <c r="F5036" s="76">
        <v>1.06E-2</v>
      </c>
      <c r="G5036" s="76">
        <v>1.41E-2</v>
      </c>
      <c r="H5036" s="76">
        <v>1.77E-2</v>
      </c>
      <c r="I5036" s="76">
        <v>2.1299999999999999E-2</v>
      </c>
      <c r="J5036" s="76">
        <v>2.4799999999999999E-2</v>
      </c>
      <c r="K5036" s="76">
        <v>2.8400000000000002E-2</v>
      </c>
      <c r="L5036" s="76">
        <v>3.2000000000000001E-2</v>
      </c>
      <c r="M5036" s="76">
        <v>3.5499999999999997E-2</v>
      </c>
    </row>
    <row r="5037" spans="3:13" x14ac:dyDescent="0.15">
      <c r="C5037" s="76">
        <v>438</v>
      </c>
      <c r="D5037" s="76">
        <v>4.8999999999999998E-3</v>
      </c>
      <c r="E5037" s="76">
        <v>9.9799999999999993E-3</v>
      </c>
      <c r="F5037" s="76">
        <v>1.5100000000000001E-2</v>
      </c>
      <c r="G5037" s="76">
        <v>2.01E-2</v>
      </c>
      <c r="H5037" s="76">
        <v>2.53E-2</v>
      </c>
      <c r="I5037" s="76">
        <v>3.0300000000000001E-2</v>
      </c>
      <c r="J5037" s="76">
        <v>3.5299999999999998E-2</v>
      </c>
      <c r="K5037" s="76">
        <v>4.0300000000000002E-2</v>
      </c>
      <c r="L5037" s="76">
        <v>4.5499999999999999E-2</v>
      </c>
      <c r="M5037" s="76">
        <v>5.04E-2</v>
      </c>
    </row>
    <row r="5038" spans="3:13" x14ac:dyDescent="0.15">
      <c r="C5038" s="76">
        <v>440</v>
      </c>
      <c r="D5038" s="76">
        <v>6.7499999999999999E-3</v>
      </c>
      <c r="E5038" s="76">
        <v>1.38E-2</v>
      </c>
      <c r="F5038" s="76">
        <v>2.0799999999999999E-2</v>
      </c>
      <c r="G5038" s="76">
        <v>2.7699999999999999E-2</v>
      </c>
      <c r="H5038" s="76">
        <v>3.4799999999999998E-2</v>
      </c>
      <c r="I5038" s="76">
        <v>4.1700000000000001E-2</v>
      </c>
      <c r="J5038" s="76">
        <v>4.8599999999999997E-2</v>
      </c>
      <c r="K5038" s="76">
        <v>5.5300000000000002E-2</v>
      </c>
      <c r="L5038" s="76">
        <v>6.2399999999999997E-2</v>
      </c>
      <c r="M5038" s="76">
        <v>6.93E-2</v>
      </c>
    </row>
    <row r="5039" spans="3:13" x14ac:dyDescent="0.15">
      <c r="C5039" s="76">
        <v>442</v>
      </c>
      <c r="D5039" s="76">
        <v>9.0299999999999998E-3</v>
      </c>
      <c r="E5039" s="76">
        <v>1.84E-2</v>
      </c>
      <c r="F5039" s="76">
        <v>2.7799999999999998E-2</v>
      </c>
      <c r="G5039" s="76">
        <v>3.6999999999999998E-2</v>
      </c>
      <c r="H5039" s="76">
        <v>4.6399999999999997E-2</v>
      </c>
      <c r="I5039" s="76">
        <v>5.5599999999999997E-2</v>
      </c>
      <c r="J5039" s="76">
        <v>6.4799999999999996E-2</v>
      </c>
      <c r="K5039" s="76">
        <v>7.3899999999999993E-2</v>
      </c>
      <c r="L5039" s="76">
        <v>8.3199999999999996E-2</v>
      </c>
      <c r="M5039" s="76">
        <v>9.2299999999999993E-2</v>
      </c>
    </row>
    <row r="5040" spans="3:13" x14ac:dyDescent="0.15">
      <c r="C5040" s="76">
        <v>444</v>
      </c>
      <c r="D5040" s="76">
        <v>1.17E-2</v>
      </c>
      <c r="E5040" s="76">
        <v>2.4E-2</v>
      </c>
      <c r="F5040" s="76">
        <v>3.61E-2</v>
      </c>
      <c r="G5040" s="76">
        <v>4.8099999999999997E-2</v>
      </c>
      <c r="H5040" s="76">
        <v>6.0199999999999997E-2</v>
      </c>
      <c r="I5040" s="76">
        <v>7.2099999999999997E-2</v>
      </c>
      <c r="J5040" s="76">
        <v>8.4199999999999997E-2</v>
      </c>
      <c r="K5040" s="76">
        <v>9.5899999999999999E-2</v>
      </c>
      <c r="L5040" s="76">
        <v>0.108</v>
      </c>
      <c r="M5040" s="76">
        <v>0.12</v>
      </c>
    </row>
    <row r="5041" spans="3:13" x14ac:dyDescent="0.15">
      <c r="C5041" s="76">
        <v>446</v>
      </c>
      <c r="D5041" s="76">
        <v>1.4800000000000001E-2</v>
      </c>
      <c r="E5041" s="76">
        <v>3.0200000000000001E-2</v>
      </c>
      <c r="F5041" s="76">
        <v>4.5400000000000003E-2</v>
      </c>
      <c r="G5041" s="76">
        <v>6.0600000000000001E-2</v>
      </c>
      <c r="H5041" s="76">
        <v>7.5700000000000003E-2</v>
      </c>
      <c r="I5041" s="76">
        <v>9.0700000000000003E-2</v>
      </c>
      <c r="J5041" s="76">
        <v>0.106</v>
      </c>
      <c r="K5041" s="76">
        <v>0.121</v>
      </c>
      <c r="L5041" s="76">
        <v>0.13500000000000001</v>
      </c>
      <c r="M5041" s="76">
        <v>0.15</v>
      </c>
    </row>
    <row r="5042" spans="3:13" x14ac:dyDescent="0.15">
      <c r="C5042" s="76">
        <v>448</v>
      </c>
      <c r="D5042" s="76">
        <v>1.7999999999999999E-2</v>
      </c>
      <c r="E5042" s="76">
        <v>3.6799999999999999E-2</v>
      </c>
      <c r="F5042" s="76">
        <v>5.5300000000000002E-2</v>
      </c>
      <c r="G5042" s="76">
        <v>7.3700000000000002E-2</v>
      </c>
      <c r="H5042" s="76">
        <v>9.2100000000000001E-2</v>
      </c>
      <c r="I5042" s="76">
        <v>0.11</v>
      </c>
      <c r="J5042" s="76">
        <v>0.129</v>
      </c>
      <c r="K5042" s="76">
        <v>0.14599999999999999</v>
      </c>
      <c r="L5042" s="76">
        <v>0.16500000000000001</v>
      </c>
      <c r="M5042" s="76">
        <v>0.182</v>
      </c>
    </row>
    <row r="5043" spans="3:13" x14ac:dyDescent="0.15">
      <c r="C5043" s="76">
        <v>450</v>
      </c>
      <c r="D5043" s="76">
        <v>2.1399999999999999E-2</v>
      </c>
      <c r="E5043" s="76">
        <v>4.3700000000000003E-2</v>
      </c>
      <c r="F5043" s="76">
        <v>6.5699999999999995E-2</v>
      </c>
      <c r="G5043" s="76">
        <v>8.7599999999999997E-2</v>
      </c>
      <c r="H5043" s="76">
        <v>0.109</v>
      </c>
      <c r="I5043" s="76">
        <v>0.13100000000000001</v>
      </c>
      <c r="J5043" s="76">
        <v>0.153</v>
      </c>
      <c r="K5043" s="76">
        <v>0.17399999999999999</v>
      </c>
      <c r="L5043" s="76">
        <v>0.19500000000000001</v>
      </c>
      <c r="M5043" s="76">
        <v>0.216</v>
      </c>
    </row>
    <row r="5044" spans="3:13" x14ac:dyDescent="0.15">
      <c r="C5044" s="76">
        <v>452</v>
      </c>
      <c r="D5044" s="76">
        <v>2.4299999999999999E-2</v>
      </c>
      <c r="E5044" s="76">
        <v>4.9700000000000001E-2</v>
      </c>
      <c r="F5044" s="76">
        <v>7.4700000000000003E-2</v>
      </c>
      <c r="G5044" s="76">
        <v>9.9500000000000005E-2</v>
      </c>
      <c r="H5044" s="76">
        <v>0.124</v>
      </c>
      <c r="I5044" s="76">
        <v>0.14899999999999999</v>
      </c>
      <c r="J5044" s="76">
        <v>0.17299999999999999</v>
      </c>
      <c r="K5044" s="76">
        <v>0.19800000000000001</v>
      </c>
      <c r="L5044" s="76">
        <v>0.222</v>
      </c>
      <c r="M5044" s="76">
        <v>0.245</v>
      </c>
    </row>
    <row r="5045" spans="3:13" x14ac:dyDescent="0.15">
      <c r="C5045" s="76">
        <v>454</v>
      </c>
      <c r="D5045" s="76">
        <v>2.6599999999999999E-2</v>
      </c>
      <c r="E5045" s="76">
        <v>5.4300000000000001E-2</v>
      </c>
      <c r="F5045" s="76">
        <v>8.1600000000000006E-2</v>
      </c>
      <c r="G5045" s="76">
        <v>0.109</v>
      </c>
      <c r="H5045" s="76">
        <v>0.13600000000000001</v>
      </c>
      <c r="I5045" s="76">
        <v>0.16200000000000001</v>
      </c>
      <c r="J5045" s="76">
        <v>0.189</v>
      </c>
      <c r="K5045" s="76">
        <v>0.216</v>
      </c>
      <c r="L5045" s="76">
        <v>0.24199999999999999</v>
      </c>
      <c r="M5045" s="76">
        <v>0.26800000000000002</v>
      </c>
    </row>
    <row r="5046" spans="3:13" x14ac:dyDescent="0.15">
      <c r="C5046" s="76">
        <v>456</v>
      </c>
      <c r="D5046" s="76">
        <v>2.8199999999999999E-2</v>
      </c>
      <c r="E5046" s="76">
        <v>5.7500000000000002E-2</v>
      </c>
      <c r="F5046" s="76">
        <v>8.6400000000000005E-2</v>
      </c>
      <c r="G5046" s="76">
        <v>0.115</v>
      </c>
      <c r="H5046" s="76">
        <v>0.14399999999999999</v>
      </c>
      <c r="I5046" s="76">
        <v>0.17199999999999999</v>
      </c>
      <c r="J5046" s="76">
        <v>0.2</v>
      </c>
      <c r="K5046" s="76">
        <v>0.22800000000000001</v>
      </c>
      <c r="L5046" s="76">
        <v>0.25600000000000001</v>
      </c>
      <c r="M5046" s="76">
        <v>0.28299999999999997</v>
      </c>
    </row>
    <row r="5047" spans="3:13" x14ac:dyDescent="0.15">
      <c r="C5047" s="76">
        <v>458</v>
      </c>
      <c r="D5047" s="76">
        <v>2.8899999999999999E-2</v>
      </c>
      <c r="E5047" s="76">
        <v>5.91E-2</v>
      </c>
      <c r="F5047" s="76">
        <v>8.8800000000000004E-2</v>
      </c>
      <c r="G5047" s="76">
        <v>0.11799999999999999</v>
      </c>
      <c r="H5047" s="76">
        <v>0.14699999999999999</v>
      </c>
      <c r="I5047" s="76">
        <v>0.17599999999999999</v>
      </c>
      <c r="J5047" s="76">
        <v>0.20499999999999999</v>
      </c>
      <c r="K5047" s="76">
        <v>0.23400000000000001</v>
      </c>
      <c r="L5047" s="76">
        <v>0.26300000000000001</v>
      </c>
      <c r="M5047" s="76">
        <v>0.29099999999999998</v>
      </c>
    </row>
    <row r="5048" spans="3:13" x14ac:dyDescent="0.15">
      <c r="C5048" s="76">
        <v>460</v>
      </c>
      <c r="D5048" s="76">
        <v>2.9000000000000001E-2</v>
      </c>
      <c r="E5048" s="76">
        <v>5.9200000000000003E-2</v>
      </c>
      <c r="F5048" s="76">
        <v>8.8900000000000007E-2</v>
      </c>
      <c r="G5048" s="76">
        <v>0.11799999999999999</v>
      </c>
      <c r="H5048" s="76">
        <v>0.14799999999999999</v>
      </c>
      <c r="I5048" s="76">
        <v>0.17699999999999999</v>
      </c>
      <c r="J5048" s="76">
        <v>0.20599999999999999</v>
      </c>
      <c r="K5048" s="76">
        <v>0.23499999999999999</v>
      </c>
      <c r="L5048" s="76">
        <v>0.26300000000000001</v>
      </c>
      <c r="M5048" s="76">
        <v>0.29099999999999998</v>
      </c>
    </row>
    <row r="5049" spans="3:13" x14ac:dyDescent="0.15">
      <c r="C5049" s="76">
        <v>462</v>
      </c>
      <c r="D5049" s="76">
        <v>2.8299999999999999E-2</v>
      </c>
      <c r="E5049" s="76">
        <v>5.7799999999999997E-2</v>
      </c>
      <c r="F5049" s="76">
        <v>8.6900000000000005E-2</v>
      </c>
      <c r="G5049" s="76">
        <v>0.11600000000000001</v>
      </c>
      <c r="H5049" s="76">
        <v>0.14399999999999999</v>
      </c>
      <c r="I5049" s="76">
        <v>0.17299999999999999</v>
      </c>
      <c r="J5049" s="76">
        <v>0.20100000000000001</v>
      </c>
      <c r="K5049" s="76">
        <v>0.22900000000000001</v>
      </c>
      <c r="L5049" s="76">
        <v>0.25700000000000001</v>
      </c>
      <c r="M5049" s="76">
        <v>0.28399999999999997</v>
      </c>
    </row>
    <row r="5050" spans="3:13" x14ac:dyDescent="0.15">
      <c r="C5050" s="76">
        <v>464</v>
      </c>
      <c r="D5050" s="76">
        <v>2.7E-2</v>
      </c>
      <c r="E5050" s="76">
        <v>5.5100000000000003E-2</v>
      </c>
      <c r="F5050" s="76">
        <v>8.2699999999999996E-2</v>
      </c>
      <c r="G5050" s="76">
        <v>0.11</v>
      </c>
      <c r="H5050" s="76">
        <v>0.13700000000000001</v>
      </c>
      <c r="I5050" s="76">
        <v>0.16500000000000001</v>
      </c>
      <c r="J5050" s="76">
        <v>0.192</v>
      </c>
      <c r="K5050" s="76">
        <v>0.218</v>
      </c>
      <c r="L5050" s="76">
        <v>0.245</v>
      </c>
      <c r="M5050" s="76">
        <v>0.27100000000000002</v>
      </c>
    </row>
    <row r="5051" spans="3:13" x14ac:dyDescent="0.15">
      <c r="C5051" s="76">
        <v>466</v>
      </c>
      <c r="D5051" s="76">
        <v>2.5499999999999998E-2</v>
      </c>
      <c r="E5051" s="76">
        <v>5.1999999999999998E-2</v>
      </c>
      <c r="F5051" s="76">
        <v>7.8100000000000003E-2</v>
      </c>
      <c r="G5051" s="76">
        <v>0.104</v>
      </c>
      <c r="H5051" s="76">
        <v>0.13</v>
      </c>
      <c r="I5051" s="76">
        <v>0.155</v>
      </c>
      <c r="J5051" s="76">
        <v>0.18099999999999999</v>
      </c>
      <c r="K5051" s="76">
        <v>0.20599999999999999</v>
      </c>
      <c r="L5051" s="76">
        <v>0.23100000000000001</v>
      </c>
      <c r="M5051" s="76">
        <v>0.25600000000000001</v>
      </c>
    </row>
    <row r="5052" spans="3:13" x14ac:dyDescent="0.15">
      <c r="C5052" s="76">
        <v>468</v>
      </c>
      <c r="D5052" s="76">
        <v>2.3900000000000001E-2</v>
      </c>
      <c r="E5052" s="76">
        <v>4.8800000000000003E-2</v>
      </c>
      <c r="F5052" s="76">
        <v>7.3300000000000004E-2</v>
      </c>
      <c r="G5052" s="76">
        <v>9.7799999999999998E-2</v>
      </c>
      <c r="H5052" s="76">
        <v>0.122</v>
      </c>
      <c r="I5052" s="76">
        <v>0.14599999999999999</v>
      </c>
      <c r="J5052" s="76">
        <v>0.17</v>
      </c>
      <c r="K5052" s="76">
        <v>0.19400000000000001</v>
      </c>
      <c r="L5052" s="76">
        <v>0.217</v>
      </c>
      <c r="M5052" s="76">
        <v>0.24</v>
      </c>
    </row>
    <row r="5053" spans="3:13" x14ac:dyDescent="0.15">
      <c r="C5053" s="76">
        <v>470</v>
      </c>
      <c r="D5053" s="76">
        <v>2.24E-2</v>
      </c>
      <c r="E5053" s="76">
        <v>4.5699999999999998E-2</v>
      </c>
      <c r="F5053" s="76">
        <v>6.8599999999999994E-2</v>
      </c>
      <c r="G5053" s="76">
        <v>9.1399999999999995E-2</v>
      </c>
      <c r="H5053" s="76">
        <v>0.114</v>
      </c>
      <c r="I5053" s="76">
        <v>0.13600000000000001</v>
      </c>
      <c r="J5053" s="76">
        <v>0.159</v>
      </c>
      <c r="K5053" s="76">
        <v>0.18099999999999999</v>
      </c>
      <c r="L5053" s="76">
        <v>0.20300000000000001</v>
      </c>
      <c r="M5053" s="76">
        <v>0.22500000000000001</v>
      </c>
    </row>
    <row r="5054" spans="3:13" x14ac:dyDescent="0.15">
      <c r="C5054" s="76">
        <v>472</v>
      </c>
      <c r="D5054" s="76">
        <v>2.0899999999999998E-2</v>
      </c>
      <c r="E5054" s="76">
        <v>4.2700000000000002E-2</v>
      </c>
      <c r="F5054" s="76">
        <v>6.4299999999999996E-2</v>
      </c>
      <c r="G5054" s="76">
        <v>8.5599999999999996E-2</v>
      </c>
      <c r="H5054" s="76">
        <v>0.107</v>
      </c>
      <c r="I5054" s="76">
        <v>0.128</v>
      </c>
      <c r="J5054" s="76">
        <v>0.14899999999999999</v>
      </c>
      <c r="K5054" s="76">
        <v>0.17</v>
      </c>
      <c r="L5054" s="76">
        <v>0.19</v>
      </c>
      <c r="M5054" s="76">
        <v>0.21099999999999999</v>
      </c>
    </row>
    <row r="5055" spans="3:13" x14ac:dyDescent="0.15">
      <c r="C5055" s="76">
        <v>474</v>
      </c>
      <c r="D5055" s="76">
        <v>1.9699999999999999E-2</v>
      </c>
      <c r="E5055" s="76">
        <v>4.0300000000000002E-2</v>
      </c>
      <c r="F5055" s="76">
        <v>6.0499999999999998E-2</v>
      </c>
      <c r="G5055" s="76">
        <v>8.0699999999999994E-2</v>
      </c>
      <c r="H5055" s="76">
        <v>0.10100000000000001</v>
      </c>
      <c r="I5055" s="76">
        <v>0.12</v>
      </c>
      <c r="J5055" s="76">
        <v>0.14000000000000001</v>
      </c>
      <c r="K5055" s="76">
        <v>0.16</v>
      </c>
      <c r="L5055" s="76">
        <v>0.17899999999999999</v>
      </c>
      <c r="M5055" s="76">
        <v>0.19900000000000001</v>
      </c>
    </row>
    <row r="5056" spans="3:13" x14ac:dyDescent="0.15">
      <c r="C5056" s="76">
        <v>476</v>
      </c>
      <c r="D5056" s="76">
        <v>1.8599999999999998E-2</v>
      </c>
      <c r="E5056" s="76">
        <v>3.7900000000000003E-2</v>
      </c>
      <c r="F5056" s="76">
        <v>5.6899999999999999E-2</v>
      </c>
      <c r="G5056" s="76">
        <v>7.5899999999999995E-2</v>
      </c>
      <c r="H5056" s="76">
        <v>9.4799999999999995E-2</v>
      </c>
      <c r="I5056" s="76">
        <v>0.113</v>
      </c>
      <c r="J5056" s="76">
        <v>0.13200000000000001</v>
      </c>
      <c r="K5056" s="76">
        <v>0.151</v>
      </c>
      <c r="L5056" s="76">
        <v>0.16900000000000001</v>
      </c>
      <c r="M5056" s="76">
        <v>0.187</v>
      </c>
    </row>
    <row r="5057" spans="3:13" x14ac:dyDescent="0.15">
      <c r="C5057" s="76">
        <v>478</v>
      </c>
      <c r="D5057" s="76">
        <v>1.77E-2</v>
      </c>
      <c r="E5057" s="76">
        <v>3.6299999999999999E-2</v>
      </c>
      <c r="F5057" s="76">
        <v>5.4399999999999997E-2</v>
      </c>
      <c r="G5057" s="76">
        <v>7.2599999999999998E-2</v>
      </c>
      <c r="H5057" s="76">
        <v>9.06E-2</v>
      </c>
      <c r="I5057" s="76">
        <v>0.108</v>
      </c>
      <c r="J5057" s="76">
        <v>0.126</v>
      </c>
      <c r="K5057" s="76">
        <v>0.14399999999999999</v>
      </c>
      <c r="L5057" s="76">
        <v>0.161</v>
      </c>
      <c r="M5057" s="76">
        <v>0.17899999999999999</v>
      </c>
    </row>
    <row r="5058" spans="3:13" x14ac:dyDescent="0.15">
      <c r="C5058" s="76">
        <v>480</v>
      </c>
      <c r="D5058" s="76">
        <v>1.7100000000000001E-2</v>
      </c>
      <c r="E5058" s="76">
        <v>3.4799999999999998E-2</v>
      </c>
      <c r="F5058" s="76">
        <v>5.2299999999999999E-2</v>
      </c>
      <c r="G5058" s="76">
        <v>6.9699999999999998E-2</v>
      </c>
      <c r="H5058" s="76">
        <v>8.6999999999999994E-2</v>
      </c>
      <c r="I5058" s="76">
        <v>0.104</v>
      </c>
      <c r="J5058" s="76">
        <v>0.121</v>
      </c>
      <c r="K5058" s="76">
        <v>0.13800000000000001</v>
      </c>
      <c r="L5058" s="76">
        <v>0.155</v>
      </c>
      <c r="M5058" s="76">
        <v>0.17199999999999999</v>
      </c>
    </row>
    <row r="5059" spans="3:13" x14ac:dyDescent="0.15">
      <c r="C5059" s="76">
        <v>482</v>
      </c>
      <c r="D5059" s="76">
        <v>1.6400000000000001E-2</v>
      </c>
      <c r="E5059" s="76">
        <v>3.3599999999999998E-2</v>
      </c>
      <c r="F5059" s="76">
        <v>5.04E-2</v>
      </c>
      <c r="G5059" s="76">
        <v>6.7199999999999996E-2</v>
      </c>
      <c r="H5059" s="76">
        <v>8.3900000000000002E-2</v>
      </c>
      <c r="I5059" s="76">
        <v>0.1</v>
      </c>
      <c r="J5059" s="76">
        <v>0.11700000000000001</v>
      </c>
      <c r="K5059" s="76">
        <v>0.13300000000000001</v>
      </c>
      <c r="L5059" s="76">
        <v>0.14899999999999999</v>
      </c>
      <c r="M5059" s="76">
        <v>0.16600000000000001</v>
      </c>
    </row>
    <row r="5060" spans="3:13" x14ac:dyDescent="0.15">
      <c r="C5060" s="76">
        <v>484</v>
      </c>
      <c r="D5060" s="76">
        <v>1.5800000000000002E-2</v>
      </c>
      <c r="E5060" s="76">
        <v>3.2300000000000002E-2</v>
      </c>
      <c r="F5060" s="76">
        <v>4.8500000000000001E-2</v>
      </c>
      <c r="G5060" s="76">
        <v>6.4699999999999994E-2</v>
      </c>
      <c r="H5060" s="76">
        <v>8.0699999999999994E-2</v>
      </c>
      <c r="I5060" s="76">
        <v>9.6500000000000002E-2</v>
      </c>
      <c r="J5060" s="76">
        <v>0.113</v>
      </c>
      <c r="K5060" s="76">
        <v>0.128</v>
      </c>
      <c r="L5060" s="76">
        <v>0.14399999999999999</v>
      </c>
      <c r="M5060" s="76">
        <v>0.159</v>
      </c>
    </row>
    <row r="5061" spans="3:13" x14ac:dyDescent="0.15">
      <c r="C5061" s="76">
        <v>486</v>
      </c>
      <c r="D5061" s="76">
        <v>1.52E-2</v>
      </c>
      <c r="E5061" s="76">
        <v>3.1E-2</v>
      </c>
      <c r="F5061" s="76">
        <v>4.6600000000000003E-2</v>
      </c>
      <c r="G5061" s="76">
        <v>6.2100000000000002E-2</v>
      </c>
      <c r="H5061" s="76">
        <v>7.7499999999999999E-2</v>
      </c>
      <c r="I5061" s="76">
        <v>9.2600000000000002E-2</v>
      </c>
      <c r="J5061" s="76">
        <v>0.108</v>
      </c>
      <c r="K5061" s="76">
        <v>0.123</v>
      </c>
      <c r="L5061" s="76">
        <v>0.13800000000000001</v>
      </c>
      <c r="M5061" s="76">
        <v>0.153</v>
      </c>
    </row>
    <row r="5062" spans="3:13" x14ac:dyDescent="0.15">
      <c r="C5062" s="76">
        <v>488</v>
      </c>
      <c r="D5062" s="76">
        <v>1.44E-2</v>
      </c>
      <c r="E5062" s="76">
        <v>2.93E-2</v>
      </c>
      <c r="F5062" s="76">
        <v>4.41E-2</v>
      </c>
      <c r="G5062" s="76">
        <v>5.8799999999999998E-2</v>
      </c>
      <c r="H5062" s="76">
        <v>7.3300000000000004E-2</v>
      </c>
      <c r="I5062" s="76">
        <v>8.7599999999999997E-2</v>
      </c>
      <c r="J5062" s="76">
        <v>0.10199999999999999</v>
      </c>
      <c r="K5062" s="76">
        <v>0.11600000000000001</v>
      </c>
      <c r="L5062" s="76">
        <v>0.13</v>
      </c>
      <c r="M5062" s="76">
        <v>0.14399999999999999</v>
      </c>
    </row>
    <row r="5063" spans="3:13" x14ac:dyDescent="0.15">
      <c r="C5063" s="76">
        <v>490</v>
      </c>
      <c r="D5063" s="76">
        <v>1.3599999999999999E-2</v>
      </c>
      <c r="E5063" s="76">
        <v>2.7699999999999999E-2</v>
      </c>
      <c r="F5063" s="76">
        <v>4.1599999999999998E-2</v>
      </c>
      <c r="G5063" s="76">
        <v>5.5399999999999998E-2</v>
      </c>
      <c r="H5063" s="76">
        <v>6.9199999999999998E-2</v>
      </c>
      <c r="I5063" s="76">
        <v>8.2699999999999996E-2</v>
      </c>
      <c r="J5063" s="76">
        <v>9.6299999999999997E-2</v>
      </c>
      <c r="K5063" s="76">
        <v>0.11</v>
      </c>
      <c r="L5063" s="76">
        <v>0.123</v>
      </c>
      <c r="M5063" s="76">
        <v>0.13600000000000001</v>
      </c>
    </row>
    <row r="5064" spans="3:13" x14ac:dyDescent="0.15">
      <c r="C5064" s="76">
        <v>492</v>
      </c>
      <c r="D5064" s="76">
        <v>1.2699999999999999E-2</v>
      </c>
      <c r="E5064" s="76">
        <v>2.5899999999999999E-2</v>
      </c>
      <c r="F5064" s="76">
        <v>3.9E-2</v>
      </c>
      <c r="G5064" s="76">
        <v>5.1999999999999998E-2</v>
      </c>
      <c r="H5064" s="76">
        <v>6.4899999999999999E-2</v>
      </c>
      <c r="I5064" s="76">
        <v>7.7600000000000002E-2</v>
      </c>
      <c r="J5064" s="76">
        <v>9.0300000000000005E-2</v>
      </c>
      <c r="K5064" s="76">
        <v>0.10299999999999999</v>
      </c>
      <c r="L5064" s="76">
        <v>0.115</v>
      </c>
      <c r="M5064" s="76">
        <v>0.128</v>
      </c>
    </row>
    <row r="5065" spans="3:13" x14ac:dyDescent="0.15">
      <c r="C5065" s="76">
        <v>494</v>
      </c>
      <c r="D5065" s="76">
        <v>1.18E-2</v>
      </c>
      <c r="E5065" s="76">
        <v>2.4199999999999999E-2</v>
      </c>
      <c r="F5065" s="76">
        <v>3.6299999999999999E-2</v>
      </c>
      <c r="G5065" s="76">
        <v>4.8300000000000003E-2</v>
      </c>
      <c r="H5065" s="76">
        <v>6.0299999999999999E-2</v>
      </c>
      <c r="I5065" s="76">
        <v>7.2099999999999997E-2</v>
      </c>
      <c r="J5065" s="76">
        <v>8.4000000000000005E-2</v>
      </c>
      <c r="K5065" s="76">
        <v>9.5699999999999993E-2</v>
      </c>
      <c r="L5065" s="76">
        <v>0.107</v>
      </c>
      <c r="M5065" s="76">
        <v>0.11899999999999999</v>
      </c>
    </row>
    <row r="5066" spans="3:13" x14ac:dyDescent="0.15">
      <c r="C5066" s="76">
        <v>496</v>
      </c>
      <c r="D5066" s="76">
        <v>1.0999999999999999E-2</v>
      </c>
      <c r="E5066" s="76">
        <v>2.24E-2</v>
      </c>
      <c r="F5066" s="76">
        <v>3.3599999999999998E-2</v>
      </c>
      <c r="G5066" s="76">
        <v>4.48E-2</v>
      </c>
      <c r="H5066" s="76">
        <v>5.5899999999999998E-2</v>
      </c>
      <c r="I5066" s="76">
        <v>6.6799999999999998E-2</v>
      </c>
      <c r="J5066" s="76">
        <v>7.7799999999999994E-2</v>
      </c>
      <c r="K5066" s="76">
        <v>8.8800000000000004E-2</v>
      </c>
      <c r="L5066" s="76">
        <v>9.9299999999999999E-2</v>
      </c>
      <c r="M5066" s="76">
        <v>0.11</v>
      </c>
    </row>
    <row r="5067" spans="3:13" x14ac:dyDescent="0.15">
      <c r="C5067" s="76">
        <v>498</v>
      </c>
      <c r="D5067" s="76">
        <v>1.01E-2</v>
      </c>
      <c r="E5067" s="76">
        <v>2.0500000000000001E-2</v>
      </c>
      <c r="F5067" s="76">
        <v>3.0800000000000001E-2</v>
      </c>
      <c r="G5067" s="76">
        <v>4.1099999999999998E-2</v>
      </c>
      <c r="H5067" s="76">
        <v>5.1299999999999998E-2</v>
      </c>
      <c r="I5067" s="76">
        <v>6.13E-2</v>
      </c>
      <c r="J5067" s="76">
        <v>7.1499999999999994E-2</v>
      </c>
      <c r="K5067" s="76">
        <v>8.14E-2</v>
      </c>
      <c r="L5067" s="76">
        <v>9.1200000000000003E-2</v>
      </c>
      <c r="M5067" s="76">
        <v>0.10100000000000001</v>
      </c>
    </row>
    <row r="5068" spans="3:13" x14ac:dyDescent="0.15">
      <c r="C5068" s="76">
        <v>500</v>
      </c>
      <c r="D5068" s="76">
        <v>9.1299999999999992E-3</v>
      </c>
      <c r="E5068" s="76">
        <v>1.8599999999999998E-2</v>
      </c>
      <c r="F5068" s="76">
        <v>2.8000000000000001E-2</v>
      </c>
      <c r="G5068" s="76">
        <v>3.7199999999999997E-2</v>
      </c>
      <c r="H5068" s="76">
        <v>4.6399999999999997E-2</v>
      </c>
      <c r="I5068" s="76">
        <v>5.57E-2</v>
      </c>
      <c r="J5068" s="76">
        <v>6.4799999999999996E-2</v>
      </c>
      <c r="K5068" s="76">
        <v>7.3800000000000004E-2</v>
      </c>
      <c r="L5068" s="76">
        <v>8.2600000000000007E-2</v>
      </c>
      <c r="M5068" s="76">
        <v>9.1499999999999998E-2</v>
      </c>
    </row>
    <row r="5069" spans="3:13" x14ac:dyDescent="0.15">
      <c r="C5069" s="76">
        <v>502</v>
      </c>
      <c r="D5069" s="76">
        <v>8.2500000000000004E-3</v>
      </c>
      <c r="E5069" s="76">
        <v>1.6799999999999999E-2</v>
      </c>
      <c r="F5069" s="76">
        <v>2.53E-2</v>
      </c>
      <c r="G5069" s="76">
        <v>3.3700000000000001E-2</v>
      </c>
      <c r="H5069" s="76">
        <v>4.2000000000000003E-2</v>
      </c>
      <c r="I5069" s="76">
        <v>5.0200000000000002E-2</v>
      </c>
      <c r="J5069" s="76">
        <v>5.8500000000000003E-2</v>
      </c>
      <c r="K5069" s="76">
        <v>6.6600000000000006E-2</v>
      </c>
      <c r="L5069" s="76">
        <v>7.4700000000000003E-2</v>
      </c>
      <c r="M5069" s="76">
        <v>8.2799999999999999E-2</v>
      </c>
    </row>
    <row r="5070" spans="3:13" x14ac:dyDescent="0.15">
      <c r="C5070" s="76">
        <v>504</v>
      </c>
      <c r="D5070" s="76">
        <v>7.4900000000000001E-3</v>
      </c>
      <c r="E5070" s="76">
        <v>1.52E-2</v>
      </c>
      <c r="F5070" s="76">
        <v>2.29E-2</v>
      </c>
      <c r="G5070" s="76">
        <v>3.0499999999999999E-2</v>
      </c>
      <c r="H5070" s="76">
        <v>3.7999999999999999E-2</v>
      </c>
      <c r="I5070" s="76">
        <v>4.5499999999999999E-2</v>
      </c>
      <c r="J5070" s="76">
        <v>5.2999999999999999E-2</v>
      </c>
      <c r="K5070" s="76">
        <v>6.0299999999999999E-2</v>
      </c>
      <c r="L5070" s="76">
        <v>6.7599999999999993E-2</v>
      </c>
      <c r="M5070" s="76">
        <v>7.4899999999999994E-2</v>
      </c>
    </row>
    <row r="5071" spans="3:13" x14ac:dyDescent="0.15">
      <c r="C5071" s="76">
        <v>506</v>
      </c>
      <c r="D5071" s="76">
        <v>6.77E-3</v>
      </c>
      <c r="E5071" s="76">
        <v>1.38E-2</v>
      </c>
      <c r="F5071" s="76">
        <v>2.07E-2</v>
      </c>
      <c r="G5071" s="76">
        <v>2.76E-2</v>
      </c>
      <c r="H5071" s="76">
        <v>3.44E-2</v>
      </c>
      <c r="I5071" s="76">
        <v>4.1200000000000001E-2</v>
      </c>
      <c r="J5071" s="76">
        <v>4.8000000000000001E-2</v>
      </c>
      <c r="K5071" s="76">
        <v>5.4699999999999999E-2</v>
      </c>
      <c r="L5071" s="76">
        <v>6.1199999999999997E-2</v>
      </c>
      <c r="M5071" s="76">
        <v>6.7900000000000002E-2</v>
      </c>
    </row>
    <row r="5072" spans="3:13" x14ac:dyDescent="0.15">
      <c r="C5072" s="76">
        <v>508</v>
      </c>
      <c r="D5072" s="76">
        <v>6.1199999999999996E-3</v>
      </c>
      <c r="E5072" s="76">
        <v>1.2500000000000001E-2</v>
      </c>
      <c r="F5072" s="76">
        <v>1.8800000000000001E-2</v>
      </c>
      <c r="G5072" s="76">
        <v>2.5000000000000001E-2</v>
      </c>
      <c r="H5072" s="76">
        <v>3.1199999999999999E-2</v>
      </c>
      <c r="I5072" s="76">
        <v>3.73E-2</v>
      </c>
      <c r="J5072" s="76">
        <v>4.3499999999999997E-2</v>
      </c>
      <c r="K5072" s="76">
        <v>4.9500000000000002E-2</v>
      </c>
      <c r="L5072" s="76">
        <v>5.5399999999999998E-2</v>
      </c>
      <c r="M5072" s="76">
        <v>6.1400000000000003E-2</v>
      </c>
    </row>
    <row r="5073" spans="3:13" x14ac:dyDescent="0.15">
      <c r="C5073" s="76">
        <v>510</v>
      </c>
      <c r="D5073" s="76">
        <v>5.5599999999999998E-3</v>
      </c>
      <c r="E5073" s="76">
        <v>1.14E-2</v>
      </c>
      <c r="F5073" s="76">
        <v>1.7100000000000001E-2</v>
      </c>
      <c r="G5073" s="76">
        <v>2.2700000000000001E-2</v>
      </c>
      <c r="H5073" s="76">
        <v>2.8299999999999999E-2</v>
      </c>
      <c r="I5073" s="76">
        <v>3.39E-2</v>
      </c>
      <c r="J5073" s="76">
        <v>3.95E-2</v>
      </c>
      <c r="K5073" s="76">
        <v>4.5100000000000001E-2</v>
      </c>
      <c r="L5073" s="76">
        <v>5.0299999999999997E-2</v>
      </c>
      <c r="M5073" s="76">
        <v>5.57E-2</v>
      </c>
    </row>
    <row r="5074" spans="3:13" x14ac:dyDescent="0.15">
      <c r="C5074" s="76">
        <v>512</v>
      </c>
      <c r="D5074" s="76">
        <v>5.0200000000000002E-3</v>
      </c>
      <c r="E5074" s="76">
        <v>1.03E-2</v>
      </c>
      <c r="F5074" s="76">
        <v>1.54E-2</v>
      </c>
      <c r="G5074" s="76">
        <v>2.0500000000000001E-2</v>
      </c>
      <c r="H5074" s="76">
        <v>2.5499999999999998E-2</v>
      </c>
      <c r="I5074" s="76">
        <v>3.0599999999999999E-2</v>
      </c>
      <c r="J5074" s="76">
        <v>3.5700000000000003E-2</v>
      </c>
      <c r="K5074" s="76">
        <v>4.0599999999999997E-2</v>
      </c>
      <c r="L5074" s="76">
        <v>4.5400000000000003E-2</v>
      </c>
      <c r="M5074" s="76">
        <v>5.04E-2</v>
      </c>
    </row>
    <row r="5075" spans="3:13" x14ac:dyDescent="0.15">
      <c r="C5075" s="76">
        <v>514</v>
      </c>
      <c r="D5075" s="76">
        <v>4.5999999999999999E-3</v>
      </c>
      <c r="E5075" s="76">
        <v>9.3600000000000003E-3</v>
      </c>
      <c r="F5075" s="76">
        <v>1.4E-2</v>
      </c>
      <c r="G5075" s="76">
        <v>1.8700000000000001E-2</v>
      </c>
      <c r="H5075" s="76">
        <v>2.3300000000000001E-2</v>
      </c>
      <c r="I5075" s="76">
        <v>2.7900000000000001E-2</v>
      </c>
      <c r="J5075" s="76">
        <v>3.2500000000000001E-2</v>
      </c>
      <c r="K5075" s="76">
        <v>3.7100000000000001E-2</v>
      </c>
      <c r="L5075" s="76">
        <v>4.1500000000000002E-2</v>
      </c>
      <c r="M5075" s="76">
        <v>4.5999999999999999E-2</v>
      </c>
    </row>
    <row r="5076" spans="3:13" x14ac:dyDescent="0.15">
      <c r="C5076" s="76">
        <v>516</v>
      </c>
      <c r="D5076" s="76">
        <v>4.2199999999999998E-3</v>
      </c>
      <c r="E5076" s="76">
        <v>8.6E-3</v>
      </c>
      <c r="F5076" s="76">
        <v>1.29E-2</v>
      </c>
      <c r="G5076" s="76">
        <v>1.72E-2</v>
      </c>
      <c r="H5076" s="76">
        <v>2.1399999999999999E-2</v>
      </c>
      <c r="I5076" s="76">
        <v>2.5700000000000001E-2</v>
      </c>
      <c r="J5076" s="76">
        <v>0.03</v>
      </c>
      <c r="K5076" s="76">
        <v>3.4000000000000002E-2</v>
      </c>
      <c r="L5076" s="76">
        <v>3.8100000000000002E-2</v>
      </c>
      <c r="M5076" s="76">
        <v>4.2299999999999997E-2</v>
      </c>
    </row>
    <row r="5077" spans="3:13" x14ac:dyDescent="0.15">
      <c r="C5077" s="76">
        <v>518</v>
      </c>
      <c r="D5077" s="76">
        <v>3.8899999999999998E-3</v>
      </c>
      <c r="E5077" s="76">
        <v>7.9500000000000005E-3</v>
      </c>
      <c r="F5077" s="76">
        <v>1.1900000000000001E-2</v>
      </c>
      <c r="G5077" s="76">
        <v>1.5900000000000001E-2</v>
      </c>
      <c r="H5077" s="76">
        <v>1.9800000000000002E-2</v>
      </c>
      <c r="I5077" s="76">
        <v>2.3699999999999999E-2</v>
      </c>
      <c r="J5077" s="76">
        <v>2.7699999999999999E-2</v>
      </c>
      <c r="K5077" s="76">
        <v>3.1399999999999997E-2</v>
      </c>
      <c r="L5077" s="76">
        <v>3.5200000000000002E-2</v>
      </c>
      <c r="M5077" s="76">
        <v>3.9100000000000003E-2</v>
      </c>
    </row>
    <row r="5078" spans="3:13" x14ac:dyDescent="0.15">
      <c r="C5078" s="76">
        <v>520</v>
      </c>
      <c r="D5078" s="76">
        <v>3.6099999999999999E-3</v>
      </c>
      <c r="E5078" s="76">
        <v>7.3899999999999999E-3</v>
      </c>
      <c r="F5078" s="76">
        <v>1.11E-2</v>
      </c>
      <c r="G5078" s="76">
        <v>1.47E-2</v>
      </c>
      <c r="H5078" s="76">
        <v>1.83E-2</v>
      </c>
      <c r="I5078" s="76">
        <v>2.1899999999999999E-2</v>
      </c>
      <c r="J5078" s="76">
        <v>2.5600000000000001E-2</v>
      </c>
      <c r="K5078" s="76">
        <v>2.9100000000000001E-2</v>
      </c>
      <c r="L5078" s="76">
        <v>3.2599999999999997E-2</v>
      </c>
      <c r="M5078" s="76">
        <v>3.6200000000000003E-2</v>
      </c>
    </row>
    <row r="5079" spans="3:13" x14ac:dyDescent="0.15">
      <c r="C5079" s="76">
        <v>522</v>
      </c>
      <c r="D5079" s="76">
        <v>3.3500000000000001E-3</v>
      </c>
      <c r="E5079" s="76">
        <v>6.79E-3</v>
      </c>
      <c r="F5079" s="76">
        <v>1.0200000000000001E-2</v>
      </c>
      <c r="G5079" s="76">
        <v>1.3599999999999999E-2</v>
      </c>
      <c r="H5079" s="76">
        <v>1.7000000000000001E-2</v>
      </c>
      <c r="I5079" s="76">
        <v>2.0299999999999999E-2</v>
      </c>
      <c r="J5079" s="76">
        <v>2.3699999999999999E-2</v>
      </c>
      <c r="K5079" s="76">
        <v>2.69E-2</v>
      </c>
      <c r="L5079" s="76">
        <v>3.0200000000000001E-2</v>
      </c>
      <c r="M5079" s="76">
        <v>3.3399999999999999E-2</v>
      </c>
    </row>
    <row r="5080" spans="3:13" x14ac:dyDescent="0.15">
      <c r="C5080" s="76">
        <v>524</v>
      </c>
      <c r="D5080" s="76">
        <v>3.0699999999999998E-3</v>
      </c>
      <c r="E5080" s="76">
        <v>6.2399999999999999E-3</v>
      </c>
      <c r="F5080" s="76">
        <v>9.3900000000000008E-3</v>
      </c>
      <c r="G5080" s="76">
        <v>1.2500000000000001E-2</v>
      </c>
      <c r="H5080" s="76">
        <v>1.5599999999999999E-2</v>
      </c>
      <c r="I5080" s="76">
        <v>1.8599999999999998E-2</v>
      </c>
      <c r="J5080" s="76">
        <v>2.1700000000000001E-2</v>
      </c>
      <c r="K5080" s="76">
        <v>2.47E-2</v>
      </c>
      <c r="L5080" s="76">
        <v>2.7699999999999999E-2</v>
      </c>
      <c r="M5080" s="76">
        <v>3.0700000000000002E-2</v>
      </c>
    </row>
    <row r="5081" spans="3:13" x14ac:dyDescent="0.15">
      <c r="C5081" s="76">
        <v>526</v>
      </c>
      <c r="D5081" s="76">
        <v>2.8300000000000001E-3</v>
      </c>
      <c r="E5081" s="76">
        <v>5.77E-3</v>
      </c>
      <c r="F5081" s="76">
        <v>8.6700000000000006E-3</v>
      </c>
      <c r="G5081" s="76">
        <v>1.15E-2</v>
      </c>
      <c r="H5081" s="76">
        <v>1.44E-2</v>
      </c>
      <c r="I5081" s="76">
        <v>1.72E-2</v>
      </c>
      <c r="J5081" s="76">
        <v>2.01E-2</v>
      </c>
      <c r="K5081" s="76">
        <v>2.2800000000000001E-2</v>
      </c>
      <c r="L5081" s="76">
        <v>2.5600000000000001E-2</v>
      </c>
      <c r="M5081" s="76">
        <v>2.8299999999999999E-2</v>
      </c>
    </row>
    <row r="5082" spans="3:13" x14ac:dyDescent="0.15">
      <c r="C5082" s="76">
        <v>528</v>
      </c>
      <c r="D5082" s="76">
        <v>2.6199999999999999E-3</v>
      </c>
      <c r="E5082" s="76">
        <v>5.3299999999999997E-3</v>
      </c>
      <c r="F5082" s="76">
        <v>8.0400000000000003E-3</v>
      </c>
      <c r="G5082" s="76">
        <v>1.0699999999999999E-2</v>
      </c>
      <c r="H5082" s="76">
        <v>1.3299999999999999E-2</v>
      </c>
      <c r="I5082" s="76">
        <v>1.5900000000000001E-2</v>
      </c>
      <c r="J5082" s="76">
        <v>1.8599999999999998E-2</v>
      </c>
      <c r="K5082" s="76">
        <v>2.1100000000000001E-2</v>
      </c>
      <c r="L5082" s="76">
        <v>2.3699999999999999E-2</v>
      </c>
      <c r="M5082" s="76">
        <v>2.6200000000000001E-2</v>
      </c>
    </row>
    <row r="5083" spans="3:13" x14ac:dyDescent="0.15">
      <c r="C5083" s="76">
        <v>530</v>
      </c>
      <c r="D5083" s="76">
        <v>2.4199999999999998E-3</v>
      </c>
      <c r="E5083" s="76">
        <v>4.8999999999999998E-3</v>
      </c>
      <c r="F5083" s="76">
        <v>7.3699999999999998E-3</v>
      </c>
      <c r="G5083" s="76">
        <v>9.8300000000000002E-3</v>
      </c>
      <c r="H5083" s="76">
        <v>1.2200000000000001E-2</v>
      </c>
      <c r="I5083" s="76">
        <v>1.46E-2</v>
      </c>
      <c r="J5083" s="76">
        <v>1.7100000000000001E-2</v>
      </c>
      <c r="K5083" s="76">
        <v>1.9400000000000001E-2</v>
      </c>
      <c r="L5083" s="76">
        <v>2.18E-2</v>
      </c>
      <c r="M5083" s="76">
        <v>2.41E-2</v>
      </c>
    </row>
    <row r="5084" spans="3:13" x14ac:dyDescent="0.15">
      <c r="C5084" s="76">
        <v>532</v>
      </c>
      <c r="D5084" s="76">
        <v>2.2200000000000002E-3</v>
      </c>
      <c r="E5084" s="76">
        <v>4.4999999999999997E-3</v>
      </c>
      <c r="F5084" s="76">
        <v>6.77E-3</v>
      </c>
      <c r="G5084" s="76">
        <v>9.0200000000000002E-3</v>
      </c>
      <c r="H5084" s="76">
        <v>1.12E-2</v>
      </c>
      <c r="I5084" s="76">
        <v>1.34E-2</v>
      </c>
      <c r="J5084" s="76">
        <v>1.5699999999999999E-2</v>
      </c>
      <c r="K5084" s="76">
        <v>1.78E-2</v>
      </c>
      <c r="L5084" s="76">
        <v>0.02</v>
      </c>
      <c r="M5084" s="76">
        <v>2.2100000000000002E-2</v>
      </c>
    </row>
    <row r="5085" spans="3:13" x14ac:dyDescent="0.15">
      <c r="C5085" s="76">
        <v>534</v>
      </c>
      <c r="D5085" s="76">
        <v>2.0300000000000001E-3</v>
      </c>
      <c r="E5085" s="76">
        <v>4.0800000000000003E-3</v>
      </c>
      <c r="F5085" s="76">
        <v>6.1700000000000001E-3</v>
      </c>
      <c r="G5085" s="76">
        <v>8.2400000000000008E-3</v>
      </c>
      <c r="H5085" s="76">
        <v>1.03E-2</v>
      </c>
      <c r="I5085" s="76">
        <v>1.23E-2</v>
      </c>
      <c r="J5085" s="76">
        <v>1.43E-2</v>
      </c>
      <c r="K5085" s="76">
        <v>1.6199999999999999E-2</v>
      </c>
      <c r="L5085" s="76">
        <v>1.8200000000000001E-2</v>
      </c>
      <c r="M5085" s="76">
        <v>2.01E-2</v>
      </c>
    </row>
    <row r="5086" spans="3:13" x14ac:dyDescent="0.15">
      <c r="C5086" s="76">
        <v>536</v>
      </c>
      <c r="D5086" s="76">
        <v>1.82E-3</v>
      </c>
      <c r="E5086" s="76">
        <v>3.6900000000000001E-3</v>
      </c>
      <c r="F5086" s="76">
        <v>5.5599999999999998E-3</v>
      </c>
      <c r="G5086" s="76">
        <v>7.4099999999999999E-3</v>
      </c>
      <c r="H5086" s="76">
        <v>9.2099999999999994E-3</v>
      </c>
      <c r="I5086" s="76">
        <v>1.0999999999999999E-2</v>
      </c>
      <c r="J5086" s="76">
        <v>1.29E-2</v>
      </c>
      <c r="K5086" s="76">
        <v>1.46E-2</v>
      </c>
      <c r="L5086" s="76">
        <v>1.6500000000000001E-2</v>
      </c>
      <c r="M5086" s="76">
        <v>1.8100000000000002E-2</v>
      </c>
    </row>
    <row r="5087" spans="3:13" x14ac:dyDescent="0.15">
      <c r="C5087" s="76">
        <v>538</v>
      </c>
      <c r="D5087" s="76">
        <v>1.66E-3</v>
      </c>
      <c r="E5087" s="76">
        <v>3.3700000000000002E-3</v>
      </c>
      <c r="F5087" s="76">
        <v>5.0600000000000003E-3</v>
      </c>
      <c r="G5087" s="76">
        <v>6.7499999999999999E-3</v>
      </c>
      <c r="H5087" s="76">
        <v>8.3899999999999999E-3</v>
      </c>
      <c r="I5087" s="76">
        <v>0.01</v>
      </c>
      <c r="J5087" s="76">
        <v>1.17E-2</v>
      </c>
      <c r="K5087" s="76">
        <v>1.3299999999999999E-2</v>
      </c>
      <c r="L5087" s="76">
        <v>1.4999999999999999E-2</v>
      </c>
      <c r="M5087" s="76">
        <v>1.6500000000000001E-2</v>
      </c>
    </row>
    <row r="5088" spans="3:13" x14ac:dyDescent="0.15">
      <c r="C5088" s="76">
        <v>540</v>
      </c>
      <c r="D5088" s="76">
        <v>1.5100000000000001E-3</v>
      </c>
      <c r="E5088" s="76">
        <v>3.0599999999999998E-3</v>
      </c>
      <c r="F5088" s="76">
        <v>4.5900000000000003E-3</v>
      </c>
      <c r="G5088" s="76">
        <v>6.1399999999999996E-3</v>
      </c>
      <c r="H5088" s="76">
        <v>7.62E-3</v>
      </c>
      <c r="I5088" s="76">
        <v>9.1500000000000001E-3</v>
      </c>
      <c r="J5088" s="76">
        <v>1.06E-2</v>
      </c>
      <c r="K5088" s="76">
        <v>1.21E-2</v>
      </c>
      <c r="L5088" s="76">
        <v>1.37E-2</v>
      </c>
      <c r="M5088" s="76">
        <v>1.4999999999999999E-2</v>
      </c>
    </row>
    <row r="5089" spans="3:13" x14ac:dyDescent="0.15">
      <c r="C5089" s="76">
        <v>542</v>
      </c>
      <c r="D5089" s="76">
        <v>1.3799999999999999E-3</v>
      </c>
      <c r="E5089" s="76">
        <v>2.7799999999999999E-3</v>
      </c>
      <c r="F5089" s="76">
        <v>4.1799999999999997E-3</v>
      </c>
      <c r="G5089" s="76">
        <v>5.5999999999999999E-3</v>
      </c>
      <c r="H5089" s="76">
        <v>6.9199999999999999E-3</v>
      </c>
      <c r="I5089" s="76">
        <v>8.3300000000000006E-3</v>
      </c>
      <c r="J5089" s="76">
        <v>9.7199999999999995E-3</v>
      </c>
      <c r="K5089" s="76">
        <v>1.11E-2</v>
      </c>
      <c r="L5089" s="76">
        <v>1.24E-2</v>
      </c>
      <c r="M5089" s="76">
        <v>1.38E-2</v>
      </c>
    </row>
    <row r="5090" spans="3:13" x14ac:dyDescent="0.15">
      <c r="C5090" s="76">
        <v>544</v>
      </c>
      <c r="D5090" s="76">
        <v>1.25E-3</v>
      </c>
      <c r="E5090" s="76">
        <v>2.5400000000000002E-3</v>
      </c>
      <c r="F5090" s="76">
        <v>3.81E-3</v>
      </c>
      <c r="G5090" s="76">
        <v>5.0899999999999999E-3</v>
      </c>
      <c r="H5090" s="76">
        <v>6.3E-3</v>
      </c>
      <c r="I5090" s="76">
        <v>7.5599999999999999E-3</v>
      </c>
      <c r="J5090" s="76">
        <v>8.8599999999999998E-3</v>
      </c>
      <c r="K5090" s="76">
        <v>1.01E-2</v>
      </c>
      <c r="L5090" s="76">
        <v>1.1299999999999999E-2</v>
      </c>
      <c r="M5090" s="76">
        <v>1.24E-2</v>
      </c>
    </row>
    <row r="5091" spans="3:13" x14ac:dyDescent="0.15">
      <c r="C5091" s="76">
        <v>546</v>
      </c>
      <c r="D5091" s="76">
        <v>1.1299999999999999E-3</v>
      </c>
      <c r="E5091" s="76">
        <v>2.2899999999999999E-3</v>
      </c>
      <c r="F5091" s="76">
        <v>3.4399999999999999E-3</v>
      </c>
      <c r="G5091" s="76">
        <v>4.62E-3</v>
      </c>
      <c r="H5091" s="76">
        <v>5.6899999999999997E-3</v>
      </c>
      <c r="I5091" s="76">
        <v>6.8100000000000001E-3</v>
      </c>
      <c r="J5091" s="76">
        <v>7.9799999999999992E-3</v>
      </c>
      <c r="K5091" s="76">
        <v>9.0600000000000003E-3</v>
      </c>
      <c r="L5091" s="76">
        <v>1.03E-2</v>
      </c>
      <c r="M5091" s="76">
        <v>1.12E-2</v>
      </c>
    </row>
    <row r="5092" spans="3:13" x14ac:dyDescent="0.15">
      <c r="C5092" s="76">
        <v>548</v>
      </c>
      <c r="D5092" s="76">
        <v>1.0300000000000001E-3</v>
      </c>
      <c r="E5092" s="76">
        <v>2.0699999999999998E-3</v>
      </c>
      <c r="F5092" s="76">
        <v>3.1199999999999999E-3</v>
      </c>
      <c r="G5092" s="76">
        <v>4.15E-3</v>
      </c>
      <c r="H5092" s="76">
        <v>5.1799999999999997E-3</v>
      </c>
      <c r="I5092" s="76">
        <v>6.1599999999999997E-3</v>
      </c>
      <c r="J5092" s="76">
        <v>7.1900000000000002E-3</v>
      </c>
      <c r="K5092" s="76">
        <v>8.1899999999999994E-3</v>
      </c>
      <c r="L5092" s="76">
        <v>9.3100000000000006E-3</v>
      </c>
      <c r="M5092" s="76">
        <v>1.0200000000000001E-2</v>
      </c>
    </row>
    <row r="5093" spans="3:13" x14ac:dyDescent="0.15">
      <c r="C5093" s="76">
        <v>550</v>
      </c>
      <c r="D5093" s="76">
        <v>9.2699999999999998E-4</v>
      </c>
      <c r="E5093" s="76">
        <v>1.9E-3</v>
      </c>
      <c r="F5093" s="76">
        <v>2.8500000000000001E-3</v>
      </c>
      <c r="G5093" s="76">
        <v>3.79E-3</v>
      </c>
      <c r="H5093" s="76">
        <v>4.7099999999999998E-3</v>
      </c>
      <c r="I5093" s="76">
        <v>5.6100000000000004E-3</v>
      </c>
      <c r="J5093" s="76">
        <v>6.5599999999999999E-3</v>
      </c>
      <c r="K5093" s="76">
        <v>7.4700000000000001E-3</v>
      </c>
      <c r="L5093" s="76">
        <v>8.4899999999999993E-3</v>
      </c>
      <c r="M5093" s="76">
        <v>9.2899999999999996E-3</v>
      </c>
    </row>
    <row r="5094" spans="3:13" x14ac:dyDescent="0.15">
      <c r="C5094" s="76">
        <v>552</v>
      </c>
      <c r="D5094" s="76">
        <v>8.4199999999999998E-4</v>
      </c>
      <c r="E5094" s="76">
        <v>1.73E-3</v>
      </c>
      <c r="F5094" s="76">
        <v>2.5600000000000002E-3</v>
      </c>
      <c r="G5094" s="76">
        <v>3.46E-3</v>
      </c>
      <c r="H5094" s="76">
        <v>4.28E-3</v>
      </c>
      <c r="I5094" s="76">
        <v>5.1000000000000004E-3</v>
      </c>
      <c r="J5094" s="76">
        <v>5.96E-3</v>
      </c>
      <c r="K5094" s="76">
        <v>6.8399999999999997E-3</v>
      </c>
      <c r="L5094" s="76">
        <v>7.7499999999999999E-3</v>
      </c>
      <c r="M5094" s="76">
        <v>8.3999999999999995E-3</v>
      </c>
    </row>
    <row r="5095" spans="3:13" x14ac:dyDescent="0.15">
      <c r="C5095" s="76">
        <v>554</v>
      </c>
      <c r="D5095" s="76">
        <v>7.7300000000000003E-4</v>
      </c>
      <c r="E5095" s="76">
        <v>1.57E-3</v>
      </c>
      <c r="F5095" s="76">
        <v>2.33E-3</v>
      </c>
      <c r="G5095" s="76">
        <v>3.14E-3</v>
      </c>
      <c r="H5095" s="76">
        <v>3.8800000000000002E-3</v>
      </c>
      <c r="I5095" s="76">
        <v>4.6800000000000001E-3</v>
      </c>
      <c r="J5095" s="76">
        <v>5.4200000000000003E-3</v>
      </c>
      <c r="K5095" s="76">
        <v>6.2700000000000004E-3</v>
      </c>
      <c r="L5095" s="76">
        <v>7.0400000000000003E-3</v>
      </c>
      <c r="M5095" s="76">
        <v>7.7600000000000004E-3</v>
      </c>
    </row>
    <row r="5096" spans="3:13" x14ac:dyDescent="0.15">
      <c r="C5096" s="76">
        <v>556</v>
      </c>
      <c r="D5096" s="76">
        <v>6.9899999999999997E-4</v>
      </c>
      <c r="E5096" s="76">
        <v>1.4300000000000001E-3</v>
      </c>
      <c r="F5096" s="76">
        <v>2.14E-3</v>
      </c>
      <c r="G5096" s="76">
        <v>2.8800000000000002E-3</v>
      </c>
      <c r="H5096" s="76">
        <v>3.5799999999999998E-3</v>
      </c>
      <c r="I5096" s="76">
        <v>4.2399999999999998E-3</v>
      </c>
      <c r="J5096" s="76">
        <v>4.9800000000000001E-3</v>
      </c>
      <c r="K5096" s="76">
        <v>5.6800000000000002E-3</v>
      </c>
      <c r="L5096" s="76">
        <v>6.45E-3</v>
      </c>
      <c r="M5096" s="76">
        <v>7.1000000000000004E-3</v>
      </c>
    </row>
    <row r="5097" spans="3:13" x14ac:dyDescent="0.15">
      <c r="C5097" s="76">
        <v>558</v>
      </c>
      <c r="D5097" s="76">
        <v>6.3299999999999999E-4</v>
      </c>
      <c r="E5097" s="76">
        <v>1.2899999999999999E-3</v>
      </c>
      <c r="F5097" s="76">
        <v>1.9400000000000001E-3</v>
      </c>
      <c r="G5097" s="76">
        <v>2.5799999999999998E-3</v>
      </c>
      <c r="H5097" s="76">
        <v>3.2299999999999998E-3</v>
      </c>
      <c r="I5097" s="76">
        <v>3.8400000000000001E-3</v>
      </c>
      <c r="J5097" s="76">
        <v>4.4099999999999999E-3</v>
      </c>
      <c r="K5097" s="76">
        <v>5.1500000000000001E-3</v>
      </c>
      <c r="L5097" s="76">
        <v>5.7400000000000003E-3</v>
      </c>
      <c r="M5097" s="76">
        <v>6.43E-3</v>
      </c>
    </row>
    <row r="5098" spans="3:13" x14ac:dyDescent="0.15">
      <c r="C5098" s="76">
        <v>560</v>
      </c>
      <c r="D5098" s="76">
        <v>5.7799999999999995E-4</v>
      </c>
      <c r="E5098" s="76">
        <v>1.1800000000000001E-3</v>
      </c>
      <c r="F5098" s="76">
        <v>1.7799999999999999E-3</v>
      </c>
      <c r="G5098" s="76">
        <v>2.3700000000000001E-3</v>
      </c>
      <c r="H5098" s="76">
        <v>2.98E-3</v>
      </c>
      <c r="I5098" s="76">
        <v>3.5000000000000001E-3</v>
      </c>
      <c r="J5098" s="76">
        <v>4.1399999999999996E-3</v>
      </c>
      <c r="K5098" s="76">
        <v>4.7600000000000003E-3</v>
      </c>
      <c r="L5098" s="76">
        <v>5.2700000000000004E-3</v>
      </c>
      <c r="M5098" s="76">
        <v>5.8199999999999997E-3</v>
      </c>
    </row>
    <row r="5099" spans="3:13" x14ac:dyDescent="0.15">
      <c r="C5099" s="76">
        <v>562</v>
      </c>
      <c r="D5099" s="76">
        <v>5.3200000000000003E-4</v>
      </c>
      <c r="E5099" s="76">
        <v>1.1000000000000001E-3</v>
      </c>
      <c r="F5099" s="76">
        <v>1.6100000000000001E-3</v>
      </c>
      <c r="G5099" s="76">
        <v>2.15E-3</v>
      </c>
      <c r="H5099" s="76">
        <v>2.7299999999999998E-3</v>
      </c>
      <c r="I5099" s="76">
        <v>3.2399999999999998E-3</v>
      </c>
      <c r="J5099" s="76">
        <v>3.79E-3</v>
      </c>
      <c r="K5099" s="76">
        <v>4.3400000000000001E-3</v>
      </c>
      <c r="L5099" s="76">
        <v>4.8500000000000001E-3</v>
      </c>
      <c r="M5099" s="76">
        <v>5.3099999999999996E-3</v>
      </c>
    </row>
    <row r="5100" spans="3:13" x14ac:dyDescent="0.15">
      <c r="C5100" s="76">
        <v>564</v>
      </c>
      <c r="D5100" s="76">
        <v>4.8700000000000002E-4</v>
      </c>
      <c r="E5100" s="76">
        <v>1.01E-3</v>
      </c>
      <c r="F5100" s="76">
        <v>1.48E-3</v>
      </c>
      <c r="G5100" s="76">
        <v>1.98E-3</v>
      </c>
      <c r="H5100" s="76">
        <v>2.48E-3</v>
      </c>
      <c r="I5100" s="76">
        <v>2.97E-3</v>
      </c>
      <c r="J5100" s="76">
        <v>3.4399999999999999E-3</v>
      </c>
      <c r="K5100" s="76">
        <v>3.9899999999999996E-3</v>
      </c>
      <c r="L5100" s="76">
        <v>4.45E-3</v>
      </c>
      <c r="M5100" s="76">
        <v>4.9399999999999999E-3</v>
      </c>
    </row>
    <row r="5101" spans="3:13" x14ac:dyDescent="0.15">
      <c r="C5101" s="76">
        <v>566</v>
      </c>
      <c r="D5101" s="76">
        <v>4.4999999999999999E-4</v>
      </c>
      <c r="E5101" s="76">
        <v>9.2400000000000002E-4</v>
      </c>
      <c r="F5101" s="76">
        <v>1.3799999999999999E-3</v>
      </c>
      <c r="G5101" s="76">
        <v>1.82E-3</v>
      </c>
      <c r="H5101" s="76">
        <v>2.2899999999999999E-3</v>
      </c>
      <c r="I5101" s="76">
        <v>2.7399999999999998E-3</v>
      </c>
      <c r="J5101" s="76">
        <v>3.14E-3</v>
      </c>
      <c r="K5101" s="76">
        <v>3.7200000000000002E-3</v>
      </c>
      <c r="L5101" s="76">
        <v>4.1000000000000003E-3</v>
      </c>
      <c r="M5101" s="76">
        <v>4.5599999999999998E-3</v>
      </c>
    </row>
    <row r="5102" spans="3:13" x14ac:dyDescent="0.15">
      <c r="C5102" s="76">
        <v>568</v>
      </c>
      <c r="D5102" s="76">
        <v>4.0400000000000001E-4</v>
      </c>
      <c r="E5102" s="76">
        <v>8.4900000000000004E-4</v>
      </c>
      <c r="F5102" s="76">
        <v>1.2700000000000001E-3</v>
      </c>
      <c r="G5102" s="76">
        <v>1.6999999999999999E-3</v>
      </c>
      <c r="H5102" s="76">
        <v>2.1299999999999999E-3</v>
      </c>
      <c r="I5102" s="76">
        <v>2.5200000000000001E-3</v>
      </c>
      <c r="J5102" s="76">
        <v>2.9199999999999999E-3</v>
      </c>
      <c r="K5102" s="76">
        <v>3.3800000000000002E-3</v>
      </c>
      <c r="L5102" s="76">
        <v>3.7499999999999999E-3</v>
      </c>
      <c r="M5102" s="76">
        <v>4.1599999999999996E-3</v>
      </c>
    </row>
    <row r="5103" spans="3:13" x14ac:dyDescent="0.15">
      <c r="C5103" s="76">
        <v>570</v>
      </c>
      <c r="D5103" s="76">
        <v>3.7800000000000003E-4</v>
      </c>
      <c r="E5103" s="76">
        <v>7.8600000000000002E-4</v>
      </c>
      <c r="F5103" s="76">
        <v>1.16E-3</v>
      </c>
      <c r="G5103" s="76">
        <v>1.5399999999999999E-3</v>
      </c>
      <c r="H5103" s="76">
        <v>1.9599999999999999E-3</v>
      </c>
      <c r="I5103" s="76">
        <v>2.32E-3</v>
      </c>
      <c r="J5103" s="76">
        <v>2.7100000000000002E-3</v>
      </c>
      <c r="K5103" s="76">
        <v>3.16E-3</v>
      </c>
      <c r="L5103" s="76">
        <v>3.3899999999999998E-3</v>
      </c>
      <c r="M5103" s="76">
        <v>3.8400000000000001E-3</v>
      </c>
    </row>
    <row r="5104" spans="3:13" x14ac:dyDescent="0.15">
      <c r="C5104" s="76">
        <v>572</v>
      </c>
      <c r="D5104" s="76">
        <v>3.5199999999999999E-4</v>
      </c>
      <c r="E5104" s="76">
        <v>7.27E-4</v>
      </c>
      <c r="F5104" s="76">
        <v>1.08E-3</v>
      </c>
      <c r="G5104" s="76">
        <v>1.42E-3</v>
      </c>
      <c r="H5104" s="76">
        <v>1.8500000000000001E-3</v>
      </c>
      <c r="I5104" s="76">
        <v>2.1199999999999999E-3</v>
      </c>
      <c r="J5104" s="76">
        <v>2.49E-3</v>
      </c>
      <c r="K5104" s="76">
        <v>2.9399999999999999E-3</v>
      </c>
      <c r="L5104" s="76">
        <v>3.15E-3</v>
      </c>
      <c r="M5104" s="76">
        <v>3.6099999999999999E-3</v>
      </c>
    </row>
    <row r="5105" spans="3:13" x14ac:dyDescent="0.15">
      <c r="C5105" s="76">
        <v>574</v>
      </c>
      <c r="D5105" s="76">
        <v>3.2899999999999997E-4</v>
      </c>
      <c r="E5105" s="76">
        <v>6.8000000000000005E-4</v>
      </c>
      <c r="F5105" s="76">
        <v>1.0200000000000001E-3</v>
      </c>
      <c r="G5105" s="76">
        <v>1.32E-3</v>
      </c>
      <c r="H5105" s="76">
        <v>1.6999999999999999E-3</v>
      </c>
      <c r="I5105" s="76">
        <v>1.97E-3</v>
      </c>
      <c r="J5105" s="76">
        <v>2.2699999999999999E-3</v>
      </c>
      <c r="K5105" s="76">
        <v>2.7100000000000002E-3</v>
      </c>
      <c r="L5105" s="76">
        <v>2.9499999999999999E-3</v>
      </c>
      <c r="M5105" s="76">
        <v>3.32E-3</v>
      </c>
    </row>
    <row r="5106" spans="3:13" x14ac:dyDescent="0.15">
      <c r="C5106" s="76">
        <v>576</v>
      </c>
      <c r="D5106" s="76">
        <v>3.0299999999999999E-4</v>
      </c>
      <c r="E5106" s="76">
        <v>6.0800000000000003E-4</v>
      </c>
      <c r="F5106" s="76">
        <v>9.3899999999999995E-4</v>
      </c>
      <c r="G5106" s="76">
        <v>1.24E-3</v>
      </c>
      <c r="H5106" s="76">
        <v>1.58E-3</v>
      </c>
      <c r="I5106" s="76">
        <v>1.9E-3</v>
      </c>
      <c r="J5106" s="76">
        <v>2.1299999999999999E-3</v>
      </c>
      <c r="K5106" s="76">
        <v>2.5400000000000002E-3</v>
      </c>
      <c r="L5106" s="76">
        <v>2.66E-3</v>
      </c>
      <c r="M5106" s="76">
        <v>3.0300000000000001E-3</v>
      </c>
    </row>
    <row r="5107" spans="3:13" x14ac:dyDescent="0.15">
      <c r="C5107" s="76">
        <v>578</v>
      </c>
      <c r="D5107" s="76">
        <v>2.8400000000000002E-4</v>
      </c>
      <c r="E5107" s="76">
        <v>5.8200000000000005E-4</v>
      </c>
      <c r="F5107" s="76">
        <v>8.5899999999999995E-4</v>
      </c>
      <c r="G5107" s="76">
        <v>1.1100000000000001E-3</v>
      </c>
      <c r="H5107" s="76">
        <v>1.5E-3</v>
      </c>
      <c r="I5107" s="76">
        <v>1.6900000000000001E-3</v>
      </c>
      <c r="J5107" s="76">
        <v>1.9300000000000001E-3</v>
      </c>
      <c r="K5107" s="76">
        <v>2.3400000000000001E-3</v>
      </c>
      <c r="L5107" s="76">
        <v>2.4399999999999999E-3</v>
      </c>
      <c r="M5107" s="76">
        <v>2.8E-3</v>
      </c>
    </row>
    <row r="5108" spans="3:13" x14ac:dyDescent="0.15">
      <c r="C5108" s="76">
        <v>580</v>
      </c>
      <c r="D5108" s="76">
        <v>2.5700000000000001E-4</v>
      </c>
      <c r="E5108" s="76">
        <v>5.2099999999999998E-4</v>
      </c>
      <c r="F5108" s="76">
        <v>7.7099999999999998E-4</v>
      </c>
      <c r="G5108" s="76">
        <v>9.8999999999999999E-4</v>
      </c>
      <c r="H5108" s="76">
        <v>1.3699999999999999E-3</v>
      </c>
      <c r="I5108" s="76">
        <v>1.57E-3</v>
      </c>
      <c r="J5108" s="76">
        <v>1.82E-3</v>
      </c>
      <c r="K5108" s="76">
        <v>2.15E-3</v>
      </c>
      <c r="L5108" s="76">
        <v>2.1900000000000001E-3</v>
      </c>
      <c r="M5108" s="76">
        <v>2.5500000000000002E-3</v>
      </c>
    </row>
    <row r="5109" spans="3:13" x14ac:dyDescent="0.15">
      <c r="C5109" s="76">
        <v>582</v>
      </c>
      <c r="D5109" s="76">
        <v>2.4000000000000001E-4</v>
      </c>
      <c r="E5109" s="76">
        <v>4.9100000000000001E-4</v>
      </c>
      <c r="F5109" s="76">
        <v>7.2199999999999999E-4</v>
      </c>
      <c r="G5109" s="76">
        <v>9.3199999999999999E-4</v>
      </c>
      <c r="H5109" s="76">
        <v>1.2899999999999999E-3</v>
      </c>
      <c r="I5109" s="76">
        <v>1.4499999999999999E-3</v>
      </c>
      <c r="J5109" s="76">
        <v>1.6800000000000001E-3</v>
      </c>
      <c r="K5109" s="76">
        <v>1.99E-3</v>
      </c>
      <c r="L5109" s="76">
        <v>2.0200000000000001E-3</v>
      </c>
      <c r="M5109" s="76">
        <v>2.3500000000000001E-3</v>
      </c>
    </row>
    <row r="5110" spans="3:13" x14ac:dyDescent="0.15">
      <c r="C5110" s="76">
        <v>584</v>
      </c>
      <c r="D5110" s="76">
        <v>2.22E-4</v>
      </c>
      <c r="E5110" s="76">
        <v>4.4999999999999999E-4</v>
      </c>
      <c r="F5110" s="76">
        <v>6.7400000000000001E-4</v>
      </c>
      <c r="G5110" s="76">
        <v>8.5999999999999998E-4</v>
      </c>
      <c r="H5110" s="76">
        <v>1.17E-3</v>
      </c>
      <c r="I5110" s="76">
        <v>1.33E-3</v>
      </c>
      <c r="J5110" s="76">
        <v>1.56E-3</v>
      </c>
      <c r="K5110" s="76">
        <v>1.8500000000000001E-3</v>
      </c>
      <c r="L5110" s="76">
        <v>1.9E-3</v>
      </c>
      <c r="M5110" s="76">
        <v>2.1900000000000001E-3</v>
      </c>
    </row>
    <row r="5111" spans="3:13" x14ac:dyDescent="0.15">
      <c r="C5111" s="76">
        <v>586</v>
      </c>
      <c r="D5111" s="76">
        <v>1.9799999999999999E-4</v>
      </c>
      <c r="E5111" s="76">
        <v>4.2200000000000001E-4</v>
      </c>
      <c r="F5111" s="76">
        <v>6.0700000000000001E-4</v>
      </c>
      <c r="G5111" s="76">
        <v>7.9000000000000001E-4</v>
      </c>
      <c r="H5111" s="76">
        <v>1.07E-3</v>
      </c>
      <c r="I5111" s="76">
        <v>1.1999999999999999E-3</v>
      </c>
      <c r="J5111" s="76">
        <v>1.42E-3</v>
      </c>
      <c r="K5111" s="76">
        <v>1.6800000000000001E-3</v>
      </c>
      <c r="L5111" s="76">
        <v>1.73E-3</v>
      </c>
      <c r="M5111" s="76">
        <v>1.9499999999999999E-3</v>
      </c>
    </row>
    <row r="5112" spans="3:13" x14ac:dyDescent="0.15">
      <c r="C5112" s="76">
        <v>588</v>
      </c>
      <c r="D5112" s="76">
        <v>1.9100000000000001E-4</v>
      </c>
      <c r="E5112" s="76">
        <v>3.9399999999999998E-4</v>
      </c>
      <c r="F5112" s="76">
        <v>5.3899999999999998E-4</v>
      </c>
      <c r="G5112" s="76">
        <v>7.3399999999999995E-4</v>
      </c>
      <c r="H5112" s="76">
        <v>9.7000000000000005E-4</v>
      </c>
      <c r="I5112" s="76">
        <v>1.07E-3</v>
      </c>
      <c r="J5112" s="76">
        <v>1.2999999999999999E-3</v>
      </c>
      <c r="K5112" s="76">
        <v>1.5100000000000001E-3</v>
      </c>
      <c r="L5112" s="76">
        <v>1.58E-3</v>
      </c>
      <c r="M5112" s="76">
        <v>1.7899999999999999E-3</v>
      </c>
    </row>
    <row r="5113" spans="3:13" x14ac:dyDescent="0.15">
      <c r="C5113" s="76">
        <v>590</v>
      </c>
      <c r="D5113" s="76">
        <v>1.7100000000000001E-4</v>
      </c>
      <c r="E5113" s="76">
        <v>3.5500000000000001E-4</v>
      </c>
      <c r="F5113" s="76">
        <v>4.8999999999999998E-4</v>
      </c>
      <c r="G5113" s="76">
        <v>6.4400000000000004E-4</v>
      </c>
      <c r="H5113" s="76">
        <v>8.9800000000000004E-4</v>
      </c>
      <c r="I5113" s="76">
        <v>1E-3</v>
      </c>
      <c r="J5113" s="76">
        <v>1.2099999999999999E-3</v>
      </c>
      <c r="K5113" s="76">
        <v>1.3799999999999999E-3</v>
      </c>
      <c r="L5113" s="76">
        <v>1.42E-3</v>
      </c>
      <c r="M5113" s="76">
        <v>1.6100000000000001E-3</v>
      </c>
    </row>
    <row r="5114" spans="3:13" x14ac:dyDescent="0.15">
      <c r="C5114" s="76">
        <v>592</v>
      </c>
      <c r="D5114" s="76">
        <v>1.64E-4</v>
      </c>
      <c r="E5114" s="76">
        <v>3.3599999999999998E-4</v>
      </c>
      <c r="F5114" s="76">
        <v>4.4700000000000002E-4</v>
      </c>
      <c r="G5114" s="76">
        <v>5.9100000000000005E-4</v>
      </c>
      <c r="H5114" s="76">
        <v>8.1999999999999998E-4</v>
      </c>
      <c r="I5114" s="76">
        <v>9.3099999999999997E-4</v>
      </c>
      <c r="J5114" s="76">
        <v>1.08E-3</v>
      </c>
      <c r="K5114" s="76">
        <v>1.25E-3</v>
      </c>
      <c r="L5114" s="76">
        <v>1.2999999999999999E-3</v>
      </c>
      <c r="M5114" s="76">
        <v>1.4499999999999999E-3</v>
      </c>
    </row>
    <row r="5115" spans="3:13" x14ac:dyDescent="0.15">
      <c r="C5115" s="76">
        <v>594</v>
      </c>
      <c r="D5115" s="76">
        <v>1.5200000000000001E-4</v>
      </c>
      <c r="E5115" s="76">
        <v>3.1300000000000002E-4</v>
      </c>
      <c r="F5115" s="76">
        <v>3.7599999999999998E-4</v>
      </c>
      <c r="G5115" s="76">
        <v>5.5199999999999997E-4</v>
      </c>
      <c r="H5115" s="76">
        <v>7.2000000000000005E-4</v>
      </c>
      <c r="I5115" s="76">
        <v>8.4699999999999999E-4</v>
      </c>
      <c r="J5115" s="76">
        <v>1.0300000000000001E-3</v>
      </c>
      <c r="K5115" s="76">
        <v>1.1000000000000001E-3</v>
      </c>
      <c r="L5115" s="76">
        <v>1.1999999999999999E-3</v>
      </c>
      <c r="M5115" s="76">
        <v>1.34E-3</v>
      </c>
    </row>
    <row r="5116" spans="3:13" x14ac:dyDescent="0.15">
      <c r="C5116" s="76">
        <v>596</v>
      </c>
      <c r="D5116" s="76">
        <v>1.3899999999999999E-4</v>
      </c>
      <c r="E5116" s="76">
        <v>2.7999999999999998E-4</v>
      </c>
      <c r="F5116" s="76">
        <v>3.5500000000000001E-4</v>
      </c>
      <c r="G5116" s="76">
        <v>5.2499999999999997E-4</v>
      </c>
      <c r="H5116" s="76">
        <v>6.4700000000000001E-4</v>
      </c>
      <c r="I5116" s="76">
        <v>7.54E-4</v>
      </c>
      <c r="J5116" s="76">
        <v>9.3499999999999996E-4</v>
      </c>
      <c r="K5116" s="76">
        <v>1.01E-3</v>
      </c>
      <c r="L5116" s="76">
        <v>1.1199999999999999E-3</v>
      </c>
      <c r="M5116" s="76">
        <v>1.1999999999999999E-3</v>
      </c>
    </row>
    <row r="5117" spans="3:13" x14ac:dyDescent="0.15">
      <c r="C5117" s="76">
        <v>598</v>
      </c>
      <c r="D5117" s="76">
        <v>1.25E-4</v>
      </c>
      <c r="E5117" s="76">
        <v>2.7799999999999998E-4</v>
      </c>
      <c r="F5117" s="76">
        <v>3.5500000000000001E-4</v>
      </c>
      <c r="G5117" s="76">
        <v>4.5399999999999998E-4</v>
      </c>
      <c r="H5117" s="76">
        <v>6.4800000000000003E-4</v>
      </c>
      <c r="I5117" s="76">
        <v>7.1100000000000004E-4</v>
      </c>
      <c r="J5117" s="76">
        <v>8.3799999999999999E-4</v>
      </c>
      <c r="K5117" s="76">
        <v>8.83E-4</v>
      </c>
      <c r="L5117" s="76">
        <v>1.01E-3</v>
      </c>
      <c r="M5117" s="76">
        <v>1.0399999999999999E-3</v>
      </c>
    </row>
    <row r="5118" spans="3:13" x14ac:dyDescent="0.15">
      <c r="C5118" s="76">
        <v>600</v>
      </c>
      <c r="D5118" s="76">
        <v>1.18E-4</v>
      </c>
      <c r="E5118" s="76">
        <v>2.52E-4</v>
      </c>
      <c r="F5118" s="76">
        <v>3.3799999999999998E-4</v>
      </c>
      <c r="G5118" s="76">
        <v>4.3300000000000001E-4</v>
      </c>
      <c r="H5118" s="76">
        <v>5.8100000000000003E-4</v>
      </c>
      <c r="I5118" s="76">
        <v>6.0700000000000001E-4</v>
      </c>
      <c r="J5118" s="76">
        <v>8.5499999999999997E-4</v>
      </c>
      <c r="K5118" s="76">
        <v>8.5400000000000005E-4</v>
      </c>
      <c r="L5118" s="76">
        <v>9.3300000000000002E-4</v>
      </c>
      <c r="M5118" s="76">
        <v>9.7300000000000002E-4</v>
      </c>
    </row>
    <row r="5119" spans="3:13" x14ac:dyDescent="0.15">
      <c r="C5119" s="76">
        <v>602</v>
      </c>
      <c r="D5119" s="76">
        <v>1.08E-4</v>
      </c>
      <c r="E5119" s="76">
        <v>2.3599999999999999E-4</v>
      </c>
      <c r="F5119" s="76">
        <v>2.9599999999999998E-4</v>
      </c>
      <c r="G5119" s="76">
        <v>4.0700000000000003E-4</v>
      </c>
      <c r="H5119" s="76">
        <v>5.0600000000000005E-4</v>
      </c>
      <c r="I5119" s="76">
        <v>5.9299999999999999E-4</v>
      </c>
      <c r="J5119" s="76">
        <v>7.4399999999999998E-4</v>
      </c>
      <c r="K5119" s="76">
        <v>7.2099999999999996E-4</v>
      </c>
      <c r="L5119" s="76">
        <v>8.9800000000000004E-4</v>
      </c>
      <c r="M5119" s="76">
        <v>8.9499999999999996E-4</v>
      </c>
    </row>
    <row r="5120" spans="3:13" x14ac:dyDescent="0.15">
      <c r="C5120" s="76">
        <v>604</v>
      </c>
      <c r="D5120" s="76">
        <v>1.02E-4</v>
      </c>
      <c r="E5120" s="76">
        <v>2.22E-4</v>
      </c>
      <c r="F5120" s="76">
        <v>2.6600000000000001E-4</v>
      </c>
      <c r="G5120" s="76">
        <v>3.9599999999999998E-4</v>
      </c>
      <c r="H5120" s="76">
        <v>4.3899999999999999E-4</v>
      </c>
      <c r="I5120" s="76">
        <v>5.6899999999999995E-4</v>
      </c>
      <c r="J5120" s="76">
        <v>6.4099999999999997E-4</v>
      </c>
      <c r="K5120" s="76">
        <v>6.8300000000000001E-4</v>
      </c>
      <c r="L5120" s="76">
        <v>9.0799999999999995E-4</v>
      </c>
      <c r="M5120" s="76">
        <v>8.1400000000000005E-4</v>
      </c>
    </row>
    <row r="5121" spans="3:13" x14ac:dyDescent="0.15">
      <c r="C5121" s="76">
        <v>606</v>
      </c>
      <c r="D5121" s="76">
        <v>8.6899999999999998E-5</v>
      </c>
      <c r="E5121" s="76">
        <v>1.9100000000000001E-4</v>
      </c>
      <c r="F5121" s="76">
        <v>2.4899999999999998E-4</v>
      </c>
      <c r="G5121" s="76">
        <v>3.8699999999999997E-4</v>
      </c>
      <c r="H5121" s="76">
        <v>4.3199999999999998E-4</v>
      </c>
      <c r="I5121" s="76">
        <v>5.44E-4</v>
      </c>
      <c r="J5121" s="76">
        <v>6.8199999999999999E-4</v>
      </c>
      <c r="K5121" s="76">
        <v>6.2200000000000005E-4</v>
      </c>
      <c r="L5121" s="76">
        <v>8.5099999999999998E-4</v>
      </c>
      <c r="M5121" s="76">
        <v>6.8999999999999997E-4</v>
      </c>
    </row>
    <row r="5122" spans="3:13" x14ac:dyDescent="0.15">
      <c r="C5122" s="76">
        <v>608</v>
      </c>
      <c r="D5122" s="76">
        <v>8.5599999999999994E-5</v>
      </c>
      <c r="E5122" s="76">
        <v>1.85E-4</v>
      </c>
      <c r="F5122" s="76">
        <v>2.32E-4</v>
      </c>
      <c r="G5122" s="76">
        <v>3.7100000000000002E-4</v>
      </c>
      <c r="H5122" s="76">
        <v>3.8200000000000002E-4</v>
      </c>
      <c r="I5122" s="76">
        <v>5.2099999999999998E-4</v>
      </c>
      <c r="J5122" s="76">
        <v>6.1700000000000004E-4</v>
      </c>
      <c r="K5122" s="76">
        <v>5.8100000000000003E-4</v>
      </c>
      <c r="L5122" s="76">
        <v>7.8399999999999997E-4</v>
      </c>
      <c r="M5122" s="76">
        <v>7.5299999999999998E-4</v>
      </c>
    </row>
    <row r="5123" spans="3:13" x14ac:dyDescent="0.15">
      <c r="C5123" s="76">
        <v>610</v>
      </c>
      <c r="D5123" s="76">
        <v>8.4800000000000001E-5</v>
      </c>
      <c r="E5123" s="76">
        <v>1.64E-4</v>
      </c>
      <c r="F5123" s="76">
        <v>1.92E-4</v>
      </c>
      <c r="G5123" s="76">
        <v>3.1700000000000001E-4</v>
      </c>
      <c r="H5123" s="76">
        <v>3.4000000000000002E-4</v>
      </c>
      <c r="I5123" s="76">
        <v>4.64E-4</v>
      </c>
      <c r="J5123" s="76">
        <v>5.9100000000000005E-4</v>
      </c>
      <c r="K5123" s="76">
        <v>5.4000000000000001E-4</v>
      </c>
      <c r="L5123" s="76">
        <v>7.4200000000000004E-4</v>
      </c>
      <c r="M5123" s="76">
        <v>6.5499999999999998E-4</v>
      </c>
    </row>
    <row r="5124" spans="3:13" x14ac:dyDescent="0.15">
      <c r="C5124" s="76">
        <v>612</v>
      </c>
      <c r="D5124" s="76">
        <v>7.6500000000000003E-5</v>
      </c>
      <c r="E5124" s="76">
        <v>1.6000000000000001E-4</v>
      </c>
      <c r="F5124" s="76">
        <v>1.9599999999999999E-4</v>
      </c>
      <c r="G5124" s="76">
        <v>3.3700000000000001E-4</v>
      </c>
      <c r="H5124" s="76">
        <v>2.9300000000000002E-4</v>
      </c>
      <c r="I5124" s="76">
        <v>4.1300000000000001E-4</v>
      </c>
      <c r="J5124" s="76">
        <v>5.2599999999999999E-4</v>
      </c>
      <c r="K5124" s="76">
        <v>4.86E-4</v>
      </c>
      <c r="L5124" s="76">
        <v>6.3000000000000003E-4</v>
      </c>
      <c r="M5124" s="76">
        <v>6.3400000000000001E-4</v>
      </c>
    </row>
    <row r="5125" spans="3:13" x14ac:dyDescent="0.15">
      <c r="C5125" s="76">
        <v>614</v>
      </c>
      <c r="D5125" s="76">
        <v>6.5099999999999997E-5</v>
      </c>
      <c r="E5125" s="76">
        <v>1.4100000000000001E-4</v>
      </c>
      <c r="F5125" s="76">
        <v>1.9799999999999999E-4</v>
      </c>
      <c r="G5125" s="76">
        <v>3.0800000000000001E-4</v>
      </c>
      <c r="H5125" s="76">
        <v>2.7399999999999999E-4</v>
      </c>
      <c r="I5125" s="76">
        <v>4.0499999999999998E-4</v>
      </c>
      <c r="J5125" s="76">
        <v>5.4799999999999998E-4</v>
      </c>
      <c r="K5125" s="76">
        <v>4.0499999999999998E-4</v>
      </c>
      <c r="L5125" s="76">
        <v>6.4000000000000005E-4</v>
      </c>
      <c r="M5125" s="76">
        <v>6.4499999999999996E-4</v>
      </c>
    </row>
    <row r="5126" spans="3:13" x14ac:dyDescent="0.15">
      <c r="C5126" s="76">
        <v>616</v>
      </c>
      <c r="D5126" s="76">
        <v>6.0300000000000002E-5</v>
      </c>
      <c r="E5126" s="76">
        <v>1.3999999999999999E-4</v>
      </c>
      <c r="F5126" s="76">
        <v>1.7899999999999999E-4</v>
      </c>
      <c r="G5126" s="76">
        <v>2.6600000000000001E-4</v>
      </c>
      <c r="H5126" s="76">
        <v>2.4399999999999999E-4</v>
      </c>
      <c r="I5126" s="76">
        <v>3.7599999999999998E-4</v>
      </c>
      <c r="J5126" s="76">
        <v>5.1699999999999999E-4</v>
      </c>
      <c r="K5126" s="76">
        <v>3.9399999999999998E-4</v>
      </c>
      <c r="L5126" s="76">
        <v>6.11E-4</v>
      </c>
      <c r="M5126" s="76">
        <v>6.2399999999999999E-4</v>
      </c>
    </row>
    <row r="5127" spans="3:13" x14ac:dyDescent="0.15">
      <c r="C5127" s="76">
        <v>618</v>
      </c>
      <c r="D5127" s="76">
        <v>4.8000000000000001E-5</v>
      </c>
      <c r="E5127" s="76">
        <v>1.05E-4</v>
      </c>
      <c r="F5127" s="76">
        <v>1.74E-4</v>
      </c>
      <c r="G5127" s="76">
        <v>2.6600000000000001E-4</v>
      </c>
      <c r="H5127" s="76">
        <v>2.5700000000000001E-4</v>
      </c>
      <c r="I5127" s="76">
        <v>2.9999999999999997E-4</v>
      </c>
      <c r="J5127" s="76">
        <v>4.9200000000000003E-4</v>
      </c>
      <c r="K5127" s="76">
        <v>3.6499999999999998E-4</v>
      </c>
      <c r="L5127" s="76">
        <v>6.2200000000000005E-4</v>
      </c>
      <c r="M5127" s="76">
        <v>5.1900000000000004E-4</v>
      </c>
    </row>
    <row r="5128" spans="3:13" x14ac:dyDescent="0.15">
      <c r="C5128" s="76">
        <v>620</v>
      </c>
      <c r="D5128" s="76">
        <v>5.3100000000000003E-5</v>
      </c>
      <c r="E5128" s="76">
        <v>1.11E-4</v>
      </c>
      <c r="F5128" s="76">
        <v>1.6200000000000001E-4</v>
      </c>
      <c r="G5128" s="76">
        <v>2.5900000000000001E-4</v>
      </c>
      <c r="H5128" s="76">
        <v>1.9699999999999999E-4</v>
      </c>
      <c r="I5128" s="76">
        <v>3.19E-4</v>
      </c>
      <c r="J5128" s="76">
        <v>4.4900000000000002E-4</v>
      </c>
      <c r="K5128" s="76">
        <v>3.4499999999999998E-4</v>
      </c>
      <c r="L5128" s="76">
        <v>5.4500000000000002E-4</v>
      </c>
      <c r="M5128" s="76">
        <v>4.9200000000000003E-4</v>
      </c>
    </row>
    <row r="5129" spans="3:13" x14ac:dyDescent="0.15">
      <c r="C5129" s="76">
        <v>622</v>
      </c>
      <c r="D5129" s="76">
        <v>5.0399999999999999E-5</v>
      </c>
      <c r="E5129" s="76">
        <v>1.07E-4</v>
      </c>
      <c r="F5129" s="76">
        <v>1.4200000000000001E-4</v>
      </c>
      <c r="G5129" s="76">
        <v>2.5099999999999998E-4</v>
      </c>
      <c r="H5129" s="76">
        <v>1.9599999999999999E-4</v>
      </c>
      <c r="I5129" s="76">
        <v>3.1399999999999999E-4</v>
      </c>
      <c r="J5129" s="76">
        <v>4.0900000000000002E-4</v>
      </c>
      <c r="K5129" s="76">
        <v>3.2200000000000002E-4</v>
      </c>
      <c r="L5129" s="76">
        <v>4.86E-4</v>
      </c>
      <c r="M5129" s="76">
        <v>4.5899999999999999E-4</v>
      </c>
    </row>
    <row r="5130" spans="3:13" x14ac:dyDescent="0.15">
      <c r="C5130" s="76">
        <v>624</v>
      </c>
      <c r="D5130" s="76">
        <v>4.7700000000000001E-5</v>
      </c>
      <c r="E5130" s="76">
        <v>1.07E-4</v>
      </c>
      <c r="F5130" s="76">
        <v>1.4200000000000001E-4</v>
      </c>
      <c r="G5130" s="76">
        <v>2.41E-4</v>
      </c>
      <c r="H5130" s="76">
        <v>1.6799999999999999E-4</v>
      </c>
      <c r="I5130" s="76">
        <v>2.7500000000000002E-4</v>
      </c>
      <c r="J5130" s="76">
        <v>3.97E-4</v>
      </c>
      <c r="K5130" s="76">
        <v>3.2200000000000002E-4</v>
      </c>
      <c r="L5130" s="76">
        <v>4.0000000000000002E-4</v>
      </c>
      <c r="M5130" s="76">
        <v>4.3300000000000001E-4</v>
      </c>
    </row>
    <row r="5131" spans="3:13" x14ac:dyDescent="0.15">
      <c r="C5131" s="76">
        <v>626</v>
      </c>
      <c r="D5131" s="76">
        <v>4.1E-5</v>
      </c>
      <c r="E5131" s="76">
        <v>8.92E-5</v>
      </c>
      <c r="F5131" s="76">
        <v>1.47E-4</v>
      </c>
      <c r="G5131" s="76">
        <v>2.22E-4</v>
      </c>
      <c r="H5131" s="76">
        <v>1.15E-4</v>
      </c>
      <c r="I5131" s="76">
        <v>2.8499999999999999E-4</v>
      </c>
      <c r="J5131" s="76">
        <v>3.39E-4</v>
      </c>
      <c r="K5131" s="76">
        <v>2.6499999999999999E-4</v>
      </c>
      <c r="L5131" s="76">
        <v>4.0700000000000003E-4</v>
      </c>
      <c r="M5131" s="76">
        <v>4.1899999999999999E-4</v>
      </c>
    </row>
    <row r="5132" spans="3:13" x14ac:dyDescent="0.15">
      <c r="C5132" s="76">
        <v>628</v>
      </c>
      <c r="D5132" s="76">
        <v>3.8500000000000001E-5</v>
      </c>
      <c r="E5132" s="76">
        <v>9.2899999999999995E-5</v>
      </c>
      <c r="F5132" s="76">
        <v>1.4899999999999999E-4</v>
      </c>
      <c r="G5132" s="76">
        <v>2.3900000000000001E-4</v>
      </c>
      <c r="H5132" s="76">
        <v>1.47E-4</v>
      </c>
      <c r="I5132" s="76">
        <v>2.5399999999999999E-4</v>
      </c>
      <c r="J5132" s="76">
        <v>3.2600000000000001E-4</v>
      </c>
      <c r="K5132" s="76">
        <v>2.6899999999999998E-4</v>
      </c>
      <c r="L5132" s="76">
        <v>4.3800000000000002E-4</v>
      </c>
      <c r="M5132" s="76">
        <v>2.6899999999999998E-4</v>
      </c>
    </row>
    <row r="5133" spans="3:13" x14ac:dyDescent="0.15">
      <c r="C5133" s="76">
        <v>630</v>
      </c>
      <c r="D5133" s="76">
        <v>3.68E-5</v>
      </c>
      <c r="E5133" s="76">
        <v>8.8700000000000001E-5</v>
      </c>
      <c r="F5133" s="76">
        <v>1.2899999999999999E-4</v>
      </c>
      <c r="G5133" s="76">
        <v>2.23E-4</v>
      </c>
      <c r="H5133" s="76">
        <v>1.3899999999999999E-4</v>
      </c>
      <c r="I5133" s="76">
        <v>2.5399999999999999E-4</v>
      </c>
      <c r="J5133" s="76">
        <v>3.1799999999999998E-4</v>
      </c>
      <c r="K5133" s="76">
        <v>2.6600000000000001E-4</v>
      </c>
      <c r="L5133" s="76">
        <v>4.06E-4</v>
      </c>
      <c r="M5133" s="76">
        <v>3.77E-4</v>
      </c>
    </row>
    <row r="5134" spans="3:13" x14ac:dyDescent="0.15">
      <c r="C5134" s="76">
        <v>632</v>
      </c>
      <c r="D5134" s="76">
        <v>3.0700000000000001E-5</v>
      </c>
      <c r="E5134" s="76">
        <v>7.9599999999999997E-5</v>
      </c>
      <c r="F5134" s="76">
        <v>1.4899999999999999E-4</v>
      </c>
      <c r="G5134" s="76">
        <v>1.7000000000000001E-4</v>
      </c>
      <c r="H5134" s="76">
        <v>1.06E-4</v>
      </c>
      <c r="I5134" s="76">
        <v>2.4600000000000002E-4</v>
      </c>
      <c r="J5134" s="76">
        <v>3.1100000000000002E-4</v>
      </c>
      <c r="K5134" s="76">
        <v>2.7300000000000002E-4</v>
      </c>
      <c r="L5134" s="76">
        <v>4.2400000000000001E-4</v>
      </c>
      <c r="M5134" s="76">
        <v>3.7100000000000002E-4</v>
      </c>
    </row>
    <row r="5135" spans="3:13" x14ac:dyDescent="0.15">
      <c r="C5135" s="76">
        <v>634</v>
      </c>
      <c r="D5135" s="76">
        <v>2.8399999999999999E-5</v>
      </c>
      <c r="E5135" s="76">
        <v>7.7600000000000002E-5</v>
      </c>
      <c r="F5135" s="76">
        <v>1.5200000000000001E-4</v>
      </c>
      <c r="G5135" s="76">
        <v>1.8799999999999999E-4</v>
      </c>
      <c r="H5135" s="76">
        <v>1.2400000000000001E-4</v>
      </c>
      <c r="I5135" s="76">
        <v>2.4399999999999999E-4</v>
      </c>
      <c r="J5135" s="76">
        <v>2.4399999999999999E-4</v>
      </c>
      <c r="K5135" s="76">
        <v>2.7599999999999999E-4</v>
      </c>
      <c r="L5135" s="76">
        <v>3.86E-4</v>
      </c>
      <c r="M5135" s="76">
        <v>3.9199999999999999E-4</v>
      </c>
    </row>
    <row r="5136" spans="3:13" x14ac:dyDescent="0.15">
      <c r="C5136" s="76">
        <v>636</v>
      </c>
      <c r="D5136" s="76">
        <v>3.04E-5</v>
      </c>
      <c r="E5136" s="76">
        <v>6.7700000000000006E-5</v>
      </c>
      <c r="F5136" s="76">
        <v>8.2399999999999997E-5</v>
      </c>
      <c r="G5136" s="76">
        <v>1.76E-4</v>
      </c>
      <c r="H5136" s="76">
        <v>1.18E-4</v>
      </c>
      <c r="I5136" s="76">
        <v>2.2100000000000001E-4</v>
      </c>
      <c r="J5136" s="76">
        <v>2.8899999999999998E-4</v>
      </c>
      <c r="K5136" s="76">
        <v>2.0100000000000001E-4</v>
      </c>
      <c r="L5136" s="76">
        <v>3.8000000000000002E-4</v>
      </c>
      <c r="M5136" s="76">
        <v>3.1500000000000001E-4</v>
      </c>
    </row>
    <row r="5137" spans="3:13" x14ac:dyDescent="0.15">
      <c r="C5137" s="76">
        <v>638</v>
      </c>
      <c r="D5137" s="76">
        <v>2.7699999999999999E-5</v>
      </c>
      <c r="E5137" s="76">
        <v>5.3999999999999998E-5</v>
      </c>
      <c r="F5137" s="76">
        <v>1.2E-4</v>
      </c>
      <c r="G5137" s="76">
        <v>1.84E-4</v>
      </c>
      <c r="H5137" s="76">
        <v>1.13E-4</v>
      </c>
      <c r="I5137" s="76">
        <v>2.7599999999999999E-4</v>
      </c>
      <c r="J5137" s="76">
        <v>2.6499999999999999E-4</v>
      </c>
      <c r="K5137" s="76">
        <v>2.4699999999999999E-4</v>
      </c>
      <c r="L5137" s="76">
        <v>2.9100000000000003E-4</v>
      </c>
      <c r="M5137" s="76">
        <v>4.2499999999999998E-4</v>
      </c>
    </row>
    <row r="5138" spans="3:13" x14ac:dyDescent="0.15">
      <c r="C5138" s="76">
        <v>640</v>
      </c>
      <c r="D5138" s="76">
        <v>2.8E-5</v>
      </c>
      <c r="E5138" s="76">
        <v>4.21E-5</v>
      </c>
      <c r="F5138" s="76">
        <v>1.12E-4</v>
      </c>
      <c r="G5138" s="76">
        <v>1.4200000000000001E-4</v>
      </c>
      <c r="H5138" s="76">
        <v>1.34E-4</v>
      </c>
      <c r="I5138" s="76">
        <v>1.4799999999999999E-4</v>
      </c>
      <c r="J5138" s="76">
        <v>2.4000000000000001E-4</v>
      </c>
      <c r="K5138" s="76">
        <v>2.2900000000000001E-4</v>
      </c>
      <c r="L5138" s="76">
        <v>2.8800000000000001E-4</v>
      </c>
      <c r="M5138" s="76">
        <v>3.7599999999999998E-4</v>
      </c>
    </row>
    <row r="5139" spans="3:13" x14ac:dyDescent="0.15">
      <c r="C5139" s="76">
        <v>642</v>
      </c>
      <c r="D5139" s="76">
        <v>2.23E-5</v>
      </c>
      <c r="E5139" s="76">
        <v>4.6900000000000002E-5</v>
      </c>
      <c r="F5139" s="76">
        <v>1.4100000000000001E-4</v>
      </c>
      <c r="G5139" s="76">
        <v>1.5200000000000001E-4</v>
      </c>
      <c r="H5139" s="76">
        <v>1.06E-4</v>
      </c>
      <c r="I5139" s="76">
        <v>1.4999999999999999E-4</v>
      </c>
      <c r="J5139" s="76">
        <v>2.6499999999999999E-4</v>
      </c>
      <c r="K5139" s="76">
        <v>2.4800000000000001E-4</v>
      </c>
      <c r="L5139" s="76">
        <v>2.0100000000000001E-4</v>
      </c>
      <c r="M5139" s="76">
        <v>3.3500000000000001E-4</v>
      </c>
    </row>
    <row r="5140" spans="3:13" x14ac:dyDescent="0.15">
      <c r="C5140" s="76">
        <v>644</v>
      </c>
      <c r="D5140" s="76">
        <v>2.26E-5</v>
      </c>
      <c r="E5140" s="76">
        <v>5.3999999999999998E-5</v>
      </c>
      <c r="F5140" s="76">
        <v>1.2E-4</v>
      </c>
      <c r="G5140" s="76">
        <v>1.21E-4</v>
      </c>
      <c r="H5140" s="76">
        <v>1.2300000000000001E-4</v>
      </c>
      <c r="I5140" s="76">
        <v>1.73E-4</v>
      </c>
      <c r="J5140" s="76">
        <v>2.4899999999999998E-4</v>
      </c>
      <c r="K5140" s="76">
        <v>2.8299999999999999E-4</v>
      </c>
      <c r="L5140" s="76">
        <v>1.8200000000000001E-4</v>
      </c>
      <c r="M5140" s="76">
        <v>3.0400000000000002E-4</v>
      </c>
    </row>
    <row r="5141" spans="3:13" x14ac:dyDescent="0.15">
      <c r="C5141" s="76">
        <v>646</v>
      </c>
      <c r="D5141" s="76">
        <v>1.9000000000000001E-5</v>
      </c>
      <c r="E5141" s="76">
        <v>3.6699999999999998E-5</v>
      </c>
      <c r="F5141" s="76">
        <v>9.5500000000000004E-5</v>
      </c>
      <c r="G5141" s="76">
        <v>1.3100000000000001E-4</v>
      </c>
      <c r="H5141" s="76">
        <v>1.26E-4</v>
      </c>
      <c r="I5141" s="76">
        <v>1.94E-4</v>
      </c>
      <c r="J5141" s="76">
        <v>1.9100000000000001E-4</v>
      </c>
      <c r="K5141" s="76">
        <v>2.72E-4</v>
      </c>
      <c r="L5141" s="76">
        <v>1.66E-4</v>
      </c>
      <c r="M5141" s="76">
        <v>4.4700000000000002E-4</v>
      </c>
    </row>
    <row r="5142" spans="3:13" x14ac:dyDescent="0.15">
      <c r="C5142" s="76">
        <v>648</v>
      </c>
      <c r="D5142" s="76">
        <v>2.09E-5</v>
      </c>
      <c r="E5142" s="76">
        <v>4.0299999999999997E-5</v>
      </c>
      <c r="F5142" s="76">
        <v>8.1600000000000005E-5</v>
      </c>
      <c r="G5142" s="76">
        <v>1.1900000000000001E-4</v>
      </c>
      <c r="H5142" s="76">
        <v>1.3799999999999999E-4</v>
      </c>
      <c r="I5142" s="76">
        <v>2.2499999999999999E-4</v>
      </c>
      <c r="J5142" s="76">
        <v>2.5300000000000002E-4</v>
      </c>
      <c r="K5142" s="76">
        <v>2.6200000000000003E-4</v>
      </c>
      <c r="L5142" s="76">
        <v>1.94E-4</v>
      </c>
      <c r="M5142" s="76">
        <v>3.3700000000000001E-4</v>
      </c>
    </row>
    <row r="5143" spans="3:13" x14ac:dyDescent="0.15">
      <c r="C5143" s="76">
        <v>650</v>
      </c>
      <c r="D5143" s="76">
        <v>2.1399999999999998E-5</v>
      </c>
      <c r="E5143" s="76">
        <v>3.2100000000000001E-5</v>
      </c>
      <c r="F5143" s="76">
        <v>8.9900000000000003E-5</v>
      </c>
      <c r="G5143" s="76">
        <v>8.1100000000000006E-5</v>
      </c>
      <c r="H5143" s="76">
        <v>1.5300000000000001E-4</v>
      </c>
      <c r="I5143" s="76">
        <v>1.6200000000000001E-4</v>
      </c>
      <c r="J5143" s="76">
        <v>1.92E-4</v>
      </c>
      <c r="K5143" s="76">
        <v>3.1E-4</v>
      </c>
      <c r="L5143" s="76">
        <v>1.5100000000000001E-4</v>
      </c>
      <c r="M5143" s="76">
        <v>4.4299999999999998E-4</v>
      </c>
    </row>
    <row r="5144" spans="3:13" x14ac:dyDescent="0.15">
      <c r="C5144" s="76">
        <v>652</v>
      </c>
      <c r="D5144" s="76">
        <v>1.7200000000000001E-5</v>
      </c>
      <c r="E5144" s="76">
        <v>3.0599999999999998E-5</v>
      </c>
      <c r="F5144" s="76">
        <v>1.06E-4</v>
      </c>
      <c r="G5144" s="76">
        <v>7.6199999999999995E-5</v>
      </c>
      <c r="H5144" s="76">
        <v>1.2999999999999999E-4</v>
      </c>
      <c r="I5144" s="76">
        <v>1.54E-4</v>
      </c>
      <c r="J5144" s="76">
        <v>1.6899999999999999E-4</v>
      </c>
      <c r="K5144" s="76">
        <v>2.8499999999999999E-4</v>
      </c>
      <c r="L5144" s="76">
        <v>2.7900000000000001E-4</v>
      </c>
      <c r="M5144" s="76">
        <v>4.2499999999999998E-4</v>
      </c>
    </row>
    <row r="5145" spans="3:13" x14ac:dyDescent="0.15">
      <c r="C5145" s="76">
        <v>654</v>
      </c>
      <c r="D5145" s="76">
        <v>1.7799999999999999E-5</v>
      </c>
      <c r="E5145" s="76">
        <v>1.4800000000000001E-5</v>
      </c>
      <c r="F5145" s="76">
        <v>7.4200000000000001E-5</v>
      </c>
      <c r="G5145" s="76">
        <v>8.4599999999999996E-5</v>
      </c>
      <c r="H5145" s="76">
        <v>1.5799999999999999E-4</v>
      </c>
      <c r="I5145" s="76">
        <v>1.45E-4</v>
      </c>
      <c r="J5145" s="76">
        <v>2.81E-4</v>
      </c>
      <c r="K5145" s="76">
        <v>2.8499999999999999E-4</v>
      </c>
      <c r="L5145" s="76">
        <v>2.42E-4</v>
      </c>
      <c r="M5145" s="76">
        <v>3.2600000000000001E-4</v>
      </c>
    </row>
    <row r="5146" spans="3:13" x14ac:dyDescent="0.15">
      <c r="C5146" s="76">
        <v>656</v>
      </c>
      <c r="D5146" s="76">
        <v>1.7799999999999999E-5</v>
      </c>
      <c r="E5146" s="76">
        <v>1.45E-5</v>
      </c>
      <c r="F5146" s="76">
        <v>9.1100000000000005E-5</v>
      </c>
      <c r="G5146" s="76">
        <v>5.9200000000000002E-5</v>
      </c>
      <c r="H5146" s="76">
        <v>1.4999999999999999E-4</v>
      </c>
      <c r="I5146" s="76">
        <v>1.8699999999999999E-4</v>
      </c>
      <c r="J5146" s="76">
        <v>7.5199999999999998E-5</v>
      </c>
      <c r="K5146" s="76">
        <v>2.6400000000000002E-4</v>
      </c>
      <c r="L5146" s="76">
        <v>1.9799999999999999E-4</v>
      </c>
      <c r="M5146" s="76">
        <v>3.8200000000000002E-4</v>
      </c>
    </row>
    <row r="5147" spans="3:13" x14ac:dyDescent="0.15">
      <c r="C5147" s="76">
        <v>658</v>
      </c>
      <c r="D5147" s="76">
        <v>2.9099999999999999E-5</v>
      </c>
      <c r="E5147" s="76">
        <v>8.2199999999999992E-6</v>
      </c>
      <c r="F5147" s="76">
        <v>8.7399999999999997E-5</v>
      </c>
      <c r="G5147" s="76">
        <v>5.4799999999999997E-5</v>
      </c>
      <c r="H5147" s="76">
        <v>1.47E-4</v>
      </c>
      <c r="I5147" s="76">
        <v>1.6200000000000001E-4</v>
      </c>
      <c r="J5147" s="76">
        <v>1.8000000000000001E-4</v>
      </c>
      <c r="K5147" s="76">
        <v>2.7999999999999998E-4</v>
      </c>
      <c r="L5147" s="76">
        <v>1.55E-4</v>
      </c>
      <c r="M5147" s="76">
        <v>3.3199999999999999E-4</v>
      </c>
    </row>
    <row r="5148" spans="3:13" x14ac:dyDescent="0.15">
      <c r="C5148" s="76">
        <v>660</v>
      </c>
      <c r="D5148" s="76">
        <v>2.7800000000000001E-5</v>
      </c>
      <c r="E5148" s="76">
        <v>1.3699999999999999E-5</v>
      </c>
      <c r="F5148" s="76">
        <v>7.3300000000000006E-5</v>
      </c>
      <c r="G5148" s="76">
        <v>6.86E-5</v>
      </c>
      <c r="H5148" s="76">
        <v>1.2300000000000001E-4</v>
      </c>
      <c r="I5148" s="76">
        <v>1.1900000000000001E-4</v>
      </c>
      <c r="J5148" s="76">
        <v>1.93E-4</v>
      </c>
      <c r="K5148" s="76">
        <v>2.5300000000000002E-4</v>
      </c>
      <c r="L5148" s="76">
        <v>1.3200000000000001E-4</v>
      </c>
      <c r="M5148" s="76">
        <v>2.04E-4</v>
      </c>
    </row>
    <row r="5149" spans="3:13" x14ac:dyDescent="0.15">
      <c r="C5149" s="76">
        <v>662</v>
      </c>
      <c r="D5149" s="76">
        <v>2.3200000000000001E-5</v>
      </c>
      <c r="E5149" s="76">
        <v>2.7900000000000001E-5</v>
      </c>
      <c r="F5149" s="76">
        <v>8.9800000000000001E-5</v>
      </c>
      <c r="G5149" s="76">
        <v>5.6499999999999998E-5</v>
      </c>
      <c r="H5149" s="76">
        <v>1.3799999999999999E-4</v>
      </c>
      <c r="I5149" s="76">
        <v>8.8200000000000003E-5</v>
      </c>
      <c r="J5149" s="76">
        <v>1.4100000000000001E-4</v>
      </c>
      <c r="K5149" s="76">
        <v>2.5300000000000002E-4</v>
      </c>
      <c r="L5149" s="76">
        <v>1.74E-4</v>
      </c>
      <c r="M5149" s="76">
        <v>2.31E-4</v>
      </c>
    </row>
    <row r="5150" spans="3:13" x14ac:dyDescent="0.15">
      <c r="C5150" s="76">
        <v>664</v>
      </c>
      <c r="D5150" s="76">
        <v>2.1800000000000001E-5</v>
      </c>
      <c r="E5150" s="76">
        <v>2.5400000000000001E-5</v>
      </c>
      <c r="F5150" s="76">
        <v>4.5000000000000003E-5</v>
      </c>
      <c r="G5150" s="76">
        <v>5.0899999999999997E-5</v>
      </c>
      <c r="H5150" s="76">
        <v>1.27E-4</v>
      </c>
      <c r="I5150" s="76">
        <v>8.5000000000000006E-5</v>
      </c>
      <c r="J5150" s="76">
        <v>1.11E-4</v>
      </c>
      <c r="K5150" s="76">
        <v>2.5399999999999999E-4</v>
      </c>
      <c r="L5150" s="76">
        <v>1.2999999999999999E-4</v>
      </c>
      <c r="M5150" s="76">
        <v>1.9100000000000001E-4</v>
      </c>
    </row>
    <row r="5151" spans="3:13" x14ac:dyDescent="0.15">
      <c r="C5151" s="76">
        <v>666</v>
      </c>
      <c r="D5151" s="76">
        <v>2.0000000000000002E-5</v>
      </c>
      <c r="E5151" s="76">
        <v>1.9300000000000002E-5</v>
      </c>
      <c r="F5151" s="76">
        <v>4.99E-5</v>
      </c>
      <c r="G5151" s="76">
        <v>5.0500000000000001E-5</v>
      </c>
      <c r="H5151" s="76">
        <v>1.13E-4</v>
      </c>
      <c r="I5151" s="76">
        <v>1.01E-4</v>
      </c>
      <c r="J5151" s="76">
        <v>8.7700000000000004E-5</v>
      </c>
      <c r="K5151" s="76">
        <v>1.7899999999999999E-4</v>
      </c>
      <c r="L5151" s="76">
        <v>1.4300000000000001E-4</v>
      </c>
      <c r="M5151" s="76">
        <v>2.03E-4</v>
      </c>
    </row>
    <row r="5152" spans="3:13" x14ac:dyDescent="0.15">
      <c r="C5152" s="76">
        <v>668</v>
      </c>
      <c r="D5152" s="76">
        <v>2.0599999999999999E-5</v>
      </c>
      <c r="E5152" s="76">
        <v>2.1999999999999999E-5</v>
      </c>
      <c r="F5152" s="76">
        <v>6.0300000000000002E-5</v>
      </c>
      <c r="G5152" s="76">
        <v>4.35E-5</v>
      </c>
      <c r="H5152" s="76">
        <v>9.2100000000000003E-5</v>
      </c>
      <c r="I5152" s="76">
        <v>1.0399999999999999E-4</v>
      </c>
      <c r="J5152" s="76">
        <v>9.6799999999999995E-5</v>
      </c>
      <c r="K5152" s="76">
        <v>1.74E-4</v>
      </c>
      <c r="L5152" s="76">
        <v>1.3799999999999999E-4</v>
      </c>
      <c r="M5152" s="76">
        <v>1.17E-4</v>
      </c>
    </row>
    <row r="5153" spans="3:13" x14ac:dyDescent="0.15">
      <c r="C5153" s="76">
        <v>670</v>
      </c>
      <c r="D5153" s="76">
        <v>2.4000000000000001E-5</v>
      </c>
      <c r="E5153" s="76">
        <v>3.5099999999999999E-5</v>
      </c>
      <c r="F5153" s="76">
        <v>4.8199999999999999E-5</v>
      </c>
      <c r="G5153" s="76">
        <v>9.8300000000000004E-5</v>
      </c>
      <c r="H5153" s="76">
        <v>1.12E-4</v>
      </c>
      <c r="I5153" s="76">
        <v>3.6900000000000002E-5</v>
      </c>
      <c r="J5153" s="76">
        <v>1.3300000000000001E-4</v>
      </c>
      <c r="K5153" s="76">
        <v>1.9100000000000001E-4</v>
      </c>
      <c r="L5153" s="76">
        <v>1.5300000000000001E-4</v>
      </c>
      <c r="M5153" s="76">
        <v>1.15E-4</v>
      </c>
    </row>
    <row r="5154" spans="3:13" x14ac:dyDescent="0.15">
      <c r="C5154" s="76">
        <v>672</v>
      </c>
      <c r="D5154" s="76">
        <v>1.9300000000000002E-5</v>
      </c>
      <c r="E5154" s="76">
        <v>2.7800000000000001E-5</v>
      </c>
      <c r="F5154" s="76">
        <v>2.0100000000000001E-5</v>
      </c>
      <c r="G5154" s="76">
        <v>3.1900000000000003E-5</v>
      </c>
      <c r="H5154" s="76">
        <v>1.22E-4</v>
      </c>
      <c r="I5154" s="76">
        <v>1.88E-5</v>
      </c>
      <c r="J5154" s="76">
        <v>1.34E-4</v>
      </c>
      <c r="K5154" s="76">
        <v>2.4399999999999999E-4</v>
      </c>
      <c r="L5154" s="76">
        <v>2.0799999999999999E-4</v>
      </c>
      <c r="M5154" s="76">
        <v>8.2700000000000004E-5</v>
      </c>
    </row>
    <row r="5155" spans="3:13" x14ac:dyDescent="0.15">
      <c r="C5155" s="76">
        <v>674</v>
      </c>
      <c r="D5155" s="76">
        <v>2.1299999999999999E-5</v>
      </c>
      <c r="E5155" s="76">
        <v>2.7100000000000001E-5</v>
      </c>
      <c r="F5155" s="76">
        <v>7.2300000000000002E-6</v>
      </c>
      <c r="G5155" s="76">
        <v>6.2600000000000004E-5</v>
      </c>
      <c r="H5155" s="76">
        <v>1.02E-4</v>
      </c>
      <c r="I5155" s="76">
        <v>7.5900000000000002E-5</v>
      </c>
      <c r="J5155" s="76">
        <v>1.02E-4</v>
      </c>
      <c r="K5155" s="76">
        <v>2.4499999999999999E-4</v>
      </c>
      <c r="L5155" s="76">
        <v>1.75E-4</v>
      </c>
      <c r="M5155" s="76">
        <v>1.3300000000000001E-4</v>
      </c>
    </row>
    <row r="5156" spans="3:13" x14ac:dyDescent="0.15">
      <c r="C5156" s="76">
        <v>676</v>
      </c>
      <c r="D5156" s="76">
        <v>2.6699999999999998E-5</v>
      </c>
      <c r="E5156" s="76">
        <v>2.34E-5</v>
      </c>
      <c r="F5156" s="76">
        <v>1.04E-5</v>
      </c>
      <c r="G5156" s="76">
        <v>5.8400000000000003E-5</v>
      </c>
      <c r="H5156" s="76">
        <v>1.17E-4</v>
      </c>
      <c r="I5156" s="76">
        <v>5.6799999999999998E-5</v>
      </c>
      <c r="J5156" s="76">
        <v>1.02E-4</v>
      </c>
      <c r="K5156" s="76">
        <v>2.0599999999999999E-4</v>
      </c>
      <c r="L5156" s="76">
        <v>1.55E-4</v>
      </c>
      <c r="M5156" s="76">
        <v>6.6699999999999995E-5</v>
      </c>
    </row>
    <row r="5157" spans="3:13" x14ac:dyDescent="0.15">
      <c r="C5157" s="76">
        <v>678</v>
      </c>
      <c r="D5157" s="76">
        <v>2.05E-5</v>
      </c>
      <c r="E5157" s="76">
        <v>1.9300000000000002E-5</v>
      </c>
      <c r="F5157" s="76">
        <v>2.0800000000000001E-5</v>
      </c>
      <c r="G5157" s="76">
        <v>1.03E-4</v>
      </c>
      <c r="H5157" s="76">
        <v>1.06E-4</v>
      </c>
      <c r="I5157" s="76">
        <v>5.6700000000000003E-5</v>
      </c>
      <c r="J5157" s="76">
        <v>7.6600000000000005E-5</v>
      </c>
      <c r="K5157" s="76">
        <v>1.8100000000000001E-4</v>
      </c>
      <c r="L5157" s="76">
        <v>1.73E-4</v>
      </c>
      <c r="M5157" s="76">
        <v>5.8600000000000001E-5</v>
      </c>
    </row>
    <row r="5158" spans="3:13" x14ac:dyDescent="0.15">
      <c r="C5158" s="76">
        <v>680</v>
      </c>
      <c r="D5158" s="76">
        <v>1.2300000000000001E-5</v>
      </c>
      <c r="E5158" s="76">
        <v>4.0099999999999999E-5</v>
      </c>
      <c r="F5158" s="76">
        <v>3.3599999999999997E-5</v>
      </c>
      <c r="G5158" s="76">
        <v>9.3499999999999996E-5</v>
      </c>
      <c r="H5158" s="76">
        <v>1.08E-4</v>
      </c>
      <c r="I5158" s="76">
        <v>1.3200000000000001E-5</v>
      </c>
      <c r="J5158" s="76">
        <v>9.48E-5</v>
      </c>
      <c r="K5158" s="76">
        <v>1.6000000000000001E-4</v>
      </c>
      <c r="L5158" s="76">
        <v>1.6699999999999999E-4</v>
      </c>
      <c r="M5158" s="76">
        <v>5.13E-5</v>
      </c>
    </row>
    <row r="5159" spans="3:13" x14ac:dyDescent="0.15">
      <c r="C5159" s="76">
        <v>682</v>
      </c>
      <c r="D5159" s="76">
        <v>2.2900000000000001E-5</v>
      </c>
      <c r="E5159" s="76">
        <v>2.8500000000000002E-5</v>
      </c>
      <c r="F5159" s="76">
        <v>1.6900000000000001E-5</v>
      </c>
      <c r="G5159" s="76">
        <v>8.9699999999999998E-5</v>
      </c>
      <c r="H5159" s="76">
        <v>1.22E-4</v>
      </c>
      <c r="I5159" s="76">
        <v>7.3300000000000006E-5</v>
      </c>
      <c r="J5159" s="76">
        <v>8.4499999999999994E-5</v>
      </c>
      <c r="K5159" s="76">
        <v>1.5200000000000001E-4</v>
      </c>
      <c r="L5159" s="76">
        <v>1.5300000000000001E-4</v>
      </c>
      <c r="M5159" s="76">
        <v>1.3300000000000001E-4</v>
      </c>
    </row>
    <row r="5160" spans="3:13" x14ac:dyDescent="0.15">
      <c r="C5160" s="76">
        <v>684</v>
      </c>
      <c r="D5160" s="76">
        <v>1.7099999999999999E-5</v>
      </c>
      <c r="E5160" s="76">
        <v>2.6800000000000001E-5</v>
      </c>
      <c r="F5160" s="76">
        <v>7.2300000000000002E-6</v>
      </c>
      <c r="G5160" s="76">
        <v>9.0400000000000002E-5</v>
      </c>
      <c r="H5160" s="76">
        <v>1.06E-4</v>
      </c>
      <c r="I5160" s="76">
        <v>5.2800000000000003E-5</v>
      </c>
      <c r="J5160" s="76">
        <v>1.1E-4</v>
      </c>
      <c r="K5160" s="76">
        <v>1.6799999999999999E-4</v>
      </c>
      <c r="L5160" s="76">
        <v>1.65E-4</v>
      </c>
      <c r="M5160" s="76">
        <v>4.6600000000000001E-5</v>
      </c>
    </row>
    <row r="5161" spans="3:13" x14ac:dyDescent="0.15">
      <c r="C5161" s="76">
        <v>686</v>
      </c>
      <c r="D5161" s="76">
        <v>1.63E-5</v>
      </c>
      <c r="E5161" s="76">
        <v>3.8500000000000001E-5</v>
      </c>
      <c r="F5161" s="76">
        <v>0</v>
      </c>
      <c r="G5161" s="76">
        <v>9.7999999999999997E-5</v>
      </c>
      <c r="H5161" s="76">
        <v>1.0399999999999999E-4</v>
      </c>
      <c r="I5161" s="76">
        <v>4.6999999999999997E-5</v>
      </c>
      <c r="J5161" s="76">
        <v>1.1900000000000001E-4</v>
      </c>
      <c r="K5161" s="76">
        <v>1.3200000000000001E-4</v>
      </c>
      <c r="L5161" s="76">
        <v>1.46E-4</v>
      </c>
      <c r="M5161" s="76">
        <v>2.4000000000000001E-5</v>
      </c>
    </row>
    <row r="5162" spans="3:13" x14ac:dyDescent="0.15">
      <c r="C5162" s="76">
        <v>688</v>
      </c>
      <c r="D5162" s="76">
        <v>2.2900000000000001E-5</v>
      </c>
      <c r="E5162" s="76">
        <v>2.5599999999999999E-5</v>
      </c>
      <c r="F5162" s="76">
        <v>9.5100000000000004E-6</v>
      </c>
      <c r="G5162" s="76">
        <v>7.5099999999999996E-5</v>
      </c>
      <c r="H5162" s="76">
        <v>8.0799999999999999E-5</v>
      </c>
      <c r="I5162" s="76">
        <v>7.0300000000000001E-5</v>
      </c>
      <c r="J5162" s="76">
        <v>1.3300000000000001E-4</v>
      </c>
      <c r="K5162" s="76">
        <v>1.16E-4</v>
      </c>
      <c r="L5162" s="76">
        <v>1.4899999999999999E-4</v>
      </c>
      <c r="M5162" s="76">
        <v>3.8099999999999999E-6</v>
      </c>
    </row>
    <row r="5163" spans="3:13" x14ac:dyDescent="0.15">
      <c r="C5163" s="76">
        <v>690</v>
      </c>
      <c r="D5163" s="76">
        <v>2.7399999999999999E-5</v>
      </c>
      <c r="E5163" s="76">
        <v>1.8E-5</v>
      </c>
      <c r="F5163" s="76">
        <v>3.0800000000000003E-5</v>
      </c>
      <c r="G5163" s="76">
        <v>8.9599999999999996E-5</v>
      </c>
      <c r="H5163" s="76">
        <v>9.7800000000000006E-5</v>
      </c>
      <c r="I5163" s="76">
        <v>9.0299999999999999E-5</v>
      </c>
      <c r="J5163" s="76">
        <v>1.13E-4</v>
      </c>
      <c r="K5163" s="76">
        <v>1.66E-4</v>
      </c>
      <c r="L5163" s="76">
        <v>1.54E-4</v>
      </c>
      <c r="M5163" s="76">
        <v>2.3099999999999999E-5</v>
      </c>
    </row>
    <row r="5164" spans="3:13" x14ac:dyDescent="0.15">
      <c r="C5164" s="76">
        <v>692</v>
      </c>
      <c r="D5164" s="76">
        <v>1.84E-5</v>
      </c>
      <c r="E5164" s="76">
        <v>3.4999999999999997E-5</v>
      </c>
      <c r="F5164" s="76">
        <v>5.22E-6</v>
      </c>
      <c r="G5164" s="76">
        <v>8.3900000000000006E-5</v>
      </c>
      <c r="H5164" s="76">
        <v>1.18E-4</v>
      </c>
      <c r="I5164" s="76">
        <v>8.7399999999999997E-5</v>
      </c>
      <c r="J5164" s="76">
        <v>1.5100000000000001E-4</v>
      </c>
      <c r="K5164" s="76">
        <v>1.73E-4</v>
      </c>
      <c r="L5164" s="76">
        <v>1.34E-4</v>
      </c>
      <c r="M5164" s="76">
        <v>4.18E-5</v>
      </c>
    </row>
    <row r="5165" spans="3:13" x14ac:dyDescent="0.15">
      <c r="C5165" s="76">
        <v>694</v>
      </c>
      <c r="D5165" s="76">
        <v>1.34E-5</v>
      </c>
      <c r="E5165" s="76">
        <v>4.2299999999999998E-5</v>
      </c>
      <c r="F5165" s="76">
        <v>3.4199999999999999E-6</v>
      </c>
      <c r="G5165" s="76">
        <v>8.9699999999999998E-5</v>
      </c>
      <c r="H5165" s="76">
        <v>1.18E-4</v>
      </c>
      <c r="I5165" s="76">
        <v>9.1399999999999999E-5</v>
      </c>
      <c r="J5165" s="76">
        <v>1.6699999999999999E-4</v>
      </c>
      <c r="K5165" s="76">
        <v>1.5200000000000001E-4</v>
      </c>
      <c r="L5165" s="76">
        <v>8.1299999999999997E-5</v>
      </c>
      <c r="M5165" s="76">
        <v>4.7599999999999998E-5</v>
      </c>
    </row>
    <row r="5166" spans="3:13" x14ac:dyDescent="0.15">
      <c r="C5166" s="76">
        <v>696</v>
      </c>
      <c r="D5166" s="76">
        <v>1.8499999999999999E-5</v>
      </c>
      <c r="E5166" s="76">
        <v>3.9900000000000001E-5</v>
      </c>
      <c r="F5166" s="76">
        <v>3.1999999999999999E-6</v>
      </c>
      <c r="G5166" s="76">
        <v>9.3900000000000006E-5</v>
      </c>
      <c r="H5166" s="76">
        <v>8.4099999999999998E-5</v>
      </c>
      <c r="I5166" s="76">
        <v>9.8099999999999999E-5</v>
      </c>
      <c r="J5166" s="76">
        <v>1.5799999999999999E-4</v>
      </c>
      <c r="K5166" s="76">
        <v>9.7299999999999993E-5</v>
      </c>
      <c r="L5166" s="76">
        <v>1.06E-4</v>
      </c>
      <c r="M5166" s="76">
        <v>1.4E-5</v>
      </c>
    </row>
    <row r="5167" spans="3:13" x14ac:dyDescent="0.15">
      <c r="C5167" s="76">
        <v>698</v>
      </c>
      <c r="D5167" s="76">
        <v>1.52E-5</v>
      </c>
      <c r="E5167" s="76">
        <v>3.1699999999999998E-5</v>
      </c>
      <c r="F5167" s="76">
        <v>9.8600000000000005E-6</v>
      </c>
      <c r="G5167" s="76">
        <v>1.11E-4</v>
      </c>
      <c r="H5167" s="76">
        <v>1.1E-4</v>
      </c>
      <c r="I5167" s="76">
        <v>8.6600000000000004E-5</v>
      </c>
      <c r="J5167" s="76">
        <v>1.7200000000000001E-4</v>
      </c>
      <c r="K5167" s="76">
        <v>5.6700000000000003E-5</v>
      </c>
      <c r="L5167" s="76">
        <v>1.0900000000000001E-4</v>
      </c>
      <c r="M5167" s="76">
        <v>6.3700000000000003E-5</v>
      </c>
    </row>
    <row r="5168" spans="3:13" x14ac:dyDescent="0.15">
      <c r="C5168" s="76">
        <v>700</v>
      </c>
      <c r="D5168" s="76">
        <v>1.0699999999999999E-5</v>
      </c>
      <c r="E5168" s="76">
        <v>2.5400000000000001E-5</v>
      </c>
      <c r="F5168" s="76">
        <v>1.3200000000000001E-5</v>
      </c>
      <c r="G5168" s="76">
        <v>9.5199999999999997E-5</v>
      </c>
      <c r="H5168" s="76">
        <v>1.26E-4</v>
      </c>
      <c r="I5168" s="76">
        <v>6.0300000000000002E-5</v>
      </c>
      <c r="J5168" s="76">
        <v>2.1699999999999999E-4</v>
      </c>
      <c r="K5168" s="76">
        <v>5.7000000000000003E-5</v>
      </c>
      <c r="L5168" s="76">
        <v>4.8300000000000002E-5</v>
      </c>
      <c r="M5168" s="76">
        <v>8.1699999999999994E-5</v>
      </c>
    </row>
    <row r="5169" spans="3:13" x14ac:dyDescent="0.15">
      <c r="C5169" s="76">
        <v>702</v>
      </c>
      <c r="D5169" s="76">
        <v>1.45E-5</v>
      </c>
      <c r="E5169" s="76">
        <v>4.0399999999999999E-5</v>
      </c>
      <c r="F5169" s="76">
        <v>0</v>
      </c>
      <c r="G5169" s="76">
        <v>8.8399999999999994E-5</v>
      </c>
      <c r="H5169" s="76">
        <v>1.1900000000000001E-4</v>
      </c>
      <c r="I5169" s="76">
        <v>1.02E-4</v>
      </c>
      <c r="J5169" s="76">
        <v>2.1000000000000001E-4</v>
      </c>
      <c r="K5169" s="76">
        <v>7.7200000000000006E-5</v>
      </c>
      <c r="L5169" s="76">
        <v>1.7100000000000001E-4</v>
      </c>
      <c r="M5169" s="76">
        <v>1.27E-4</v>
      </c>
    </row>
    <row r="5170" spans="3:13" x14ac:dyDescent="0.15">
      <c r="C5170" s="76">
        <v>704</v>
      </c>
      <c r="D5170" s="76">
        <v>1.8899999999999999E-5</v>
      </c>
      <c r="E5170" s="76">
        <v>3.2400000000000001E-5</v>
      </c>
      <c r="F5170" s="76">
        <v>6.9800000000000001E-6</v>
      </c>
      <c r="G5170" s="76">
        <v>5.9799999999999997E-5</v>
      </c>
      <c r="H5170" s="76">
        <v>1.2300000000000001E-4</v>
      </c>
      <c r="I5170" s="76">
        <v>1.1400000000000001E-4</v>
      </c>
      <c r="J5170" s="76">
        <v>2.12E-4</v>
      </c>
      <c r="K5170" s="76">
        <v>3.0199999999999999E-5</v>
      </c>
      <c r="L5170" s="76">
        <v>1.8599999999999999E-4</v>
      </c>
      <c r="M5170" s="76">
        <v>1.74E-4</v>
      </c>
    </row>
    <row r="5171" spans="3:13" x14ac:dyDescent="0.15">
      <c r="C5171" s="76">
        <v>706</v>
      </c>
      <c r="D5171" s="76">
        <v>1.7099999999999999E-5</v>
      </c>
      <c r="E5171" s="76">
        <v>4.5000000000000003E-5</v>
      </c>
      <c r="F5171" s="76">
        <v>1.1199999999999999E-5</v>
      </c>
      <c r="G5171" s="76">
        <v>7.6699999999999994E-5</v>
      </c>
      <c r="H5171" s="76">
        <v>9.2200000000000005E-5</v>
      </c>
      <c r="I5171" s="76">
        <v>1.02E-4</v>
      </c>
      <c r="J5171" s="76">
        <v>1.6100000000000001E-4</v>
      </c>
      <c r="K5171" s="76">
        <v>6.6799999999999997E-5</v>
      </c>
      <c r="L5171" s="76">
        <v>1.2999999999999999E-4</v>
      </c>
      <c r="M5171" s="76">
        <v>1.44E-4</v>
      </c>
    </row>
    <row r="5172" spans="3:13" x14ac:dyDescent="0.15">
      <c r="C5172" s="76">
        <v>708</v>
      </c>
      <c r="D5172" s="76">
        <v>1.1399999999999999E-5</v>
      </c>
      <c r="E5172" s="76">
        <v>4.3300000000000002E-5</v>
      </c>
      <c r="F5172" s="76">
        <v>1.13E-5</v>
      </c>
      <c r="G5172" s="76">
        <v>7.7000000000000001E-5</v>
      </c>
      <c r="H5172" s="76">
        <v>8.0199999999999998E-5</v>
      </c>
      <c r="I5172" s="76">
        <v>1.1400000000000001E-4</v>
      </c>
      <c r="J5172" s="76">
        <v>2.1800000000000001E-4</v>
      </c>
      <c r="K5172" s="76">
        <v>6.7999999999999999E-5</v>
      </c>
      <c r="L5172" s="76">
        <v>1.3300000000000001E-4</v>
      </c>
      <c r="M5172" s="76">
        <v>1.8900000000000001E-4</v>
      </c>
    </row>
    <row r="5173" spans="3:13" x14ac:dyDescent="0.15">
      <c r="C5173" s="76">
        <v>710</v>
      </c>
      <c r="D5173" s="76">
        <v>9.3200000000000006E-6</v>
      </c>
      <c r="E5173" s="76">
        <v>5.2200000000000002E-5</v>
      </c>
      <c r="F5173" s="76">
        <v>1.13E-5</v>
      </c>
      <c r="G5173" s="76">
        <v>6.7100000000000005E-5</v>
      </c>
      <c r="H5173" s="76">
        <v>1.03E-4</v>
      </c>
      <c r="I5173" s="76">
        <v>1.3100000000000001E-4</v>
      </c>
      <c r="J5173" s="76">
        <v>2.0900000000000001E-4</v>
      </c>
      <c r="K5173" s="76">
        <v>2.8099999999999999E-5</v>
      </c>
      <c r="L5173" s="76">
        <v>1.6699999999999999E-4</v>
      </c>
      <c r="M5173" s="76">
        <v>1.5200000000000001E-4</v>
      </c>
    </row>
    <row r="5174" spans="3:13" x14ac:dyDescent="0.15">
      <c r="C5174" s="76">
        <v>712</v>
      </c>
      <c r="D5174" s="76">
        <v>1.1399999999999999E-5</v>
      </c>
      <c r="E5174" s="76">
        <v>4.0500000000000002E-5</v>
      </c>
      <c r="F5174" s="76">
        <v>1.2300000000000001E-5</v>
      </c>
      <c r="G5174" s="76">
        <v>8.8300000000000005E-5</v>
      </c>
      <c r="H5174" s="76">
        <v>1.3300000000000001E-4</v>
      </c>
      <c r="I5174" s="76">
        <v>1.25E-4</v>
      </c>
      <c r="J5174" s="76">
        <v>1.45E-4</v>
      </c>
      <c r="K5174" s="76">
        <v>1.0699999999999999E-5</v>
      </c>
      <c r="L5174" s="76">
        <v>1.6799999999999999E-4</v>
      </c>
      <c r="M5174" s="76">
        <v>2.7500000000000002E-4</v>
      </c>
    </row>
    <row r="5175" spans="3:13" x14ac:dyDescent="0.15">
      <c r="C5175" s="76">
        <v>714</v>
      </c>
      <c r="D5175" s="76">
        <v>2.0999999999999999E-5</v>
      </c>
      <c r="E5175" s="76">
        <v>3.1699999999999998E-5</v>
      </c>
      <c r="F5175" s="76">
        <v>2.5199999999999999E-5</v>
      </c>
      <c r="G5175" s="76">
        <v>5.8699999999999997E-5</v>
      </c>
      <c r="H5175" s="76">
        <v>1.3200000000000001E-4</v>
      </c>
      <c r="I5175" s="76">
        <v>1.0399999999999999E-4</v>
      </c>
      <c r="J5175" s="76">
        <v>2.02E-4</v>
      </c>
      <c r="K5175" s="76">
        <v>2.2799999999999999E-5</v>
      </c>
      <c r="L5175" s="76">
        <v>1.5300000000000001E-4</v>
      </c>
      <c r="M5175" s="76">
        <v>2.9300000000000002E-4</v>
      </c>
    </row>
    <row r="5176" spans="3:13" x14ac:dyDescent="0.15">
      <c r="C5176" s="76">
        <v>716</v>
      </c>
      <c r="D5176" s="76">
        <v>1.43E-5</v>
      </c>
      <c r="E5176" s="76">
        <v>3.7299999999999999E-5</v>
      </c>
      <c r="F5176" s="76">
        <v>1.7600000000000001E-5</v>
      </c>
      <c r="G5176" s="76">
        <v>6.5500000000000006E-5</v>
      </c>
      <c r="H5176" s="76">
        <v>1.05E-4</v>
      </c>
      <c r="I5176" s="76">
        <v>1.0900000000000001E-4</v>
      </c>
      <c r="J5176" s="76">
        <v>1.7799999999999999E-4</v>
      </c>
      <c r="K5176" s="76">
        <v>3.8699999999999999E-5</v>
      </c>
      <c r="L5176" s="76">
        <v>1.36E-4</v>
      </c>
      <c r="M5176" s="76">
        <v>2.41E-4</v>
      </c>
    </row>
    <row r="5177" spans="3:13" x14ac:dyDescent="0.15">
      <c r="C5177" s="76">
        <v>718</v>
      </c>
      <c r="D5177" s="76">
        <v>8.6999999999999997E-6</v>
      </c>
      <c r="E5177" s="76">
        <v>4.1900000000000002E-5</v>
      </c>
      <c r="F5177" s="76">
        <v>3.9799999999999998E-5</v>
      </c>
      <c r="G5177" s="76">
        <v>7.3100000000000001E-5</v>
      </c>
      <c r="H5177" s="76">
        <v>1.07E-4</v>
      </c>
      <c r="I5177" s="76">
        <v>9.3399999999999993E-5</v>
      </c>
      <c r="J5177" s="76">
        <v>1.6899999999999999E-4</v>
      </c>
      <c r="K5177" s="76">
        <v>7.5299999999999999E-6</v>
      </c>
      <c r="L5177" s="76">
        <v>8.7499999999999999E-5</v>
      </c>
      <c r="M5177" s="76">
        <v>2.5099999999999998E-4</v>
      </c>
    </row>
    <row r="5178" spans="3:13" x14ac:dyDescent="0.15">
      <c r="C5178" s="76">
        <v>720</v>
      </c>
      <c r="D5178" s="76">
        <v>1.15E-5</v>
      </c>
      <c r="E5178" s="76">
        <v>2.6999999999999999E-5</v>
      </c>
      <c r="F5178" s="76">
        <v>4.5500000000000001E-5</v>
      </c>
      <c r="G5178" s="76">
        <v>5.1799999999999999E-5</v>
      </c>
      <c r="H5178" s="76">
        <v>1.15E-4</v>
      </c>
      <c r="I5178" s="76">
        <v>1.2400000000000001E-4</v>
      </c>
      <c r="J5178" s="76">
        <v>1.5899999999999999E-4</v>
      </c>
      <c r="K5178" s="76">
        <v>2.1100000000000001E-5</v>
      </c>
      <c r="L5178" s="76">
        <v>1.6899999999999999E-4</v>
      </c>
      <c r="M5178" s="76">
        <v>2.5399999999999999E-4</v>
      </c>
    </row>
    <row r="5179" spans="3:13" x14ac:dyDescent="0.15">
      <c r="C5179" s="76">
        <v>722</v>
      </c>
      <c r="D5179" s="76">
        <v>5.1499999999999998E-6</v>
      </c>
      <c r="E5179" s="76">
        <v>3.3200000000000001E-5</v>
      </c>
      <c r="F5179" s="76">
        <v>5.5099999999999998E-5</v>
      </c>
      <c r="G5179" s="76">
        <v>7.5599999999999994E-5</v>
      </c>
      <c r="H5179" s="76">
        <v>7.5900000000000002E-5</v>
      </c>
      <c r="I5179" s="76">
        <v>6.8899999999999994E-5</v>
      </c>
      <c r="J5179" s="76">
        <v>8.6600000000000004E-5</v>
      </c>
      <c r="K5179" s="76">
        <v>1.02E-4</v>
      </c>
      <c r="L5179" s="76">
        <v>8.14E-5</v>
      </c>
      <c r="M5179" s="76">
        <v>2.99E-4</v>
      </c>
    </row>
    <row r="5180" spans="3:13" x14ac:dyDescent="0.15">
      <c r="C5180" s="76">
        <v>724</v>
      </c>
      <c r="D5180" s="76">
        <v>5.1499999999999998E-6</v>
      </c>
      <c r="E5180" s="76">
        <v>3.5099999999999999E-5</v>
      </c>
      <c r="F5180" s="76">
        <v>4.3399999999999998E-5</v>
      </c>
      <c r="G5180" s="76">
        <v>5.7800000000000002E-5</v>
      </c>
      <c r="H5180" s="76">
        <v>8.0199999999999998E-5</v>
      </c>
      <c r="I5180" s="76">
        <v>6.6099999999999994E-5</v>
      </c>
      <c r="J5180" s="76">
        <v>5.1E-5</v>
      </c>
      <c r="K5180" s="76">
        <v>3.0199999999999999E-5</v>
      </c>
      <c r="L5180" s="76">
        <v>8.7100000000000003E-5</v>
      </c>
      <c r="M5180" s="76">
        <v>3.1300000000000002E-4</v>
      </c>
    </row>
    <row r="5181" spans="3:13" x14ac:dyDescent="0.15">
      <c r="C5181" s="76">
        <v>726</v>
      </c>
      <c r="D5181" s="76">
        <v>1.63E-5</v>
      </c>
      <c r="E5181" s="76">
        <v>6.5099999999999997E-5</v>
      </c>
      <c r="F5181" s="76">
        <v>6.6099999999999994E-5</v>
      </c>
      <c r="G5181" s="76">
        <v>6.8999999999999997E-5</v>
      </c>
      <c r="H5181" s="76">
        <v>6.5199999999999999E-5</v>
      </c>
      <c r="I5181" s="76">
        <v>5.6499999999999998E-5</v>
      </c>
      <c r="J5181" s="76">
        <v>1.02E-4</v>
      </c>
      <c r="K5181" s="76">
        <v>3.3800000000000002E-5</v>
      </c>
      <c r="L5181" s="76">
        <v>9.2200000000000005E-5</v>
      </c>
      <c r="M5181" s="76">
        <v>3.6600000000000001E-4</v>
      </c>
    </row>
    <row r="5182" spans="3:13" x14ac:dyDescent="0.15">
      <c r="C5182" s="76">
        <v>728</v>
      </c>
      <c r="D5182" s="76">
        <v>8.5599999999999994E-6</v>
      </c>
      <c r="E5182" s="76">
        <v>1.8499999999999999E-5</v>
      </c>
      <c r="F5182" s="76">
        <v>8.8399999999999994E-5</v>
      </c>
      <c r="G5182" s="76">
        <v>4.9700000000000002E-5</v>
      </c>
      <c r="H5182" s="76">
        <v>7.6100000000000007E-5</v>
      </c>
      <c r="I5182" s="76">
        <v>8.4099999999999998E-5</v>
      </c>
      <c r="J5182" s="76">
        <v>1.66E-4</v>
      </c>
      <c r="K5182" s="76">
        <v>7.64E-5</v>
      </c>
      <c r="L5182" s="76">
        <v>1.2300000000000001E-4</v>
      </c>
      <c r="M5182" s="76">
        <v>3.01E-4</v>
      </c>
    </row>
    <row r="5183" spans="3:13" x14ac:dyDescent="0.15">
      <c r="C5183" s="76">
        <v>730</v>
      </c>
      <c r="D5183" s="76">
        <v>1.27E-5</v>
      </c>
      <c r="E5183" s="76">
        <v>2.73E-5</v>
      </c>
      <c r="F5183" s="76">
        <v>9.1199999999999994E-5</v>
      </c>
      <c r="G5183" s="76">
        <v>8.5000000000000006E-5</v>
      </c>
      <c r="H5183" s="76">
        <v>4.2799999999999997E-5</v>
      </c>
      <c r="I5183" s="76">
        <v>1.02E-4</v>
      </c>
      <c r="J5183" s="76">
        <v>1.12E-4</v>
      </c>
      <c r="K5183" s="76">
        <v>7.3100000000000001E-5</v>
      </c>
      <c r="L5183" s="76">
        <v>1.08E-4</v>
      </c>
      <c r="M5183" s="76">
        <v>2.8699999999999998E-4</v>
      </c>
    </row>
    <row r="5184" spans="3:13" x14ac:dyDescent="0.15">
      <c r="C5184" s="76">
        <v>732</v>
      </c>
      <c r="D5184" s="76">
        <v>1.08E-5</v>
      </c>
      <c r="E5184" s="76">
        <v>2.9300000000000001E-5</v>
      </c>
      <c r="F5184" s="76">
        <v>8.9400000000000005E-5</v>
      </c>
      <c r="G5184" s="76">
        <v>7.1299999999999998E-5</v>
      </c>
      <c r="H5184" s="76">
        <v>3.7700000000000002E-5</v>
      </c>
      <c r="I5184" s="76">
        <v>8.1600000000000005E-5</v>
      </c>
      <c r="J5184" s="76">
        <v>7.2899999999999997E-5</v>
      </c>
      <c r="K5184" s="76">
        <v>1.2300000000000001E-4</v>
      </c>
      <c r="L5184" s="76">
        <v>1.7000000000000001E-4</v>
      </c>
      <c r="M5184" s="76">
        <v>2.7799999999999998E-4</v>
      </c>
    </row>
    <row r="5185" spans="3:13" x14ac:dyDescent="0.15">
      <c r="C5185" s="76">
        <v>734</v>
      </c>
      <c r="D5185" s="76">
        <v>1.4600000000000001E-5</v>
      </c>
      <c r="E5185" s="76">
        <v>2.0400000000000001E-5</v>
      </c>
      <c r="F5185" s="76">
        <v>8.3300000000000005E-5</v>
      </c>
      <c r="G5185" s="76">
        <v>5.8699999999999997E-5</v>
      </c>
      <c r="H5185" s="76">
        <v>4.3399999999999998E-5</v>
      </c>
      <c r="I5185" s="76">
        <v>8.1199999999999995E-5</v>
      </c>
      <c r="J5185" s="76">
        <v>4.0899999999999998E-5</v>
      </c>
      <c r="K5185" s="76">
        <v>1.2400000000000001E-4</v>
      </c>
      <c r="L5185" s="76">
        <v>5.0699999999999999E-5</v>
      </c>
      <c r="M5185" s="76">
        <v>3.3399999999999999E-4</v>
      </c>
    </row>
    <row r="5186" spans="3:13" x14ac:dyDescent="0.15">
      <c r="C5186" s="76">
        <v>736</v>
      </c>
      <c r="D5186" s="76">
        <v>1.5500000000000001E-5</v>
      </c>
      <c r="E5186" s="76">
        <v>1.88E-5</v>
      </c>
      <c r="F5186" s="76">
        <v>8.81E-5</v>
      </c>
      <c r="G5186" s="76">
        <v>4.6600000000000001E-5</v>
      </c>
      <c r="H5186" s="76">
        <v>3.7400000000000002E-6</v>
      </c>
      <c r="I5186" s="76">
        <v>7.0199999999999999E-5</v>
      </c>
      <c r="J5186" s="76">
        <v>1.29E-5</v>
      </c>
      <c r="K5186" s="76">
        <v>1.4100000000000001E-4</v>
      </c>
      <c r="L5186" s="76">
        <v>7.6500000000000003E-5</v>
      </c>
      <c r="M5186" s="76">
        <v>3.5399999999999999E-4</v>
      </c>
    </row>
    <row r="5187" spans="3:13" x14ac:dyDescent="0.15">
      <c r="C5187" s="76">
        <v>738</v>
      </c>
      <c r="D5187" s="76">
        <v>2.5000000000000001E-5</v>
      </c>
      <c r="E5187" s="76">
        <v>4.1699999999999997E-5</v>
      </c>
      <c r="F5187" s="76">
        <v>7.8700000000000002E-5</v>
      </c>
      <c r="G5187" s="76">
        <v>4.3800000000000001E-5</v>
      </c>
      <c r="H5187" s="76">
        <v>2.5700000000000001E-5</v>
      </c>
      <c r="I5187" s="76">
        <v>4.0800000000000002E-5</v>
      </c>
      <c r="J5187" s="76">
        <v>2.5700000000000001E-5</v>
      </c>
      <c r="K5187" s="76">
        <v>1.85E-4</v>
      </c>
      <c r="L5187" s="76">
        <v>1.07E-4</v>
      </c>
      <c r="M5187" s="76">
        <v>2.22E-4</v>
      </c>
    </row>
    <row r="5188" spans="3:13" x14ac:dyDescent="0.15">
      <c r="C5188" s="76">
        <v>740</v>
      </c>
      <c r="D5188" s="76">
        <v>1.6799999999999998E-5</v>
      </c>
      <c r="E5188" s="76">
        <v>2.9200000000000002E-5</v>
      </c>
      <c r="F5188" s="76">
        <v>8.5799999999999998E-5</v>
      </c>
      <c r="G5188" s="76">
        <v>4.6499999999999999E-5</v>
      </c>
      <c r="H5188" s="76">
        <v>2.4199999999999999E-5</v>
      </c>
      <c r="I5188" s="76">
        <v>8.3700000000000002E-5</v>
      </c>
      <c r="J5188" s="76">
        <v>2.3499999999999999E-6</v>
      </c>
      <c r="K5188" s="76">
        <v>2.2800000000000001E-4</v>
      </c>
      <c r="L5188" s="76">
        <v>1.25E-4</v>
      </c>
      <c r="M5188" s="76">
        <v>2.4800000000000001E-4</v>
      </c>
    </row>
    <row r="5189" spans="3:13" x14ac:dyDescent="0.15">
      <c r="C5189" s="76">
        <v>742</v>
      </c>
      <c r="D5189" s="76">
        <v>1.47E-5</v>
      </c>
      <c r="E5189" s="76">
        <v>2.5199999999999999E-5</v>
      </c>
      <c r="F5189" s="76">
        <v>8.0900000000000001E-5</v>
      </c>
      <c r="G5189" s="76">
        <v>3.7100000000000001E-5</v>
      </c>
      <c r="H5189" s="76">
        <v>2.41E-5</v>
      </c>
      <c r="I5189" s="76">
        <v>7.1199999999999996E-5</v>
      </c>
      <c r="J5189" s="76">
        <v>2.9600000000000001E-5</v>
      </c>
      <c r="K5189" s="76">
        <v>2.42E-4</v>
      </c>
      <c r="L5189" s="76">
        <v>1.37E-4</v>
      </c>
      <c r="M5189" s="76">
        <v>1.35E-4</v>
      </c>
    </row>
    <row r="5190" spans="3:13" x14ac:dyDescent="0.15">
      <c r="C5190" s="76">
        <v>744</v>
      </c>
      <c r="D5190" s="76">
        <v>2.2200000000000001E-5</v>
      </c>
      <c r="E5190" s="76">
        <v>2.48E-5</v>
      </c>
      <c r="F5190" s="76">
        <v>5.6900000000000001E-5</v>
      </c>
      <c r="G5190" s="76">
        <v>3.8099999999999998E-5</v>
      </c>
      <c r="H5190" s="76">
        <v>6.7899999999999997E-5</v>
      </c>
      <c r="I5190" s="76">
        <v>7.5199999999999998E-5</v>
      </c>
      <c r="J5190" s="76">
        <v>1.18E-4</v>
      </c>
      <c r="K5190" s="76">
        <v>1.9900000000000001E-4</v>
      </c>
      <c r="L5190" s="76">
        <v>5.5099999999999998E-5</v>
      </c>
      <c r="M5190" s="76">
        <v>2.5399999999999999E-4</v>
      </c>
    </row>
    <row r="5191" spans="3:13" x14ac:dyDescent="0.15">
      <c r="C5191" s="76">
        <v>746</v>
      </c>
      <c r="D5191" s="76">
        <v>3.0800000000000003E-5</v>
      </c>
      <c r="E5191" s="76">
        <v>1.52E-5</v>
      </c>
      <c r="F5191" s="76">
        <v>5.2800000000000003E-5</v>
      </c>
      <c r="G5191" s="76">
        <v>2.9E-5</v>
      </c>
      <c r="H5191" s="76">
        <v>4.4700000000000002E-5</v>
      </c>
      <c r="I5191" s="76">
        <v>5.7000000000000003E-5</v>
      </c>
      <c r="J5191" s="76">
        <v>9.6799999999999995E-5</v>
      </c>
      <c r="K5191" s="76">
        <v>1.8200000000000001E-4</v>
      </c>
      <c r="L5191" s="76">
        <v>1.4999999999999999E-4</v>
      </c>
      <c r="M5191" s="76">
        <v>1.7799999999999999E-4</v>
      </c>
    </row>
    <row r="5192" spans="3:13" x14ac:dyDescent="0.15">
      <c r="C5192" s="76">
        <v>748</v>
      </c>
      <c r="D5192" s="76">
        <v>3.4499999999999998E-5</v>
      </c>
      <c r="E5192" s="76">
        <v>5.0900000000000004E-6</v>
      </c>
      <c r="F5192" s="76">
        <v>5.5099999999999998E-5</v>
      </c>
      <c r="G5192" s="76">
        <v>3.2400000000000001E-5</v>
      </c>
      <c r="H5192" s="76">
        <v>6.5900000000000003E-5</v>
      </c>
      <c r="I5192" s="76">
        <v>6.5500000000000006E-5</v>
      </c>
      <c r="J5192" s="76">
        <v>5.0000000000000002E-5</v>
      </c>
      <c r="K5192" s="76">
        <v>1.65E-4</v>
      </c>
      <c r="L5192" s="76">
        <v>1.22E-4</v>
      </c>
      <c r="M5192" s="76">
        <v>1.01E-4</v>
      </c>
    </row>
    <row r="5193" spans="3:13" x14ac:dyDescent="0.15">
      <c r="C5193" s="76">
        <v>750</v>
      </c>
      <c r="D5193" s="76">
        <v>2.8399999999999999E-5</v>
      </c>
      <c r="E5193" s="76">
        <v>2.04E-6</v>
      </c>
      <c r="F5193" s="76">
        <v>5.1999999999999997E-5</v>
      </c>
      <c r="G5193" s="76">
        <v>4.3800000000000001E-5</v>
      </c>
      <c r="H5193" s="76">
        <v>3.5899999999999998E-5</v>
      </c>
      <c r="I5193" s="76">
        <v>3.5299999999999997E-5</v>
      </c>
      <c r="J5193" s="76">
        <v>8.0599999999999994E-5</v>
      </c>
      <c r="K5193" s="76">
        <v>2.6600000000000001E-4</v>
      </c>
      <c r="L5193" s="76">
        <v>1.2999999999999999E-4</v>
      </c>
      <c r="M5193" s="76">
        <v>1.4100000000000001E-4</v>
      </c>
    </row>
    <row r="5194" spans="3:13" x14ac:dyDescent="0.15">
      <c r="C5194" s="76">
        <v>752</v>
      </c>
      <c r="D5194" s="76">
        <v>3.0700000000000001E-5</v>
      </c>
      <c r="E5194" s="76">
        <v>1.42E-6</v>
      </c>
      <c r="F5194" s="76">
        <v>5.0599999999999997E-5</v>
      </c>
      <c r="G5194" s="76">
        <v>4.1600000000000002E-5</v>
      </c>
      <c r="H5194" s="76">
        <v>2.7800000000000001E-5</v>
      </c>
      <c r="I5194" s="76">
        <v>4.5099999999999998E-5</v>
      </c>
      <c r="J5194" s="76">
        <v>6.2600000000000004E-5</v>
      </c>
      <c r="K5194" s="76">
        <v>2.5700000000000001E-4</v>
      </c>
      <c r="L5194" s="76">
        <v>1.4300000000000001E-4</v>
      </c>
      <c r="M5194" s="76">
        <v>1.36E-4</v>
      </c>
    </row>
    <row r="5195" spans="3:13" x14ac:dyDescent="0.15">
      <c r="C5195" s="76">
        <v>754</v>
      </c>
      <c r="D5195" s="76">
        <v>4.2500000000000003E-5</v>
      </c>
      <c r="E5195" s="76">
        <v>3.6399999999999997E-5</v>
      </c>
      <c r="F5195" s="76">
        <v>3.6699999999999998E-5</v>
      </c>
      <c r="G5195" s="76">
        <v>2.3900000000000002E-5</v>
      </c>
      <c r="H5195" s="76">
        <v>4.4700000000000002E-5</v>
      </c>
      <c r="I5195" s="76">
        <v>9.8499999999999995E-5</v>
      </c>
      <c r="J5195" s="76">
        <v>6.4599999999999998E-5</v>
      </c>
      <c r="K5195" s="76">
        <v>3.3599999999999998E-4</v>
      </c>
      <c r="L5195" s="76">
        <v>1.2999999999999999E-4</v>
      </c>
      <c r="M5195" s="76">
        <v>9.0699999999999996E-5</v>
      </c>
    </row>
    <row r="5196" spans="3:13" x14ac:dyDescent="0.15">
      <c r="C5196" s="76">
        <v>756</v>
      </c>
      <c r="D5196" s="76">
        <v>3.6900000000000002E-5</v>
      </c>
      <c r="E5196" s="76">
        <v>2.12E-5</v>
      </c>
      <c r="F5196" s="76">
        <v>4.9100000000000004E-6</v>
      </c>
      <c r="G5196" s="76">
        <v>5.2899999999999998E-5</v>
      </c>
      <c r="H5196" s="76">
        <v>8.0599999999999994E-5</v>
      </c>
      <c r="I5196" s="76">
        <v>2.69E-5</v>
      </c>
      <c r="J5196" s="76">
        <v>1.6200000000000001E-4</v>
      </c>
      <c r="K5196" s="76">
        <v>2.0000000000000001E-4</v>
      </c>
      <c r="L5196" s="76">
        <v>1.22E-4</v>
      </c>
      <c r="M5196" s="76">
        <v>4.85E-5</v>
      </c>
    </row>
    <row r="5197" spans="3:13" x14ac:dyDescent="0.15">
      <c r="C5197" s="76">
        <v>758</v>
      </c>
      <c r="D5197" s="76">
        <v>2.73E-5</v>
      </c>
      <c r="E5197" s="76">
        <v>2.39E-6</v>
      </c>
      <c r="F5197" s="76">
        <v>2.8500000000000002E-5</v>
      </c>
      <c r="G5197" s="76">
        <v>6.1500000000000004E-5</v>
      </c>
      <c r="H5197" s="76">
        <v>6.9499999999999995E-5</v>
      </c>
      <c r="I5197" s="76">
        <v>7.0300000000000001E-5</v>
      </c>
      <c r="J5197" s="76">
        <v>6.7799999999999995E-5</v>
      </c>
      <c r="K5197" s="76">
        <v>2.4600000000000002E-4</v>
      </c>
      <c r="L5197" s="76">
        <v>1.4300000000000001E-4</v>
      </c>
      <c r="M5197" s="76">
        <v>5.6999999999999996E-6</v>
      </c>
    </row>
    <row r="5198" spans="3:13" x14ac:dyDescent="0.15">
      <c r="C5198" s="76">
        <v>760</v>
      </c>
      <c r="D5198" s="76">
        <v>2.8099999999999999E-5</v>
      </c>
      <c r="E5198" s="76">
        <v>2.3300000000000001E-6</v>
      </c>
      <c r="F5198" s="76">
        <v>5.1199999999999998E-5</v>
      </c>
      <c r="G5198" s="76">
        <v>8.0799999999999999E-5</v>
      </c>
      <c r="H5198" s="76">
        <v>4.8600000000000002E-5</v>
      </c>
      <c r="I5198" s="76">
        <v>1.6900000000000001E-5</v>
      </c>
      <c r="J5198" s="76">
        <v>1.6799999999999999E-4</v>
      </c>
      <c r="K5198" s="76">
        <v>2.42E-4</v>
      </c>
      <c r="L5198" s="76">
        <v>1.8000000000000001E-4</v>
      </c>
      <c r="M5198" s="76">
        <v>5.5500000000000002E-6</v>
      </c>
    </row>
    <row r="5199" spans="3:13" x14ac:dyDescent="0.15">
      <c r="C5199" s="76">
        <v>762</v>
      </c>
      <c r="D5199" s="76">
        <v>3.01E-5</v>
      </c>
      <c r="E5199" s="76">
        <v>9.5600000000000004E-7</v>
      </c>
      <c r="F5199" s="76">
        <v>8.4200000000000007E-6</v>
      </c>
      <c r="G5199" s="76">
        <v>7.7000000000000001E-5</v>
      </c>
      <c r="H5199" s="76">
        <v>1.25E-4</v>
      </c>
      <c r="I5199" s="76">
        <v>4.3300000000000002E-5</v>
      </c>
      <c r="J5199" s="76">
        <v>1.94E-4</v>
      </c>
      <c r="K5199" s="76">
        <v>2.2800000000000001E-4</v>
      </c>
      <c r="L5199" s="76">
        <v>1.56E-4</v>
      </c>
      <c r="M5199" s="76">
        <v>3.4600000000000001E-5</v>
      </c>
    </row>
    <row r="5200" spans="3:13" x14ac:dyDescent="0.15">
      <c r="C5200" s="76">
        <v>764</v>
      </c>
      <c r="D5200" s="76">
        <v>2.5400000000000001E-5</v>
      </c>
      <c r="E5200" s="76">
        <v>8.8699999999999998E-6</v>
      </c>
      <c r="F5200" s="76">
        <v>0</v>
      </c>
      <c r="G5200" s="76">
        <v>9.2800000000000006E-5</v>
      </c>
      <c r="H5200" s="76">
        <v>1.26E-4</v>
      </c>
      <c r="I5200" s="76">
        <v>9.6600000000000003E-5</v>
      </c>
      <c r="J5200" s="76">
        <v>2.05E-4</v>
      </c>
      <c r="K5200" s="76">
        <v>2.2000000000000001E-4</v>
      </c>
      <c r="L5200" s="76">
        <v>2.14E-4</v>
      </c>
      <c r="M5200" s="76">
        <v>0</v>
      </c>
    </row>
    <row r="5201" spans="2:13" x14ac:dyDescent="0.15">
      <c r="C5201" s="76">
        <v>766</v>
      </c>
      <c r="D5201" s="76">
        <v>2.8200000000000001E-5</v>
      </c>
      <c r="E5201" s="76">
        <v>6.9E-6</v>
      </c>
      <c r="F5201" s="76">
        <v>0</v>
      </c>
      <c r="G5201" s="76">
        <v>5.9899999999999999E-5</v>
      </c>
      <c r="H5201" s="76">
        <v>1.46E-4</v>
      </c>
      <c r="I5201" s="76">
        <v>1.25E-4</v>
      </c>
      <c r="J5201" s="76">
        <v>2.14E-4</v>
      </c>
      <c r="K5201" s="76">
        <v>2.2900000000000001E-4</v>
      </c>
      <c r="L5201" s="76">
        <v>2.2699999999999999E-4</v>
      </c>
      <c r="M5201" s="76">
        <v>0</v>
      </c>
    </row>
    <row r="5202" spans="2:13" x14ac:dyDescent="0.15">
      <c r="C5202" s="76">
        <v>768</v>
      </c>
      <c r="D5202" s="76">
        <v>3.4E-5</v>
      </c>
      <c r="E5202" s="76">
        <v>1.06E-5</v>
      </c>
      <c r="F5202" s="76">
        <v>2.58E-5</v>
      </c>
      <c r="G5202" s="76">
        <v>4.7800000000000003E-5</v>
      </c>
      <c r="H5202" s="76">
        <v>1.5300000000000001E-4</v>
      </c>
      <c r="I5202" s="76">
        <v>1.22E-4</v>
      </c>
      <c r="J5202" s="76">
        <v>9.1899999999999998E-5</v>
      </c>
      <c r="K5202" s="76">
        <v>1.1400000000000001E-4</v>
      </c>
      <c r="L5202" s="76">
        <v>3.2200000000000002E-4</v>
      </c>
      <c r="M5202" s="76">
        <v>0</v>
      </c>
    </row>
    <row r="5203" spans="2:13" x14ac:dyDescent="0.15">
      <c r="C5203" s="76">
        <v>770</v>
      </c>
      <c r="D5203" s="76">
        <v>3.8500000000000001E-5</v>
      </c>
      <c r="E5203" s="76">
        <v>1.04E-5</v>
      </c>
      <c r="F5203" s="76">
        <v>1.9000000000000001E-5</v>
      </c>
      <c r="G5203" s="76">
        <v>1.74E-4</v>
      </c>
      <c r="H5203" s="76">
        <v>8.2899999999999996E-5</v>
      </c>
      <c r="I5203" s="76">
        <v>1.1900000000000001E-4</v>
      </c>
      <c r="J5203" s="76">
        <v>1.6100000000000001E-4</v>
      </c>
      <c r="K5203" s="76">
        <v>1.07E-4</v>
      </c>
      <c r="L5203" s="76">
        <v>3.57E-4</v>
      </c>
      <c r="M5203" s="76">
        <v>0</v>
      </c>
    </row>
    <row r="5204" spans="2:13" x14ac:dyDescent="0.15">
      <c r="C5204" s="76">
        <v>772</v>
      </c>
      <c r="D5204" s="76">
        <v>2.41E-5</v>
      </c>
      <c r="E5204" s="76">
        <v>2.7900000000000001E-5</v>
      </c>
      <c r="F5204" s="76">
        <v>0</v>
      </c>
      <c r="G5204" s="76">
        <v>1.11E-4</v>
      </c>
      <c r="H5204" s="76">
        <v>1.3899999999999999E-4</v>
      </c>
      <c r="I5204" s="76">
        <v>1.5699999999999999E-4</v>
      </c>
      <c r="J5204" s="76">
        <v>1.05E-4</v>
      </c>
      <c r="K5204" s="76">
        <v>1.5100000000000001E-4</v>
      </c>
      <c r="L5204" s="76">
        <v>3.3599999999999998E-4</v>
      </c>
      <c r="M5204" s="76">
        <v>2.9E-5</v>
      </c>
    </row>
    <row r="5205" spans="2:13" x14ac:dyDescent="0.15">
      <c r="C5205" s="76">
        <v>774</v>
      </c>
      <c r="D5205" s="76">
        <v>2.5299999999999998E-5</v>
      </c>
      <c r="E5205" s="76">
        <v>1.5099999999999999E-5</v>
      </c>
      <c r="F5205" s="76">
        <v>3.4300000000000002E-6</v>
      </c>
      <c r="G5205" s="76">
        <v>9.3900000000000006E-5</v>
      </c>
      <c r="H5205" s="76">
        <v>1.4799999999999999E-4</v>
      </c>
      <c r="I5205" s="76">
        <v>1.3799999999999999E-4</v>
      </c>
      <c r="J5205" s="76">
        <v>2.3599999999999999E-4</v>
      </c>
      <c r="K5205" s="76">
        <v>1.45E-4</v>
      </c>
      <c r="L5205" s="76">
        <v>2.7300000000000002E-4</v>
      </c>
      <c r="M5205" s="76">
        <v>1.9899999999999999E-5</v>
      </c>
    </row>
    <row r="5206" spans="2:13" x14ac:dyDescent="0.15">
      <c r="C5206" s="76">
        <v>776</v>
      </c>
      <c r="D5206" s="76">
        <v>1.9300000000000002E-5</v>
      </c>
      <c r="E5206" s="76">
        <v>2.4000000000000001E-5</v>
      </c>
      <c r="F5206" s="76">
        <v>1.7499999999999998E-5</v>
      </c>
      <c r="G5206" s="76">
        <v>1.12E-4</v>
      </c>
      <c r="H5206" s="76">
        <v>1.15E-4</v>
      </c>
      <c r="I5206" s="76">
        <v>9.5500000000000004E-5</v>
      </c>
      <c r="J5206" s="76">
        <v>2.2800000000000001E-4</v>
      </c>
      <c r="K5206" s="76">
        <v>3.8300000000000003E-5</v>
      </c>
      <c r="L5206" s="76">
        <v>2.99E-4</v>
      </c>
      <c r="M5206" s="76">
        <v>5.5099999999999998E-5</v>
      </c>
    </row>
    <row r="5207" spans="2:13" x14ac:dyDescent="0.15">
      <c r="C5207" s="76">
        <v>778</v>
      </c>
      <c r="D5207" s="76">
        <v>1.84E-5</v>
      </c>
      <c r="E5207" s="76">
        <v>1.22E-5</v>
      </c>
      <c r="F5207" s="76">
        <v>2.58E-5</v>
      </c>
      <c r="G5207" s="76">
        <v>6.9599999999999998E-5</v>
      </c>
      <c r="H5207" s="76">
        <v>1.22E-4</v>
      </c>
      <c r="I5207" s="76">
        <v>9.3700000000000001E-5</v>
      </c>
      <c r="J5207" s="76">
        <v>1.7899999999999999E-4</v>
      </c>
      <c r="K5207" s="76">
        <v>4.2700000000000001E-5</v>
      </c>
      <c r="L5207" s="76">
        <v>3.4400000000000001E-4</v>
      </c>
      <c r="M5207" s="76">
        <v>7.0199999999999999E-5</v>
      </c>
    </row>
    <row r="5208" spans="2:13" x14ac:dyDescent="0.15">
      <c r="C5208" s="76">
        <v>780</v>
      </c>
      <c r="D5208" s="76">
        <v>1.33E-5</v>
      </c>
      <c r="E5208" s="76">
        <v>3.6300000000000001E-5</v>
      </c>
      <c r="F5208" s="76">
        <v>3.6699999999999998E-5</v>
      </c>
      <c r="G5208" s="76">
        <v>7.1899999999999999E-5</v>
      </c>
      <c r="H5208" s="76">
        <v>1.8799999999999999E-4</v>
      </c>
      <c r="I5208" s="76">
        <v>1.5899999999999999E-4</v>
      </c>
      <c r="J5208" s="76">
        <v>1.76E-4</v>
      </c>
      <c r="K5208" s="76">
        <v>1.01E-5</v>
      </c>
      <c r="L5208" s="76">
        <v>4.0900000000000002E-4</v>
      </c>
      <c r="M5208" s="76">
        <v>8.4400000000000005E-5</v>
      </c>
    </row>
    <row r="5209" spans="2:13" x14ac:dyDescent="0.15">
      <c r="B5209" s="76">
        <v>55</v>
      </c>
      <c r="C5209" s="76" t="s">
        <v>561</v>
      </c>
      <c r="D5209" s="76">
        <v>1</v>
      </c>
      <c r="E5209" s="76">
        <v>2</v>
      </c>
      <c r="F5209" s="76">
        <v>3</v>
      </c>
      <c r="G5209" s="76">
        <v>4</v>
      </c>
      <c r="H5209" s="76">
        <v>5</v>
      </c>
      <c r="I5209" s="76">
        <v>6</v>
      </c>
      <c r="J5209" s="76">
        <v>7</v>
      </c>
      <c r="K5209" s="76">
        <v>8</v>
      </c>
      <c r="L5209" s="76">
        <v>9</v>
      </c>
      <c r="M5209" s="76">
        <v>10</v>
      </c>
    </row>
    <row r="5210" spans="2:13" x14ac:dyDescent="0.15">
      <c r="C5210" s="76" t="s">
        <v>556</v>
      </c>
      <c r="D5210" s="76">
        <v>3.5670000000000002</v>
      </c>
      <c r="E5210" s="76">
        <v>3.702</v>
      </c>
      <c r="F5210" s="76">
        <v>3.7989999999999999</v>
      </c>
      <c r="G5210" s="76">
        <v>3.8769999999999998</v>
      </c>
      <c r="H5210" s="76">
        <v>3.9449999999999998</v>
      </c>
      <c r="I5210" s="76">
        <v>4.0049999999999999</v>
      </c>
      <c r="J5210" s="76">
        <v>4.0609999999999999</v>
      </c>
      <c r="K5210" s="76">
        <v>4.1109999999999998</v>
      </c>
      <c r="L5210" s="76">
        <v>4.1580000000000004</v>
      </c>
      <c r="M5210" s="76">
        <v>4.202</v>
      </c>
    </row>
    <row r="5211" spans="2:13" x14ac:dyDescent="0.15">
      <c r="C5211" s="76" t="s">
        <v>562</v>
      </c>
      <c r="D5211" s="76">
        <v>0.08</v>
      </c>
      <c r="E5211" s="76">
        <v>0.16</v>
      </c>
      <c r="F5211" s="76">
        <v>0.24</v>
      </c>
      <c r="G5211" s="76">
        <v>0.32</v>
      </c>
      <c r="H5211" s="76">
        <v>0.4</v>
      </c>
      <c r="I5211" s="76">
        <v>0.48</v>
      </c>
      <c r="J5211" s="76">
        <v>0.56000000000000005</v>
      </c>
      <c r="K5211" s="76">
        <v>0.64</v>
      </c>
      <c r="L5211" s="76">
        <v>0.72</v>
      </c>
      <c r="M5211" s="76">
        <v>0.8</v>
      </c>
    </row>
    <row r="5212" spans="2:13" x14ac:dyDescent="0.15">
      <c r="C5212" s="76" t="s">
        <v>557</v>
      </c>
      <c r="D5212" s="76">
        <v>2</v>
      </c>
      <c r="E5212" s="76">
        <v>4</v>
      </c>
      <c r="F5212" s="76">
        <v>6</v>
      </c>
      <c r="G5212" s="76">
        <v>8</v>
      </c>
      <c r="H5212" s="76">
        <v>10</v>
      </c>
      <c r="I5212" s="76">
        <v>12</v>
      </c>
      <c r="J5212" s="76">
        <v>14</v>
      </c>
      <c r="K5212" s="76">
        <v>16</v>
      </c>
      <c r="L5212" s="76">
        <v>18</v>
      </c>
      <c r="M5212" s="76">
        <v>20</v>
      </c>
    </row>
    <row r="5213" spans="2:13" x14ac:dyDescent="0.15">
      <c r="C5213" s="76" t="s">
        <v>560</v>
      </c>
      <c r="D5213" s="76">
        <v>8.2750000000000004</v>
      </c>
      <c r="E5213" s="76">
        <v>8.4139999999999997</v>
      </c>
      <c r="F5213" s="76">
        <v>8.4130000000000003</v>
      </c>
      <c r="G5213" s="76">
        <v>8.3979999999999997</v>
      </c>
      <c r="H5213" s="76">
        <v>8.3719999999999999</v>
      </c>
      <c r="I5213" s="76">
        <v>8.3580000000000005</v>
      </c>
      <c r="J5213" s="76">
        <v>8.35</v>
      </c>
      <c r="K5213" s="76">
        <v>8.3119999999999994</v>
      </c>
      <c r="L5213" s="76">
        <v>8.2829999999999995</v>
      </c>
      <c r="M5213" s="76">
        <v>8.27</v>
      </c>
    </row>
    <row r="5214" spans="2:13" x14ac:dyDescent="0.15">
      <c r="C5214" s="76" t="s">
        <v>563</v>
      </c>
      <c r="D5214" s="76">
        <v>7.2887930000000001</v>
      </c>
      <c r="E5214" s="76">
        <v>7.1395140000000001</v>
      </c>
      <c r="F5214" s="76">
        <v>6.9581270000000002</v>
      </c>
      <c r="G5214" s="76">
        <v>6.8055500000000002</v>
      </c>
      <c r="H5214" s="76">
        <v>6.6675509999999996</v>
      </c>
      <c r="I5214" s="76">
        <v>6.5556109999999999</v>
      </c>
      <c r="J5214" s="76">
        <v>6.4599039999999999</v>
      </c>
      <c r="K5214" s="76">
        <v>6.3517650000000003</v>
      </c>
      <c r="L5214" s="76">
        <v>6.2577809999999996</v>
      </c>
      <c r="M5214" s="76">
        <v>6.1824770000000004</v>
      </c>
    </row>
    <row r="5215" spans="2:13" x14ac:dyDescent="0.15">
      <c r="C5215" s="76" t="s">
        <v>564</v>
      </c>
      <c r="D5215" s="76">
        <v>165.5</v>
      </c>
      <c r="E5215" s="76">
        <v>336.6</v>
      </c>
      <c r="F5215" s="76">
        <v>504.8</v>
      </c>
      <c r="G5215" s="76">
        <v>671.9</v>
      </c>
      <c r="H5215" s="76">
        <v>837.3</v>
      </c>
      <c r="I5215" s="76">
        <v>1003</v>
      </c>
      <c r="J5215" s="76">
        <v>1169</v>
      </c>
      <c r="K5215" s="76">
        <v>1330</v>
      </c>
      <c r="L5215" s="76">
        <v>1491</v>
      </c>
      <c r="M5215" s="76">
        <v>1654</v>
      </c>
    </row>
    <row r="5216" spans="2:13" x14ac:dyDescent="0.15">
      <c r="C5216" s="76" t="s">
        <v>565</v>
      </c>
      <c r="D5216" s="76">
        <v>165.5</v>
      </c>
      <c r="E5216" s="76">
        <v>336.6</v>
      </c>
      <c r="F5216" s="76">
        <v>504.8</v>
      </c>
      <c r="G5216" s="76">
        <v>671.9</v>
      </c>
      <c r="H5216" s="76">
        <v>837.3</v>
      </c>
      <c r="I5216" s="76">
        <v>1003</v>
      </c>
      <c r="J5216" s="76">
        <v>1169</v>
      </c>
      <c r="K5216" s="76">
        <v>1330</v>
      </c>
      <c r="L5216" s="76">
        <v>1491</v>
      </c>
      <c r="M5216" s="76">
        <v>1654</v>
      </c>
    </row>
    <row r="5217" spans="3:13" x14ac:dyDescent="0.15">
      <c r="C5217" s="76" t="s">
        <v>566</v>
      </c>
      <c r="D5217" s="76">
        <v>0.1358</v>
      </c>
      <c r="E5217" s="76">
        <v>0.13550000000000001</v>
      </c>
      <c r="F5217" s="76">
        <v>0.13550000000000001</v>
      </c>
      <c r="G5217" s="76">
        <v>0.13550000000000001</v>
      </c>
      <c r="H5217" s="76">
        <v>0.13539999999999999</v>
      </c>
      <c r="I5217" s="76">
        <v>0.13550000000000001</v>
      </c>
      <c r="J5217" s="76">
        <v>0.1356</v>
      </c>
      <c r="K5217" s="76">
        <v>0.13550000000000001</v>
      </c>
      <c r="L5217" s="76">
        <v>0.13550000000000001</v>
      </c>
      <c r="M5217" s="76">
        <v>0.1356</v>
      </c>
    </row>
    <row r="5218" spans="3:13" x14ac:dyDescent="0.15">
      <c r="C5218" s="76" t="s">
        <v>567</v>
      </c>
      <c r="D5218" s="76">
        <v>0.1178</v>
      </c>
      <c r="E5218" s="76">
        <v>0.11749999999999999</v>
      </c>
      <c r="F5218" s="76">
        <v>0.1173</v>
      </c>
      <c r="G5218" s="76">
        <v>0.1172</v>
      </c>
      <c r="H5218" s="76">
        <v>0.1172</v>
      </c>
      <c r="I5218" s="76">
        <v>0.1172</v>
      </c>
      <c r="J5218" s="76">
        <v>0.1173</v>
      </c>
      <c r="K5218" s="76">
        <v>0.1171</v>
      </c>
      <c r="L5218" s="76">
        <v>0.1171</v>
      </c>
      <c r="M5218" s="76">
        <v>0.1171</v>
      </c>
    </row>
    <row r="5219" spans="3:13" x14ac:dyDescent="0.15">
      <c r="C5219" s="76" t="s">
        <v>568</v>
      </c>
      <c r="D5219" s="76">
        <v>9.1602999999999994</v>
      </c>
      <c r="E5219" s="76">
        <v>9.3264999999999993</v>
      </c>
      <c r="F5219" s="76">
        <v>9.3391000000000002</v>
      </c>
      <c r="G5219" s="76">
        <v>9.327</v>
      </c>
      <c r="H5219" s="76">
        <v>9.3034999999999997</v>
      </c>
      <c r="I5219" s="76">
        <v>9.2863000000000007</v>
      </c>
      <c r="J5219" s="76">
        <v>9.27</v>
      </c>
      <c r="K5219" s="76">
        <v>9.2431999999999999</v>
      </c>
      <c r="L5219" s="76">
        <v>9.2134999999999998</v>
      </c>
      <c r="M5219" s="76">
        <v>9.1981000000000002</v>
      </c>
    </row>
    <row r="5220" spans="3:13" x14ac:dyDescent="0.15">
      <c r="C5220" s="76" t="s">
        <v>569</v>
      </c>
    </row>
    <row r="5221" spans="3:13" x14ac:dyDescent="0.15">
      <c r="C5221" s="76" t="s">
        <v>570</v>
      </c>
      <c r="D5221" s="76">
        <v>4</v>
      </c>
      <c r="E5221" s="76">
        <v>4</v>
      </c>
      <c r="F5221" s="76">
        <v>4</v>
      </c>
      <c r="G5221" s="76">
        <v>4</v>
      </c>
      <c r="H5221" s="76">
        <v>4</v>
      </c>
      <c r="I5221" s="76">
        <v>4</v>
      </c>
      <c r="J5221" s="76">
        <v>4</v>
      </c>
      <c r="K5221" s="76">
        <v>4</v>
      </c>
      <c r="L5221" s="76">
        <v>4</v>
      </c>
      <c r="M5221" s="76">
        <v>4</v>
      </c>
    </row>
    <row r="5222" spans="3:13" x14ac:dyDescent="0.15">
      <c r="C5222" s="76" t="s">
        <v>571</v>
      </c>
      <c r="D5222" s="76">
        <v>100</v>
      </c>
      <c r="E5222" s="76">
        <v>100</v>
      </c>
      <c r="F5222" s="76">
        <v>100</v>
      </c>
      <c r="G5222" s="76">
        <v>100</v>
      </c>
      <c r="H5222" s="76">
        <v>100</v>
      </c>
      <c r="I5222" s="76">
        <v>100</v>
      </c>
      <c r="J5222" s="76">
        <v>100</v>
      </c>
      <c r="K5222" s="76">
        <v>100</v>
      </c>
      <c r="L5222" s="76">
        <v>100</v>
      </c>
      <c r="M5222" s="76">
        <v>100</v>
      </c>
    </row>
    <row r="5223" spans="3:13" x14ac:dyDescent="0.15">
      <c r="C5223" s="76" t="s">
        <v>572</v>
      </c>
      <c r="D5223" s="76" t="s">
        <v>574</v>
      </c>
      <c r="E5223" s="76" t="s">
        <v>574</v>
      </c>
      <c r="F5223" s="76" t="s">
        <v>574</v>
      </c>
      <c r="G5223" s="76" t="s">
        <v>574</v>
      </c>
      <c r="H5223" s="76" t="s">
        <v>574</v>
      </c>
      <c r="I5223" s="76" t="s">
        <v>574</v>
      </c>
      <c r="J5223" s="76" t="s">
        <v>574</v>
      </c>
      <c r="K5223" s="76" t="s">
        <v>574</v>
      </c>
      <c r="L5223" s="76" t="s">
        <v>574</v>
      </c>
      <c r="M5223" s="76" t="s">
        <v>574</v>
      </c>
    </row>
    <row r="5224" spans="3:13" x14ac:dyDescent="0.15">
      <c r="C5224" s="76" t="s">
        <v>573</v>
      </c>
      <c r="D5224" s="76">
        <v>1</v>
      </c>
      <c r="E5224" s="76">
        <v>2</v>
      </c>
      <c r="F5224" s="76">
        <v>3</v>
      </c>
      <c r="G5224" s="76">
        <v>4</v>
      </c>
      <c r="H5224" s="76">
        <v>5</v>
      </c>
      <c r="I5224" s="76">
        <v>6</v>
      </c>
      <c r="J5224" s="76">
        <v>7</v>
      </c>
      <c r="K5224" s="76">
        <v>8</v>
      </c>
      <c r="L5224" s="76">
        <v>9</v>
      </c>
      <c r="M5224" s="76">
        <v>10</v>
      </c>
    </row>
    <row r="5225" spans="3:13" x14ac:dyDescent="0.15">
      <c r="C5225" s="76">
        <v>380</v>
      </c>
      <c r="D5225" s="76">
        <v>1.26E-4</v>
      </c>
      <c r="E5225" s="76">
        <v>2.3499999999999999E-4</v>
      </c>
      <c r="F5225" s="76">
        <v>2.43E-4</v>
      </c>
      <c r="G5225" s="76">
        <v>1.64E-4</v>
      </c>
      <c r="H5225" s="76">
        <v>5.8699999999999996E-4</v>
      </c>
      <c r="I5225" s="76">
        <v>1.07E-3</v>
      </c>
      <c r="J5225" s="76">
        <v>4.8700000000000002E-4</v>
      </c>
      <c r="K5225" s="76">
        <v>1.09E-3</v>
      </c>
      <c r="L5225" s="76">
        <v>7.54E-4</v>
      </c>
      <c r="M5225" s="76">
        <v>1.64E-3</v>
      </c>
    </row>
    <row r="5226" spans="3:13" x14ac:dyDescent="0.15">
      <c r="C5226" s="76">
        <v>382</v>
      </c>
      <c r="D5226" s="76">
        <v>1.8000000000000001E-4</v>
      </c>
      <c r="E5226" s="76">
        <v>2.4600000000000002E-4</v>
      </c>
      <c r="F5226" s="76">
        <v>1.9000000000000001E-4</v>
      </c>
      <c r="G5226" s="76">
        <v>5.9199999999999997E-4</v>
      </c>
      <c r="H5226" s="76">
        <v>5.22E-4</v>
      </c>
      <c r="I5226" s="76">
        <v>1.06E-3</v>
      </c>
      <c r="J5226" s="76">
        <v>4.0700000000000003E-4</v>
      </c>
      <c r="K5226" s="76">
        <v>9.5699999999999995E-4</v>
      </c>
      <c r="L5226" s="76">
        <v>6.4199999999999999E-4</v>
      </c>
      <c r="M5226" s="76">
        <v>1.32E-3</v>
      </c>
    </row>
    <row r="5227" spans="3:13" x14ac:dyDescent="0.15">
      <c r="C5227" s="76">
        <v>384</v>
      </c>
      <c r="D5227" s="76">
        <v>1.56E-4</v>
      </c>
      <c r="E5227" s="76">
        <v>2.5399999999999999E-4</v>
      </c>
      <c r="F5227" s="76">
        <v>2.0599999999999999E-4</v>
      </c>
      <c r="G5227" s="76">
        <v>5.4199999999999995E-4</v>
      </c>
      <c r="H5227" s="76">
        <v>5.2800000000000004E-4</v>
      </c>
      <c r="I5227" s="76">
        <v>1.0200000000000001E-3</v>
      </c>
      <c r="J5227" s="76">
        <v>4.1199999999999999E-4</v>
      </c>
      <c r="K5227" s="76">
        <v>8.9700000000000001E-4</v>
      </c>
      <c r="L5227" s="76">
        <v>8.83E-4</v>
      </c>
      <c r="M5227" s="76">
        <v>1.1900000000000001E-3</v>
      </c>
    </row>
    <row r="5228" spans="3:13" x14ac:dyDescent="0.15">
      <c r="C5228" s="76">
        <v>386</v>
      </c>
      <c r="D5228" s="76">
        <v>1.3100000000000001E-4</v>
      </c>
      <c r="E5228" s="76">
        <v>1.9599999999999999E-4</v>
      </c>
      <c r="F5228" s="76">
        <v>2.4000000000000001E-4</v>
      </c>
      <c r="G5228" s="76">
        <v>4.8999999999999998E-4</v>
      </c>
      <c r="H5228" s="76">
        <v>4.4900000000000002E-4</v>
      </c>
      <c r="I5228" s="76">
        <v>8.8999999999999995E-4</v>
      </c>
      <c r="J5228" s="76">
        <v>4.8500000000000003E-4</v>
      </c>
      <c r="K5228" s="76">
        <v>6.6200000000000005E-4</v>
      </c>
      <c r="L5228" s="76">
        <v>9.7499999999999996E-4</v>
      </c>
      <c r="M5228" s="76">
        <v>1.2199999999999999E-3</v>
      </c>
    </row>
    <row r="5229" spans="3:13" x14ac:dyDescent="0.15">
      <c r="C5229" s="76">
        <v>388</v>
      </c>
      <c r="D5229" s="76">
        <v>1.18E-4</v>
      </c>
      <c r="E5229" s="76">
        <v>2.4800000000000001E-4</v>
      </c>
      <c r="F5229" s="76">
        <v>2.2800000000000001E-4</v>
      </c>
      <c r="G5229" s="76">
        <v>3.3300000000000002E-4</v>
      </c>
      <c r="H5229" s="76">
        <v>4.3399999999999998E-4</v>
      </c>
      <c r="I5229" s="76">
        <v>7.6400000000000003E-4</v>
      </c>
      <c r="J5229" s="76">
        <v>5.7200000000000003E-4</v>
      </c>
      <c r="K5229" s="76">
        <v>6.6500000000000001E-4</v>
      </c>
      <c r="L5229" s="76">
        <v>8.9599999999999999E-4</v>
      </c>
      <c r="M5229" s="76">
        <v>1.1299999999999999E-3</v>
      </c>
    </row>
    <row r="5230" spans="3:13" x14ac:dyDescent="0.15">
      <c r="C5230" s="76">
        <v>390</v>
      </c>
      <c r="D5230" s="76">
        <v>1.2E-4</v>
      </c>
      <c r="E5230" s="76">
        <v>2.24E-4</v>
      </c>
      <c r="F5230" s="76">
        <v>2.5300000000000002E-4</v>
      </c>
      <c r="G5230" s="76">
        <v>3.1700000000000001E-4</v>
      </c>
      <c r="H5230" s="76">
        <v>4.4499999999999997E-4</v>
      </c>
      <c r="I5230" s="76">
        <v>7.1299999999999998E-4</v>
      </c>
      <c r="J5230" s="76">
        <v>6.2100000000000002E-4</v>
      </c>
      <c r="K5230" s="76">
        <v>8.4199999999999998E-4</v>
      </c>
      <c r="L5230" s="76">
        <v>7.5900000000000002E-4</v>
      </c>
      <c r="M5230" s="76">
        <v>1.1999999999999999E-3</v>
      </c>
    </row>
    <row r="5231" spans="3:13" x14ac:dyDescent="0.15">
      <c r="C5231" s="76">
        <v>392</v>
      </c>
      <c r="D5231" s="76">
        <v>1.0900000000000001E-4</v>
      </c>
      <c r="E5231" s="76">
        <v>1.5799999999999999E-4</v>
      </c>
      <c r="F5231" s="76">
        <v>2.2499999999999999E-4</v>
      </c>
      <c r="G5231" s="76">
        <v>3.86E-4</v>
      </c>
      <c r="H5231" s="76">
        <v>4.3199999999999998E-4</v>
      </c>
      <c r="I5231" s="76">
        <v>7.6000000000000004E-4</v>
      </c>
      <c r="J5231" s="76">
        <v>7.9500000000000003E-4</v>
      </c>
      <c r="K5231" s="76">
        <v>8.2899999999999998E-4</v>
      </c>
      <c r="L5231" s="76">
        <v>9.0700000000000004E-4</v>
      </c>
      <c r="M5231" s="76">
        <v>9.9500000000000001E-4</v>
      </c>
    </row>
    <row r="5232" spans="3:13" x14ac:dyDescent="0.15">
      <c r="C5232" s="76">
        <v>394</v>
      </c>
      <c r="D5232" s="76">
        <v>1.17E-4</v>
      </c>
      <c r="E5232" s="76">
        <v>1.8900000000000001E-4</v>
      </c>
      <c r="F5232" s="76">
        <v>2.4699999999999999E-4</v>
      </c>
      <c r="G5232" s="76">
        <v>4.75E-4</v>
      </c>
      <c r="H5232" s="76">
        <v>4.8200000000000001E-4</v>
      </c>
      <c r="I5232" s="76">
        <v>6.3500000000000004E-4</v>
      </c>
      <c r="J5232" s="76">
        <v>7.3200000000000001E-4</v>
      </c>
      <c r="K5232" s="76">
        <v>7.2000000000000005E-4</v>
      </c>
      <c r="L5232" s="76">
        <v>9.5E-4</v>
      </c>
      <c r="M5232" s="76">
        <v>1.25E-3</v>
      </c>
    </row>
    <row r="5233" spans="3:13" x14ac:dyDescent="0.15">
      <c r="C5233" s="76">
        <v>396</v>
      </c>
      <c r="D5233" s="76">
        <v>1.3200000000000001E-4</v>
      </c>
      <c r="E5233" s="76">
        <v>2.2000000000000001E-4</v>
      </c>
      <c r="F5233" s="76">
        <v>2.7599999999999999E-4</v>
      </c>
      <c r="G5233" s="76">
        <v>5.1699999999999999E-4</v>
      </c>
      <c r="H5233" s="76">
        <v>5.0299999999999997E-4</v>
      </c>
      <c r="I5233" s="76">
        <v>5.5000000000000003E-4</v>
      </c>
      <c r="J5233" s="76">
        <v>6.8599999999999998E-4</v>
      </c>
      <c r="K5233" s="76">
        <v>8.4400000000000002E-4</v>
      </c>
      <c r="L5233" s="76">
        <v>7.9000000000000001E-4</v>
      </c>
      <c r="M5233" s="76">
        <v>1.32E-3</v>
      </c>
    </row>
    <row r="5234" spans="3:13" x14ac:dyDescent="0.15">
      <c r="C5234" s="76">
        <v>398</v>
      </c>
      <c r="D5234" s="76">
        <v>1.1400000000000001E-4</v>
      </c>
      <c r="E5234" s="76">
        <v>2.1699999999999999E-4</v>
      </c>
      <c r="F5234" s="76">
        <v>2.92E-4</v>
      </c>
      <c r="G5234" s="76">
        <v>4.2499999999999998E-4</v>
      </c>
      <c r="H5234" s="76">
        <v>4.8299999999999998E-4</v>
      </c>
      <c r="I5234" s="76">
        <v>6.7000000000000002E-4</v>
      </c>
      <c r="J5234" s="76">
        <v>8.0199999999999998E-4</v>
      </c>
      <c r="K5234" s="76">
        <v>8.3299999999999997E-4</v>
      </c>
      <c r="L5234" s="76">
        <v>8.7299999999999997E-4</v>
      </c>
      <c r="M5234" s="76">
        <v>1.23E-3</v>
      </c>
    </row>
    <row r="5235" spans="3:13" x14ac:dyDescent="0.15">
      <c r="C5235" s="76">
        <v>400</v>
      </c>
      <c r="D5235" s="76">
        <v>1.17E-4</v>
      </c>
      <c r="E5235" s="76">
        <v>2.12E-4</v>
      </c>
      <c r="F5235" s="76">
        <v>2.92E-4</v>
      </c>
      <c r="G5235" s="76">
        <v>4.3100000000000001E-4</v>
      </c>
      <c r="H5235" s="76">
        <v>6.2100000000000002E-4</v>
      </c>
      <c r="I5235" s="76">
        <v>6.7900000000000002E-4</v>
      </c>
      <c r="J5235" s="76">
        <v>8.8000000000000003E-4</v>
      </c>
      <c r="K5235" s="76">
        <v>8.6300000000000005E-4</v>
      </c>
      <c r="L5235" s="76">
        <v>1.08E-3</v>
      </c>
      <c r="M5235" s="76">
        <v>1.23E-3</v>
      </c>
    </row>
    <row r="5236" spans="3:13" x14ac:dyDescent="0.15">
      <c r="C5236" s="76">
        <v>402</v>
      </c>
      <c r="D5236" s="76">
        <v>1.2799999999999999E-4</v>
      </c>
      <c r="E5236" s="76">
        <v>1.9100000000000001E-4</v>
      </c>
      <c r="F5236" s="76">
        <v>3.57E-4</v>
      </c>
      <c r="G5236" s="76">
        <v>4.3600000000000003E-4</v>
      </c>
      <c r="H5236" s="76">
        <v>6.2600000000000004E-4</v>
      </c>
      <c r="I5236" s="76">
        <v>6.5399999999999996E-4</v>
      </c>
      <c r="J5236" s="76">
        <v>8.6200000000000003E-4</v>
      </c>
      <c r="K5236" s="76">
        <v>9.7300000000000002E-4</v>
      </c>
      <c r="L5236" s="76">
        <v>1.1999999999999999E-3</v>
      </c>
      <c r="M5236" s="76">
        <v>1.32E-3</v>
      </c>
    </row>
    <row r="5237" spans="3:13" x14ac:dyDescent="0.15">
      <c r="C5237" s="76">
        <v>404</v>
      </c>
      <c r="D5237" s="76">
        <v>9.7999999999999997E-5</v>
      </c>
      <c r="E5237" s="76">
        <v>2.32E-4</v>
      </c>
      <c r="F5237" s="76">
        <v>3.9199999999999999E-4</v>
      </c>
      <c r="G5237" s="76">
        <v>4.5399999999999998E-4</v>
      </c>
      <c r="H5237" s="76">
        <v>7.0200000000000004E-4</v>
      </c>
      <c r="I5237" s="76">
        <v>6.2299999999999996E-4</v>
      </c>
      <c r="J5237" s="76">
        <v>9.6000000000000002E-4</v>
      </c>
      <c r="K5237" s="76">
        <v>1.1100000000000001E-3</v>
      </c>
      <c r="L5237" s="76">
        <v>1.24E-3</v>
      </c>
      <c r="M5237" s="76">
        <v>1.25E-3</v>
      </c>
    </row>
    <row r="5238" spans="3:13" x14ac:dyDescent="0.15">
      <c r="C5238" s="76">
        <v>406</v>
      </c>
      <c r="D5238" s="76">
        <v>9.9300000000000001E-5</v>
      </c>
      <c r="E5238" s="76">
        <v>2.61E-4</v>
      </c>
      <c r="F5238" s="76">
        <v>3.68E-4</v>
      </c>
      <c r="G5238" s="76">
        <v>4.9200000000000003E-4</v>
      </c>
      <c r="H5238" s="76">
        <v>6.9099999999999999E-4</v>
      </c>
      <c r="I5238" s="76">
        <v>6.9099999999999999E-4</v>
      </c>
      <c r="J5238" s="76">
        <v>8.2600000000000002E-4</v>
      </c>
      <c r="K5238" s="76">
        <v>1.1800000000000001E-3</v>
      </c>
      <c r="L5238" s="76">
        <v>1.3600000000000001E-3</v>
      </c>
      <c r="M5238" s="76">
        <v>1.49E-3</v>
      </c>
    </row>
    <row r="5239" spans="3:13" x14ac:dyDescent="0.15">
      <c r="C5239" s="76">
        <v>408</v>
      </c>
      <c r="D5239" s="76">
        <v>1.6200000000000001E-4</v>
      </c>
      <c r="E5239" s="76">
        <v>3.0400000000000002E-4</v>
      </c>
      <c r="F5239" s="76">
        <v>4.8099999999999998E-4</v>
      </c>
      <c r="G5239" s="76">
        <v>6.4899999999999995E-4</v>
      </c>
      <c r="H5239" s="76">
        <v>6.87E-4</v>
      </c>
      <c r="I5239" s="76">
        <v>7.8100000000000001E-4</v>
      </c>
      <c r="J5239" s="76">
        <v>1.1100000000000001E-3</v>
      </c>
      <c r="K5239" s="76">
        <v>1.2899999999999999E-3</v>
      </c>
      <c r="L5239" s="76">
        <v>1.5399999999999999E-3</v>
      </c>
      <c r="M5239" s="76">
        <v>1.57E-3</v>
      </c>
    </row>
    <row r="5240" spans="3:13" x14ac:dyDescent="0.15">
      <c r="C5240" s="76">
        <v>410</v>
      </c>
      <c r="D5240" s="76">
        <v>1.65E-4</v>
      </c>
      <c r="E5240" s="76">
        <v>3.3799999999999998E-4</v>
      </c>
      <c r="F5240" s="76">
        <v>5.6899999999999995E-4</v>
      </c>
      <c r="G5240" s="76">
        <v>7.5000000000000002E-4</v>
      </c>
      <c r="H5240" s="76">
        <v>7.6099999999999996E-4</v>
      </c>
      <c r="I5240" s="76">
        <v>9.7799999999999992E-4</v>
      </c>
      <c r="J5240" s="76">
        <v>1.2800000000000001E-3</v>
      </c>
      <c r="K5240" s="76">
        <v>1.5900000000000001E-3</v>
      </c>
      <c r="L5240" s="76">
        <v>1.66E-3</v>
      </c>
      <c r="M5240" s="76">
        <v>1.72E-3</v>
      </c>
    </row>
    <row r="5241" spans="3:13" x14ac:dyDescent="0.15">
      <c r="C5241" s="76">
        <v>412</v>
      </c>
      <c r="D5241" s="76">
        <v>1.8000000000000001E-4</v>
      </c>
      <c r="E5241" s="76">
        <v>3.9199999999999999E-4</v>
      </c>
      <c r="F5241" s="76">
        <v>6.3100000000000005E-4</v>
      </c>
      <c r="G5241" s="76">
        <v>8.43E-4</v>
      </c>
      <c r="H5241" s="76">
        <v>9.3400000000000004E-4</v>
      </c>
      <c r="I5241" s="76">
        <v>1.1299999999999999E-3</v>
      </c>
      <c r="J5241" s="76">
        <v>1.4400000000000001E-3</v>
      </c>
      <c r="K5241" s="76">
        <v>1.6199999999999999E-3</v>
      </c>
      <c r="L5241" s="76">
        <v>1.92E-3</v>
      </c>
      <c r="M5241" s="76">
        <v>1.9499999999999999E-3</v>
      </c>
    </row>
    <row r="5242" spans="3:13" x14ac:dyDescent="0.15">
      <c r="C5242" s="76">
        <v>414</v>
      </c>
      <c r="D5242" s="76">
        <v>2.1599999999999999E-4</v>
      </c>
      <c r="E5242" s="76">
        <v>4.66E-4</v>
      </c>
      <c r="F5242" s="76">
        <v>6.7000000000000002E-4</v>
      </c>
      <c r="G5242" s="76">
        <v>9.5399999999999999E-4</v>
      </c>
      <c r="H5242" s="76">
        <v>1.08E-3</v>
      </c>
      <c r="I5242" s="76">
        <v>1.41E-3</v>
      </c>
      <c r="J5242" s="76">
        <v>1.72E-3</v>
      </c>
      <c r="K5242" s="76">
        <v>1.92E-3</v>
      </c>
      <c r="L5242" s="76">
        <v>2.2200000000000002E-3</v>
      </c>
      <c r="M5242" s="76">
        <v>2.31E-3</v>
      </c>
    </row>
    <row r="5243" spans="3:13" x14ac:dyDescent="0.15">
      <c r="C5243" s="76">
        <v>416</v>
      </c>
      <c r="D5243" s="76">
        <v>2.52E-4</v>
      </c>
      <c r="E5243" s="76">
        <v>5.3700000000000004E-4</v>
      </c>
      <c r="F5243" s="76">
        <v>8.1800000000000004E-4</v>
      </c>
      <c r="G5243" s="76">
        <v>1.1100000000000001E-3</v>
      </c>
      <c r="H5243" s="76">
        <v>1.2899999999999999E-3</v>
      </c>
      <c r="I5243" s="76">
        <v>1.6199999999999999E-3</v>
      </c>
      <c r="J5243" s="76">
        <v>1.99E-3</v>
      </c>
      <c r="K5243" s="76">
        <v>2.2799999999999999E-3</v>
      </c>
      <c r="L5243" s="76">
        <v>2.5799999999999998E-3</v>
      </c>
      <c r="M5243" s="76">
        <v>2.7799999999999999E-3</v>
      </c>
    </row>
    <row r="5244" spans="3:13" x14ac:dyDescent="0.15">
      <c r="C5244" s="76">
        <v>418</v>
      </c>
      <c r="D5244" s="76">
        <v>3.0200000000000002E-4</v>
      </c>
      <c r="E5244" s="76">
        <v>6.4800000000000003E-4</v>
      </c>
      <c r="F5244" s="76">
        <v>9.77E-4</v>
      </c>
      <c r="G5244" s="76">
        <v>1.2899999999999999E-3</v>
      </c>
      <c r="H5244" s="76">
        <v>1.56E-3</v>
      </c>
      <c r="I5244" s="76">
        <v>1.8699999999999999E-3</v>
      </c>
      <c r="J5244" s="76">
        <v>2.4099999999999998E-3</v>
      </c>
      <c r="K5244" s="76">
        <v>2.63E-3</v>
      </c>
      <c r="L5244" s="76">
        <v>2.98E-3</v>
      </c>
      <c r="M5244" s="76">
        <v>3.3E-3</v>
      </c>
    </row>
    <row r="5245" spans="3:13" x14ac:dyDescent="0.15">
      <c r="C5245" s="76">
        <v>420</v>
      </c>
      <c r="D5245" s="76">
        <v>3.7300000000000001E-4</v>
      </c>
      <c r="E5245" s="76">
        <v>7.7800000000000005E-4</v>
      </c>
      <c r="F5245" s="76">
        <v>1.16E-3</v>
      </c>
      <c r="G5245" s="76">
        <v>1.6000000000000001E-3</v>
      </c>
      <c r="H5245" s="76">
        <v>1.92E-3</v>
      </c>
      <c r="I5245" s="76">
        <v>2.2699999999999999E-3</v>
      </c>
      <c r="J5245" s="76">
        <v>2.82E-3</v>
      </c>
      <c r="K5245" s="76">
        <v>3.15E-3</v>
      </c>
      <c r="L5245" s="76">
        <v>3.5599999999999998E-3</v>
      </c>
      <c r="M5245" s="76">
        <v>3.8800000000000002E-3</v>
      </c>
    </row>
    <row r="5246" spans="3:13" x14ac:dyDescent="0.15">
      <c r="C5246" s="76">
        <v>422</v>
      </c>
      <c r="D5246" s="76">
        <v>4.4499999999999997E-4</v>
      </c>
      <c r="E5246" s="76">
        <v>9.4200000000000002E-4</v>
      </c>
      <c r="F5246" s="76">
        <v>1.4E-3</v>
      </c>
      <c r="G5246" s="76">
        <v>1.91E-3</v>
      </c>
      <c r="H5246" s="76">
        <v>2.3999999999999998E-3</v>
      </c>
      <c r="I5246" s="76">
        <v>2.8500000000000001E-3</v>
      </c>
      <c r="J5246" s="76">
        <v>3.15E-3</v>
      </c>
      <c r="K5246" s="76">
        <v>3.8E-3</v>
      </c>
      <c r="L5246" s="76">
        <v>4.45E-3</v>
      </c>
      <c r="M5246" s="76">
        <v>4.7499999999999999E-3</v>
      </c>
    </row>
    <row r="5247" spans="3:13" x14ac:dyDescent="0.15">
      <c r="C5247" s="76">
        <v>424</v>
      </c>
      <c r="D5247" s="76">
        <v>5.5699999999999999E-4</v>
      </c>
      <c r="E5247" s="76">
        <v>1.17E-3</v>
      </c>
      <c r="F5247" s="76">
        <v>1.8E-3</v>
      </c>
      <c r="G5247" s="76">
        <v>2.4199999999999998E-3</v>
      </c>
      <c r="H5247" s="76">
        <v>2.9199999999999999E-3</v>
      </c>
      <c r="I5247" s="76">
        <v>3.5000000000000001E-3</v>
      </c>
      <c r="J5247" s="76">
        <v>4.2300000000000003E-3</v>
      </c>
      <c r="K5247" s="76">
        <v>4.7699999999999999E-3</v>
      </c>
      <c r="L5247" s="76">
        <v>5.4400000000000004E-3</v>
      </c>
      <c r="M5247" s="76">
        <v>5.96E-3</v>
      </c>
    </row>
    <row r="5248" spans="3:13" x14ac:dyDescent="0.15">
      <c r="C5248" s="76">
        <v>426</v>
      </c>
      <c r="D5248" s="76">
        <v>7.0799999999999997E-4</v>
      </c>
      <c r="E5248" s="76">
        <v>1.49E-3</v>
      </c>
      <c r="F5248" s="76">
        <v>2.2100000000000002E-3</v>
      </c>
      <c r="G5248" s="76">
        <v>3.0300000000000001E-3</v>
      </c>
      <c r="H5248" s="76">
        <v>3.7699999999999999E-3</v>
      </c>
      <c r="I5248" s="76">
        <v>4.4600000000000004E-3</v>
      </c>
      <c r="J5248" s="76">
        <v>5.3099999999999996E-3</v>
      </c>
      <c r="K5248" s="76">
        <v>6.0699999999999999E-3</v>
      </c>
      <c r="L5248" s="76">
        <v>6.8399999999999997E-3</v>
      </c>
      <c r="M5248" s="76">
        <v>7.5799999999999999E-3</v>
      </c>
    </row>
    <row r="5249" spans="3:13" x14ac:dyDescent="0.15">
      <c r="C5249" s="76">
        <v>428</v>
      </c>
      <c r="D5249" s="76">
        <v>9.3400000000000004E-4</v>
      </c>
      <c r="E5249" s="76">
        <v>1.9300000000000001E-3</v>
      </c>
      <c r="F5249" s="76">
        <v>2.9199999999999999E-3</v>
      </c>
      <c r="G5249" s="76">
        <v>3.9399999999999999E-3</v>
      </c>
      <c r="H5249" s="76">
        <v>4.8900000000000002E-3</v>
      </c>
      <c r="I5249" s="76">
        <v>5.8999999999999999E-3</v>
      </c>
      <c r="J5249" s="76">
        <v>6.8999999999999999E-3</v>
      </c>
      <c r="K5249" s="76">
        <v>7.9000000000000008E-3</v>
      </c>
      <c r="L5249" s="76">
        <v>8.8800000000000007E-3</v>
      </c>
      <c r="M5249" s="76">
        <v>9.8799999999999999E-3</v>
      </c>
    </row>
    <row r="5250" spans="3:13" x14ac:dyDescent="0.15">
      <c r="C5250" s="76">
        <v>430</v>
      </c>
      <c r="D5250" s="76">
        <v>1.25E-3</v>
      </c>
      <c r="E5250" s="76">
        <v>2.5999999999999999E-3</v>
      </c>
      <c r="F5250" s="76">
        <v>3.9399999999999999E-3</v>
      </c>
      <c r="G5250" s="76">
        <v>5.28E-3</v>
      </c>
      <c r="H5250" s="76">
        <v>6.5500000000000003E-3</v>
      </c>
      <c r="I5250" s="76">
        <v>7.9100000000000004E-3</v>
      </c>
      <c r="J5250" s="76">
        <v>9.2599999999999991E-3</v>
      </c>
      <c r="K5250" s="76">
        <v>1.06E-2</v>
      </c>
      <c r="L5250" s="76">
        <v>1.1900000000000001E-2</v>
      </c>
      <c r="M5250" s="76">
        <v>1.3299999999999999E-2</v>
      </c>
    </row>
    <row r="5251" spans="3:13" x14ac:dyDescent="0.15">
      <c r="C5251" s="76">
        <v>432</v>
      </c>
      <c r="D5251" s="76">
        <v>1.73E-3</v>
      </c>
      <c r="E5251" s="76">
        <v>3.5500000000000002E-3</v>
      </c>
      <c r="F5251" s="76">
        <v>5.3800000000000002E-3</v>
      </c>
      <c r="G5251" s="76">
        <v>7.2399999999999999E-3</v>
      </c>
      <c r="H5251" s="76">
        <v>8.9999999999999993E-3</v>
      </c>
      <c r="I5251" s="76">
        <v>1.09E-2</v>
      </c>
      <c r="J5251" s="76">
        <v>1.2699999999999999E-2</v>
      </c>
      <c r="K5251" s="76">
        <v>1.4500000000000001E-2</v>
      </c>
      <c r="L5251" s="76">
        <v>1.6299999999999999E-2</v>
      </c>
      <c r="M5251" s="76">
        <v>1.8100000000000002E-2</v>
      </c>
    </row>
    <row r="5252" spans="3:13" x14ac:dyDescent="0.15">
      <c r="C5252" s="76">
        <v>434</v>
      </c>
      <c r="D5252" s="76">
        <v>2.3999999999999998E-3</v>
      </c>
      <c r="E5252" s="76">
        <v>4.9399999999999999E-3</v>
      </c>
      <c r="F5252" s="76">
        <v>7.4799999999999997E-3</v>
      </c>
      <c r="G5252" s="76">
        <v>0.01</v>
      </c>
      <c r="H5252" s="76">
        <v>1.2500000000000001E-2</v>
      </c>
      <c r="I5252" s="76">
        <v>1.4999999999999999E-2</v>
      </c>
      <c r="J5252" s="76">
        <v>1.7600000000000001E-2</v>
      </c>
      <c r="K5252" s="76">
        <v>0.02</v>
      </c>
      <c r="L5252" s="76">
        <v>2.2599999999999999E-2</v>
      </c>
      <c r="M5252" s="76">
        <v>2.5100000000000001E-2</v>
      </c>
    </row>
    <row r="5253" spans="3:13" x14ac:dyDescent="0.15">
      <c r="C5253" s="76">
        <v>436</v>
      </c>
      <c r="D5253" s="76">
        <v>3.46E-3</v>
      </c>
      <c r="E5253" s="76">
        <v>7.0699999999999999E-3</v>
      </c>
      <c r="F5253" s="76">
        <v>1.0699999999999999E-2</v>
      </c>
      <c r="G5253" s="76">
        <v>1.43E-2</v>
      </c>
      <c r="H5253" s="76">
        <v>1.7899999999999999E-2</v>
      </c>
      <c r="I5253" s="76">
        <v>2.1399999999999999E-2</v>
      </c>
      <c r="J5253" s="76">
        <v>2.5000000000000001E-2</v>
      </c>
      <c r="K5253" s="76">
        <v>2.86E-2</v>
      </c>
      <c r="L5253" s="76">
        <v>3.2099999999999997E-2</v>
      </c>
      <c r="M5253" s="76">
        <v>3.5700000000000003E-2</v>
      </c>
    </row>
    <row r="5254" spans="3:13" x14ac:dyDescent="0.15">
      <c r="C5254" s="76">
        <v>438</v>
      </c>
      <c r="D5254" s="76">
        <v>4.9199999999999999E-3</v>
      </c>
      <c r="E5254" s="76">
        <v>1.01E-2</v>
      </c>
      <c r="F5254" s="76">
        <v>1.52E-2</v>
      </c>
      <c r="G5254" s="76">
        <v>2.0400000000000001E-2</v>
      </c>
      <c r="H5254" s="76">
        <v>2.5399999999999999E-2</v>
      </c>
      <c r="I5254" s="76">
        <v>3.0499999999999999E-2</v>
      </c>
      <c r="J5254" s="76">
        <v>3.56E-2</v>
      </c>
      <c r="K5254" s="76">
        <v>4.0599999999999997E-2</v>
      </c>
      <c r="L5254" s="76">
        <v>4.5699999999999998E-2</v>
      </c>
      <c r="M5254" s="76">
        <v>5.0799999999999998E-2</v>
      </c>
    </row>
    <row r="5255" spans="3:13" x14ac:dyDescent="0.15">
      <c r="C5255" s="76">
        <v>440</v>
      </c>
      <c r="D5255" s="76">
        <v>6.79E-3</v>
      </c>
      <c r="E5255" s="76">
        <v>1.3899999999999999E-2</v>
      </c>
      <c r="F5255" s="76">
        <v>2.0899999999999998E-2</v>
      </c>
      <c r="G5255" s="76">
        <v>2.8000000000000001E-2</v>
      </c>
      <c r="H5255" s="76">
        <v>3.5000000000000003E-2</v>
      </c>
      <c r="I5255" s="76">
        <v>4.19E-2</v>
      </c>
      <c r="J5255" s="76">
        <v>4.8899999999999999E-2</v>
      </c>
      <c r="K5255" s="76">
        <v>5.5800000000000002E-2</v>
      </c>
      <c r="L5255" s="76">
        <v>6.2700000000000006E-2</v>
      </c>
      <c r="M5255" s="76">
        <v>6.9599999999999995E-2</v>
      </c>
    </row>
    <row r="5256" spans="3:13" x14ac:dyDescent="0.15">
      <c r="C5256" s="76">
        <v>442</v>
      </c>
      <c r="D5256" s="76">
        <v>9.11E-3</v>
      </c>
      <c r="E5256" s="76">
        <v>1.8599999999999998E-2</v>
      </c>
      <c r="F5256" s="76">
        <v>2.8000000000000001E-2</v>
      </c>
      <c r="G5256" s="76">
        <v>3.7400000000000003E-2</v>
      </c>
      <c r="H5256" s="76">
        <v>4.6699999999999998E-2</v>
      </c>
      <c r="I5256" s="76">
        <v>5.6000000000000001E-2</v>
      </c>
      <c r="J5256" s="76">
        <v>6.5199999999999994E-2</v>
      </c>
      <c r="K5256" s="76">
        <v>7.4399999999999994E-2</v>
      </c>
      <c r="L5256" s="76">
        <v>8.3599999999999994E-2</v>
      </c>
      <c r="M5256" s="76">
        <v>9.2799999999999994E-2</v>
      </c>
    </row>
    <row r="5257" spans="3:13" x14ac:dyDescent="0.15">
      <c r="C5257" s="76">
        <v>444</v>
      </c>
      <c r="D5257" s="76">
        <v>1.18E-2</v>
      </c>
      <c r="E5257" s="76">
        <v>2.4199999999999999E-2</v>
      </c>
      <c r="F5257" s="76">
        <v>3.6400000000000002E-2</v>
      </c>
      <c r="G5257" s="76">
        <v>4.8500000000000001E-2</v>
      </c>
      <c r="H5257" s="76">
        <v>6.0600000000000001E-2</v>
      </c>
      <c r="I5257" s="76">
        <v>7.2599999999999998E-2</v>
      </c>
      <c r="J5257" s="76">
        <v>8.4599999999999995E-2</v>
      </c>
      <c r="K5257" s="76">
        <v>9.6500000000000002E-2</v>
      </c>
      <c r="L5257" s="76">
        <v>0.108</v>
      </c>
      <c r="M5257" s="76">
        <v>0.12</v>
      </c>
    </row>
    <row r="5258" spans="3:13" x14ac:dyDescent="0.15">
      <c r="C5258" s="76">
        <v>446</v>
      </c>
      <c r="D5258" s="76">
        <v>1.49E-2</v>
      </c>
      <c r="E5258" s="76">
        <v>3.04E-2</v>
      </c>
      <c r="F5258" s="76">
        <v>4.58E-2</v>
      </c>
      <c r="G5258" s="76">
        <v>6.0999999999999999E-2</v>
      </c>
      <c r="H5258" s="76">
        <v>7.6100000000000001E-2</v>
      </c>
      <c r="I5258" s="76">
        <v>9.1300000000000006E-2</v>
      </c>
      <c r="J5258" s="76">
        <v>0.106</v>
      </c>
      <c r="K5258" s="76">
        <v>0.121</v>
      </c>
      <c r="L5258" s="76">
        <v>0.13600000000000001</v>
      </c>
      <c r="M5258" s="76">
        <v>0.151</v>
      </c>
    </row>
    <row r="5259" spans="3:13" x14ac:dyDescent="0.15">
      <c r="C5259" s="76">
        <v>448</v>
      </c>
      <c r="D5259" s="76">
        <v>1.8200000000000001E-2</v>
      </c>
      <c r="E5259" s="76">
        <v>3.6999999999999998E-2</v>
      </c>
      <c r="F5259" s="76">
        <v>5.57E-2</v>
      </c>
      <c r="G5259" s="76">
        <v>7.4200000000000002E-2</v>
      </c>
      <c r="H5259" s="76">
        <v>9.2600000000000002E-2</v>
      </c>
      <c r="I5259" s="76">
        <v>0.111</v>
      </c>
      <c r="J5259" s="76">
        <v>0.129</v>
      </c>
      <c r="K5259" s="76">
        <v>0.14699999999999999</v>
      </c>
      <c r="L5259" s="76">
        <v>0.16500000000000001</v>
      </c>
      <c r="M5259" s="76">
        <v>0.183</v>
      </c>
    </row>
    <row r="5260" spans="3:13" x14ac:dyDescent="0.15">
      <c r="C5260" s="76">
        <v>450</v>
      </c>
      <c r="D5260" s="76">
        <v>2.1600000000000001E-2</v>
      </c>
      <c r="E5260" s="76">
        <v>4.3999999999999997E-2</v>
      </c>
      <c r="F5260" s="76">
        <v>6.6199999999999995E-2</v>
      </c>
      <c r="G5260" s="76">
        <v>8.8200000000000001E-2</v>
      </c>
      <c r="H5260" s="76">
        <v>0.11</v>
      </c>
      <c r="I5260" s="76">
        <v>0.13200000000000001</v>
      </c>
      <c r="J5260" s="76">
        <v>0.153</v>
      </c>
      <c r="K5260" s="76">
        <v>0.17499999999999999</v>
      </c>
      <c r="L5260" s="76">
        <v>0.19600000000000001</v>
      </c>
      <c r="M5260" s="76">
        <v>0.218</v>
      </c>
    </row>
    <row r="5261" spans="3:13" x14ac:dyDescent="0.15">
      <c r="C5261" s="76">
        <v>452</v>
      </c>
      <c r="D5261" s="76">
        <v>2.4500000000000001E-2</v>
      </c>
      <c r="E5261" s="76">
        <v>0.05</v>
      </c>
      <c r="F5261" s="76">
        <v>7.51E-2</v>
      </c>
      <c r="G5261" s="76">
        <v>0.1</v>
      </c>
      <c r="H5261" s="76">
        <v>0.125</v>
      </c>
      <c r="I5261" s="76">
        <v>0.14899999999999999</v>
      </c>
      <c r="J5261" s="76">
        <v>0.17399999999999999</v>
      </c>
      <c r="K5261" s="76">
        <v>0.19800000000000001</v>
      </c>
      <c r="L5261" s="76">
        <v>0.222</v>
      </c>
      <c r="M5261" s="76">
        <v>0.247</v>
      </c>
    </row>
    <row r="5262" spans="3:13" x14ac:dyDescent="0.15">
      <c r="C5262" s="76">
        <v>454</v>
      </c>
      <c r="D5262" s="76">
        <v>2.6800000000000001E-2</v>
      </c>
      <c r="E5262" s="76">
        <v>5.4600000000000003E-2</v>
      </c>
      <c r="F5262" s="76">
        <v>8.2100000000000006E-2</v>
      </c>
      <c r="G5262" s="76">
        <v>0.109</v>
      </c>
      <c r="H5262" s="76">
        <v>0.13600000000000001</v>
      </c>
      <c r="I5262" s="76">
        <v>0.16300000000000001</v>
      </c>
      <c r="J5262" s="76">
        <v>0.19</v>
      </c>
      <c r="K5262" s="76">
        <v>0.216</v>
      </c>
      <c r="L5262" s="76">
        <v>0.24299999999999999</v>
      </c>
      <c r="M5262" s="76">
        <v>0.26900000000000002</v>
      </c>
    </row>
    <row r="5263" spans="3:13" x14ac:dyDescent="0.15">
      <c r="C5263" s="76">
        <v>456</v>
      </c>
      <c r="D5263" s="76">
        <v>2.8299999999999999E-2</v>
      </c>
      <c r="E5263" s="76">
        <v>5.7799999999999997E-2</v>
      </c>
      <c r="F5263" s="76">
        <v>8.6900000000000005E-2</v>
      </c>
      <c r="G5263" s="76">
        <v>0.11600000000000001</v>
      </c>
      <c r="H5263" s="76">
        <v>0.14399999999999999</v>
      </c>
      <c r="I5263" s="76">
        <v>0.17299999999999999</v>
      </c>
      <c r="J5263" s="76">
        <v>0.20100000000000001</v>
      </c>
      <c r="K5263" s="76">
        <v>0.22900000000000001</v>
      </c>
      <c r="L5263" s="76">
        <v>0.25700000000000001</v>
      </c>
      <c r="M5263" s="76">
        <v>0.28399999999999997</v>
      </c>
    </row>
    <row r="5264" spans="3:13" x14ac:dyDescent="0.15">
      <c r="C5264" s="76">
        <v>458</v>
      </c>
      <c r="D5264" s="76">
        <v>2.9100000000000001E-2</v>
      </c>
      <c r="E5264" s="76">
        <v>5.9400000000000001E-2</v>
      </c>
      <c r="F5264" s="76">
        <v>8.9099999999999999E-2</v>
      </c>
      <c r="G5264" s="76">
        <v>0.11899999999999999</v>
      </c>
      <c r="H5264" s="76">
        <v>0.14799999999999999</v>
      </c>
      <c r="I5264" s="76">
        <v>0.17699999999999999</v>
      </c>
      <c r="J5264" s="76">
        <v>0.20599999999999999</v>
      </c>
      <c r="K5264" s="76">
        <v>0.23499999999999999</v>
      </c>
      <c r="L5264" s="76">
        <v>0.26300000000000001</v>
      </c>
      <c r="M5264" s="76">
        <v>0.29199999999999998</v>
      </c>
    </row>
    <row r="5265" spans="3:13" x14ac:dyDescent="0.15">
      <c r="C5265" s="76">
        <v>460</v>
      </c>
      <c r="D5265" s="76">
        <v>2.9100000000000001E-2</v>
      </c>
      <c r="E5265" s="76">
        <v>5.9499999999999997E-2</v>
      </c>
      <c r="F5265" s="76">
        <v>8.9300000000000004E-2</v>
      </c>
      <c r="G5265" s="76">
        <v>0.11899999999999999</v>
      </c>
      <c r="H5265" s="76">
        <v>0.14799999999999999</v>
      </c>
      <c r="I5265" s="76">
        <v>0.17699999999999999</v>
      </c>
      <c r="J5265" s="76">
        <v>0.20599999999999999</v>
      </c>
      <c r="K5265" s="76">
        <v>0.23499999999999999</v>
      </c>
      <c r="L5265" s="76">
        <v>0.26400000000000001</v>
      </c>
      <c r="M5265" s="76">
        <v>0.29199999999999998</v>
      </c>
    </row>
    <row r="5266" spans="3:13" x14ac:dyDescent="0.15">
      <c r="C5266" s="76">
        <v>462</v>
      </c>
      <c r="D5266" s="76">
        <v>2.8500000000000001E-2</v>
      </c>
      <c r="E5266" s="76">
        <v>5.8000000000000003E-2</v>
      </c>
      <c r="F5266" s="76">
        <v>8.72E-2</v>
      </c>
      <c r="G5266" s="76">
        <v>0.11600000000000001</v>
      </c>
      <c r="H5266" s="76">
        <v>0.14499999999999999</v>
      </c>
      <c r="I5266" s="76">
        <v>0.17299999999999999</v>
      </c>
      <c r="J5266" s="76">
        <v>0.20200000000000001</v>
      </c>
      <c r="K5266" s="76">
        <v>0.23</v>
      </c>
      <c r="L5266" s="76">
        <v>0.25700000000000001</v>
      </c>
      <c r="M5266" s="76">
        <v>0.28499999999999998</v>
      </c>
    </row>
    <row r="5267" spans="3:13" x14ac:dyDescent="0.15">
      <c r="C5267" s="76">
        <v>464</v>
      </c>
      <c r="D5267" s="76">
        <v>2.7099999999999999E-2</v>
      </c>
      <c r="E5267" s="76">
        <v>5.5199999999999999E-2</v>
      </c>
      <c r="F5267" s="76">
        <v>8.3000000000000004E-2</v>
      </c>
      <c r="G5267" s="76">
        <v>0.11</v>
      </c>
      <c r="H5267" s="76">
        <v>0.13800000000000001</v>
      </c>
      <c r="I5267" s="76">
        <v>0.16500000000000001</v>
      </c>
      <c r="J5267" s="76">
        <v>0.192</v>
      </c>
      <c r="K5267" s="76">
        <v>0.218</v>
      </c>
      <c r="L5267" s="76">
        <v>0.245</v>
      </c>
      <c r="M5267" s="76">
        <v>0.27100000000000002</v>
      </c>
    </row>
    <row r="5268" spans="3:13" x14ac:dyDescent="0.15">
      <c r="C5268" s="76">
        <v>466</v>
      </c>
      <c r="D5268" s="76">
        <v>2.5600000000000001E-2</v>
      </c>
      <c r="E5268" s="76">
        <v>5.21E-2</v>
      </c>
      <c r="F5268" s="76">
        <v>7.8299999999999995E-2</v>
      </c>
      <c r="G5268" s="76">
        <v>0.104</v>
      </c>
      <c r="H5268" s="76">
        <v>0.13</v>
      </c>
      <c r="I5268" s="76">
        <v>0.156</v>
      </c>
      <c r="J5268" s="76">
        <v>0.18099999999999999</v>
      </c>
      <c r="K5268" s="76">
        <v>0.20599999999999999</v>
      </c>
      <c r="L5268" s="76">
        <v>0.23100000000000001</v>
      </c>
      <c r="M5268" s="76">
        <v>0.25600000000000001</v>
      </c>
    </row>
    <row r="5269" spans="3:13" x14ac:dyDescent="0.15">
      <c r="C5269" s="76">
        <v>468</v>
      </c>
      <c r="D5269" s="76">
        <v>2.4E-2</v>
      </c>
      <c r="E5269" s="76">
        <v>4.9000000000000002E-2</v>
      </c>
      <c r="F5269" s="76">
        <v>7.3499999999999996E-2</v>
      </c>
      <c r="G5269" s="76">
        <v>9.7900000000000001E-2</v>
      </c>
      <c r="H5269" s="76">
        <v>0.122</v>
      </c>
      <c r="I5269" s="76">
        <v>0.14599999999999999</v>
      </c>
      <c r="J5269" s="76">
        <v>0.17</v>
      </c>
      <c r="K5269" s="76">
        <v>0.19400000000000001</v>
      </c>
      <c r="L5269" s="76">
        <v>0.217</v>
      </c>
      <c r="M5269" s="76">
        <v>0.24099999999999999</v>
      </c>
    </row>
    <row r="5270" spans="3:13" x14ac:dyDescent="0.15">
      <c r="C5270" s="76">
        <v>470</v>
      </c>
      <c r="D5270" s="76">
        <v>2.24E-2</v>
      </c>
      <c r="E5270" s="76">
        <v>4.5699999999999998E-2</v>
      </c>
      <c r="F5270" s="76">
        <v>6.8699999999999997E-2</v>
      </c>
      <c r="G5270" s="76">
        <v>9.1499999999999998E-2</v>
      </c>
      <c r="H5270" s="76">
        <v>0.114</v>
      </c>
      <c r="I5270" s="76">
        <v>0.13700000000000001</v>
      </c>
      <c r="J5270" s="76">
        <v>0.159</v>
      </c>
      <c r="K5270" s="76">
        <v>0.18099999999999999</v>
      </c>
      <c r="L5270" s="76">
        <v>0.20300000000000001</v>
      </c>
      <c r="M5270" s="76">
        <v>0.22500000000000001</v>
      </c>
    </row>
    <row r="5271" spans="3:13" x14ac:dyDescent="0.15">
      <c r="C5271" s="76">
        <v>472</v>
      </c>
      <c r="D5271" s="76">
        <v>2.1000000000000001E-2</v>
      </c>
      <c r="E5271" s="76">
        <v>4.2799999999999998E-2</v>
      </c>
      <c r="F5271" s="76">
        <v>6.4299999999999996E-2</v>
      </c>
      <c r="G5271" s="76">
        <v>8.5599999999999996E-2</v>
      </c>
      <c r="H5271" s="76">
        <v>0.107</v>
      </c>
      <c r="I5271" s="76">
        <v>0.128</v>
      </c>
      <c r="J5271" s="76">
        <v>0.14899999999999999</v>
      </c>
      <c r="K5271" s="76">
        <v>0.17</v>
      </c>
      <c r="L5271" s="76">
        <v>0.19</v>
      </c>
      <c r="M5271" s="76">
        <v>0.21099999999999999</v>
      </c>
    </row>
    <row r="5272" spans="3:13" x14ac:dyDescent="0.15">
      <c r="C5272" s="76">
        <v>474</v>
      </c>
      <c r="D5272" s="76">
        <v>1.9800000000000002E-2</v>
      </c>
      <c r="E5272" s="76">
        <v>4.0300000000000002E-2</v>
      </c>
      <c r="F5272" s="76">
        <v>6.0499999999999998E-2</v>
      </c>
      <c r="G5272" s="76">
        <v>8.0600000000000005E-2</v>
      </c>
      <c r="H5272" s="76">
        <v>0.10100000000000001</v>
      </c>
      <c r="I5272" s="76">
        <v>0.121</v>
      </c>
      <c r="J5272" s="76">
        <v>0.14000000000000001</v>
      </c>
      <c r="K5272" s="76">
        <v>0.16</v>
      </c>
      <c r="L5272" s="76">
        <v>0.17899999999999999</v>
      </c>
      <c r="M5272" s="76">
        <v>0.19900000000000001</v>
      </c>
    </row>
    <row r="5273" spans="3:13" x14ac:dyDescent="0.15">
      <c r="C5273" s="76">
        <v>476</v>
      </c>
      <c r="D5273" s="76">
        <v>1.8599999999999998E-2</v>
      </c>
      <c r="E5273" s="76">
        <v>3.7900000000000003E-2</v>
      </c>
      <c r="F5273" s="76">
        <v>5.6899999999999999E-2</v>
      </c>
      <c r="G5273" s="76">
        <v>7.5800000000000006E-2</v>
      </c>
      <c r="H5273" s="76">
        <v>9.4500000000000001E-2</v>
      </c>
      <c r="I5273" s="76">
        <v>0.113</v>
      </c>
      <c r="J5273" s="76">
        <v>0.13200000000000001</v>
      </c>
      <c r="K5273" s="76">
        <v>0.15</v>
      </c>
      <c r="L5273" s="76">
        <v>0.16900000000000001</v>
      </c>
      <c r="M5273" s="76">
        <v>0.187</v>
      </c>
    </row>
    <row r="5274" spans="3:13" x14ac:dyDescent="0.15">
      <c r="C5274" s="76">
        <v>478</v>
      </c>
      <c r="D5274" s="76">
        <v>1.78E-2</v>
      </c>
      <c r="E5274" s="76">
        <v>3.6200000000000003E-2</v>
      </c>
      <c r="F5274" s="76">
        <v>5.45E-2</v>
      </c>
      <c r="G5274" s="76">
        <v>7.2400000000000006E-2</v>
      </c>
      <c r="H5274" s="76">
        <v>9.0399999999999994E-2</v>
      </c>
      <c r="I5274" s="76">
        <v>0.108</v>
      </c>
      <c r="J5274" s="76">
        <v>0.126</v>
      </c>
      <c r="K5274" s="76">
        <v>0.14299999999999999</v>
      </c>
      <c r="L5274" s="76">
        <v>0.161</v>
      </c>
      <c r="M5274" s="76">
        <v>0.17799999999999999</v>
      </c>
    </row>
    <row r="5275" spans="3:13" x14ac:dyDescent="0.15">
      <c r="C5275" s="76">
        <v>480</v>
      </c>
      <c r="D5275" s="76">
        <v>1.7100000000000001E-2</v>
      </c>
      <c r="E5275" s="76">
        <v>3.4799999999999998E-2</v>
      </c>
      <c r="F5275" s="76">
        <v>5.2299999999999999E-2</v>
      </c>
      <c r="G5275" s="76">
        <v>6.9599999999999995E-2</v>
      </c>
      <c r="H5275" s="76">
        <v>8.6800000000000002E-2</v>
      </c>
      <c r="I5275" s="76">
        <v>0.104</v>
      </c>
      <c r="J5275" s="76">
        <v>0.121</v>
      </c>
      <c r="K5275" s="76">
        <v>0.13800000000000001</v>
      </c>
      <c r="L5275" s="76">
        <v>0.155</v>
      </c>
      <c r="M5275" s="76">
        <v>0.17100000000000001</v>
      </c>
    </row>
    <row r="5276" spans="3:13" x14ac:dyDescent="0.15">
      <c r="C5276" s="76">
        <v>482</v>
      </c>
      <c r="D5276" s="76">
        <v>1.6500000000000001E-2</v>
      </c>
      <c r="E5276" s="76">
        <v>3.3500000000000002E-2</v>
      </c>
      <c r="F5276" s="76">
        <v>5.04E-2</v>
      </c>
      <c r="G5276" s="76">
        <v>6.7100000000000007E-2</v>
      </c>
      <c r="H5276" s="76">
        <v>8.3599999999999994E-2</v>
      </c>
      <c r="I5276" s="76">
        <v>0.1</v>
      </c>
      <c r="J5276" s="76">
        <v>0.11700000000000001</v>
      </c>
      <c r="K5276" s="76">
        <v>0.13300000000000001</v>
      </c>
      <c r="L5276" s="76">
        <v>0.14899999999999999</v>
      </c>
      <c r="M5276" s="76">
        <v>0.16500000000000001</v>
      </c>
    </row>
    <row r="5277" spans="3:13" x14ac:dyDescent="0.15">
      <c r="C5277" s="76">
        <v>484</v>
      </c>
      <c r="D5277" s="76">
        <v>1.5900000000000001E-2</v>
      </c>
      <c r="E5277" s="76">
        <v>3.2300000000000002E-2</v>
      </c>
      <c r="F5277" s="76">
        <v>4.8500000000000001E-2</v>
      </c>
      <c r="G5277" s="76">
        <v>6.4600000000000005E-2</v>
      </c>
      <c r="H5277" s="76">
        <v>8.0500000000000002E-2</v>
      </c>
      <c r="I5277" s="76">
        <v>9.64E-2</v>
      </c>
      <c r="J5277" s="76">
        <v>0.112</v>
      </c>
      <c r="K5277" s="76">
        <v>0.128</v>
      </c>
      <c r="L5277" s="76">
        <v>0.14299999999999999</v>
      </c>
      <c r="M5277" s="76">
        <v>0.159</v>
      </c>
    </row>
    <row r="5278" spans="3:13" x14ac:dyDescent="0.15">
      <c r="C5278" s="76">
        <v>486</v>
      </c>
      <c r="D5278" s="76">
        <v>1.52E-2</v>
      </c>
      <c r="E5278" s="76">
        <v>3.1E-2</v>
      </c>
      <c r="F5278" s="76">
        <v>4.6600000000000003E-2</v>
      </c>
      <c r="G5278" s="76">
        <v>6.2E-2</v>
      </c>
      <c r="H5278" s="76">
        <v>7.7200000000000005E-2</v>
      </c>
      <c r="I5278" s="76">
        <v>9.2499999999999999E-2</v>
      </c>
      <c r="J5278" s="76">
        <v>0.108</v>
      </c>
      <c r="K5278" s="76">
        <v>0.123</v>
      </c>
      <c r="L5278" s="76">
        <v>0.13800000000000001</v>
      </c>
      <c r="M5278" s="76">
        <v>0.152</v>
      </c>
    </row>
    <row r="5279" spans="3:13" x14ac:dyDescent="0.15">
      <c r="C5279" s="76">
        <v>488</v>
      </c>
      <c r="D5279" s="76">
        <v>1.44E-2</v>
      </c>
      <c r="E5279" s="76">
        <v>2.93E-2</v>
      </c>
      <c r="F5279" s="76">
        <v>4.3999999999999997E-2</v>
      </c>
      <c r="G5279" s="76">
        <v>5.8599999999999999E-2</v>
      </c>
      <c r="H5279" s="76">
        <v>7.2999999999999995E-2</v>
      </c>
      <c r="I5279" s="76">
        <v>8.7499999999999994E-2</v>
      </c>
      <c r="J5279" s="76">
        <v>0.10199999999999999</v>
      </c>
      <c r="K5279" s="76">
        <v>0.11600000000000001</v>
      </c>
      <c r="L5279" s="76">
        <v>0.13</v>
      </c>
      <c r="M5279" s="76">
        <v>0.14399999999999999</v>
      </c>
    </row>
    <row r="5280" spans="3:13" x14ac:dyDescent="0.15">
      <c r="C5280" s="76">
        <v>490</v>
      </c>
      <c r="D5280" s="76">
        <v>1.3599999999999999E-2</v>
      </c>
      <c r="E5280" s="76">
        <v>2.76E-2</v>
      </c>
      <c r="F5280" s="76">
        <v>4.1599999999999998E-2</v>
      </c>
      <c r="G5280" s="76">
        <v>5.5300000000000002E-2</v>
      </c>
      <c r="H5280" s="76">
        <v>6.8900000000000003E-2</v>
      </c>
      <c r="I5280" s="76">
        <v>8.2500000000000004E-2</v>
      </c>
      <c r="J5280" s="76">
        <v>9.6000000000000002E-2</v>
      </c>
      <c r="K5280" s="76">
        <v>0.109</v>
      </c>
      <c r="L5280" s="76">
        <v>0.123</v>
      </c>
      <c r="M5280" s="76">
        <v>0.13600000000000001</v>
      </c>
    </row>
    <row r="5281" spans="3:13" x14ac:dyDescent="0.15">
      <c r="C5281" s="76">
        <v>492</v>
      </c>
      <c r="D5281" s="76">
        <v>1.2699999999999999E-2</v>
      </c>
      <c r="E5281" s="76">
        <v>2.5899999999999999E-2</v>
      </c>
      <c r="F5281" s="76">
        <v>3.9E-2</v>
      </c>
      <c r="G5281" s="76">
        <v>5.1900000000000002E-2</v>
      </c>
      <c r="H5281" s="76">
        <v>6.4600000000000005E-2</v>
      </c>
      <c r="I5281" s="76">
        <v>7.7299999999999994E-2</v>
      </c>
      <c r="J5281" s="76">
        <v>0.09</v>
      </c>
      <c r="K5281" s="76">
        <v>0.10299999999999999</v>
      </c>
      <c r="L5281" s="76">
        <v>0.115</v>
      </c>
      <c r="M5281" s="76">
        <v>0.128</v>
      </c>
    </row>
    <row r="5282" spans="3:13" x14ac:dyDescent="0.15">
      <c r="C5282" s="76">
        <v>494</v>
      </c>
      <c r="D5282" s="76">
        <v>1.18E-2</v>
      </c>
      <c r="E5282" s="76">
        <v>2.41E-2</v>
      </c>
      <c r="F5282" s="76">
        <v>3.6200000000000003E-2</v>
      </c>
      <c r="G5282" s="76">
        <v>4.82E-2</v>
      </c>
      <c r="H5282" s="76">
        <v>6.0100000000000001E-2</v>
      </c>
      <c r="I5282" s="76">
        <v>7.1900000000000006E-2</v>
      </c>
      <c r="J5282" s="76">
        <v>8.3799999999999999E-2</v>
      </c>
      <c r="K5282" s="76">
        <v>9.5500000000000002E-2</v>
      </c>
      <c r="L5282" s="76">
        <v>0.107</v>
      </c>
      <c r="M5282" s="76">
        <v>0.11899999999999999</v>
      </c>
    </row>
    <row r="5283" spans="3:13" x14ac:dyDescent="0.15">
      <c r="C5283" s="76">
        <v>496</v>
      </c>
      <c r="D5283" s="76">
        <v>1.0999999999999999E-2</v>
      </c>
      <c r="E5283" s="76">
        <v>2.23E-2</v>
      </c>
      <c r="F5283" s="76">
        <v>3.3599999999999998E-2</v>
      </c>
      <c r="G5283" s="76">
        <v>4.4699999999999997E-2</v>
      </c>
      <c r="H5283" s="76">
        <v>5.5800000000000002E-2</v>
      </c>
      <c r="I5283" s="76">
        <v>6.6600000000000006E-2</v>
      </c>
      <c r="J5283" s="76">
        <v>7.7600000000000002E-2</v>
      </c>
      <c r="K5283" s="76">
        <v>8.8499999999999995E-2</v>
      </c>
      <c r="L5283" s="76">
        <v>9.9099999999999994E-2</v>
      </c>
      <c r="M5283" s="76">
        <v>0.11</v>
      </c>
    </row>
    <row r="5284" spans="3:13" x14ac:dyDescent="0.15">
      <c r="C5284" s="76">
        <v>498</v>
      </c>
      <c r="D5284" s="76">
        <v>1.01E-2</v>
      </c>
      <c r="E5284" s="76">
        <v>2.0500000000000001E-2</v>
      </c>
      <c r="F5284" s="76">
        <v>3.09E-2</v>
      </c>
      <c r="G5284" s="76">
        <v>4.1099999999999998E-2</v>
      </c>
      <c r="H5284" s="76">
        <v>5.1200000000000002E-2</v>
      </c>
      <c r="I5284" s="76">
        <v>6.1100000000000002E-2</v>
      </c>
      <c r="J5284" s="76">
        <v>7.1300000000000002E-2</v>
      </c>
      <c r="K5284" s="76">
        <v>8.1199999999999994E-2</v>
      </c>
      <c r="L5284" s="76">
        <v>9.11E-2</v>
      </c>
      <c r="M5284" s="76">
        <v>0.10100000000000001</v>
      </c>
    </row>
    <row r="5285" spans="3:13" x14ac:dyDescent="0.15">
      <c r="C5285" s="76">
        <v>500</v>
      </c>
      <c r="D5285" s="76">
        <v>9.1500000000000001E-3</v>
      </c>
      <c r="E5285" s="76">
        <v>1.8599999999999998E-2</v>
      </c>
      <c r="F5285" s="76">
        <v>2.8000000000000001E-2</v>
      </c>
      <c r="G5285" s="76">
        <v>3.73E-2</v>
      </c>
      <c r="H5285" s="76">
        <v>4.6399999999999997E-2</v>
      </c>
      <c r="I5285" s="76">
        <v>5.5399999999999998E-2</v>
      </c>
      <c r="J5285" s="76">
        <v>6.4699999999999994E-2</v>
      </c>
      <c r="K5285" s="76">
        <v>7.3599999999999999E-2</v>
      </c>
      <c r="L5285" s="76">
        <v>8.2500000000000004E-2</v>
      </c>
      <c r="M5285" s="76">
        <v>9.1499999999999998E-2</v>
      </c>
    </row>
    <row r="5286" spans="3:13" x14ac:dyDescent="0.15">
      <c r="C5286" s="76">
        <v>502</v>
      </c>
      <c r="D5286" s="76">
        <v>8.26E-3</v>
      </c>
      <c r="E5286" s="76">
        <v>1.6799999999999999E-2</v>
      </c>
      <c r="F5286" s="76">
        <v>2.53E-2</v>
      </c>
      <c r="G5286" s="76">
        <v>3.3599999999999998E-2</v>
      </c>
      <c r="H5286" s="76">
        <v>4.2000000000000003E-2</v>
      </c>
      <c r="I5286" s="76">
        <v>0.05</v>
      </c>
      <c r="J5286" s="76">
        <v>5.8400000000000001E-2</v>
      </c>
      <c r="K5286" s="76">
        <v>6.6500000000000004E-2</v>
      </c>
      <c r="L5286" s="76">
        <v>7.46E-2</v>
      </c>
      <c r="M5286" s="76">
        <v>8.2699999999999996E-2</v>
      </c>
    </row>
    <row r="5287" spans="3:13" x14ac:dyDescent="0.15">
      <c r="C5287" s="76">
        <v>504</v>
      </c>
      <c r="D5287" s="76">
        <v>7.4799999999999997E-3</v>
      </c>
      <c r="E5287" s="76">
        <v>1.52E-2</v>
      </c>
      <c r="F5287" s="76">
        <v>2.29E-2</v>
      </c>
      <c r="G5287" s="76">
        <v>3.0499999999999999E-2</v>
      </c>
      <c r="H5287" s="76">
        <v>3.7999999999999999E-2</v>
      </c>
      <c r="I5287" s="76">
        <v>4.53E-2</v>
      </c>
      <c r="J5287" s="76">
        <v>5.2900000000000003E-2</v>
      </c>
      <c r="K5287" s="76">
        <v>6.0199999999999997E-2</v>
      </c>
      <c r="L5287" s="76">
        <v>6.7500000000000004E-2</v>
      </c>
      <c r="M5287" s="76">
        <v>7.4899999999999994E-2</v>
      </c>
    </row>
    <row r="5288" spans="3:13" x14ac:dyDescent="0.15">
      <c r="C5288" s="76">
        <v>506</v>
      </c>
      <c r="D5288" s="76">
        <v>6.77E-3</v>
      </c>
      <c r="E5288" s="76">
        <v>1.38E-2</v>
      </c>
      <c r="F5288" s="76">
        <v>2.07E-2</v>
      </c>
      <c r="G5288" s="76">
        <v>2.76E-2</v>
      </c>
      <c r="H5288" s="76">
        <v>3.44E-2</v>
      </c>
      <c r="I5288" s="76">
        <v>4.1099999999999998E-2</v>
      </c>
      <c r="J5288" s="76">
        <v>4.7899999999999998E-2</v>
      </c>
      <c r="K5288" s="76">
        <v>5.4600000000000003E-2</v>
      </c>
      <c r="L5288" s="76">
        <v>6.1100000000000002E-2</v>
      </c>
      <c r="M5288" s="76">
        <v>6.7799999999999999E-2</v>
      </c>
    </row>
    <row r="5289" spans="3:13" x14ac:dyDescent="0.15">
      <c r="C5289" s="76">
        <v>508</v>
      </c>
      <c r="D5289" s="76">
        <v>6.1399999999999996E-3</v>
      </c>
      <c r="E5289" s="76">
        <v>1.2500000000000001E-2</v>
      </c>
      <c r="F5289" s="76">
        <v>1.8700000000000001E-2</v>
      </c>
      <c r="G5289" s="76">
        <v>2.5000000000000001E-2</v>
      </c>
      <c r="H5289" s="76">
        <v>3.1199999999999999E-2</v>
      </c>
      <c r="I5289" s="76">
        <v>3.7199999999999997E-2</v>
      </c>
      <c r="J5289" s="76">
        <v>4.3499999999999997E-2</v>
      </c>
      <c r="K5289" s="76">
        <v>4.9399999999999999E-2</v>
      </c>
      <c r="L5289" s="76">
        <v>5.5399999999999998E-2</v>
      </c>
      <c r="M5289" s="76">
        <v>6.1400000000000003E-2</v>
      </c>
    </row>
    <row r="5290" spans="3:13" x14ac:dyDescent="0.15">
      <c r="C5290" s="76">
        <v>510</v>
      </c>
      <c r="D5290" s="76">
        <v>5.5700000000000003E-3</v>
      </c>
      <c r="E5290" s="76">
        <v>1.1299999999999999E-2</v>
      </c>
      <c r="F5290" s="76">
        <v>1.7000000000000001E-2</v>
      </c>
      <c r="G5290" s="76">
        <v>2.2599999999999999E-2</v>
      </c>
      <c r="H5290" s="76">
        <v>2.8400000000000002E-2</v>
      </c>
      <c r="I5290" s="76">
        <v>3.3799999999999997E-2</v>
      </c>
      <c r="J5290" s="76">
        <v>3.9399999999999998E-2</v>
      </c>
      <c r="K5290" s="76">
        <v>4.48E-2</v>
      </c>
      <c r="L5290" s="76">
        <v>5.0299999999999997E-2</v>
      </c>
      <c r="M5290" s="76">
        <v>5.5800000000000002E-2</v>
      </c>
    </row>
    <row r="5291" spans="3:13" x14ac:dyDescent="0.15">
      <c r="C5291" s="76">
        <v>512</v>
      </c>
      <c r="D5291" s="76">
        <v>5.0200000000000002E-3</v>
      </c>
      <c r="E5291" s="76">
        <v>1.0200000000000001E-2</v>
      </c>
      <c r="F5291" s="76">
        <v>1.5299999999999999E-2</v>
      </c>
      <c r="G5291" s="76">
        <v>2.0500000000000001E-2</v>
      </c>
      <c r="H5291" s="76">
        <v>2.5600000000000001E-2</v>
      </c>
      <c r="I5291" s="76">
        <v>3.0499999999999999E-2</v>
      </c>
      <c r="J5291" s="76">
        <v>3.5499999999999997E-2</v>
      </c>
      <c r="K5291" s="76">
        <v>4.0399999999999998E-2</v>
      </c>
      <c r="L5291" s="76">
        <v>4.5400000000000003E-2</v>
      </c>
      <c r="M5291" s="76">
        <v>5.0299999999999997E-2</v>
      </c>
    </row>
    <row r="5292" spans="3:13" x14ac:dyDescent="0.15">
      <c r="C5292" s="76">
        <v>514</v>
      </c>
      <c r="D5292" s="76">
        <v>4.5900000000000003E-3</v>
      </c>
      <c r="E5292" s="76">
        <v>9.3500000000000007E-3</v>
      </c>
      <c r="F5292" s="76">
        <v>1.4E-2</v>
      </c>
      <c r="G5292" s="76">
        <v>1.8700000000000001E-2</v>
      </c>
      <c r="H5292" s="76">
        <v>2.3400000000000001E-2</v>
      </c>
      <c r="I5292" s="76">
        <v>2.7799999999999998E-2</v>
      </c>
      <c r="J5292" s="76">
        <v>3.2500000000000001E-2</v>
      </c>
      <c r="K5292" s="76">
        <v>3.6900000000000002E-2</v>
      </c>
      <c r="L5292" s="76">
        <v>4.1399999999999999E-2</v>
      </c>
      <c r="M5292" s="76">
        <v>4.5900000000000003E-2</v>
      </c>
    </row>
    <row r="5293" spans="3:13" x14ac:dyDescent="0.15">
      <c r="C5293" s="76">
        <v>516</v>
      </c>
      <c r="D5293" s="76">
        <v>4.2199999999999998E-3</v>
      </c>
      <c r="E5293" s="76">
        <v>8.5900000000000004E-3</v>
      </c>
      <c r="F5293" s="76">
        <v>1.29E-2</v>
      </c>
      <c r="G5293" s="76">
        <v>1.7100000000000001E-2</v>
      </c>
      <c r="H5293" s="76">
        <v>2.1499999999999998E-2</v>
      </c>
      <c r="I5293" s="76">
        <v>2.5499999999999998E-2</v>
      </c>
      <c r="J5293" s="76">
        <v>2.9899999999999999E-2</v>
      </c>
      <c r="K5293" s="76">
        <v>3.4000000000000002E-2</v>
      </c>
      <c r="L5293" s="76">
        <v>3.7999999999999999E-2</v>
      </c>
      <c r="M5293" s="76">
        <v>4.2200000000000001E-2</v>
      </c>
    </row>
    <row r="5294" spans="3:13" x14ac:dyDescent="0.15">
      <c r="C5294" s="76">
        <v>518</v>
      </c>
      <c r="D5294" s="76">
        <v>3.8999999999999998E-3</v>
      </c>
      <c r="E5294" s="76">
        <v>7.9399999999999991E-3</v>
      </c>
      <c r="F5294" s="76">
        <v>1.1900000000000001E-2</v>
      </c>
      <c r="G5294" s="76">
        <v>1.5900000000000001E-2</v>
      </c>
      <c r="H5294" s="76">
        <v>1.9900000000000001E-2</v>
      </c>
      <c r="I5294" s="76">
        <v>2.35E-2</v>
      </c>
      <c r="J5294" s="76">
        <v>2.76E-2</v>
      </c>
      <c r="K5294" s="76">
        <v>3.1399999999999997E-2</v>
      </c>
      <c r="L5294" s="76">
        <v>3.5200000000000002E-2</v>
      </c>
      <c r="M5294" s="76">
        <v>3.9E-2</v>
      </c>
    </row>
    <row r="5295" spans="3:13" x14ac:dyDescent="0.15">
      <c r="C5295" s="76">
        <v>520</v>
      </c>
      <c r="D5295" s="76">
        <v>3.6099999999999999E-3</v>
      </c>
      <c r="E5295" s="76">
        <v>7.3600000000000002E-3</v>
      </c>
      <c r="F5295" s="76">
        <v>1.0999999999999999E-2</v>
      </c>
      <c r="G5295" s="76">
        <v>1.47E-2</v>
      </c>
      <c r="H5295" s="76">
        <v>1.84E-2</v>
      </c>
      <c r="I5295" s="76">
        <v>2.18E-2</v>
      </c>
      <c r="J5295" s="76">
        <v>2.5499999999999998E-2</v>
      </c>
      <c r="K5295" s="76">
        <v>2.9000000000000001E-2</v>
      </c>
      <c r="L5295" s="76">
        <v>3.2500000000000001E-2</v>
      </c>
      <c r="M5295" s="76">
        <v>3.61E-2</v>
      </c>
    </row>
    <row r="5296" spans="3:13" x14ac:dyDescent="0.15">
      <c r="C5296" s="76">
        <v>522</v>
      </c>
      <c r="D5296" s="76">
        <v>3.3400000000000001E-3</v>
      </c>
      <c r="E5296" s="76">
        <v>6.8199999999999997E-3</v>
      </c>
      <c r="F5296" s="76">
        <v>1.0200000000000001E-2</v>
      </c>
      <c r="G5296" s="76">
        <v>1.3599999999999999E-2</v>
      </c>
      <c r="H5296" s="76">
        <v>1.7000000000000001E-2</v>
      </c>
      <c r="I5296" s="76">
        <v>2.0199999999999999E-2</v>
      </c>
      <c r="J5296" s="76">
        <v>2.3699999999999999E-2</v>
      </c>
      <c r="K5296" s="76">
        <v>2.69E-2</v>
      </c>
      <c r="L5296" s="76">
        <v>3.0099999999999998E-2</v>
      </c>
      <c r="M5296" s="76">
        <v>3.32E-2</v>
      </c>
    </row>
    <row r="5297" spans="3:13" x14ac:dyDescent="0.15">
      <c r="C5297" s="76">
        <v>524</v>
      </c>
      <c r="D5297" s="76">
        <v>3.0599999999999998E-3</v>
      </c>
      <c r="E5297" s="76">
        <v>6.2500000000000003E-3</v>
      </c>
      <c r="F5297" s="76">
        <v>9.3299999999999998E-3</v>
      </c>
      <c r="G5297" s="76">
        <v>1.2500000000000001E-2</v>
      </c>
      <c r="H5297" s="76">
        <v>1.5599999999999999E-2</v>
      </c>
      <c r="I5297" s="76">
        <v>1.8499999999999999E-2</v>
      </c>
      <c r="J5297" s="76">
        <v>2.1700000000000001E-2</v>
      </c>
      <c r="K5297" s="76">
        <v>2.47E-2</v>
      </c>
      <c r="L5297" s="76">
        <v>2.76E-2</v>
      </c>
      <c r="M5297" s="76">
        <v>3.0700000000000002E-2</v>
      </c>
    </row>
    <row r="5298" spans="3:13" x14ac:dyDescent="0.15">
      <c r="C5298" s="76">
        <v>526</v>
      </c>
      <c r="D5298" s="76">
        <v>2.8300000000000001E-3</v>
      </c>
      <c r="E5298" s="76">
        <v>5.79E-3</v>
      </c>
      <c r="F5298" s="76">
        <v>8.6300000000000005E-3</v>
      </c>
      <c r="G5298" s="76">
        <v>1.15E-2</v>
      </c>
      <c r="H5298" s="76">
        <v>1.44E-2</v>
      </c>
      <c r="I5298" s="76">
        <v>1.7100000000000001E-2</v>
      </c>
      <c r="J5298" s="76">
        <v>2.01E-2</v>
      </c>
      <c r="K5298" s="76">
        <v>2.2800000000000001E-2</v>
      </c>
      <c r="L5298" s="76">
        <v>2.5499999999999998E-2</v>
      </c>
      <c r="M5298" s="76">
        <v>2.8199999999999999E-2</v>
      </c>
    </row>
    <row r="5299" spans="3:13" x14ac:dyDescent="0.15">
      <c r="C5299" s="76">
        <v>528</v>
      </c>
      <c r="D5299" s="76">
        <v>2.6199999999999999E-3</v>
      </c>
      <c r="E5299" s="76">
        <v>5.3499999999999997E-3</v>
      </c>
      <c r="F5299" s="76">
        <v>7.9799999999999992E-3</v>
      </c>
      <c r="G5299" s="76">
        <v>1.06E-2</v>
      </c>
      <c r="H5299" s="76">
        <v>1.3299999999999999E-2</v>
      </c>
      <c r="I5299" s="76">
        <v>1.5800000000000002E-2</v>
      </c>
      <c r="J5299" s="76">
        <v>1.8499999999999999E-2</v>
      </c>
      <c r="K5299" s="76">
        <v>2.1000000000000001E-2</v>
      </c>
      <c r="L5299" s="76">
        <v>2.35E-2</v>
      </c>
      <c r="M5299" s="76">
        <v>2.6100000000000002E-2</v>
      </c>
    </row>
    <row r="5300" spans="3:13" x14ac:dyDescent="0.15">
      <c r="C5300" s="76">
        <v>530</v>
      </c>
      <c r="D5300" s="76">
        <v>2.4099999999999998E-3</v>
      </c>
      <c r="E5300" s="76">
        <v>4.9199999999999999E-3</v>
      </c>
      <c r="F5300" s="76">
        <v>7.3499999999999998E-3</v>
      </c>
      <c r="G5300" s="76">
        <v>9.7599999999999996E-3</v>
      </c>
      <c r="H5300" s="76">
        <v>1.2200000000000001E-2</v>
      </c>
      <c r="I5300" s="76">
        <v>1.46E-2</v>
      </c>
      <c r="J5300" s="76">
        <v>1.7000000000000001E-2</v>
      </c>
      <c r="K5300" s="76">
        <v>1.9300000000000001E-2</v>
      </c>
      <c r="L5300" s="76">
        <v>2.1600000000000001E-2</v>
      </c>
      <c r="M5300" s="76">
        <v>2.4E-2</v>
      </c>
    </row>
    <row r="5301" spans="3:13" x14ac:dyDescent="0.15">
      <c r="C5301" s="76">
        <v>532</v>
      </c>
      <c r="D5301" s="76">
        <v>2.2000000000000001E-3</v>
      </c>
      <c r="E5301" s="76">
        <v>4.5100000000000001E-3</v>
      </c>
      <c r="F5301" s="76">
        <v>6.7299999999999999E-3</v>
      </c>
      <c r="G5301" s="76">
        <v>8.9700000000000005E-3</v>
      </c>
      <c r="H5301" s="76">
        <v>1.12E-2</v>
      </c>
      <c r="I5301" s="76">
        <v>1.34E-2</v>
      </c>
      <c r="J5301" s="76">
        <v>1.5599999999999999E-2</v>
      </c>
      <c r="K5301" s="76">
        <v>1.77E-2</v>
      </c>
      <c r="L5301" s="76">
        <v>1.9800000000000002E-2</v>
      </c>
      <c r="M5301" s="76">
        <v>2.1999999999999999E-2</v>
      </c>
    </row>
    <row r="5302" spans="3:13" x14ac:dyDescent="0.15">
      <c r="C5302" s="76">
        <v>534</v>
      </c>
      <c r="D5302" s="76">
        <v>2.0100000000000001E-3</v>
      </c>
      <c r="E5302" s="76">
        <v>4.1200000000000004E-3</v>
      </c>
      <c r="F5302" s="76">
        <v>6.13E-3</v>
      </c>
      <c r="G5302" s="76">
        <v>8.1600000000000006E-3</v>
      </c>
      <c r="H5302" s="76">
        <v>1.0200000000000001E-2</v>
      </c>
      <c r="I5302" s="76">
        <v>1.2200000000000001E-2</v>
      </c>
      <c r="J5302" s="76">
        <v>1.43E-2</v>
      </c>
      <c r="K5302" s="76">
        <v>1.6199999999999999E-2</v>
      </c>
      <c r="L5302" s="76">
        <v>1.8100000000000002E-2</v>
      </c>
      <c r="M5302" s="76">
        <v>2.01E-2</v>
      </c>
    </row>
    <row r="5303" spans="3:13" x14ac:dyDescent="0.15">
      <c r="C5303" s="76">
        <v>536</v>
      </c>
      <c r="D5303" s="76">
        <v>1.81E-3</v>
      </c>
      <c r="E5303" s="76">
        <v>3.7000000000000002E-3</v>
      </c>
      <c r="F5303" s="76">
        <v>5.5100000000000001E-3</v>
      </c>
      <c r="G5303" s="76">
        <v>7.3600000000000002E-3</v>
      </c>
      <c r="H5303" s="76">
        <v>9.1500000000000001E-3</v>
      </c>
      <c r="I5303" s="76">
        <v>1.0999999999999999E-2</v>
      </c>
      <c r="J5303" s="76">
        <v>1.29E-2</v>
      </c>
      <c r="K5303" s="76">
        <v>1.46E-2</v>
      </c>
      <c r="L5303" s="76">
        <v>1.6299999999999999E-2</v>
      </c>
      <c r="M5303" s="76">
        <v>1.8100000000000002E-2</v>
      </c>
    </row>
    <row r="5304" spans="3:13" x14ac:dyDescent="0.15">
      <c r="C5304" s="76">
        <v>538</v>
      </c>
      <c r="D5304" s="76">
        <v>1.65E-3</v>
      </c>
      <c r="E5304" s="76">
        <v>3.3600000000000001E-3</v>
      </c>
      <c r="F5304" s="76">
        <v>5.0499999999999998E-3</v>
      </c>
      <c r="G5304" s="76">
        <v>6.6699999999999997E-3</v>
      </c>
      <c r="H5304" s="76">
        <v>8.3300000000000006E-3</v>
      </c>
      <c r="I5304" s="76">
        <v>0.01</v>
      </c>
      <c r="J5304" s="76">
        <v>1.17E-2</v>
      </c>
      <c r="K5304" s="76">
        <v>1.3299999999999999E-2</v>
      </c>
      <c r="L5304" s="76">
        <v>1.49E-2</v>
      </c>
      <c r="M5304" s="76">
        <v>1.6400000000000001E-2</v>
      </c>
    </row>
    <row r="5305" spans="3:13" x14ac:dyDescent="0.15">
      <c r="C5305" s="76">
        <v>540</v>
      </c>
      <c r="D5305" s="76">
        <v>1.5E-3</v>
      </c>
      <c r="E5305" s="76">
        <v>3.0699999999999998E-3</v>
      </c>
      <c r="F5305" s="76">
        <v>4.5799999999999999E-3</v>
      </c>
      <c r="G5305" s="76">
        <v>6.0699999999999999E-3</v>
      </c>
      <c r="H5305" s="76">
        <v>7.5700000000000003E-3</v>
      </c>
      <c r="I5305" s="76">
        <v>9.0799999999999995E-3</v>
      </c>
      <c r="J5305" s="76">
        <v>1.06E-2</v>
      </c>
      <c r="K5305" s="76">
        <v>1.2200000000000001E-2</v>
      </c>
      <c r="L5305" s="76">
        <v>1.35E-2</v>
      </c>
      <c r="M5305" s="76">
        <v>1.4999999999999999E-2</v>
      </c>
    </row>
    <row r="5306" spans="3:13" x14ac:dyDescent="0.15">
      <c r="C5306" s="76">
        <v>542</v>
      </c>
      <c r="D5306" s="76">
        <v>1.3600000000000001E-3</v>
      </c>
      <c r="E5306" s="76">
        <v>2.81E-3</v>
      </c>
      <c r="F5306" s="76">
        <v>4.15E-3</v>
      </c>
      <c r="G5306" s="76">
        <v>5.5300000000000002E-3</v>
      </c>
      <c r="H5306" s="76">
        <v>6.8599999999999998E-3</v>
      </c>
      <c r="I5306" s="76">
        <v>8.3099999999999997E-3</v>
      </c>
      <c r="J5306" s="76">
        <v>9.7099999999999999E-3</v>
      </c>
      <c r="K5306" s="76">
        <v>1.11E-2</v>
      </c>
      <c r="L5306" s="76">
        <v>1.23E-2</v>
      </c>
      <c r="M5306" s="76">
        <v>1.3599999999999999E-2</v>
      </c>
    </row>
    <row r="5307" spans="3:13" x14ac:dyDescent="0.15">
      <c r="C5307" s="76">
        <v>544</v>
      </c>
      <c r="D5307" s="76">
        <v>1.24E-3</v>
      </c>
      <c r="E5307" s="76">
        <v>2.5400000000000002E-3</v>
      </c>
      <c r="F5307" s="76">
        <v>3.79E-3</v>
      </c>
      <c r="G5307" s="76">
        <v>5.0400000000000002E-3</v>
      </c>
      <c r="H5307" s="76">
        <v>6.2500000000000003E-3</v>
      </c>
      <c r="I5307" s="76">
        <v>7.5500000000000003E-3</v>
      </c>
      <c r="J5307" s="76">
        <v>8.8199999999999997E-3</v>
      </c>
      <c r="K5307" s="76">
        <v>0.01</v>
      </c>
      <c r="L5307" s="76">
        <v>1.12E-2</v>
      </c>
      <c r="M5307" s="76">
        <v>1.24E-2</v>
      </c>
    </row>
    <row r="5308" spans="3:13" x14ac:dyDescent="0.15">
      <c r="C5308" s="76">
        <v>546</v>
      </c>
      <c r="D5308" s="76">
        <v>1.1199999999999999E-3</v>
      </c>
      <c r="E5308" s="76">
        <v>2.2899999999999999E-3</v>
      </c>
      <c r="F5308" s="76">
        <v>3.4299999999999999E-3</v>
      </c>
      <c r="G5308" s="76">
        <v>4.5399999999999998E-3</v>
      </c>
      <c r="H5308" s="76">
        <v>5.6499999999999996E-3</v>
      </c>
      <c r="I5308" s="76">
        <v>6.8500000000000002E-3</v>
      </c>
      <c r="J5308" s="76">
        <v>7.9900000000000006E-3</v>
      </c>
      <c r="K5308" s="76">
        <v>9.0600000000000003E-3</v>
      </c>
      <c r="L5308" s="76">
        <v>1.01E-2</v>
      </c>
      <c r="M5308" s="76">
        <v>1.12E-2</v>
      </c>
    </row>
    <row r="5309" spans="3:13" x14ac:dyDescent="0.15">
      <c r="C5309" s="76">
        <v>548</v>
      </c>
      <c r="D5309" s="76">
        <v>1.0200000000000001E-3</v>
      </c>
      <c r="E5309" s="76">
        <v>2.0799999999999998E-3</v>
      </c>
      <c r="F5309" s="76">
        <v>3.1199999999999999E-3</v>
      </c>
      <c r="G5309" s="76">
        <v>4.1200000000000004E-3</v>
      </c>
      <c r="H5309" s="76">
        <v>5.0699999999999999E-3</v>
      </c>
      <c r="I5309" s="76">
        <v>6.2500000000000003E-3</v>
      </c>
      <c r="J5309" s="76">
        <v>7.2300000000000003E-3</v>
      </c>
      <c r="K5309" s="76">
        <v>8.2199999999999999E-3</v>
      </c>
      <c r="L5309" s="76">
        <v>9.1999999999999998E-3</v>
      </c>
      <c r="M5309" s="76">
        <v>1.01E-2</v>
      </c>
    </row>
    <row r="5310" spans="3:13" x14ac:dyDescent="0.15">
      <c r="C5310" s="76">
        <v>550</v>
      </c>
      <c r="D5310" s="76">
        <v>9.2299999999999999E-4</v>
      </c>
      <c r="E5310" s="76">
        <v>1.9E-3</v>
      </c>
      <c r="F5310" s="76">
        <v>2.8400000000000001E-3</v>
      </c>
      <c r="G5310" s="76">
        <v>3.7599999999999999E-3</v>
      </c>
      <c r="H5310" s="76">
        <v>4.62E-3</v>
      </c>
      <c r="I5310" s="76">
        <v>5.6899999999999997E-3</v>
      </c>
      <c r="J5310" s="76">
        <v>6.62E-3</v>
      </c>
      <c r="K5310" s="76">
        <v>7.4900000000000001E-3</v>
      </c>
      <c r="L5310" s="76">
        <v>8.3899999999999999E-3</v>
      </c>
      <c r="M5310" s="76">
        <v>9.2599999999999991E-3</v>
      </c>
    </row>
    <row r="5311" spans="3:13" x14ac:dyDescent="0.15">
      <c r="C5311" s="76">
        <v>552</v>
      </c>
      <c r="D5311" s="76">
        <v>8.43E-4</v>
      </c>
      <c r="E5311" s="76">
        <v>1.73E-3</v>
      </c>
      <c r="F5311" s="76">
        <v>2.5799999999999998E-3</v>
      </c>
      <c r="G5311" s="76">
        <v>3.4199999999999999E-3</v>
      </c>
      <c r="H5311" s="76">
        <v>4.2100000000000002E-3</v>
      </c>
      <c r="I5311" s="76">
        <v>5.1999999999999998E-3</v>
      </c>
      <c r="J5311" s="76">
        <v>6.0800000000000003E-3</v>
      </c>
      <c r="K5311" s="76">
        <v>6.8100000000000001E-3</v>
      </c>
      <c r="L5311" s="76">
        <v>7.6600000000000001E-3</v>
      </c>
      <c r="M5311" s="76">
        <v>8.4600000000000005E-3</v>
      </c>
    </row>
    <row r="5312" spans="3:13" x14ac:dyDescent="0.15">
      <c r="C5312" s="76">
        <v>554</v>
      </c>
      <c r="D5312" s="76">
        <v>7.7099999999999998E-4</v>
      </c>
      <c r="E5312" s="76">
        <v>1.5900000000000001E-3</v>
      </c>
      <c r="F5312" s="76">
        <v>2.32E-3</v>
      </c>
      <c r="G5312" s="76">
        <v>3.14E-3</v>
      </c>
      <c r="H5312" s="76">
        <v>3.8500000000000001E-3</v>
      </c>
      <c r="I5312" s="76">
        <v>4.7499999999999999E-3</v>
      </c>
      <c r="J5312" s="76">
        <v>5.4900000000000001E-3</v>
      </c>
      <c r="K5312" s="76">
        <v>6.2199999999999998E-3</v>
      </c>
      <c r="L5312" s="76">
        <v>7.0099999999999997E-3</v>
      </c>
      <c r="M5312" s="76">
        <v>7.6899999999999998E-3</v>
      </c>
    </row>
    <row r="5313" spans="3:13" x14ac:dyDescent="0.15">
      <c r="C5313" s="76">
        <v>556</v>
      </c>
      <c r="D5313" s="76">
        <v>7.0799999999999997E-4</v>
      </c>
      <c r="E5313" s="76">
        <v>1.4400000000000001E-3</v>
      </c>
      <c r="F5313" s="76">
        <v>2.14E-3</v>
      </c>
      <c r="G5313" s="76">
        <v>2.8600000000000001E-3</v>
      </c>
      <c r="H5313" s="76">
        <v>3.5500000000000002E-3</v>
      </c>
      <c r="I5313" s="76">
        <v>4.3800000000000002E-3</v>
      </c>
      <c r="J5313" s="76">
        <v>5.0299999999999997E-3</v>
      </c>
      <c r="K5313" s="76">
        <v>5.64E-3</v>
      </c>
      <c r="L5313" s="76">
        <v>6.3899999999999998E-3</v>
      </c>
      <c r="M5313" s="76">
        <v>7.11E-3</v>
      </c>
    </row>
    <row r="5314" spans="3:13" x14ac:dyDescent="0.15">
      <c r="C5314" s="76">
        <v>558</v>
      </c>
      <c r="D5314" s="76">
        <v>6.3299999999999999E-4</v>
      </c>
      <c r="E5314" s="76">
        <v>1.2899999999999999E-3</v>
      </c>
      <c r="F5314" s="76">
        <v>1.9300000000000001E-3</v>
      </c>
      <c r="G5314" s="76">
        <v>2.5799999999999998E-3</v>
      </c>
      <c r="H5314" s="76">
        <v>3.1700000000000001E-3</v>
      </c>
      <c r="I5314" s="76">
        <v>3.9500000000000004E-3</v>
      </c>
      <c r="J5314" s="76">
        <v>4.5300000000000002E-3</v>
      </c>
      <c r="K5314" s="76">
        <v>5.11E-3</v>
      </c>
      <c r="L5314" s="76">
        <v>5.64E-3</v>
      </c>
      <c r="M5314" s="76">
        <v>6.4799999999999996E-3</v>
      </c>
    </row>
    <row r="5315" spans="3:13" x14ac:dyDescent="0.15">
      <c r="C5315" s="76">
        <v>560</v>
      </c>
      <c r="D5315" s="76">
        <v>5.8100000000000003E-4</v>
      </c>
      <c r="E5315" s="76">
        <v>1.2099999999999999E-3</v>
      </c>
      <c r="F5315" s="76">
        <v>1.7700000000000001E-3</v>
      </c>
      <c r="G5315" s="76">
        <v>2.3800000000000002E-3</v>
      </c>
      <c r="H5315" s="76">
        <v>2.8999999999999998E-3</v>
      </c>
      <c r="I5315" s="76">
        <v>3.64E-3</v>
      </c>
      <c r="J5315" s="76">
        <v>4.13E-3</v>
      </c>
      <c r="K5315" s="76">
        <v>4.7000000000000002E-3</v>
      </c>
      <c r="L5315" s="76">
        <v>5.3899999999999998E-3</v>
      </c>
      <c r="M5315" s="76">
        <v>5.8799999999999998E-3</v>
      </c>
    </row>
    <row r="5316" spans="3:13" x14ac:dyDescent="0.15">
      <c r="C5316" s="76">
        <v>562</v>
      </c>
      <c r="D5316" s="76">
        <v>5.4100000000000003E-4</v>
      </c>
      <c r="E5316" s="76">
        <v>1.1000000000000001E-3</v>
      </c>
      <c r="F5316" s="76">
        <v>1.6199999999999999E-3</v>
      </c>
      <c r="G5316" s="76">
        <v>2.1700000000000001E-3</v>
      </c>
      <c r="H5316" s="76">
        <v>2.66E-3</v>
      </c>
      <c r="I5316" s="76">
        <v>3.3300000000000001E-3</v>
      </c>
      <c r="J5316" s="76">
        <v>3.7599999999999999E-3</v>
      </c>
      <c r="K5316" s="76">
        <v>4.3200000000000001E-3</v>
      </c>
      <c r="L5316" s="76">
        <v>4.8999999999999998E-3</v>
      </c>
      <c r="M5316" s="76">
        <v>5.4099999999999999E-3</v>
      </c>
    </row>
    <row r="5317" spans="3:13" x14ac:dyDescent="0.15">
      <c r="C5317" s="76">
        <v>564</v>
      </c>
      <c r="D5317" s="76">
        <v>4.9799999999999996E-4</v>
      </c>
      <c r="E5317" s="76">
        <v>9.990000000000001E-4</v>
      </c>
      <c r="F5317" s="76">
        <v>1.49E-3</v>
      </c>
      <c r="G5317" s="76">
        <v>2.0100000000000001E-3</v>
      </c>
      <c r="H5317" s="76">
        <v>2.48E-3</v>
      </c>
      <c r="I5317" s="76">
        <v>3.0999999999999999E-3</v>
      </c>
      <c r="J5317" s="76">
        <v>3.47E-3</v>
      </c>
      <c r="K5317" s="76">
        <v>3.98E-3</v>
      </c>
      <c r="L5317" s="76">
        <v>4.5300000000000002E-3</v>
      </c>
      <c r="M5317" s="76">
        <v>4.9199999999999999E-3</v>
      </c>
    </row>
    <row r="5318" spans="3:13" x14ac:dyDescent="0.15">
      <c r="C5318" s="76">
        <v>566</v>
      </c>
      <c r="D5318" s="76">
        <v>4.5800000000000002E-4</v>
      </c>
      <c r="E5318" s="76">
        <v>9.3300000000000002E-4</v>
      </c>
      <c r="F5318" s="76">
        <v>1.3600000000000001E-3</v>
      </c>
      <c r="G5318" s="76">
        <v>1.8699999999999999E-3</v>
      </c>
      <c r="H5318" s="76">
        <v>2.2499999999999998E-3</v>
      </c>
      <c r="I5318" s="76">
        <v>2.8400000000000001E-3</v>
      </c>
      <c r="J5318" s="76">
        <v>3.2000000000000002E-3</v>
      </c>
      <c r="K5318" s="76">
        <v>3.65E-3</v>
      </c>
      <c r="L5318" s="76">
        <v>4.1599999999999996E-3</v>
      </c>
      <c r="M5318" s="76">
        <v>4.5799999999999999E-3</v>
      </c>
    </row>
    <row r="5319" spans="3:13" x14ac:dyDescent="0.15">
      <c r="C5319" s="76">
        <v>568</v>
      </c>
      <c r="D5319" s="76">
        <v>4.2099999999999999E-4</v>
      </c>
      <c r="E5319" s="76">
        <v>8.5099999999999998E-4</v>
      </c>
      <c r="F5319" s="76">
        <v>1.2600000000000001E-3</v>
      </c>
      <c r="G5319" s="76">
        <v>1.72E-3</v>
      </c>
      <c r="H5319" s="76">
        <v>2.0999999999999999E-3</v>
      </c>
      <c r="I5319" s="76">
        <v>2.6099999999999999E-3</v>
      </c>
      <c r="J5319" s="76">
        <v>2.96E-3</v>
      </c>
      <c r="K5319" s="76">
        <v>3.3500000000000001E-3</v>
      </c>
      <c r="L5319" s="76">
        <v>3.8400000000000001E-3</v>
      </c>
      <c r="M5319" s="76">
        <v>4.2500000000000003E-3</v>
      </c>
    </row>
    <row r="5320" spans="3:13" x14ac:dyDescent="0.15">
      <c r="C5320" s="76">
        <v>570</v>
      </c>
      <c r="D5320" s="76">
        <v>3.8900000000000002E-4</v>
      </c>
      <c r="E5320" s="76">
        <v>7.8399999999999997E-4</v>
      </c>
      <c r="F5320" s="76">
        <v>1.1900000000000001E-3</v>
      </c>
      <c r="G5320" s="76">
        <v>1.5900000000000001E-3</v>
      </c>
      <c r="H5320" s="76">
        <v>1.98E-3</v>
      </c>
      <c r="I5320" s="76">
        <v>2.4099999999999998E-3</v>
      </c>
      <c r="J5320" s="76">
        <v>2.7299999999999998E-3</v>
      </c>
      <c r="K5320" s="76">
        <v>3.0599999999999998E-3</v>
      </c>
      <c r="L5320" s="76">
        <v>3.5200000000000001E-3</v>
      </c>
      <c r="M5320" s="76">
        <v>3.9500000000000004E-3</v>
      </c>
    </row>
    <row r="5321" spans="3:13" x14ac:dyDescent="0.15">
      <c r="C5321" s="76">
        <v>572</v>
      </c>
      <c r="D5321" s="76">
        <v>3.6299999999999999E-4</v>
      </c>
      <c r="E5321" s="76">
        <v>7.2900000000000005E-4</v>
      </c>
      <c r="F5321" s="76">
        <v>1.1199999999999999E-3</v>
      </c>
      <c r="G5321" s="76">
        <v>1.4599999999999999E-3</v>
      </c>
      <c r="H5321" s="76">
        <v>1.8400000000000001E-3</v>
      </c>
      <c r="I5321" s="76">
        <v>2.2599999999999999E-3</v>
      </c>
      <c r="J5321" s="76">
        <v>2.5300000000000001E-3</v>
      </c>
      <c r="K5321" s="76">
        <v>2.8800000000000002E-3</v>
      </c>
      <c r="L5321" s="76">
        <v>3.3300000000000001E-3</v>
      </c>
      <c r="M5321" s="76">
        <v>3.6900000000000001E-3</v>
      </c>
    </row>
    <row r="5322" spans="3:13" x14ac:dyDescent="0.15">
      <c r="C5322" s="76">
        <v>574</v>
      </c>
      <c r="D5322" s="76">
        <v>3.4000000000000002E-4</v>
      </c>
      <c r="E5322" s="76">
        <v>6.8599999999999998E-4</v>
      </c>
      <c r="F5322" s="76">
        <v>1.0200000000000001E-3</v>
      </c>
      <c r="G5322" s="76">
        <v>1.3799999999999999E-3</v>
      </c>
      <c r="H5322" s="76">
        <v>1.7099999999999999E-3</v>
      </c>
      <c r="I5322" s="76">
        <v>2.0899999999999998E-3</v>
      </c>
      <c r="J5322" s="76">
        <v>2.3700000000000001E-3</v>
      </c>
      <c r="K5322" s="76">
        <v>2.63E-3</v>
      </c>
      <c r="L5322" s="76">
        <v>3.0899999999999999E-3</v>
      </c>
      <c r="M5322" s="76">
        <v>3.4199999999999999E-3</v>
      </c>
    </row>
    <row r="5323" spans="3:13" x14ac:dyDescent="0.15">
      <c r="C5323" s="76">
        <v>576</v>
      </c>
      <c r="D5323" s="76">
        <v>3.3300000000000002E-4</v>
      </c>
      <c r="E5323" s="76">
        <v>6.4800000000000003E-4</v>
      </c>
      <c r="F5323" s="76">
        <v>9.41E-4</v>
      </c>
      <c r="G5323" s="76">
        <v>1.2899999999999999E-3</v>
      </c>
      <c r="H5323" s="76">
        <v>1.6000000000000001E-3</v>
      </c>
      <c r="I5323" s="76">
        <v>1.9300000000000001E-3</v>
      </c>
      <c r="J5323" s="76">
        <v>2.1900000000000001E-3</v>
      </c>
      <c r="K5323" s="76">
        <v>2.49E-3</v>
      </c>
      <c r="L5323" s="76">
        <v>2.8300000000000001E-3</v>
      </c>
      <c r="M5323" s="76">
        <v>3.14E-3</v>
      </c>
    </row>
    <row r="5324" spans="3:13" x14ac:dyDescent="0.15">
      <c r="C5324" s="76">
        <v>578</v>
      </c>
      <c r="D5324" s="76">
        <v>3.0400000000000002E-4</v>
      </c>
      <c r="E5324" s="76">
        <v>5.8799999999999998E-4</v>
      </c>
      <c r="F5324" s="76">
        <v>8.7299999999999997E-4</v>
      </c>
      <c r="G5324" s="76">
        <v>1.1900000000000001E-3</v>
      </c>
      <c r="H5324" s="76">
        <v>1.4499999999999999E-3</v>
      </c>
      <c r="I5324" s="76">
        <v>1.7700000000000001E-3</v>
      </c>
      <c r="J5324" s="76">
        <v>2E-3</v>
      </c>
      <c r="K5324" s="76">
        <v>2.2799999999999999E-3</v>
      </c>
      <c r="L5324" s="76">
        <v>2.66E-3</v>
      </c>
      <c r="M5324" s="76">
        <v>2.96E-3</v>
      </c>
    </row>
    <row r="5325" spans="3:13" x14ac:dyDescent="0.15">
      <c r="C5325" s="76">
        <v>580</v>
      </c>
      <c r="D5325" s="76">
        <v>2.8499999999999999E-4</v>
      </c>
      <c r="E5325" s="76">
        <v>5.3399999999999997E-4</v>
      </c>
      <c r="F5325" s="76">
        <v>7.9600000000000005E-4</v>
      </c>
      <c r="G5325" s="76">
        <v>1.0399999999999999E-3</v>
      </c>
      <c r="H5325" s="76">
        <v>1.3799999999999999E-3</v>
      </c>
      <c r="I5325" s="76">
        <v>1.6299999999999999E-3</v>
      </c>
      <c r="J5325" s="76">
        <v>1.7899999999999999E-3</v>
      </c>
      <c r="K5325" s="76">
        <v>2.0699999999999998E-3</v>
      </c>
      <c r="L5325" s="76">
        <v>2.4399999999999999E-3</v>
      </c>
      <c r="M5325" s="76">
        <v>2.7299999999999998E-3</v>
      </c>
    </row>
    <row r="5326" spans="3:13" x14ac:dyDescent="0.15">
      <c r="C5326" s="76">
        <v>582</v>
      </c>
      <c r="D5326" s="76">
        <v>2.7099999999999997E-4</v>
      </c>
      <c r="E5326" s="76">
        <v>5.0699999999999996E-4</v>
      </c>
      <c r="F5326" s="76">
        <v>7.4899999999999999E-4</v>
      </c>
      <c r="G5326" s="76">
        <v>9.9700000000000006E-4</v>
      </c>
      <c r="H5326" s="76">
        <v>1.2600000000000001E-3</v>
      </c>
      <c r="I5326" s="76">
        <v>1.49E-3</v>
      </c>
      <c r="J5326" s="76">
        <v>1.67E-3</v>
      </c>
      <c r="K5326" s="76">
        <v>1.9300000000000001E-3</v>
      </c>
      <c r="L5326" s="76">
        <v>2.2699999999999999E-3</v>
      </c>
      <c r="M5326" s="76">
        <v>2.5000000000000001E-3</v>
      </c>
    </row>
    <row r="5327" spans="3:13" x14ac:dyDescent="0.15">
      <c r="C5327" s="76">
        <v>584</v>
      </c>
      <c r="D5327" s="76">
        <v>2.4699999999999999E-4</v>
      </c>
      <c r="E5327" s="76">
        <v>4.6999999999999999E-4</v>
      </c>
      <c r="F5327" s="76">
        <v>6.8900000000000005E-4</v>
      </c>
      <c r="G5327" s="76">
        <v>9.2199999999999997E-4</v>
      </c>
      <c r="H5327" s="76">
        <v>1.15E-3</v>
      </c>
      <c r="I5327" s="76">
        <v>1.3600000000000001E-3</v>
      </c>
      <c r="J5327" s="76">
        <v>1.5499999999999999E-3</v>
      </c>
      <c r="K5327" s="76">
        <v>1.75E-3</v>
      </c>
      <c r="L5327" s="76">
        <v>2.0600000000000002E-3</v>
      </c>
      <c r="M5327" s="76">
        <v>2.2799999999999999E-3</v>
      </c>
    </row>
    <row r="5328" spans="3:13" x14ac:dyDescent="0.15">
      <c r="C5328" s="76">
        <v>586</v>
      </c>
      <c r="D5328" s="76">
        <v>2.32E-4</v>
      </c>
      <c r="E5328" s="76">
        <v>4.35E-4</v>
      </c>
      <c r="F5328" s="76">
        <v>6.6299999999999996E-4</v>
      </c>
      <c r="G5328" s="76">
        <v>8.4900000000000004E-4</v>
      </c>
      <c r="H5328" s="76">
        <v>1.07E-3</v>
      </c>
      <c r="I5328" s="76">
        <v>1.2199999999999999E-3</v>
      </c>
      <c r="J5328" s="76">
        <v>1.41E-3</v>
      </c>
      <c r="K5328" s="76">
        <v>1.6100000000000001E-3</v>
      </c>
      <c r="L5328" s="76">
        <v>1.8799999999999999E-3</v>
      </c>
      <c r="M5328" s="76">
        <v>2.1099999999999999E-3</v>
      </c>
    </row>
    <row r="5329" spans="3:13" x14ac:dyDescent="0.15">
      <c r="C5329" s="76">
        <v>588</v>
      </c>
      <c r="D5329" s="76">
        <v>2.14E-4</v>
      </c>
      <c r="E5329" s="76">
        <v>3.8499999999999998E-4</v>
      </c>
      <c r="F5329" s="76">
        <v>6.0599999999999998E-4</v>
      </c>
      <c r="G5329" s="76">
        <v>7.45E-4</v>
      </c>
      <c r="H5329" s="76">
        <v>9.6599999999999995E-4</v>
      </c>
      <c r="I5329" s="76">
        <v>1.1299999999999999E-3</v>
      </c>
      <c r="J5329" s="76">
        <v>1.31E-3</v>
      </c>
      <c r="K5329" s="76">
        <v>1.5399999999999999E-3</v>
      </c>
      <c r="L5329" s="76">
        <v>1.6900000000000001E-3</v>
      </c>
      <c r="M5329" s="76">
        <v>1.9E-3</v>
      </c>
    </row>
    <row r="5330" spans="3:13" x14ac:dyDescent="0.15">
      <c r="C5330" s="76">
        <v>590</v>
      </c>
      <c r="D5330" s="76">
        <v>2.0000000000000001E-4</v>
      </c>
      <c r="E5330" s="76">
        <v>3.5399999999999999E-4</v>
      </c>
      <c r="F5330" s="76">
        <v>5.5199999999999997E-4</v>
      </c>
      <c r="G5330" s="76">
        <v>6.9399999999999996E-4</v>
      </c>
      <c r="H5330" s="76">
        <v>8.8900000000000003E-4</v>
      </c>
      <c r="I5330" s="76">
        <v>1.0300000000000001E-3</v>
      </c>
      <c r="J5330" s="76">
        <v>1.1800000000000001E-3</v>
      </c>
      <c r="K5330" s="76">
        <v>1.3699999999999999E-3</v>
      </c>
      <c r="L5330" s="76">
        <v>1.5299999999999999E-3</v>
      </c>
      <c r="M5330" s="76">
        <v>1.73E-3</v>
      </c>
    </row>
    <row r="5331" spans="3:13" x14ac:dyDescent="0.15">
      <c r="C5331" s="76">
        <v>592</v>
      </c>
      <c r="D5331" s="76">
        <v>1.8100000000000001E-4</v>
      </c>
      <c r="E5331" s="76">
        <v>3.21E-4</v>
      </c>
      <c r="F5331" s="76">
        <v>5.0199999999999995E-4</v>
      </c>
      <c r="G5331" s="76">
        <v>6.4300000000000002E-4</v>
      </c>
      <c r="H5331" s="76">
        <v>8.0500000000000005E-4</v>
      </c>
      <c r="I5331" s="76">
        <v>9.4200000000000002E-4</v>
      </c>
      <c r="J5331" s="76">
        <v>1.1199999999999999E-3</v>
      </c>
      <c r="K5331" s="76">
        <v>1.2800000000000001E-3</v>
      </c>
      <c r="L5331" s="76">
        <v>1.3500000000000001E-3</v>
      </c>
      <c r="M5331" s="76">
        <v>1.5499999999999999E-3</v>
      </c>
    </row>
    <row r="5332" spans="3:13" x14ac:dyDescent="0.15">
      <c r="C5332" s="76">
        <v>594</v>
      </c>
      <c r="D5332" s="76">
        <v>1.64E-4</v>
      </c>
      <c r="E5332" s="76">
        <v>2.9500000000000001E-4</v>
      </c>
      <c r="F5332" s="76">
        <v>4.7600000000000002E-4</v>
      </c>
      <c r="G5332" s="76">
        <v>6.1300000000000005E-4</v>
      </c>
      <c r="H5332" s="76">
        <v>7.3700000000000002E-4</v>
      </c>
      <c r="I5332" s="76">
        <v>8.43E-4</v>
      </c>
      <c r="J5332" s="76">
        <v>1.0499999999999999E-3</v>
      </c>
      <c r="K5332" s="76">
        <v>1.1299999999999999E-3</v>
      </c>
      <c r="L5332" s="76">
        <v>1.25E-3</v>
      </c>
      <c r="M5332" s="76">
        <v>1.5E-3</v>
      </c>
    </row>
    <row r="5333" spans="3:13" x14ac:dyDescent="0.15">
      <c r="C5333" s="76">
        <v>596</v>
      </c>
      <c r="D5333" s="76">
        <v>1.4899999999999999E-4</v>
      </c>
      <c r="E5333" s="76">
        <v>2.7300000000000002E-4</v>
      </c>
      <c r="F5333" s="76">
        <v>4.2499999999999998E-4</v>
      </c>
      <c r="G5333" s="76">
        <v>5.2700000000000002E-4</v>
      </c>
      <c r="H5333" s="76">
        <v>6.7599999999999995E-4</v>
      </c>
      <c r="I5333" s="76">
        <v>7.67E-4</v>
      </c>
      <c r="J5333" s="76">
        <v>8.4900000000000004E-4</v>
      </c>
      <c r="K5333" s="76">
        <v>1.01E-3</v>
      </c>
      <c r="L5333" s="76">
        <v>1.15E-3</v>
      </c>
      <c r="M5333" s="76">
        <v>1.3699999999999999E-3</v>
      </c>
    </row>
    <row r="5334" spans="3:13" x14ac:dyDescent="0.15">
      <c r="C5334" s="76">
        <v>598</v>
      </c>
      <c r="D5334" s="76">
        <v>1.5100000000000001E-4</v>
      </c>
      <c r="E5334" s="76">
        <v>2.5099999999999998E-4</v>
      </c>
      <c r="F5334" s="76">
        <v>3.97E-4</v>
      </c>
      <c r="G5334" s="76">
        <v>4.84E-4</v>
      </c>
      <c r="H5334" s="76">
        <v>6.3299999999999999E-4</v>
      </c>
      <c r="I5334" s="76">
        <v>6.7699999999999998E-4</v>
      </c>
      <c r="J5334" s="76">
        <v>8.1700000000000002E-4</v>
      </c>
      <c r="K5334" s="76">
        <v>1E-3</v>
      </c>
      <c r="L5334" s="76">
        <v>1.09E-3</v>
      </c>
      <c r="M5334" s="76">
        <v>1.2800000000000001E-3</v>
      </c>
    </row>
    <row r="5335" spans="3:13" x14ac:dyDescent="0.15">
      <c r="C5335" s="76">
        <v>600</v>
      </c>
      <c r="D5335" s="76">
        <v>1.2799999999999999E-4</v>
      </c>
      <c r="E5335" s="76">
        <v>2.34E-4</v>
      </c>
      <c r="F5335" s="76">
        <v>3.7300000000000001E-4</v>
      </c>
      <c r="G5335" s="76">
        <v>4.4099999999999999E-4</v>
      </c>
      <c r="H5335" s="76">
        <v>5.44E-4</v>
      </c>
      <c r="I5335" s="76">
        <v>6.4400000000000004E-4</v>
      </c>
      <c r="J5335" s="76">
        <v>7.67E-4</v>
      </c>
      <c r="K5335" s="76">
        <v>8.8199999999999997E-4</v>
      </c>
      <c r="L5335" s="76">
        <v>9.3000000000000005E-4</v>
      </c>
      <c r="M5335" s="76">
        <v>1.1199999999999999E-3</v>
      </c>
    </row>
    <row r="5336" spans="3:13" x14ac:dyDescent="0.15">
      <c r="C5336" s="76">
        <v>602</v>
      </c>
      <c r="D5336" s="76">
        <v>1.27E-4</v>
      </c>
      <c r="E5336" s="76">
        <v>2.12E-4</v>
      </c>
      <c r="F5336" s="76">
        <v>3.5500000000000001E-4</v>
      </c>
      <c r="G5336" s="76">
        <v>3.9100000000000002E-4</v>
      </c>
      <c r="H5336" s="76">
        <v>4.7399999999999997E-4</v>
      </c>
      <c r="I5336" s="76">
        <v>5.53E-4</v>
      </c>
      <c r="J5336" s="76">
        <v>6.7500000000000004E-4</v>
      </c>
      <c r="K5336" s="76">
        <v>8.7100000000000003E-4</v>
      </c>
      <c r="L5336" s="76">
        <v>9.0200000000000002E-4</v>
      </c>
      <c r="M5336" s="76">
        <v>1.09E-3</v>
      </c>
    </row>
    <row r="5337" spans="3:13" x14ac:dyDescent="0.15">
      <c r="C5337" s="76">
        <v>604</v>
      </c>
      <c r="D5337" s="76">
        <v>1.21E-4</v>
      </c>
      <c r="E5337" s="76">
        <v>1.9100000000000001E-4</v>
      </c>
      <c r="F5337" s="76">
        <v>3.2400000000000001E-4</v>
      </c>
      <c r="G5337" s="76">
        <v>3.4900000000000003E-4</v>
      </c>
      <c r="H5337" s="76">
        <v>4.5399999999999998E-4</v>
      </c>
      <c r="I5337" s="76">
        <v>5.2400000000000005E-4</v>
      </c>
      <c r="J5337" s="76">
        <v>6.3400000000000001E-4</v>
      </c>
      <c r="K5337" s="76">
        <v>7.8200000000000003E-4</v>
      </c>
      <c r="L5337" s="76">
        <v>8.3799999999999999E-4</v>
      </c>
      <c r="M5337" s="76">
        <v>1.0300000000000001E-3</v>
      </c>
    </row>
    <row r="5338" spans="3:13" x14ac:dyDescent="0.15">
      <c r="C5338" s="76">
        <v>606</v>
      </c>
      <c r="D5338" s="76">
        <v>1.11E-4</v>
      </c>
      <c r="E5338" s="76">
        <v>1.75E-4</v>
      </c>
      <c r="F5338" s="76">
        <v>3.0299999999999999E-4</v>
      </c>
      <c r="G5338" s="76">
        <v>3.2699999999999998E-4</v>
      </c>
      <c r="H5338" s="76">
        <v>4.5899999999999999E-4</v>
      </c>
      <c r="I5338" s="76">
        <v>4.75E-4</v>
      </c>
      <c r="J5338" s="76">
        <v>6.2200000000000005E-4</v>
      </c>
      <c r="K5338" s="76">
        <v>7.3200000000000001E-4</v>
      </c>
      <c r="L5338" s="76">
        <v>7.0899999999999999E-4</v>
      </c>
      <c r="M5338" s="76">
        <v>1.0200000000000001E-3</v>
      </c>
    </row>
    <row r="5339" spans="3:13" x14ac:dyDescent="0.15">
      <c r="C5339" s="76">
        <v>608</v>
      </c>
      <c r="D5339" s="76">
        <v>1.01E-4</v>
      </c>
      <c r="E5339" s="76">
        <v>1.6100000000000001E-4</v>
      </c>
      <c r="F5339" s="76">
        <v>2.6600000000000001E-4</v>
      </c>
      <c r="G5339" s="76">
        <v>3.4299999999999999E-4</v>
      </c>
      <c r="H5339" s="76">
        <v>3.3599999999999998E-4</v>
      </c>
      <c r="I5339" s="76">
        <v>4.6299999999999998E-4</v>
      </c>
      <c r="J5339" s="76">
        <v>5.7300000000000005E-4</v>
      </c>
      <c r="K5339" s="76">
        <v>7.0500000000000001E-4</v>
      </c>
      <c r="L5339" s="76">
        <v>6.9700000000000003E-4</v>
      </c>
      <c r="M5339" s="76">
        <v>9.1100000000000003E-4</v>
      </c>
    </row>
    <row r="5340" spans="3:13" x14ac:dyDescent="0.15">
      <c r="C5340" s="76">
        <v>610</v>
      </c>
      <c r="D5340" s="76">
        <v>9.2700000000000004E-5</v>
      </c>
      <c r="E5340" s="76">
        <v>1.46E-4</v>
      </c>
      <c r="F5340" s="76">
        <v>2.4399999999999999E-4</v>
      </c>
      <c r="G5340" s="76">
        <v>2.99E-4</v>
      </c>
      <c r="H5340" s="76">
        <v>3.5100000000000002E-4</v>
      </c>
      <c r="I5340" s="76">
        <v>3.9100000000000002E-4</v>
      </c>
      <c r="J5340" s="76">
        <v>5.2899999999999996E-4</v>
      </c>
      <c r="K5340" s="76">
        <v>6.2399999999999999E-4</v>
      </c>
      <c r="L5340" s="76">
        <v>6.4700000000000001E-4</v>
      </c>
      <c r="M5340" s="76">
        <v>7.6099999999999996E-4</v>
      </c>
    </row>
    <row r="5341" spans="3:13" x14ac:dyDescent="0.15">
      <c r="C5341" s="76">
        <v>612</v>
      </c>
      <c r="D5341" s="76">
        <v>8.8900000000000006E-5</v>
      </c>
      <c r="E5341" s="76">
        <v>1.3300000000000001E-4</v>
      </c>
      <c r="F5341" s="76">
        <v>2.33E-4</v>
      </c>
      <c r="G5341" s="76">
        <v>2.8600000000000001E-4</v>
      </c>
      <c r="H5341" s="76">
        <v>3.2200000000000002E-4</v>
      </c>
      <c r="I5341" s="76">
        <v>3.8499999999999998E-4</v>
      </c>
      <c r="J5341" s="76">
        <v>4.8000000000000001E-4</v>
      </c>
      <c r="K5341" s="76">
        <v>5.9999999999999995E-4</v>
      </c>
      <c r="L5341" s="76">
        <v>5.8E-4</v>
      </c>
      <c r="M5341" s="76">
        <v>7.5100000000000004E-4</v>
      </c>
    </row>
    <row r="5342" spans="3:13" x14ac:dyDescent="0.15">
      <c r="C5342" s="76">
        <v>614</v>
      </c>
      <c r="D5342" s="76">
        <v>8.53E-5</v>
      </c>
      <c r="E5342" s="76">
        <v>1.3100000000000001E-4</v>
      </c>
      <c r="F5342" s="76">
        <v>2.13E-4</v>
      </c>
      <c r="G5342" s="76">
        <v>2.6699999999999998E-4</v>
      </c>
      <c r="H5342" s="76">
        <v>2.42E-4</v>
      </c>
      <c r="I5342" s="76">
        <v>3.57E-4</v>
      </c>
      <c r="J5342" s="76">
        <v>4.7100000000000001E-4</v>
      </c>
      <c r="K5342" s="76">
        <v>5.5800000000000001E-4</v>
      </c>
      <c r="L5342" s="76">
        <v>5.2300000000000003E-4</v>
      </c>
      <c r="M5342" s="76">
        <v>6.6200000000000005E-4</v>
      </c>
    </row>
    <row r="5343" spans="3:13" x14ac:dyDescent="0.15">
      <c r="C5343" s="76">
        <v>616</v>
      </c>
      <c r="D5343" s="76">
        <v>7.3399999999999995E-5</v>
      </c>
      <c r="E5343" s="76">
        <v>1.1900000000000001E-4</v>
      </c>
      <c r="F5343" s="76">
        <v>1.9699999999999999E-4</v>
      </c>
      <c r="G5343" s="76">
        <v>2.4399999999999999E-4</v>
      </c>
      <c r="H5343" s="76">
        <v>1.9699999999999999E-4</v>
      </c>
      <c r="I5343" s="76">
        <v>3.3399999999999999E-4</v>
      </c>
      <c r="J5343" s="76">
        <v>4.37E-4</v>
      </c>
      <c r="K5343" s="76">
        <v>4.3399999999999998E-4</v>
      </c>
      <c r="L5343" s="76">
        <v>4.9100000000000001E-4</v>
      </c>
      <c r="M5343" s="76">
        <v>6.5600000000000001E-4</v>
      </c>
    </row>
    <row r="5344" spans="3:13" x14ac:dyDescent="0.15">
      <c r="C5344" s="76">
        <v>618</v>
      </c>
      <c r="D5344" s="76">
        <v>6.9499999999999995E-5</v>
      </c>
      <c r="E5344" s="76">
        <v>1.0900000000000001E-4</v>
      </c>
      <c r="F5344" s="76">
        <v>1.75E-4</v>
      </c>
      <c r="G5344" s="76">
        <v>2.3499999999999999E-4</v>
      </c>
      <c r="H5344" s="76">
        <v>2.23E-4</v>
      </c>
      <c r="I5344" s="76">
        <v>2.9799999999999998E-4</v>
      </c>
      <c r="J5344" s="76">
        <v>3.68E-4</v>
      </c>
      <c r="K5344" s="76">
        <v>4.0999999999999999E-4</v>
      </c>
      <c r="L5344" s="76">
        <v>3.9899999999999999E-4</v>
      </c>
      <c r="M5344" s="76">
        <v>5.9599999999999996E-4</v>
      </c>
    </row>
    <row r="5345" spans="3:13" x14ac:dyDescent="0.15">
      <c r="C5345" s="76">
        <v>620</v>
      </c>
      <c r="D5345" s="76">
        <v>5.8E-5</v>
      </c>
      <c r="E5345" s="76">
        <v>9.7499999999999998E-5</v>
      </c>
      <c r="F5345" s="76">
        <v>1.6000000000000001E-4</v>
      </c>
      <c r="G5345" s="76">
        <v>1.8900000000000001E-4</v>
      </c>
      <c r="H5345" s="76">
        <v>1.8900000000000001E-4</v>
      </c>
      <c r="I5345" s="76">
        <v>2.8499999999999999E-4</v>
      </c>
      <c r="J5345" s="76">
        <v>4.15E-4</v>
      </c>
      <c r="K5345" s="76">
        <v>3.8499999999999998E-4</v>
      </c>
      <c r="L5345" s="76">
        <v>3.3E-4</v>
      </c>
      <c r="M5345" s="76">
        <v>5.3799999999999996E-4</v>
      </c>
    </row>
    <row r="5346" spans="3:13" x14ac:dyDescent="0.15">
      <c r="C5346" s="76">
        <v>622</v>
      </c>
      <c r="D5346" s="76">
        <v>5.4400000000000001E-5</v>
      </c>
      <c r="E5346" s="76">
        <v>9.7200000000000004E-5</v>
      </c>
      <c r="F5346" s="76">
        <v>1.4999999999999999E-4</v>
      </c>
      <c r="G5346" s="76">
        <v>1.8900000000000001E-4</v>
      </c>
      <c r="H5346" s="76">
        <v>1.8699999999999999E-4</v>
      </c>
      <c r="I5346" s="76">
        <v>2.3499999999999999E-4</v>
      </c>
      <c r="J5346" s="76">
        <v>3.6499999999999998E-4</v>
      </c>
      <c r="K5346" s="76">
        <v>3.4200000000000002E-4</v>
      </c>
      <c r="L5346" s="76">
        <v>3.39E-4</v>
      </c>
      <c r="M5346" s="76">
        <v>5.04E-4</v>
      </c>
    </row>
    <row r="5347" spans="3:13" x14ac:dyDescent="0.15">
      <c r="C5347" s="76">
        <v>624</v>
      </c>
      <c r="D5347" s="76">
        <v>4.6300000000000001E-5</v>
      </c>
      <c r="E5347" s="76">
        <v>9.48E-5</v>
      </c>
      <c r="F5347" s="76">
        <v>1.2899999999999999E-4</v>
      </c>
      <c r="G5347" s="76">
        <v>1.74E-4</v>
      </c>
      <c r="H5347" s="76">
        <v>1.54E-4</v>
      </c>
      <c r="I5347" s="76">
        <v>2.4699999999999999E-4</v>
      </c>
      <c r="J5347" s="76">
        <v>3.86E-4</v>
      </c>
      <c r="K5347" s="76">
        <v>3.4900000000000003E-4</v>
      </c>
      <c r="L5347" s="76">
        <v>3.4699999999999998E-4</v>
      </c>
      <c r="M5347" s="76">
        <v>4.6799999999999999E-4</v>
      </c>
    </row>
    <row r="5348" spans="3:13" x14ac:dyDescent="0.15">
      <c r="C5348" s="76">
        <v>626</v>
      </c>
      <c r="D5348" s="76">
        <v>4.0200000000000001E-5</v>
      </c>
      <c r="E5348" s="76">
        <v>7.9800000000000002E-5</v>
      </c>
      <c r="F5348" s="76">
        <v>9.31E-5</v>
      </c>
      <c r="G5348" s="76">
        <v>2.12E-4</v>
      </c>
      <c r="H5348" s="76">
        <v>1.5300000000000001E-4</v>
      </c>
      <c r="I5348" s="76">
        <v>2.3000000000000001E-4</v>
      </c>
      <c r="J5348" s="76">
        <v>3.5199999999999999E-4</v>
      </c>
      <c r="K5348" s="76">
        <v>3.1599999999999998E-4</v>
      </c>
      <c r="L5348" s="76">
        <v>3.21E-4</v>
      </c>
      <c r="M5348" s="76">
        <v>4.15E-4</v>
      </c>
    </row>
    <row r="5349" spans="3:13" x14ac:dyDescent="0.15">
      <c r="C5349" s="76">
        <v>628</v>
      </c>
      <c r="D5349" s="76">
        <v>3.93E-5</v>
      </c>
      <c r="E5349" s="76">
        <v>5.8600000000000001E-5</v>
      </c>
      <c r="F5349" s="76">
        <v>1.06E-4</v>
      </c>
      <c r="G5349" s="76">
        <v>1.3200000000000001E-4</v>
      </c>
      <c r="H5349" s="76">
        <v>1.06E-4</v>
      </c>
      <c r="I5349" s="76">
        <v>2.3900000000000001E-4</v>
      </c>
      <c r="J5349" s="76">
        <v>3.21E-4</v>
      </c>
      <c r="K5349" s="76">
        <v>2.7700000000000001E-4</v>
      </c>
      <c r="L5349" s="76">
        <v>2.8600000000000001E-4</v>
      </c>
      <c r="M5349" s="76">
        <v>3.3300000000000002E-4</v>
      </c>
    </row>
    <row r="5350" spans="3:13" x14ac:dyDescent="0.15">
      <c r="C5350" s="76">
        <v>630</v>
      </c>
      <c r="D5350" s="76">
        <v>3.4E-5</v>
      </c>
      <c r="E5350" s="76">
        <v>7.2899999999999997E-5</v>
      </c>
      <c r="F5350" s="76">
        <v>1.15E-4</v>
      </c>
      <c r="G5350" s="76">
        <v>1.36E-4</v>
      </c>
      <c r="H5350" s="76">
        <v>1.3200000000000001E-4</v>
      </c>
      <c r="I5350" s="76">
        <v>2.41E-4</v>
      </c>
      <c r="J5350" s="76">
        <v>3.5100000000000002E-4</v>
      </c>
      <c r="K5350" s="76">
        <v>2.4399999999999999E-4</v>
      </c>
      <c r="L5350" s="76">
        <v>2.3900000000000001E-4</v>
      </c>
      <c r="M5350" s="76">
        <v>3.2299999999999999E-4</v>
      </c>
    </row>
    <row r="5351" spans="3:13" x14ac:dyDescent="0.15">
      <c r="C5351" s="76">
        <v>632</v>
      </c>
      <c r="D5351" s="76">
        <v>3.4799999999999999E-5</v>
      </c>
      <c r="E5351" s="76">
        <v>7.1299999999999998E-5</v>
      </c>
      <c r="F5351" s="76">
        <v>9.1899999999999998E-5</v>
      </c>
      <c r="G5351" s="76">
        <v>1.3799999999999999E-4</v>
      </c>
      <c r="H5351" s="76">
        <v>1.37E-4</v>
      </c>
      <c r="I5351" s="76">
        <v>1.8699999999999999E-4</v>
      </c>
      <c r="J5351" s="76">
        <v>3.5599999999999998E-4</v>
      </c>
      <c r="K5351" s="76">
        <v>2.52E-4</v>
      </c>
      <c r="L5351" s="76">
        <v>2.3800000000000001E-4</v>
      </c>
      <c r="M5351" s="76">
        <v>2.8600000000000001E-4</v>
      </c>
    </row>
    <row r="5352" spans="3:13" x14ac:dyDescent="0.15">
      <c r="C5352" s="76">
        <v>634</v>
      </c>
      <c r="D5352" s="76">
        <v>2.8E-5</v>
      </c>
      <c r="E5352" s="76">
        <v>5.6199999999999997E-5</v>
      </c>
      <c r="F5352" s="76">
        <v>8.5500000000000005E-5</v>
      </c>
      <c r="G5352" s="76">
        <v>1.37E-4</v>
      </c>
      <c r="H5352" s="76">
        <v>1.4799999999999999E-4</v>
      </c>
      <c r="I5352" s="76">
        <v>1.84E-4</v>
      </c>
      <c r="J5352" s="76">
        <v>4.6000000000000001E-4</v>
      </c>
      <c r="K5352" s="76">
        <v>2.6899999999999998E-4</v>
      </c>
      <c r="L5352" s="76">
        <v>1.93E-4</v>
      </c>
      <c r="M5352" s="76">
        <v>2.7500000000000002E-4</v>
      </c>
    </row>
    <row r="5353" spans="3:13" x14ac:dyDescent="0.15">
      <c r="C5353" s="76">
        <v>636</v>
      </c>
      <c r="D5353" s="76">
        <v>2.6299999999999999E-5</v>
      </c>
      <c r="E5353" s="76">
        <v>7.6199999999999995E-5</v>
      </c>
      <c r="F5353" s="76">
        <v>8.8499999999999996E-5</v>
      </c>
      <c r="G5353" s="76">
        <v>9.8300000000000004E-5</v>
      </c>
      <c r="H5353" s="76">
        <v>1.3100000000000001E-4</v>
      </c>
      <c r="I5353" s="76">
        <v>2.1900000000000001E-4</v>
      </c>
      <c r="J5353" s="76">
        <v>3.6900000000000002E-4</v>
      </c>
      <c r="K5353" s="76">
        <v>2.5000000000000001E-4</v>
      </c>
      <c r="L5353" s="76">
        <v>2.2800000000000001E-4</v>
      </c>
      <c r="M5353" s="76">
        <v>1.92E-4</v>
      </c>
    </row>
    <row r="5354" spans="3:13" x14ac:dyDescent="0.15">
      <c r="C5354" s="76">
        <v>638</v>
      </c>
      <c r="D5354" s="76">
        <v>1.6900000000000001E-5</v>
      </c>
      <c r="E5354" s="76">
        <v>5.41E-5</v>
      </c>
      <c r="F5354" s="76">
        <v>4.3399999999999998E-5</v>
      </c>
      <c r="G5354" s="76">
        <v>1.1400000000000001E-4</v>
      </c>
      <c r="H5354" s="76">
        <v>1.26E-4</v>
      </c>
      <c r="I5354" s="76">
        <v>2.0900000000000001E-4</v>
      </c>
      <c r="J5354" s="76">
        <v>3.2600000000000001E-4</v>
      </c>
      <c r="K5354" s="76">
        <v>2.23E-4</v>
      </c>
      <c r="L5354" s="76">
        <v>2.8400000000000002E-4</v>
      </c>
      <c r="M5354" s="76">
        <v>1.5200000000000001E-4</v>
      </c>
    </row>
    <row r="5355" spans="3:13" x14ac:dyDescent="0.15">
      <c r="C5355" s="76">
        <v>640</v>
      </c>
      <c r="D5355" s="76">
        <v>1.34E-5</v>
      </c>
      <c r="E5355" s="76">
        <v>6.2899999999999997E-5</v>
      </c>
      <c r="F5355" s="76">
        <v>6.7100000000000005E-5</v>
      </c>
      <c r="G5355" s="76">
        <v>1.1E-4</v>
      </c>
      <c r="H5355" s="76">
        <v>1.17E-4</v>
      </c>
      <c r="I5355" s="76">
        <v>1.9699999999999999E-4</v>
      </c>
      <c r="J5355" s="76">
        <v>3.4000000000000002E-4</v>
      </c>
      <c r="K5355" s="76">
        <v>2.41E-4</v>
      </c>
      <c r="L5355" s="76">
        <v>1.76E-4</v>
      </c>
      <c r="M5355" s="76">
        <v>1.25E-4</v>
      </c>
    </row>
    <row r="5356" spans="3:13" x14ac:dyDescent="0.15">
      <c r="C5356" s="76">
        <v>642</v>
      </c>
      <c r="D5356" s="76">
        <v>1.22E-5</v>
      </c>
      <c r="E5356" s="76">
        <v>6.3899999999999995E-5</v>
      </c>
      <c r="F5356" s="76">
        <v>4.57E-5</v>
      </c>
      <c r="G5356" s="76">
        <v>7.86E-5</v>
      </c>
      <c r="H5356" s="76">
        <v>1.3899999999999999E-4</v>
      </c>
      <c r="I5356" s="76">
        <v>1.8000000000000001E-4</v>
      </c>
      <c r="J5356" s="76">
        <v>3.3399999999999999E-4</v>
      </c>
      <c r="K5356" s="76">
        <v>2.22E-4</v>
      </c>
      <c r="L5356" s="76">
        <v>1.85E-4</v>
      </c>
      <c r="M5356" s="76">
        <v>1.3300000000000001E-4</v>
      </c>
    </row>
    <row r="5357" spans="3:13" x14ac:dyDescent="0.15">
      <c r="C5357" s="76">
        <v>644</v>
      </c>
      <c r="D5357" s="76">
        <v>1.06E-5</v>
      </c>
      <c r="E5357" s="76">
        <v>5.77E-5</v>
      </c>
      <c r="F5357" s="76">
        <v>3.8999999999999999E-5</v>
      </c>
      <c r="G5357" s="76">
        <v>7.8499999999999997E-5</v>
      </c>
      <c r="H5357" s="76">
        <v>1.5200000000000001E-4</v>
      </c>
      <c r="I5357" s="76">
        <v>1.63E-4</v>
      </c>
      <c r="J5357" s="76">
        <v>2.7399999999999999E-4</v>
      </c>
      <c r="K5357" s="76">
        <v>2.1000000000000001E-4</v>
      </c>
      <c r="L5357" s="76">
        <v>2.22E-4</v>
      </c>
      <c r="M5357" s="76">
        <v>1.1E-4</v>
      </c>
    </row>
    <row r="5358" spans="3:13" x14ac:dyDescent="0.15">
      <c r="C5358" s="76">
        <v>646</v>
      </c>
      <c r="D5358" s="76">
        <v>1.5699999999999999E-5</v>
      </c>
      <c r="E5358" s="76">
        <v>5.5800000000000001E-5</v>
      </c>
      <c r="F5358" s="76">
        <v>2.6100000000000001E-5</v>
      </c>
      <c r="G5358" s="76">
        <v>7.5500000000000006E-5</v>
      </c>
      <c r="H5358" s="76">
        <v>1.75E-4</v>
      </c>
      <c r="I5358" s="76">
        <v>1.92E-4</v>
      </c>
      <c r="J5358" s="76">
        <v>2.2900000000000001E-4</v>
      </c>
      <c r="K5358" s="76">
        <v>2.23E-4</v>
      </c>
      <c r="L5358" s="76">
        <v>2.13E-4</v>
      </c>
      <c r="M5358" s="76">
        <v>5.2899999999999998E-5</v>
      </c>
    </row>
    <row r="5359" spans="3:13" x14ac:dyDescent="0.15">
      <c r="C5359" s="76">
        <v>648</v>
      </c>
      <c r="D5359" s="76">
        <v>1.13E-5</v>
      </c>
      <c r="E5359" s="76">
        <v>5.94E-5</v>
      </c>
      <c r="F5359" s="76">
        <v>5.7000000000000003E-5</v>
      </c>
      <c r="G5359" s="76">
        <v>8.5000000000000006E-5</v>
      </c>
      <c r="H5359" s="76">
        <v>1.55E-4</v>
      </c>
      <c r="I5359" s="76">
        <v>1.44E-4</v>
      </c>
      <c r="J5359" s="76">
        <v>2.2800000000000001E-4</v>
      </c>
      <c r="K5359" s="76">
        <v>1.8100000000000001E-4</v>
      </c>
      <c r="L5359" s="76">
        <v>2.7999999999999998E-4</v>
      </c>
      <c r="M5359" s="76">
        <v>4.0899999999999998E-5</v>
      </c>
    </row>
    <row r="5360" spans="3:13" x14ac:dyDescent="0.15">
      <c r="C5360" s="76">
        <v>650</v>
      </c>
      <c r="D5360" s="76">
        <v>1.2799999999999999E-5</v>
      </c>
      <c r="E5360" s="76">
        <v>4.8999999999999998E-5</v>
      </c>
      <c r="F5360" s="76">
        <v>4.7200000000000002E-5</v>
      </c>
      <c r="G5360" s="76">
        <v>1.03E-4</v>
      </c>
      <c r="H5360" s="76">
        <v>1.2E-4</v>
      </c>
      <c r="I5360" s="76">
        <v>1.5200000000000001E-4</v>
      </c>
      <c r="J5360" s="76">
        <v>2.4499999999999999E-4</v>
      </c>
      <c r="K5360" s="76">
        <v>2.05E-4</v>
      </c>
      <c r="L5360" s="76">
        <v>2.6400000000000002E-4</v>
      </c>
      <c r="M5360" s="76">
        <v>3.8999999999999999E-5</v>
      </c>
    </row>
    <row r="5361" spans="3:13" x14ac:dyDescent="0.15">
      <c r="C5361" s="76">
        <v>652</v>
      </c>
      <c r="D5361" s="76">
        <v>1.1800000000000001E-5</v>
      </c>
      <c r="E5361" s="76">
        <v>6.1099999999999994E-5</v>
      </c>
      <c r="F5361" s="76">
        <v>3.82E-5</v>
      </c>
      <c r="G5361" s="76">
        <v>9.1299999999999997E-5</v>
      </c>
      <c r="H5361" s="76">
        <v>1.6899999999999999E-4</v>
      </c>
      <c r="I5361" s="76">
        <v>1.7899999999999999E-4</v>
      </c>
      <c r="J5361" s="76">
        <v>2.1699999999999999E-4</v>
      </c>
      <c r="K5361" s="76">
        <v>1.93E-4</v>
      </c>
      <c r="L5361" s="76">
        <v>2.3499999999999999E-4</v>
      </c>
      <c r="M5361" s="76">
        <v>3.1600000000000002E-5</v>
      </c>
    </row>
    <row r="5362" spans="3:13" x14ac:dyDescent="0.15">
      <c r="C5362" s="76">
        <v>654</v>
      </c>
      <c r="D5362" s="76">
        <v>1.2500000000000001E-5</v>
      </c>
      <c r="E5362" s="76">
        <v>6.9300000000000004E-5</v>
      </c>
      <c r="F5362" s="76">
        <v>4.8699999999999998E-5</v>
      </c>
      <c r="G5362" s="76">
        <v>8.7600000000000002E-5</v>
      </c>
      <c r="H5362" s="76">
        <v>1.75E-4</v>
      </c>
      <c r="I5362" s="76">
        <v>1.47E-4</v>
      </c>
      <c r="J5362" s="76">
        <v>1.74E-4</v>
      </c>
      <c r="K5362" s="76">
        <v>1.35E-4</v>
      </c>
      <c r="L5362" s="76">
        <v>3.2200000000000002E-4</v>
      </c>
      <c r="M5362" s="76">
        <v>6.8899999999999994E-5</v>
      </c>
    </row>
    <row r="5363" spans="3:13" x14ac:dyDescent="0.15">
      <c r="C5363" s="76">
        <v>656</v>
      </c>
      <c r="D5363" s="76">
        <v>1.7E-5</v>
      </c>
      <c r="E5363" s="76">
        <v>4.4700000000000002E-5</v>
      </c>
      <c r="F5363" s="76">
        <v>5.4500000000000003E-5</v>
      </c>
      <c r="G5363" s="76">
        <v>8.6399999999999999E-5</v>
      </c>
      <c r="H5363" s="76">
        <v>1.0900000000000001E-4</v>
      </c>
      <c r="I5363" s="76">
        <v>1.6200000000000001E-4</v>
      </c>
      <c r="J5363" s="76">
        <v>1.55E-4</v>
      </c>
      <c r="K5363" s="76">
        <v>2.04E-4</v>
      </c>
      <c r="L5363" s="76">
        <v>2.8899999999999998E-4</v>
      </c>
      <c r="M5363" s="76">
        <v>1.0900000000000001E-4</v>
      </c>
    </row>
    <row r="5364" spans="3:13" x14ac:dyDescent="0.15">
      <c r="C5364" s="76">
        <v>658</v>
      </c>
      <c r="D5364" s="76">
        <v>1.6699999999999999E-5</v>
      </c>
      <c r="E5364" s="76">
        <v>6.2100000000000005E-5</v>
      </c>
      <c r="F5364" s="76">
        <v>7.8899999999999993E-5</v>
      </c>
      <c r="G5364" s="76">
        <v>1.11E-4</v>
      </c>
      <c r="H5364" s="76">
        <v>1.13E-4</v>
      </c>
      <c r="I5364" s="76">
        <v>1.6200000000000001E-4</v>
      </c>
      <c r="J5364" s="76">
        <v>5.9899999999999999E-5</v>
      </c>
      <c r="K5364" s="76">
        <v>1.73E-4</v>
      </c>
      <c r="L5364" s="76">
        <v>3.0400000000000002E-4</v>
      </c>
      <c r="M5364" s="76">
        <v>1.5300000000000001E-4</v>
      </c>
    </row>
    <row r="5365" spans="3:13" x14ac:dyDescent="0.15">
      <c r="C5365" s="76">
        <v>660</v>
      </c>
      <c r="D5365" s="76">
        <v>2.5999999999999998E-5</v>
      </c>
      <c r="E5365" s="76">
        <v>5.3300000000000001E-5</v>
      </c>
      <c r="F5365" s="76">
        <v>6.7999999999999999E-5</v>
      </c>
      <c r="G5365" s="76">
        <v>1E-4</v>
      </c>
      <c r="H5365" s="76">
        <v>1.5799999999999999E-4</v>
      </c>
      <c r="I5365" s="76">
        <v>1.3100000000000001E-4</v>
      </c>
      <c r="J5365" s="76">
        <v>7.1500000000000003E-5</v>
      </c>
      <c r="K5365" s="76">
        <v>2.0000000000000001E-4</v>
      </c>
      <c r="L5365" s="76">
        <v>3.5500000000000001E-4</v>
      </c>
      <c r="M5365" s="76">
        <v>1.3799999999999999E-4</v>
      </c>
    </row>
    <row r="5366" spans="3:13" x14ac:dyDescent="0.15">
      <c r="C5366" s="76">
        <v>662</v>
      </c>
      <c r="D5366" s="76">
        <v>2.62E-5</v>
      </c>
      <c r="E5366" s="76">
        <v>6.4800000000000003E-5</v>
      </c>
      <c r="F5366" s="76">
        <v>5.2599999999999998E-5</v>
      </c>
      <c r="G5366" s="76">
        <v>1.16E-4</v>
      </c>
      <c r="H5366" s="76">
        <v>1.27E-4</v>
      </c>
      <c r="I5366" s="76">
        <v>1.46E-4</v>
      </c>
      <c r="J5366" s="76">
        <v>9.5099999999999994E-5</v>
      </c>
      <c r="K5366" s="76">
        <v>1.13E-4</v>
      </c>
      <c r="L5366" s="76">
        <v>2.6600000000000001E-4</v>
      </c>
      <c r="M5366" s="76">
        <v>1.95E-4</v>
      </c>
    </row>
    <row r="5367" spans="3:13" x14ac:dyDescent="0.15">
      <c r="C5367" s="76">
        <v>664</v>
      </c>
      <c r="D5367" s="76">
        <v>2.26E-5</v>
      </c>
      <c r="E5367" s="76">
        <v>4.6300000000000001E-5</v>
      </c>
      <c r="F5367" s="76">
        <v>6.3899999999999995E-5</v>
      </c>
      <c r="G5367" s="76">
        <v>1.1900000000000001E-4</v>
      </c>
      <c r="H5367" s="76">
        <v>1.3899999999999999E-4</v>
      </c>
      <c r="I5367" s="76">
        <v>1.45E-4</v>
      </c>
      <c r="J5367" s="76">
        <v>2.02E-5</v>
      </c>
      <c r="K5367" s="76">
        <v>1.9699999999999999E-4</v>
      </c>
      <c r="L5367" s="76">
        <v>2.9799999999999998E-4</v>
      </c>
      <c r="M5367" s="76">
        <v>3.2499999999999999E-4</v>
      </c>
    </row>
    <row r="5368" spans="3:13" x14ac:dyDescent="0.15">
      <c r="C5368" s="76">
        <v>666</v>
      </c>
      <c r="D5368" s="76">
        <v>2.4199999999999999E-5</v>
      </c>
      <c r="E5368" s="76">
        <v>4.0800000000000002E-5</v>
      </c>
      <c r="F5368" s="76">
        <v>7.9699999999999999E-5</v>
      </c>
      <c r="G5368" s="76">
        <v>1.3300000000000001E-4</v>
      </c>
      <c r="H5368" s="76">
        <v>1.3300000000000001E-4</v>
      </c>
      <c r="I5368" s="76">
        <v>1.3799999999999999E-4</v>
      </c>
      <c r="J5368" s="76">
        <v>2.1800000000000001E-5</v>
      </c>
      <c r="K5368" s="76">
        <v>1.2799999999999999E-4</v>
      </c>
      <c r="L5368" s="76">
        <v>2.7E-4</v>
      </c>
      <c r="M5368" s="76">
        <v>2.5700000000000001E-4</v>
      </c>
    </row>
    <row r="5369" spans="3:13" x14ac:dyDescent="0.15">
      <c r="C5369" s="76">
        <v>668</v>
      </c>
      <c r="D5369" s="76">
        <v>2.9499999999999999E-5</v>
      </c>
      <c r="E5369" s="76">
        <v>4.4700000000000002E-5</v>
      </c>
      <c r="F5369" s="76">
        <v>6.5900000000000003E-5</v>
      </c>
      <c r="G5369" s="76">
        <v>1.36E-4</v>
      </c>
      <c r="H5369" s="76">
        <v>1.11E-4</v>
      </c>
      <c r="I5369" s="76">
        <v>1.5200000000000001E-4</v>
      </c>
      <c r="J5369" s="76">
        <v>7.2000000000000002E-5</v>
      </c>
      <c r="K5369" s="76">
        <v>1.02E-4</v>
      </c>
      <c r="L5369" s="76">
        <v>3.0600000000000001E-4</v>
      </c>
      <c r="M5369" s="76">
        <v>3.4200000000000002E-4</v>
      </c>
    </row>
    <row r="5370" spans="3:13" x14ac:dyDescent="0.15">
      <c r="C5370" s="76">
        <v>670</v>
      </c>
      <c r="D5370" s="76">
        <v>3.0899999999999999E-5</v>
      </c>
      <c r="E5370" s="76">
        <v>3.9400000000000002E-5</v>
      </c>
      <c r="F5370" s="76">
        <v>7.7399999999999998E-5</v>
      </c>
      <c r="G5370" s="76">
        <v>8.6500000000000002E-5</v>
      </c>
      <c r="H5370" s="76">
        <v>1.36E-4</v>
      </c>
      <c r="I5370" s="76">
        <v>1.2799999999999999E-4</v>
      </c>
      <c r="J5370" s="76">
        <v>3.8899999999999997E-5</v>
      </c>
      <c r="K5370" s="76">
        <v>1.73E-4</v>
      </c>
      <c r="L5370" s="76">
        <v>2.5999999999999998E-4</v>
      </c>
      <c r="M5370" s="76">
        <v>3.1E-4</v>
      </c>
    </row>
    <row r="5371" spans="3:13" x14ac:dyDescent="0.15">
      <c r="C5371" s="76">
        <v>672</v>
      </c>
      <c r="D5371" s="76">
        <v>3.5500000000000002E-5</v>
      </c>
      <c r="E5371" s="76">
        <v>3.6999999999999998E-5</v>
      </c>
      <c r="F5371" s="76">
        <v>9.48E-5</v>
      </c>
      <c r="G5371" s="76">
        <v>8.7600000000000002E-5</v>
      </c>
      <c r="H5371" s="76">
        <v>8.14E-5</v>
      </c>
      <c r="I5371" s="76">
        <v>1.0900000000000001E-4</v>
      </c>
      <c r="J5371" s="76">
        <v>8.2199999999999992E-6</v>
      </c>
      <c r="K5371" s="76">
        <v>2.14E-4</v>
      </c>
      <c r="L5371" s="76">
        <v>2.5099999999999998E-4</v>
      </c>
      <c r="M5371" s="76">
        <v>3.9899999999999999E-4</v>
      </c>
    </row>
    <row r="5372" spans="3:13" x14ac:dyDescent="0.15">
      <c r="C5372" s="76">
        <v>674</v>
      </c>
      <c r="D5372" s="76">
        <v>3.4799999999999999E-5</v>
      </c>
      <c r="E5372" s="76">
        <v>2.05E-5</v>
      </c>
      <c r="F5372" s="76">
        <v>8.6100000000000006E-5</v>
      </c>
      <c r="G5372" s="76">
        <v>9.6299999999999996E-5</v>
      </c>
      <c r="H5372" s="76">
        <v>1.02E-4</v>
      </c>
      <c r="I5372" s="76">
        <v>8.0599999999999994E-5</v>
      </c>
      <c r="J5372" s="76">
        <v>1.05E-4</v>
      </c>
      <c r="K5372" s="76">
        <v>1.54E-4</v>
      </c>
      <c r="L5372" s="76">
        <v>2.3499999999999999E-4</v>
      </c>
      <c r="M5372" s="76">
        <v>3.8999999999999999E-4</v>
      </c>
    </row>
    <row r="5373" spans="3:13" x14ac:dyDescent="0.15">
      <c r="C5373" s="76">
        <v>676</v>
      </c>
      <c r="D5373" s="76">
        <v>3.6100000000000003E-5</v>
      </c>
      <c r="E5373" s="76">
        <v>2.3600000000000001E-5</v>
      </c>
      <c r="F5373" s="76">
        <v>6.5900000000000003E-5</v>
      </c>
      <c r="G5373" s="76">
        <v>8.8599999999999999E-5</v>
      </c>
      <c r="H5373" s="76">
        <v>6.5099999999999997E-5</v>
      </c>
      <c r="I5373" s="76">
        <v>9.2700000000000004E-5</v>
      </c>
      <c r="J5373" s="76">
        <v>1.4999999999999999E-4</v>
      </c>
      <c r="K5373" s="76">
        <v>1.85E-4</v>
      </c>
      <c r="L5373" s="76">
        <v>2.0900000000000001E-4</v>
      </c>
      <c r="M5373" s="76">
        <v>4.0200000000000001E-4</v>
      </c>
    </row>
    <row r="5374" spans="3:13" x14ac:dyDescent="0.15">
      <c r="C5374" s="76">
        <v>678</v>
      </c>
      <c r="D5374" s="76">
        <v>3.4499999999999998E-5</v>
      </c>
      <c r="E5374" s="76">
        <v>4.35E-5</v>
      </c>
      <c r="F5374" s="76">
        <v>7.6100000000000007E-5</v>
      </c>
      <c r="G5374" s="76">
        <v>1.37E-4</v>
      </c>
      <c r="H5374" s="76">
        <v>4.9400000000000001E-5</v>
      </c>
      <c r="I5374" s="76">
        <v>5.3499999999999999E-5</v>
      </c>
      <c r="J5374" s="76">
        <v>4.9299999999999999E-5</v>
      </c>
      <c r="K5374" s="76">
        <v>1.8699999999999999E-4</v>
      </c>
      <c r="L5374" s="76">
        <v>1.76E-4</v>
      </c>
      <c r="M5374" s="76">
        <v>3.77E-4</v>
      </c>
    </row>
    <row r="5375" spans="3:13" x14ac:dyDescent="0.15">
      <c r="C5375" s="76">
        <v>680</v>
      </c>
      <c r="D5375" s="76">
        <v>2.4300000000000001E-5</v>
      </c>
      <c r="E5375" s="76">
        <v>2.7500000000000001E-5</v>
      </c>
      <c r="F5375" s="76">
        <v>5.8600000000000001E-5</v>
      </c>
      <c r="G5375" s="76">
        <v>9.3999999999999994E-5</v>
      </c>
      <c r="H5375" s="76">
        <v>8.2299999999999995E-5</v>
      </c>
      <c r="I5375" s="76">
        <v>5.3199999999999999E-5</v>
      </c>
      <c r="J5375" s="76">
        <v>8.4499999999999994E-5</v>
      </c>
      <c r="K5375" s="76">
        <v>1.17E-4</v>
      </c>
      <c r="L5375" s="76">
        <v>1.9799999999999999E-4</v>
      </c>
      <c r="M5375" s="76">
        <v>3.9300000000000001E-4</v>
      </c>
    </row>
    <row r="5376" spans="3:13" x14ac:dyDescent="0.15">
      <c r="C5376" s="76">
        <v>682</v>
      </c>
      <c r="D5376" s="76">
        <v>3.0499999999999999E-5</v>
      </c>
      <c r="E5376" s="76">
        <v>1.17E-5</v>
      </c>
      <c r="F5376" s="76">
        <v>5.5899999999999997E-5</v>
      </c>
      <c r="G5376" s="76">
        <v>1.16E-4</v>
      </c>
      <c r="H5376" s="76">
        <v>5.0300000000000003E-5</v>
      </c>
      <c r="I5376" s="76">
        <v>4.8699999999999998E-5</v>
      </c>
      <c r="J5376" s="76">
        <v>8.4499999999999994E-5</v>
      </c>
      <c r="K5376" s="76">
        <v>1.11E-4</v>
      </c>
      <c r="L5376" s="76">
        <v>1.7699999999999999E-4</v>
      </c>
      <c r="M5376" s="76">
        <v>4.0499999999999998E-4</v>
      </c>
    </row>
    <row r="5377" spans="3:13" x14ac:dyDescent="0.15">
      <c r="C5377" s="76">
        <v>684</v>
      </c>
      <c r="D5377" s="76">
        <v>2.3E-5</v>
      </c>
      <c r="E5377" s="76">
        <v>1.33E-5</v>
      </c>
      <c r="F5377" s="76">
        <v>5.9299999999999998E-5</v>
      </c>
      <c r="G5377" s="76">
        <v>1.26E-4</v>
      </c>
      <c r="H5377" s="76">
        <v>5.8900000000000002E-5</v>
      </c>
      <c r="I5377" s="76">
        <v>1.12E-4</v>
      </c>
      <c r="J5377" s="76">
        <v>1.1E-4</v>
      </c>
      <c r="K5377" s="76">
        <v>1.63E-4</v>
      </c>
      <c r="L5377" s="76">
        <v>1.92E-4</v>
      </c>
      <c r="M5377" s="76">
        <v>4.3399999999999998E-4</v>
      </c>
    </row>
    <row r="5378" spans="3:13" x14ac:dyDescent="0.15">
      <c r="C5378" s="76">
        <v>686</v>
      </c>
      <c r="D5378" s="76">
        <v>2.2500000000000001E-5</v>
      </c>
      <c r="E5378" s="76">
        <v>1.8499999999999999E-5</v>
      </c>
      <c r="F5378" s="76">
        <v>6.5199999999999999E-5</v>
      </c>
      <c r="G5378" s="76">
        <v>8.3399999999999994E-5</v>
      </c>
      <c r="H5378" s="76">
        <v>8.4499999999999994E-5</v>
      </c>
      <c r="I5378" s="76">
        <v>5.4400000000000001E-5</v>
      </c>
      <c r="J5378" s="76">
        <v>1.1400000000000001E-4</v>
      </c>
      <c r="K5378" s="76">
        <v>2.5300000000000002E-4</v>
      </c>
      <c r="L5378" s="76">
        <v>1.56E-4</v>
      </c>
      <c r="M5378" s="76">
        <v>4.0700000000000003E-4</v>
      </c>
    </row>
    <row r="5379" spans="3:13" x14ac:dyDescent="0.15">
      <c r="C5379" s="76">
        <v>688</v>
      </c>
      <c r="D5379" s="76">
        <v>2.1500000000000001E-5</v>
      </c>
      <c r="E5379" s="76">
        <v>2.94E-5</v>
      </c>
      <c r="F5379" s="76">
        <v>5.9599999999999999E-5</v>
      </c>
      <c r="G5379" s="76">
        <v>1.0399999999999999E-4</v>
      </c>
      <c r="H5379" s="76">
        <v>3.6900000000000002E-5</v>
      </c>
      <c r="I5379" s="76">
        <v>5.4400000000000001E-5</v>
      </c>
      <c r="J5379" s="76">
        <v>1.3100000000000001E-4</v>
      </c>
      <c r="K5379" s="76">
        <v>1.9699999999999999E-4</v>
      </c>
      <c r="L5379" s="76">
        <v>1.63E-4</v>
      </c>
      <c r="M5379" s="76">
        <v>1.8200000000000001E-4</v>
      </c>
    </row>
    <row r="5380" spans="3:13" x14ac:dyDescent="0.15">
      <c r="C5380" s="76">
        <v>690</v>
      </c>
      <c r="D5380" s="76">
        <v>1.3699999999999999E-5</v>
      </c>
      <c r="E5380" s="76">
        <v>5.8900000000000004E-6</v>
      </c>
      <c r="F5380" s="76">
        <v>3.9400000000000002E-5</v>
      </c>
      <c r="G5380" s="76">
        <v>8.42E-5</v>
      </c>
      <c r="H5380" s="76">
        <v>5.2299999999999997E-5</v>
      </c>
      <c r="I5380" s="76">
        <v>8.8300000000000005E-5</v>
      </c>
      <c r="J5380" s="76">
        <v>7.8200000000000003E-5</v>
      </c>
      <c r="K5380" s="76">
        <v>2.0100000000000001E-4</v>
      </c>
      <c r="L5380" s="76">
        <v>1.2899999999999999E-4</v>
      </c>
      <c r="M5380" s="76">
        <v>2.99E-4</v>
      </c>
    </row>
    <row r="5381" spans="3:13" x14ac:dyDescent="0.15">
      <c r="C5381" s="76">
        <v>692</v>
      </c>
      <c r="D5381" s="76">
        <v>2.2900000000000001E-5</v>
      </c>
      <c r="E5381" s="76">
        <v>1.5800000000000001E-5</v>
      </c>
      <c r="F5381" s="76">
        <v>4.71E-5</v>
      </c>
      <c r="G5381" s="76">
        <v>1.0399999999999999E-4</v>
      </c>
      <c r="H5381" s="76">
        <v>3.3599999999999997E-5</v>
      </c>
      <c r="I5381" s="76">
        <v>5.9899999999999999E-5</v>
      </c>
      <c r="J5381" s="76">
        <v>9.2700000000000004E-5</v>
      </c>
      <c r="K5381" s="76">
        <v>2.32E-4</v>
      </c>
      <c r="L5381" s="76">
        <v>9.4099999999999997E-5</v>
      </c>
      <c r="M5381" s="76">
        <v>2.4899999999999998E-4</v>
      </c>
    </row>
    <row r="5382" spans="3:13" x14ac:dyDescent="0.15">
      <c r="C5382" s="76">
        <v>694</v>
      </c>
      <c r="D5382" s="76">
        <v>1.9400000000000001E-5</v>
      </c>
      <c r="E5382" s="76">
        <v>1.5400000000000002E-5</v>
      </c>
      <c r="F5382" s="76">
        <v>5.5800000000000001E-5</v>
      </c>
      <c r="G5382" s="76">
        <v>1.13E-4</v>
      </c>
      <c r="H5382" s="76">
        <v>8.1100000000000006E-5</v>
      </c>
      <c r="I5382" s="76">
        <v>7.0900000000000002E-5</v>
      </c>
      <c r="J5382" s="76">
        <v>1.34E-4</v>
      </c>
      <c r="K5382" s="76">
        <v>2.9700000000000001E-4</v>
      </c>
      <c r="L5382" s="76">
        <v>1.08E-4</v>
      </c>
      <c r="M5382" s="76">
        <v>2.4800000000000001E-4</v>
      </c>
    </row>
    <row r="5383" spans="3:13" x14ac:dyDescent="0.15">
      <c r="C5383" s="76">
        <v>696</v>
      </c>
      <c r="D5383" s="76">
        <v>2.8200000000000001E-5</v>
      </c>
      <c r="E5383" s="76">
        <v>1.38E-5</v>
      </c>
      <c r="F5383" s="76">
        <v>3.6399999999999997E-5</v>
      </c>
      <c r="G5383" s="76">
        <v>1.18E-4</v>
      </c>
      <c r="H5383" s="76">
        <v>2.3499999999999999E-5</v>
      </c>
      <c r="I5383" s="76">
        <v>3.8300000000000003E-5</v>
      </c>
      <c r="J5383" s="76">
        <v>1.4999999999999999E-4</v>
      </c>
      <c r="K5383" s="76">
        <v>2.6600000000000001E-4</v>
      </c>
      <c r="L5383" s="76">
        <v>1.12E-4</v>
      </c>
      <c r="M5383" s="76">
        <v>2.5999999999999998E-4</v>
      </c>
    </row>
    <row r="5384" spans="3:13" x14ac:dyDescent="0.15">
      <c r="C5384" s="76">
        <v>698</v>
      </c>
      <c r="D5384" s="76">
        <v>2.1100000000000001E-5</v>
      </c>
      <c r="E5384" s="76">
        <v>2.1500000000000001E-5</v>
      </c>
      <c r="F5384" s="76">
        <v>3.5899999999999998E-5</v>
      </c>
      <c r="G5384" s="76">
        <v>9.31E-5</v>
      </c>
      <c r="H5384" s="76">
        <v>1.7099999999999999E-6</v>
      </c>
      <c r="I5384" s="76">
        <v>5.8100000000000003E-5</v>
      </c>
      <c r="J5384" s="76">
        <v>8.7800000000000006E-5</v>
      </c>
      <c r="K5384" s="76">
        <v>1.75E-4</v>
      </c>
      <c r="L5384" s="76">
        <v>4.5200000000000001E-5</v>
      </c>
      <c r="M5384" s="76">
        <v>2.0100000000000001E-4</v>
      </c>
    </row>
    <row r="5385" spans="3:13" x14ac:dyDescent="0.15">
      <c r="C5385" s="76">
        <v>700</v>
      </c>
      <c r="D5385" s="76">
        <v>1.0699999999999999E-5</v>
      </c>
      <c r="E5385" s="76">
        <v>3.8199999999999998E-6</v>
      </c>
      <c r="F5385" s="76">
        <v>3.6900000000000002E-5</v>
      </c>
      <c r="G5385" s="76">
        <v>8.1699999999999994E-5</v>
      </c>
      <c r="H5385" s="76">
        <v>1.19E-5</v>
      </c>
      <c r="I5385" s="76">
        <v>1.42E-5</v>
      </c>
      <c r="J5385" s="76">
        <v>8.1699999999999994E-5</v>
      </c>
      <c r="K5385" s="76">
        <v>2.5799999999999998E-4</v>
      </c>
      <c r="L5385" s="76">
        <v>0</v>
      </c>
      <c r="M5385" s="76">
        <v>1.3300000000000001E-4</v>
      </c>
    </row>
    <row r="5386" spans="3:13" x14ac:dyDescent="0.15">
      <c r="C5386" s="76">
        <v>702</v>
      </c>
      <c r="D5386" s="76">
        <v>1.8499999999999999E-5</v>
      </c>
      <c r="E5386" s="76">
        <v>1.38E-5</v>
      </c>
      <c r="F5386" s="76">
        <v>2.9499999999999999E-5</v>
      </c>
      <c r="G5386" s="76">
        <v>1.01E-4</v>
      </c>
      <c r="H5386" s="76">
        <v>2.6599999999999999E-5</v>
      </c>
      <c r="I5386" s="76">
        <v>3.1600000000000002E-5</v>
      </c>
      <c r="J5386" s="76">
        <v>1.3999999999999999E-4</v>
      </c>
      <c r="K5386" s="76">
        <v>2.1699999999999999E-4</v>
      </c>
      <c r="L5386" s="76">
        <v>3.6699999999999998E-5</v>
      </c>
      <c r="M5386" s="76">
        <v>7.2899999999999997E-5</v>
      </c>
    </row>
    <row r="5387" spans="3:13" x14ac:dyDescent="0.15">
      <c r="C5387" s="76">
        <v>704</v>
      </c>
      <c r="D5387" s="76">
        <v>2.0000000000000002E-5</v>
      </c>
      <c r="E5387" s="76">
        <v>2.3200000000000001E-5</v>
      </c>
      <c r="F5387" s="76">
        <v>1.5500000000000001E-5</v>
      </c>
      <c r="G5387" s="76">
        <v>8.3300000000000005E-5</v>
      </c>
      <c r="H5387" s="76">
        <v>7.3699999999999997E-6</v>
      </c>
      <c r="I5387" s="76">
        <v>2.1299999999999999E-5</v>
      </c>
      <c r="J5387" s="76">
        <v>1.44E-4</v>
      </c>
      <c r="K5387" s="76">
        <v>2.4499999999999999E-4</v>
      </c>
      <c r="L5387" s="76">
        <v>1.7399999999999999E-5</v>
      </c>
      <c r="M5387" s="76">
        <v>2.0999999999999999E-5</v>
      </c>
    </row>
    <row r="5388" spans="3:13" x14ac:dyDescent="0.15">
      <c r="C5388" s="76">
        <v>706</v>
      </c>
      <c r="D5388" s="76">
        <v>1.31E-5</v>
      </c>
      <c r="E5388" s="76">
        <v>1.6200000000000001E-5</v>
      </c>
      <c r="F5388" s="76">
        <v>4.71E-5</v>
      </c>
      <c r="G5388" s="76">
        <v>4.8600000000000002E-5</v>
      </c>
      <c r="H5388" s="76">
        <v>5.2200000000000002E-5</v>
      </c>
      <c r="I5388" s="76">
        <v>0</v>
      </c>
      <c r="J5388" s="76">
        <v>1.46E-4</v>
      </c>
      <c r="K5388" s="76">
        <v>2.1000000000000001E-4</v>
      </c>
      <c r="L5388" s="76">
        <v>2.9200000000000002E-5</v>
      </c>
      <c r="M5388" s="76">
        <v>1.56E-5</v>
      </c>
    </row>
    <row r="5389" spans="3:13" x14ac:dyDescent="0.15">
      <c r="C5389" s="76">
        <v>708</v>
      </c>
      <c r="D5389" s="76">
        <v>1.56E-5</v>
      </c>
      <c r="E5389" s="76">
        <v>3.0499999999999999E-5</v>
      </c>
      <c r="F5389" s="76">
        <v>1.33E-5</v>
      </c>
      <c r="G5389" s="76">
        <v>7.5300000000000001E-5</v>
      </c>
      <c r="H5389" s="76">
        <v>8.6600000000000004E-5</v>
      </c>
      <c r="I5389" s="76">
        <v>1.4800000000000001E-5</v>
      </c>
      <c r="J5389" s="76">
        <v>1.3300000000000001E-4</v>
      </c>
      <c r="K5389" s="76">
        <v>1.6100000000000001E-4</v>
      </c>
      <c r="L5389" s="76">
        <v>4.9100000000000001E-5</v>
      </c>
      <c r="M5389" s="76">
        <v>1.2E-5</v>
      </c>
    </row>
    <row r="5390" spans="3:13" x14ac:dyDescent="0.15">
      <c r="C5390" s="76">
        <v>710</v>
      </c>
      <c r="D5390" s="76">
        <v>9.7799999999999995E-6</v>
      </c>
      <c r="E5390" s="76">
        <v>4.3399999999999998E-5</v>
      </c>
      <c r="F5390" s="76">
        <v>2.37E-5</v>
      </c>
      <c r="G5390" s="76">
        <v>7.9099999999999998E-5</v>
      </c>
      <c r="H5390" s="76">
        <v>6.41E-5</v>
      </c>
      <c r="I5390" s="76">
        <v>1.91E-5</v>
      </c>
      <c r="J5390" s="76">
        <v>1.36E-4</v>
      </c>
      <c r="K5390" s="76">
        <v>1.37E-4</v>
      </c>
      <c r="L5390" s="76">
        <v>5.3100000000000003E-5</v>
      </c>
      <c r="M5390" s="76">
        <v>0</v>
      </c>
    </row>
    <row r="5391" spans="3:13" x14ac:dyDescent="0.15">
      <c r="C5391" s="76">
        <v>712</v>
      </c>
      <c r="D5391" s="76">
        <v>2.16E-5</v>
      </c>
      <c r="E5391" s="76">
        <v>4.9799999999999998E-5</v>
      </c>
      <c r="F5391" s="76">
        <v>3.8399999999999998E-5</v>
      </c>
      <c r="G5391" s="76">
        <v>8.4800000000000001E-5</v>
      </c>
      <c r="H5391" s="76">
        <v>2.7800000000000001E-5</v>
      </c>
      <c r="I5391" s="76">
        <v>2.02E-5</v>
      </c>
      <c r="J5391" s="76">
        <v>1.9599999999999999E-4</v>
      </c>
      <c r="K5391" s="76">
        <v>1.4799999999999999E-4</v>
      </c>
      <c r="L5391" s="76">
        <v>6.37E-6</v>
      </c>
      <c r="M5391" s="76">
        <v>0</v>
      </c>
    </row>
    <row r="5392" spans="3:13" x14ac:dyDescent="0.15">
      <c r="C5392" s="76">
        <v>714</v>
      </c>
      <c r="D5392" s="76">
        <v>1.4399999999999999E-5</v>
      </c>
      <c r="E5392" s="76">
        <v>4.8699999999999998E-5</v>
      </c>
      <c r="F5392" s="76">
        <v>6.2899999999999999E-6</v>
      </c>
      <c r="G5392" s="76">
        <v>4.3600000000000003E-5</v>
      </c>
      <c r="H5392" s="76">
        <v>4.9700000000000002E-5</v>
      </c>
      <c r="I5392" s="76">
        <v>3.9900000000000001E-5</v>
      </c>
      <c r="J5392" s="76">
        <v>2.5300000000000002E-4</v>
      </c>
      <c r="K5392" s="76">
        <v>1.8000000000000001E-4</v>
      </c>
      <c r="L5392" s="76">
        <v>5.0800000000000002E-5</v>
      </c>
      <c r="M5392" s="76">
        <v>0</v>
      </c>
    </row>
    <row r="5393" spans="3:13" x14ac:dyDescent="0.15">
      <c r="C5393" s="76">
        <v>716</v>
      </c>
      <c r="D5393" s="76">
        <v>2.05E-5</v>
      </c>
      <c r="E5393" s="76">
        <v>6.3E-5</v>
      </c>
      <c r="F5393" s="76">
        <v>1.3499999999999999E-5</v>
      </c>
      <c r="G5393" s="76">
        <v>3.15E-5</v>
      </c>
      <c r="H5393" s="76">
        <v>9.4400000000000004E-5</v>
      </c>
      <c r="I5393" s="76">
        <v>2.0000000000000002E-5</v>
      </c>
      <c r="J5393" s="76">
        <v>2.9500000000000001E-4</v>
      </c>
      <c r="K5393" s="76">
        <v>1.8200000000000001E-4</v>
      </c>
      <c r="L5393" s="76">
        <v>9.8099999999999999E-5</v>
      </c>
      <c r="M5393" s="76">
        <v>1.9700000000000001E-5</v>
      </c>
    </row>
    <row r="5394" spans="3:13" x14ac:dyDescent="0.15">
      <c r="C5394" s="76">
        <v>718</v>
      </c>
      <c r="D5394" s="76">
        <v>1.8099999999999999E-5</v>
      </c>
      <c r="E5394" s="76">
        <v>6.7700000000000006E-5</v>
      </c>
      <c r="F5394" s="76">
        <v>9.55E-6</v>
      </c>
      <c r="G5394" s="76">
        <v>2.6400000000000001E-5</v>
      </c>
      <c r="H5394" s="76">
        <v>1E-4</v>
      </c>
      <c r="I5394" s="76">
        <v>3.1699999999999998E-5</v>
      </c>
      <c r="J5394" s="76">
        <v>2.04E-4</v>
      </c>
      <c r="K5394" s="76">
        <v>1.12E-4</v>
      </c>
      <c r="L5394" s="76">
        <v>7.9800000000000002E-5</v>
      </c>
      <c r="M5394" s="76">
        <v>9.3500000000000003E-6</v>
      </c>
    </row>
    <row r="5395" spans="3:13" x14ac:dyDescent="0.15">
      <c r="C5395" s="76">
        <v>720</v>
      </c>
      <c r="D5395" s="76">
        <v>1.5299999999999999E-5</v>
      </c>
      <c r="E5395" s="76">
        <v>6.3E-5</v>
      </c>
      <c r="F5395" s="76">
        <v>1.31E-5</v>
      </c>
      <c r="G5395" s="76">
        <v>5.3399999999999997E-5</v>
      </c>
      <c r="H5395" s="76">
        <v>9.2399999999999996E-5</v>
      </c>
      <c r="I5395" s="76">
        <v>3.0800000000000003E-5</v>
      </c>
      <c r="J5395" s="76">
        <v>1.5200000000000001E-4</v>
      </c>
      <c r="K5395" s="76">
        <v>8.1100000000000006E-5</v>
      </c>
      <c r="L5395" s="76">
        <v>9.4400000000000004E-5</v>
      </c>
      <c r="M5395" s="76">
        <v>0</v>
      </c>
    </row>
    <row r="5396" spans="3:13" x14ac:dyDescent="0.15">
      <c r="C5396" s="76">
        <v>722</v>
      </c>
      <c r="D5396" s="76">
        <v>1.7399999999999999E-5</v>
      </c>
      <c r="E5396" s="76">
        <v>5.5099999999999998E-5</v>
      </c>
      <c r="F5396" s="76">
        <v>1.43E-5</v>
      </c>
      <c r="G5396" s="76">
        <v>1.5800000000000001E-5</v>
      </c>
      <c r="H5396" s="76">
        <v>1.15E-4</v>
      </c>
      <c r="I5396" s="76">
        <v>2.79E-6</v>
      </c>
      <c r="J5396" s="76">
        <v>1.6899999999999999E-4</v>
      </c>
      <c r="K5396" s="76">
        <v>8.14E-5</v>
      </c>
      <c r="L5396" s="76">
        <v>1.02E-4</v>
      </c>
      <c r="M5396" s="76">
        <v>0</v>
      </c>
    </row>
    <row r="5397" spans="3:13" x14ac:dyDescent="0.15">
      <c r="C5397" s="76">
        <v>724</v>
      </c>
      <c r="D5397" s="76">
        <v>1.5E-5</v>
      </c>
      <c r="E5397" s="76">
        <v>4.9100000000000001E-5</v>
      </c>
      <c r="F5397" s="76">
        <v>0</v>
      </c>
      <c r="G5397" s="76">
        <v>0</v>
      </c>
      <c r="H5397" s="76">
        <v>1.11E-4</v>
      </c>
      <c r="I5397" s="76">
        <v>5.1E-5</v>
      </c>
      <c r="J5397" s="76">
        <v>1.8000000000000001E-4</v>
      </c>
      <c r="K5397" s="76">
        <v>8.6299999999999997E-5</v>
      </c>
      <c r="L5397" s="76">
        <v>1.4300000000000001E-4</v>
      </c>
      <c r="M5397" s="76">
        <v>0</v>
      </c>
    </row>
    <row r="5398" spans="3:13" x14ac:dyDescent="0.15">
      <c r="C5398" s="76">
        <v>726</v>
      </c>
      <c r="D5398" s="76">
        <v>1.6500000000000001E-5</v>
      </c>
      <c r="E5398" s="76">
        <v>7.64E-5</v>
      </c>
      <c r="F5398" s="76">
        <v>9.1200000000000008E-6</v>
      </c>
      <c r="G5398" s="76">
        <v>1.99E-7</v>
      </c>
      <c r="H5398" s="76">
        <v>1.46E-4</v>
      </c>
      <c r="I5398" s="76">
        <v>5.1799999999999999E-5</v>
      </c>
      <c r="J5398" s="76">
        <v>1.5899999999999999E-4</v>
      </c>
      <c r="K5398" s="76">
        <v>5.0899999999999997E-5</v>
      </c>
      <c r="L5398" s="76">
        <v>1.6899999999999999E-4</v>
      </c>
      <c r="M5398" s="76">
        <v>5.0599999999999997E-5</v>
      </c>
    </row>
    <row r="5399" spans="3:13" x14ac:dyDescent="0.15">
      <c r="C5399" s="76">
        <v>728</v>
      </c>
      <c r="D5399" s="76">
        <v>1.3699999999999999E-5</v>
      </c>
      <c r="E5399" s="76">
        <v>7.1500000000000003E-5</v>
      </c>
      <c r="F5399" s="76">
        <v>1.1800000000000001E-5</v>
      </c>
      <c r="G5399" s="76">
        <v>2.12E-5</v>
      </c>
      <c r="H5399" s="76">
        <v>1.27E-4</v>
      </c>
      <c r="I5399" s="76">
        <v>2.3900000000000002E-5</v>
      </c>
      <c r="J5399" s="76">
        <v>1.73E-4</v>
      </c>
      <c r="K5399" s="76">
        <v>0</v>
      </c>
      <c r="L5399" s="76">
        <v>2.0900000000000001E-4</v>
      </c>
      <c r="M5399" s="76">
        <v>2.03E-4</v>
      </c>
    </row>
    <row r="5400" spans="3:13" x14ac:dyDescent="0.15">
      <c r="C5400" s="76">
        <v>730</v>
      </c>
      <c r="D5400" s="76">
        <v>1.4600000000000001E-5</v>
      </c>
      <c r="E5400" s="76">
        <v>6.7199999999999994E-5</v>
      </c>
      <c r="F5400" s="76">
        <v>0</v>
      </c>
      <c r="G5400" s="76">
        <v>1.4100000000000001E-5</v>
      </c>
      <c r="H5400" s="76">
        <v>1.34E-4</v>
      </c>
      <c r="I5400" s="76">
        <v>7.1799999999999997E-5</v>
      </c>
      <c r="J5400" s="76">
        <v>2.22E-4</v>
      </c>
      <c r="K5400" s="76">
        <v>0</v>
      </c>
      <c r="L5400" s="76">
        <v>1.85E-4</v>
      </c>
      <c r="M5400" s="76">
        <v>3.4400000000000003E-5</v>
      </c>
    </row>
    <row r="5401" spans="3:13" x14ac:dyDescent="0.15">
      <c r="C5401" s="76">
        <v>732</v>
      </c>
      <c r="D5401" s="76">
        <v>1.31E-5</v>
      </c>
      <c r="E5401" s="76">
        <v>6.2799999999999995E-5</v>
      </c>
      <c r="F5401" s="76">
        <v>1.98E-5</v>
      </c>
      <c r="G5401" s="76">
        <v>0</v>
      </c>
      <c r="H5401" s="76">
        <v>1.74E-4</v>
      </c>
      <c r="I5401" s="76">
        <v>7.7799999999999994E-5</v>
      </c>
      <c r="J5401" s="76">
        <v>1.7899999999999999E-4</v>
      </c>
      <c r="K5401" s="76">
        <v>0</v>
      </c>
      <c r="L5401" s="76">
        <v>1.9699999999999999E-4</v>
      </c>
      <c r="M5401" s="76">
        <v>1.11E-4</v>
      </c>
    </row>
    <row r="5402" spans="3:13" x14ac:dyDescent="0.15">
      <c r="C5402" s="76">
        <v>734</v>
      </c>
      <c r="D5402" s="76">
        <v>1.77E-5</v>
      </c>
      <c r="E5402" s="76">
        <v>5.2099999999999999E-5</v>
      </c>
      <c r="F5402" s="76">
        <v>3.6699999999999998E-5</v>
      </c>
      <c r="G5402" s="76">
        <v>3.9500000000000003E-6</v>
      </c>
      <c r="H5402" s="76">
        <v>2.4800000000000001E-4</v>
      </c>
      <c r="I5402" s="76">
        <v>1.07E-4</v>
      </c>
      <c r="J5402" s="76">
        <v>1.7699999999999999E-4</v>
      </c>
      <c r="K5402" s="76">
        <v>0</v>
      </c>
      <c r="L5402" s="76">
        <v>2.8699999999999998E-4</v>
      </c>
      <c r="M5402" s="76">
        <v>1.8900000000000001E-4</v>
      </c>
    </row>
    <row r="5403" spans="3:13" x14ac:dyDescent="0.15">
      <c r="C5403" s="76">
        <v>736</v>
      </c>
      <c r="D5403" s="76">
        <v>1.8899999999999999E-5</v>
      </c>
      <c r="E5403" s="76">
        <v>4.9400000000000001E-5</v>
      </c>
      <c r="F5403" s="76">
        <v>3.7700000000000002E-5</v>
      </c>
      <c r="G5403" s="76">
        <v>0</v>
      </c>
      <c r="H5403" s="76">
        <v>1.5699999999999999E-4</v>
      </c>
      <c r="I5403" s="76">
        <v>8.8800000000000004E-5</v>
      </c>
      <c r="J5403" s="76">
        <v>1.4899999999999999E-4</v>
      </c>
      <c r="K5403" s="76">
        <v>0</v>
      </c>
      <c r="L5403" s="76">
        <v>2.2900000000000001E-4</v>
      </c>
      <c r="M5403" s="76">
        <v>1.7699999999999999E-4</v>
      </c>
    </row>
    <row r="5404" spans="3:13" x14ac:dyDescent="0.15">
      <c r="C5404" s="76">
        <v>738</v>
      </c>
      <c r="D5404" s="76">
        <v>2.6800000000000001E-5</v>
      </c>
      <c r="E5404" s="76">
        <v>4.5500000000000001E-5</v>
      </c>
      <c r="F5404" s="76">
        <v>4.6100000000000002E-5</v>
      </c>
      <c r="G5404" s="76">
        <v>1.8300000000000001E-5</v>
      </c>
      <c r="H5404" s="76">
        <v>1.55E-4</v>
      </c>
      <c r="I5404" s="76">
        <v>1.0900000000000001E-4</v>
      </c>
      <c r="J5404" s="76">
        <v>1.3999999999999999E-4</v>
      </c>
      <c r="K5404" s="76">
        <v>0</v>
      </c>
      <c r="L5404" s="76">
        <v>2.2800000000000001E-4</v>
      </c>
      <c r="M5404" s="76">
        <v>2.5399999999999999E-4</v>
      </c>
    </row>
    <row r="5405" spans="3:13" x14ac:dyDescent="0.15">
      <c r="C5405" s="76">
        <v>740</v>
      </c>
      <c r="D5405" s="76">
        <v>1.3900000000000001E-5</v>
      </c>
      <c r="E5405" s="76">
        <v>4.5200000000000001E-5</v>
      </c>
      <c r="F5405" s="76">
        <v>5.2099999999999999E-5</v>
      </c>
      <c r="G5405" s="76">
        <v>2.0800000000000001E-5</v>
      </c>
      <c r="H5405" s="76">
        <v>1.4300000000000001E-4</v>
      </c>
      <c r="I5405" s="76">
        <v>1.08E-4</v>
      </c>
      <c r="J5405" s="76">
        <v>6.58E-5</v>
      </c>
      <c r="K5405" s="76">
        <v>0</v>
      </c>
      <c r="L5405" s="76">
        <v>2.32E-4</v>
      </c>
      <c r="M5405" s="76">
        <v>1.7000000000000001E-4</v>
      </c>
    </row>
    <row r="5406" spans="3:13" x14ac:dyDescent="0.15">
      <c r="C5406" s="76">
        <v>742</v>
      </c>
      <c r="D5406" s="76">
        <v>1.1E-5</v>
      </c>
      <c r="E5406" s="76">
        <v>4.5000000000000003E-5</v>
      </c>
      <c r="F5406" s="76">
        <v>4.7299999999999998E-5</v>
      </c>
      <c r="G5406" s="76">
        <v>1.5500000000000001E-5</v>
      </c>
      <c r="H5406" s="76">
        <v>1.6799999999999999E-4</v>
      </c>
      <c r="I5406" s="76">
        <v>1.2799999999999999E-4</v>
      </c>
      <c r="J5406" s="76">
        <v>1.2E-4</v>
      </c>
      <c r="K5406" s="76">
        <v>3.4400000000000001E-6</v>
      </c>
      <c r="L5406" s="76">
        <v>2.7500000000000002E-4</v>
      </c>
      <c r="M5406" s="76">
        <v>2.6400000000000002E-4</v>
      </c>
    </row>
    <row r="5407" spans="3:13" x14ac:dyDescent="0.15">
      <c r="C5407" s="76">
        <v>744</v>
      </c>
      <c r="D5407" s="76">
        <v>8.4400000000000005E-6</v>
      </c>
      <c r="E5407" s="76">
        <v>4.1399999999999997E-5</v>
      </c>
      <c r="F5407" s="76">
        <v>6.2799999999999995E-5</v>
      </c>
      <c r="G5407" s="76">
        <v>1.3699999999999999E-5</v>
      </c>
      <c r="H5407" s="76">
        <v>1.3200000000000001E-4</v>
      </c>
      <c r="I5407" s="76">
        <v>1.7100000000000001E-4</v>
      </c>
      <c r="J5407" s="76">
        <v>1.05E-4</v>
      </c>
      <c r="K5407" s="76">
        <v>3.2499999999999997E-5</v>
      </c>
      <c r="L5407" s="76">
        <v>3.0899999999999998E-4</v>
      </c>
      <c r="M5407" s="76">
        <v>2.7700000000000001E-4</v>
      </c>
    </row>
    <row r="5408" spans="3:13" x14ac:dyDescent="0.15">
      <c r="C5408" s="76">
        <v>746</v>
      </c>
      <c r="D5408" s="76">
        <v>1.45E-5</v>
      </c>
      <c r="E5408" s="76">
        <v>1.5400000000000002E-5</v>
      </c>
      <c r="F5408" s="76">
        <v>7.3499999999999998E-5</v>
      </c>
      <c r="G5408" s="76">
        <v>8.1799999999999996E-5</v>
      </c>
      <c r="H5408" s="76">
        <v>1.46E-4</v>
      </c>
      <c r="I5408" s="76">
        <v>1.6000000000000001E-4</v>
      </c>
      <c r="J5408" s="76">
        <v>3.96E-5</v>
      </c>
      <c r="K5408" s="76">
        <v>6.4599999999999998E-5</v>
      </c>
      <c r="L5408" s="76">
        <v>2.7700000000000001E-4</v>
      </c>
      <c r="M5408" s="76">
        <v>3.3599999999999998E-4</v>
      </c>
    </row>
    <row r="5409" spans="3:13" x14ac:dyDescent="0.15">
      <c r="C5409" s="76">
        <v>748</v>
      </c>
      <c r="D5409" s="76">
        <v>7.0999999999999998E-6</v>
      </c>
      <c r="E5409" s="76">
        <v>1.8899999999999999E-5</v>
      </c>
      <c r="F5409" s="76">
        <v>7.2200000000000007E-5</v>
      </c>
      <c r="G5409" s="76">
        <v>3.54E-5</v>
      </c>
      <c r="H5409" s="76">
        <v>1.2899999999999999E-4</v>
      </c>
      <c r="I5409" s="76">
        <v>1.5699999999999999E-4</v>
      </c>
      <c r="J5409" s="76">
        <v>5.3999999999999998E-5</v>
      </c>
      <c r="K5409" s="76">
        <v>5.5800000000000001E-5</v>
      </c>
      <c r="L5409" s="76">
        <v>3.0400000000000002E-4</v>
      </c>
      <c r="M5409" s="76">
        <v>3.3E-4</v>
      </c>
    </row>
    <row r="5410" spans="3:13" x14ac:dyDescent="0.15">
      <c r="C5410" s="76">
        <v>750</v>
      </c>
      <c r="D5410" s="76">
        <v>2.1399999999999998E-5</v>
      </c>
      <c r="E5410" s="76">
        <v>1.8300000000000001E-5</v>
      </c>
      <c r="F5410" s="76">
        <v>8.3999999999999995E-5</v>
      </c>
      <c r="G5410" s="76">
        <v>1.2E-5</v>
      </c>
      <c r="H5410" s="76">
        <v>1.12E-4</v>
      </c>
      <c r="I5410" s="76">
        <v>1.6100000000000001E-4</v>
      </c>
      <c r="J5410" s="76">
        <v>1.2300000000000001E-4</v>
      </c>
      <c r="K5410" s="76">
        <v>5.77E-5</v>
      </c>
      <c r="L5410" s="76">
        <v>2.5999999999999998E-4</v>
      </c>
      <c r="M5410" s="76">
        <v>3.6099999999999999E-4</v>
      </c>
    </row>
    <row r="5411" spans="3:13" x14ac:dyDescent="0.15">
      <c r="C5411" s="76">
        <v>752</v>
      </c>
      <c r="D5411" s="76">
        <v>1.8300000000000001E-5</v>
      </c>
      <c r="E5411" s="76">
        <v>0</v>
      </c>
      <c r="F5411" s="76">
        <v>8.4300000000000003E-5</v>
      </c>
      <c r="G5411" s="76">
        <v>1.6699999999999999E-5</v>
      </c>
      <c r="H5411" s="76">
        <v>7.6500000000000003E-5</v>
      </c>
      <c r="I5411" s="76">
        <v>1.11E-4</v>
      </c>
      <c r="J5411" s="76">
        <v>5.7500000000000002E-5</v>
      </c>
      <c r="K5411" s="76">
        <v>1.25E-4</v>
      </c>
      <c r="L5411" s="76">
        <v>1.7699999999999999E-4</v>
      </c>
      <c r="M5411" s="76">
        <v>3.8699999999999997E-4</v>
      </c>
    </row>
    <row r="5412" spans="3:13" x14ac:dyDescent="0.15">
      <c r="C5412" s="76">
        <v>754</v>
      </c>
      <c r="D5412" s="76">
        <v>8.4999999999999999E-6</v>
      </c>
      <c r="E5412" s="76">
        <v>0</v>
      </c>
      <c r="F5412" s="76">
        <v>6.3E-5</v>
      </c>
      <c r="G5412" s="76">
        <v>5.0500000000000001E-5</v>
      </c>
      <c r="H5412" s="76">
        <v>2.9099999999999999E-5</v>
      </c>
      <c r="I5412" s="76">
        <v>1.3300000000000001E-4</v>
      </c>
      <c r="J5412" s="76">
        <v>1.91E-5</v>
      </c>
      <c r="K5412" s="76">
        <v>1.8799999999999999E-4</v>
      </c>
      <c r="L5412" s="76">
        <v>2.1599999999999999E-4</v>
      </c>
      <c r="M5412" s="76">
        <v>3.6299999999999999E-4</v>
      </c>
    </row>
    <row r="5413" spans="3:13" x14ac:dyDescent="0.15">
      <c r="C5413" s="76">
        <v>756</v>
      </c>
      <c r="D5413" s="76">
        <v>1.3499999999999999E-5</v>
      </c>
      <c r="E5413" s="76">
        <v>1.15E-5</v>
      </c>
      <c r="F5413" s="76">
        <v>1.01E-4</v>
      </c>
      <c r="G5413" s="76">
        <v>6.1799999999999998E-5</v>
      </c>
      <c r="H5413" s="76">
        <v>5.52E-5</v>
      </c>
      <c r="I5413" s="76">
        <v>1.18E-4</v>
      </c>
      <c r="J5413" s="76">
        <v>7.3800000000000005E-5</v>
      </c>
      <c r="K5413" s="76">
        <v>2.0699999999999999E-4</v>
      </c>
      <c r="L5413" s="76">
        <v>2.32E-4</v>
      </c>
      <c r="M5413" s="76">
        <v>3.88E-4</v>
      </c>
    </row>
    <row r="5414" spans="3:13" x14ac:dyDescent="0.15">
      <c r="C5414" s="76">
        <v>758</v>
      </c>
      <c r="D5414" s="76">
        <v>1.98E-5</v>
      </c>
      <c r="E5414" s="76">
        <v>0</v>
      </c>
      <c r="F5414" s="76">
        <v>8.9599999999999996E-5</v>
      </c>
      <c r="G5414" s="76">
        <v>3.0499999999999999E-5</v>
      </c>
      <c r="H5414" s="76">
        <v>3.3699999999999999E-5</v>
      </c>
      <c r="I5414" s="76">
        <v>1.37E-4</v>
      </c>
      <c r="J5414" s="76">
        <v>9.5500000000000004E-5</v>
      </c>
      <c r="K5414" s="76">
        <v>1.93E-4</v>
      </c>
      <c r="L5414" s="76">
        <v>2.05E-4</v>
      </c>
      <c r="M5414" s="76">
        <v>4.2099999999999999E-4</v>
      </c>
    </row>
    <row r="5415" spans="3:13" x14ac:dyDescent="0.15">
      <c r="C5415" s="76">
        <v>760</v>
      </c>
      <c r="D5415" s="76">
        <v>1.34E-5</v>
      </c>
      <c r="E5415" s="76">
        <v>0</v>
      </c>
      <c r="F5415" s="76">
        <v>5.7599999999999997E-5</v>
      </c>
      <c r="G5415" s="76">
        <v>4.85E-5</v>
      </c>
      <c r="H5415" s="76">
        <v>6.6500000000000004E-5</v>
      </c>
      <c r="I5415" s="76">
        <v>2.0000000000000001E-4</v>
      </c>
      <c r="J5415" s="76">
        <v>7.0400000000000004E-5</v>
      </c>
      <c r="K5415" s="76">
        <v>2.34E-4</v>
      </c>
      <c r="L5415" s="76">
        <v>6.3E-5</v>
      </c>
      <c r="M5415" s="76">
        <v>3.2899999999999997E-4</v>
      </c>
    </row>
    <row r="5416" spans="3:13" x14ac:dyDescent="0.15">
      <c r="C5416" s="76">
        <v>762</v>
      </c>
      <c r="D5416" s="76">
        <v>1.0900000000000001E-5</v>
      </c>
      <c r="E5416" s="76">
        <v>0</v>
      </c>
      <c r="F5416" s="76">
        <v>8.2799999999999993E-5</v>
      </c>
      <c r="G5416" s="76">
        <v>1.03E-5</v>
      </c>
      <c r="H5416" s="76">
        <v>6.58E-5</v>
      </c>
      <c r="I5416" s="76">
        <v>1.55E-4</v>
      </c>
      <c r="J5416" s="76">
        <v>5.1999999999999997E-5</v>
      </c>
      <c r="K5416" s="76">
        <v>2.2900000000000001E-4</v>
      </c>
      <c r="L5416" s="76">
        <v>2.6499999999999999E-4</v>
      </c>
      <c r="M5416" s="76">
        <v>3.0899999999999998E-4</v>
      </c>
    </row>
    <row r="5417" spans="3:13" x14ac:dyDescent="0.15">
      <c r="C5417" s="76">
        <v>764</v>
      </c>
      <c r="D5417" s="76">
        <v>9.5000000000000005E-6</v>
      </c>
      <c r="E5417" s="76">
        <v>0</v>
      </c>
      <c r="F5417" s="76">
        <v>9.0699999999999996E-5</v>
      </c>
      <c r="G5417" s="76">
        <v>5.2099999999999999E-5</v>
      </c>
      <c r="H5417" s="76">
        <v>1.08E-5</v>
      </c>
      <c r="I5417" s="76">
        <v>9.8999999999999994E-5</v>
      </c>
      <c r="J5417" s="76">
        <v>9.5600000000000006E-5</v>
      </c>
      <c r="K5417" s="76">
        <v>2.7399999999999999E-4</v>
      </c>
      <c r="L5417" s="76">
        <v>1.95E-4</v>
      </c>
      <c r="M5417" s="76">
        <v>2.9599999999999998E-4</v>
      </c>
    </row>
    <row r="5418" spans="3:13" x14ac:dyDescent="0.15">
      <c r="C5418" s="76">
        <v>766</v>
      </c>
      <c r="D5418" s="76">
        <v>1.2999999999999999E-5</v>
      </c>
      <c r="E5418" s="76">
        <v>1.73E-6</v>
      </c>
      <c r="F5418" s="76">
        <v>5.6900000000000001E-5</v>
      </c>
      <c r="G5418" s="76">
        <v>2.6999999999999999E-5</v>
      </c>
      <c r="H5418" s="76">
        <v>0</v>
      </c>
      <c r="I5418" s="76">
        <v>1.6899999999999999E-4</v>
      </c>
      <c r="J5418" s="76">
        <v>5.5699999999999999E-5</v>
      </c>
      <c r="K5418" s="76">
        <v>2.8699999999999998E-4</v>
      </c>
      <c r="L5418" s="76">
        <v>1.7000000000000001E-4</v>
      </c>
      <c r="M5418" s="76">
        <v>4.35E-4</v>
      </c>
    </row>
    <row r="5419" spans="3:13" x14ac:dyDescent="0.15">
      <c r="C5419" s="76">
        <v>768</v>
      </c>
      <c r="D5419" s="76">
        <v>7.4699999999999996E-6</v>
      </c>
      <c r="E5419" s="76">
        <v>7.7300000000000005E-7</v>
      </c>
      <c r="F5419" s="76">
        <v>4.9400000000000001E-5</v>
      </c>
      <c r="G5419" s="76">
        <v>3.65E-5</v>
      </c>
      <c r="H5419" s="76">
        <v>3.0300000000000001E-5</v>
      </c>
      <c r="I5419" s="76">
        <v>1.2899999999999999E-4</v>
      </c>
      <c r="J5419" s="76">
        <v>3.3599999999999997E-5</v>
      </c>
      <c r="K5419" s="76">
        <v>2.5700000000000001E-4</v>
      </c>
      <c r="L5419" s="76">
        <v>1.2899999999999999E-4</v>
      </c>
      <c r="M5419" s="76">
        <v>3.0899999999999998E-4</v>
      </c>
    </row>
    <row r="5420" spans="3:13" x14ac:dyDescent="0.15">
      <c r="C5420" s="76">
        <v>770</v>
      </c>
      <c r="D5420" s="76">
        <v>8.4400000000000005E-6</v>
      </c>
      <c r="E5420" s="76">
        <v>2.9799999999999998E-6</v>
      </c>
      <c r="F5420" s="76">
        <v>6.2299999999999996E-5</v>
      </c>
      <c r="G5420" s="76">
        <v>7.9499999999999994E-5</v>
      </c>
      <c r="H5420" s="76">
        <v>1.88E-5</v>
      </c>
      <c r="I5420" s="76">
        <v>1.6100000000000001E-4</v>
      </c>
      <c r="J5420" s="76">
        <v>3.7400000000000001E-5</v>
      </c>
      <c r="K5420" s="76">
        <v>2.5300000000000002E-4</v>
      </c>
      <c r="L5420" s="76">
        <v>2.2599999999999999E-4</v>
      </c>
      <c r="M5420" s="76">
        <v>2.0599999999999999E-4</v>
      </c>
    </row>
    <row r="5421" spans="3:13" x14ac:dyDescent="0.15">
      <c r="C5421" s="76">
        <v>772</v>
      </c>
      <c r="D5421" s="76">
        <v>1.7900000000000001E-5</v>
      </c>
      <c r="E5421" s="76">
        <v>2.4000000000000001E-5</v>
      </c>
      <c r="F5421" s="76">
        <v>5.24E-5</v>
      </c>
      <c r="G5421" s="76">
        <v>5.0399999999999999E-5</v>
      </c>
      <c r="H5421" s="76">
        <v>2.9600000000000001E-5</v>
      </c>
      <c r="I5421" s="76">
        <v>1.25E-4</v>
      </c>
      <c r="J5421" s="76">
        <v>8.9800000000000001E-5</v>
      </c>
      <c r="K5421" s="76">
        <v>3.0200000000000002E-4</v>
      </c>
      <c r="L5421" s="76">
        <v>1.3799999999999999E-4</v>
      </c>
      <c r="M5421" s="76">
        <v>8.6199999999999995E-5</v>
      </c>
    </row>
    <row r="5422" spans="3:13" x14ac:dyDescent="0.15">
      <c r="C5422" s="76">
        <v>774</v>
      </c>
      <c r="D5422" s="76">
        <v>2.2200000000000001E-5</v>
      </c>
      <c r="E5422" s="76">
        <v>2.7800000000000001E-5</v>
      </c>
      <c r="F5422" s="76">
        <v>5.5099999999999998E-5</v>
      </c>
      <c r="G5422" s="76">
        <v>6.0300000000000002E-5</v>
      </c>
      <c r="H5422" s="76">
        <v>3.1600000000000002E-5</v>
      </c>
      <c r="I5422" s="76">
        <v>9.9699999999999998E-5</v>
      </c>
      <c r="J5422" s="76">
        <v>6.7199999999999994E-5</v>
      </c>
      <c r="K5422" s="76">
        <v>3.0800000000000001E-4</v>
      </c>
      <c r="L5422" s="76">
        <v>1.22E-4</v>
      </c>
      <c r="M5422" s="76">
        <v>2.2099999999999998E-5</v>
      </c>
    </row>
    <row r="5423" spans="3:13" x14ac:dyDescent="0.15">
      <c r="C5423" s="76">
        <v>776</v>
      </c>
      <c r="D5423" s="76">
        <v>1.5400000000000002E-5</v>
      </c>
      <c r="E5423" s="76">
        <v>3.2299999999999999E-5</v>
      </c>
      <c r="F5423" s="76">
        <v>9.3100000000000006E-6</v>
      </c>
      <c r="G5423" s="76">
        <v>7.1299999999999998E-5</v>
      </c>
      <c r="H5423" s="76">
        <v>7.7700000000000001E-6</v>
      </c>
      <c r="I5423" s="76">
        <v>6.5900000000000003E-5</v>
      </c>
      <c r="J5423" s="76">
        <v>1.3200000000000001E-5</v>
      </c>
      <c r="K5423" s="76">
        <v>1.7100000000000001E-4</v>
      </c>
      <c r="L5423" s="76">
        <v>1.7000000000000001E-4</v>
      </c>
      <c r="M5423" s="76">
        <v>3.9799999999999998E-5</v>
      </c>
    </row>
    <row r="5424" spans="3:13" x14ac:dyDescent="0.15">
      <c r="C5424" s="76">
        <v>778</v>
      </c>
      <c r="D5424" s="76">
        <v>1.0499999999999999E-5</v>
      </c>
      <c r="E5424" s="76">
        <v>4.3699999999999998E-5</v>
      </c>
      <c r="F5424" s="76">
        <v>9.1300000000000007E-6</v>
      </c>
      <c r="G5424" s="76">
        <v>5.3100000000000003E-5</v>
      </c>
      <c r="H5424" s="76">
        <v>2.8900000000000001E-5</v>
      </c>
      <c r="I5424" s="76">
        <v>2.44E-5</v>
      </c>
      <c r="J5424" s="76">
        <v>5.4799999999999997E-5</v>
      </c>
      <c r="K5424" s="76">
        <v>2.5599999999999999E-4</v>
      </c>
      <c r="L5424" s="76">
        <v>6.1699999999999995E-5</v>
      </c>
      <c r="M5424" s="76">
        <v>2.58E-5</v>
      </c>
    </row>
    <row r="5425" spans="3:13" x14ac:dyDescent="0.15">
      <c r="C5425" s="76">
        <v>780</v>
      </c>
      <c r="D5425" s="76">
        <v>2.2799999999999999E-5</v>
      </c>
      <c r="E5425" s="120">
        <v>2.69E-5</v>
      </c>
      <c r="F5425" s="76">
        <v>1.24E-5</v>
      </c>
      <c r="G5425" s="76">
        <v>5.4599999999999999E-5</v>
      </c>
      <c r="H5425" s="76">
        <v>3.2100000000000002E-6</v>
      </c>
      <c r="I5425" s="76">
        <v>4.49E-5</v>
      </c>
      <c r="J5425" s="76">
        <v>9.7999999999999997E-5</v>
      </c>
      <c r="K5425" s="76">
        <v>2.22E-4</v>
      </c>
      <c r="L5425" s="76">
        <v>8.1100000000000006E-5</v>
      </c>
      <c r="M5425" s="76">
        <v>2.51E-5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N117"/>
  <sheetViews>
    <sheetView topLeftCell="A55" zoomScaleNormal="100" workbookViewId="0">
      <pane xSplit="1" topLeftCell="M1" activePane="topRight" state="frozen"/>
      <selection activeCell="A31" sqref="A31"/>
      <selection pane="topRight" activeCell="C70" sqref="C70"/>
    </sheetView>
  </sheetViews>
  <sheetFormatPr defaultRowHeight="13.5" x14ac:dyDescent="0.15"/>
  <cols>
    <col min="1" max="1" width="3.5546875" style="3" customWidth="1"/>
    <col min="2" max="2" width="10.6640625" style="3" bestFit="1" customWidth="1"/>
    <col min="3" max="3" width="10.33203125" style="3" bestFit="1" customWidth="1"/>
    <col min="4" max="4" width="11.21875" style="3" customWidth="1"/>
    <col min="5" max="5" width="12.6640625" style="3" bestFit="1" customWidth="1"/>
    <col min="6" max="6" width="7" style="3" bestFit="1" customWidth="1"/>
    <col min="7" max="7" width="6.33203125" style="3" bestFit="1" customWidth="1"/>
    <col min="8" max="8" width="7.109375" style="3" bestFit="1" customWidth="1"/>
    <col min="9" max="9" width="6.44140625" style="3" bestFit="1" customWidth="1"/>
    <col min="10" max="10" width="9" style="3" bestFit="1" customWidth="1"/>
    <col min="11" max="11" width="10" style="3" bestFit="1" customWidth="1"/>
    <col min="12" max="12" width="8.5546875" style="3" bestFit="1" customWidth="1"/>
    <col min="13" max="13" width="6.88671875" style="3" customWidth="1"/>
    <col min="14" max="14" width="7" style="3" bestFit="1" customWidth="1"/>
    <col min="15" max="15" width="6.33203125" style="3" bestFit="1" customWidth="1"/>
    <col min="16" max="16" width="7.109375" style="3" bestFit="1" customWidth="1"/>
    <col min="17" max="17" width="6.44140625" style="3" bestFit="1" customWidth="1"/>
    <col min="18" max="21" width="6.44140625" style="3" customWidth="1"/>
    <col min="22" max="22" width="5.21875" style="3" bestFit="1" customWidth="1"/>
    <col min="23" max="23" width="10.77734375" style="3" bestFit="1" customWidth="1"/>
    <col min="24" max="24" width="5.88671875" style="3" customWidth="1"/>
    <col min="25" max="25" width="8.5546875" style="3" bestFit="1" customWidth="1"/>
    <col min="26" max="26" width="6.44140625" style="3" bestFit="1" customWidth="1"/>
    <col min="27" max="27" width="7.109375" style="4" bestFit="1" customWidth="1"/>
    <col min="28" max="28" width="5.21875" style="4" bestFit="1" customWidth="1"/>
    <col min="29" max="29" width="10.109375" style="4" bestFit="1" customWidth="1"/>
    <col min="30" max="30" width="6.44140625" style="4" bestFit="1" customWidth="1"/>
    <col min="31" max="31" width="7.109375" style="4" bestFit="1" customWidth="1"/>
    <col min="32" max="32" width="5.21875" bestFit="1" customWidth="1"/>
  </cols>
  <sheetData>
    <row r="1" spans="1:40" s="5" customFormat="1" x14ac:dyDescent="0.15">
      <c r="A1" s="325" t="s">
        <v>168</v>
      </c>
      <c r="B1" s="33" t="s">
        <v>192</v>
      </c>
      <c r="C1" s="34" t="s">
        <v>166</v>
      </c>
      <c r="D1" s="35"/>
      <c r="E1" s="304" t="s">
        <v>195</v>
      </c>
      <c r="F1" s="329" t="s">
        <v>577</v>
      </c>
      <c r="G1" s="329"/>
      <c r="H1" s="329"/>
      <c r="I1" s="35"/>
      <c r="J1" s="35"/>
      <c r="K1" s="35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1"/>
      <c r="AB1" s="1"/>
      <c r="AC1" s="1"/>
      <c r="AD1" s="1"/>
      <c r="AE1" s="1"/>
      <c r="AF1" s="36"/>
      <c r="AG1" s="300" t="s">
        <v>197</v>
      </c>
      <c r="AH1" s="301"/>
      <c r="AI1" s="37" t="s">
        <v>198</v>
      </c>
      <c r="AJ1" s="37">
        <v>650</v>
      </c>
      <c r="AK1" s="37" t="s">
        <v>137</v>
      </c>
      <c r="AL1" s="1"/>
      <c r="AM1" s="1"/>
      <c r="AN1" s="1"/>
    </row>
    <row r="2" spans="1:40" s="5" customFormat="1" x14ac:dyDescent="0.15">
      <c r="A2" s="325"/>
      <c r="B2" s="38" t="s">
        <v>199</v>
      </c>
      <c r="C2" s="39" t="s">
        <v>580</v>
      </c>
      <c r="D2" s="2"/>
      <c r="E2" s="304"/>
      <c r="F2" s="40" t="s">
        <v>200</v>
      </c>
      <c r="G2" s="80" t="s">
        <v>189</v>
      </c>
      <c r="H2" s="83">
        <f>LEN(Report1!A1)</f>
        <v>0</v>
      </c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323" t="s">
        <v>579</v>
      </c>
      <c r="W2" s="324"/>
      <c r="X2" s="87" t="s">
        <v>605</v>
      </c>
      <c r="Y2" s="41"/>
      <c r="Z2" s="41"/>
      <c r="AA2" s="41"/>
      <c r="AB2" s="41"/>
      <c r="AC2" s="42"/>
      <c r="AD2" s="42"/>
      <c r="AE2" s="42"/>
      <c r="AF2" s="42"/>
      <c r="AG2" s="302" t="s">
        <v>201</v>
      </c>
      <c r="AH2" s="43" t="s">
        <v>202</v>
      </c>
      <c r="AI2" s="43" t="s">
        <v>203</v>
      </c>
      <c r="AJ2" s="43" t="s">
        <v>204</v>
      </c>
      <c r="AK2" s="43" t="s">
        <v>203</v>
      </c>
      <c r="AL2" s="1"/>
      <c r="AM2" s="1"/>
      <c r="AN2" s="1"/>
    </row>
    <row r="3" spans="1:40" x14ac:dyDescent="0.15">
      <c r="A3" s="326" t="s">
        <v>205</v>
      </c>
      <c r="B3" s="328" t="s">
        <v>206</v>
      </c>
      <c r="C3" s="328"/>
      <c r="D3" s="326" t="s">
        <v>205</v>
      </c>
      <c r="E3" s="305" t="s">
        <v>207</v>
      </c>
      <c r="F3" s="306"/>
      <c r="G3" s="306"/>
      <c r="H3" s="306"/>
      <c r="I3" s="306"/>
      <c r="J3" s="306"/>
      <c r="K3" s="307"/>
      <c r="L3" s="305" t="s">
        <v>208</v>
      </c>
      <c r="M3" s="306"/>
      <c r="N3" s="306"/>
      <c r="O3" s="306"/>
      <c r="P3" s="306"/>
      <c r="Q3" s="306"/>
      <c r="R3" s="306"/>
      <c r="S3" s="306"/>
      <c r="T3" s="306"/>
      <c r="U3" s="307"/>
      <c r="V3" s="311" t="s">
        <v>209</v>
      </c>
      <c r="W3" s="313"/>
      <c r="X3" s="320" t="s">
        <v>210</v>
      </c>
      <c r="Y3" s="308" t="s">
        <v>211</v>
      </c>
      <c r="Z3" s="309"/>
      <c r="AA3" s="309"/>
      <c r="AB3" s="310"/>
      <c r="AC3" s="311" t="s">
        <v>212</v>
      </c>
      <c r="AD3" s="312"/>
      <c r="AE3" s="312"/>
      <c r="AF3" s="312"/>
      <c r="AG3" s="303"/>
      <c r="AH3" s="44">
        <v>0.05</v>
      </c>
      <c r="AI3" s="44">
        <v>450</v>
      </c>
      <c r="AJ3" s="44">
        <v>0.05</v>
      </c>
      <c r="AK3" s="44">
        <v>450</v>
      </c>
      <c r="AL3" s="1"/>
      <c r="AM3" s="1"/>
      <c r="AN3" s="1"/>
    </row>
    <row r="4" spans="1:40" x14ac:dyDescent="0.15">
      <c r="A4" s="327"/>
      <c r="B4" s="45" t="s">
        <v>213</v>
      </c>
      <c r="C4" s="45" t="s">
        <v>214</v>
      </c>
      <c r="D4" s="327"/>
      <c r="E4" s="46" t="s">
        <v>215</v>
      </c>
      <c r="F4" s="46" t="s">
        <v>216</v>
      </c>
      <c r="G4" s="46" t="s">
        <v>217</v>
      </c>
      <c r="H4" s="46" t="s">
        <v>218</v>
      </c>
      <c r="I4" s="46" t="s">
        <v>219</v>
      </c>
      <c r="J4" s="46" t="s">
        <v>220</v>
      </c>
      <c r="K4" s="46" t="s">
        <v>221</v>
      </c>
      <c r="L4" s="78" t="s">
        <v>222</v>
      </c>
      <c r="M4" s="47" t="s">
        <v>538</v>
      </c>
      <c r="N4" s="47" t="s">
        <v>539</v>
      </c>
      <c r="O4" s="47" t="s">
        <v>223</v>
      </c>
      <c r="P4" s="47" t="s">
        <v>224</v>
      </c>
      <c r="Q4" s="47" t="s">
        <v>225</v>
      </c>
      <c r="R4" s="47" t="s">
        <v>226</v>
      </c>
      <c r="S4" s="47"/>
      <c r="T4" s="47"/>
      <c r="U4" s="47"/>
      <c r="V4" s="48" t="s">
        <v>227</v>
      </c>
      <c r="W4" s="48" t="s">
        <v>228</v>
      </c>
      <c r="X4" s="321"/>
      <c r="Y4" s="49" t="s">
        <v>229</v>
      </c>
      <c r="Z4" s="49" t="s">
        <v>230</v>
      </c>
      <c r="AA4" s="14" t="s">
        <v>231</v>
      </c>
      <c r="AB4" s="14"/>
      <c r="AC4" s="49" t="s">
        <v>232</v>
      </c>
      <c r="AD4" s="49" t="s">
        <v>233</v>
      </c>
      <c r="AE4" s="14" t="s">
        <v>231</v>
      </c>
      <c r="AF4" s="50"/>
      <c r="AG4" s="303"/>
      <c r="AH4" s="44">
        <v>5.1999999999999998E-2</v>
      </c>
      <c r="AI4" s="44">
        <v>455</v>
      </c>
      <c r="AJ4" s="44">
        <v>5.1999999999999998E-2</v>
      </c>
      <c r="AK4" s="44">
        <v>455</v>
      </c>
      <c r="AL4" s="1"/>
      <c r="AM4" s="1"/>
      <c r="AN4" s="1"/>
    </row>
    <row r="5" spans="1:40" x14ac:dyDescent="0.15">
      <c r="A5" s="51">
        <v>1</v>
      </c>
      <c r="B5" s="52" t="s">
        <v>234</v>
      </c>
      <c r="C5" s="52" t="s">
        <v>235</v>
      </c>
      <c r="D5" s="51">
        <v>1</v>
      </c>
      <c r="E5" s="39" t="s">
        <v>236</v>
      </c>
      <c r="F5" s="47" t="s">
        <v>237</v>
      </c>
      <c r="G5" s="47" t="s">
        <v>189</v>
      </c>
      <c r="H5" s="47" t="s">
        <v>239</v>
      </c>
      <c r="I5" s="47" t="s">
        <v>240</v>
      </c>
      <c r="J5" s="47" t="s">
        <v>604</v>
      </c>
      <c r="K5" s="47" t="s">
        <v>241</v>
      </c>
      <c r="L5" s="79" t="s">
        <v>242</v>
      </c>
      <c r="M5" s="47" t="s">
        <v>243</v>
      </c>
      <c r="N5" s="47" t="s">
        <v>548</v>
      </c>
      <c r="O5" s="47" t="s">
        <v>547</v>
      </c>
      <c r="P5" s="47" t="s">
        <v>244</v>
      </c>
      <c r="Q5" s="47" t="s">
        <v>244</v>
      </c>
      <c r="R5" s="47" t="s">
        <v>244</v>
      </c>
      <c r="S5" s="47"/>
      <c r="T5" s="47"/>
      <c r="U5" s="47"/>
      <c r="V5" s="14">
        <v>1</v>
      </c>
      <c r="W5" s="9" t="s">
        <v>245</v>
      </c>
      <c r="X5" s="9" t="s">
        <v>246</v>
      </c>
      <c r="Y5" s="9" t="s">
        <v>247</v>
      </c>
      <c r="Z5" s="10" t="s">
        <v>248</v>
      </c>
      <c r="AA5" s="9"/>
      <c r="AB5" s="9"/>
      <c r="AC5" s="9" t="s">
        <v>249</v>
      </c>
      <c r="AD5" s="10" t="s">
        <v>250</v>
      </c>
      <c r="AE5" s="9"/>
      <c r="AF5" s="23"/>
      <c r="AG5" s="303"/>
      <c r="AH5" s="44">
        <v>5.3999999999999999E-2</v>
      </c>
      <c r="AI5" s="44">
        <v>460</v>
      </c>
      <c r="AJ5" s="44">
        <v>5.3999999999999999E-2</v>
      </c>
      <c r="AK5" s="44">
        <v>460</v>
      </c>
      <c r="AL5" s="1"/>
      <c r="AM5" s="1"/>
      <c r="AN5" s="1"/>
    </row>
    <row r="6" spans="1:40" x14ac:dyDescent="0.15">
      <c r="A6" s="51">
        <v>2</v>
      </c>
      <c r="B6" s="53" t="s">
        <v>251</v>
      </c>
      <c r="C6" s="52"/>
      <c r="D6" s="51">
        <v>2</v>
      </c>
      <c r="E6" s="39" t="s">
        <v>252</v>
      </c>
      <c r="F6" s="47" t="s">
        <v>253</v>
      </c>
      <c r="G6" s="47" t="s">
        <v>254</v>
      </c>
      <c r="H6" s="47" t="s">
        <v>255</v>
      </c>
      <c r="I6" s="47" t="s">
        <v>183</v>
      </c>
      <c r="J6" s="47" t="s">
        <v>604</v>
      </c>
      <c r="K6" s="47" t="s">
        <v>241</v>
      </c>
      <c r="L6" s="78" t="s">
        <v>256</v>
      </c>
      <c r="M6" s="47"/>
      <c r="N6" s="47"/>
      <c r="O6" s="47"/>
      <c r="P6" s="47"/>
      <c r="Q6" s="47"/>
      <c r="R6" s="47"/>
      <c r="S6" s="47"/>
      <c r="T6" s="47"/>
      <c r="U6" s="47"/>
      <c r="V6" s="14">
        <v>2</v>
      </c>
      <c r="W6" s="9" t="s">
        <v>257</v>
      </c>
      <c r="X6" s="9" t="s">
        <v>167</v>
      </c>
      <c r="Y6" s="9" t="s">
        <v>258</v>
      </c>
      <c r="Z6" s="10" t="s">
        <v>250</v>
      </c>
      <c r="AA6" s="9"/>
      <c r="AB6" s="9"/>
      <c r="AC6" s="9" t="s">
        <v>247</v>
      </c>
      <c r="AD6" s="10" t="s">
        <v>248</v>
      </c>
      <c r="AE6" s="9"/>
      <c r="AF6" s="23"/>
      <c r="AG6" s="303"/>
      <c r="AH6" s="44">
        <v>5.6000000000000001E-2</v>
      </c>
      <c r="AI6" s="44">
        <v>465</v>
      </c>
      <c r="AJ6" s="44">
        <v>5.6000000000000001E-2</v>
      </c>
      <c r="AK6" s="44">
        <v>465</v>
      </c>
      <c r="AL6" s="1"/>
      <c r="AM6" s="1"/>
      <c r="AN6" s="1"/>
    </row>
    <row r="7" spans="1:40" x14ac:dyDescent="0.15">
      <c r="A7" s="51">
        <v>3</v>
      </c>
      <c r="B7" s="53" t="s">
        <v>259</v>
      </c>
      <c r="C7" s="52" t="s">
        <v>260</v>
      </c>
      <c r="D7" s="51">
        <v>3</v>
      </c>
      <c r="E7" s="39" t="s">
        <v>261</v>
      </c>
      <c r="F7" s="47" t="s">
        <v>237</v>
      </c>
      <c r="G7" s="47"/>
      <c r="H7" s="47"/>
      <c r="I7" s="47"/>
      <c r="J7" s="47"/>
      <c r="K7" s="47" t="s">
        <v>262</v>
      </c>
      <c r="L7" s="78" t="s">
        <v>263</v>
      </c>
      <c r="M7" s="47" t="s">
        <v>263</v>
      </c>
      <c r="N7" s="47" t="s">
        <v>263</v>
      </c>
      <c r="O7" s="47"/>
      <c r="P7" s="47"/>
      <c r="Q7" s="47"/>
      <c r="R7" s="47"/>
      <c r="S7" s="47"/>
      <c r="T7" s="47"/>
      <c r="U7" s="47"/>
      <c r="V7" s="14">
        <v>3</v>
      </c>
      <c r="W7" s="9" t="s">
        <v>264</v>
      </c>
      <c r="X7" s="9" t="s">
        <v>167</v>
      </c>
      <c r="Y7" s="9" t="s">
        <v>265</v>
      </c>
      <c r="Z7" s="10" t="s">
        <v>250</v>
      </c>
      <c r="AA7" s="9"/>
      <c r="AB7" s="9"/>
      <c r="AC7" s="9" t="s">
        <v>247</v>
      </c>
      <c r="AD7" s="10" t="s">
        <v>248</v>
      </c>
      <c r="AE7" s="9"/>
      <c r="AF7" s="23"/>
      <c r="AG7" s="303"/>
      <c r="AH7" s="44">
        <v>5.8000000000000003E-2</v>
      </c>
      <c r="AI7" s="44">
        <v>470</v>
      </c>
      <c r="AJ7" s="44">
        <v>5.8000000000000003E-2</v>
      </c>
      <c r="AK7" s="44">
        <v>470</v>
      </c>
      <c r="AL7" s="1"/>
      <c r="AM7" s="1"/>
      <c r="AN7" s="1"/>
    </row>
    <row r="8" spans="1:40" x14ac:dyDescent="0.15">
      <c r="A8" s="51">
        <v>4</v>
      </c>
      <c r="B8" s="52" t="s">
        <v>180</v>
      </c>
      <c r="C8" s="52" t="s">
        <v>184</v>
      </c>
      <c r="D8" s="51">
        <v>4</v>
      </c>
      <c r="E8" s="39" t="s">
        <v>225</v>
      </c>
      <c r="F8" s="47" t="s">
        <v>253</v>
      </c>
      <c r="G8" s="47"/>
      <c r="H8" s="47"/>
      <c r="I8" s="47"/>
      <c r="J8" s="47"/>
      <c r="K8" s="47" t="s">
        <v>266</v>
      </c>
      <c r="L8" s="78" t="s">
        <v>267</v>
      </c>
      <c r="M8" s="47" t="s">
        <v>267</v>
      </c>
      <c r="N8" s="47" t="s">
        <v>267</v>
      </c>
      <c r="O8" s="47"/>
      <c r="P8" s="47"/>
      <c r="Q8" s="47"/>
      <c r="R8" s="47"/>
      <c r="S8" s="47"/>
      <c r="T8" s="47"/>
      <c r="U8" s="47"/>
      <c r="V8" s="14">
        <v>4</v>
      </c>
      <c r="W8" s="9" t="s">
        <v>268</v>
      </c>
      <c r="X8" s="9" t="s">
        <v>167</v>
      </c>
      <c r="Y8" s="9" t="s">
        <v>247</v>
      </c>
      <c r="Z8" s="10" t="s">
        <v>250</v>
      </c>
      <c r="AA8" s="9">
        <v>1</v>
      </c>
      <c r="AB8" s="9"/>
      <c r="AC8" s="9" t="s">
        <v>269</v>
      </c>
      <c r="AD8" s="10" t="s">
        <v>250</v>
      </c>
      <c r="AE8" s="9"/>
      <c r="AF8" s="23"/>
      <c r="AG8" s="303"/>
      <c r="AH8" s="44">
        <v>0.06</v>
      </c>
      <c r="AI8" s="44">
        <v>475</v>
      </c>
      <c r="AJ8" s="44">
        <v>0.06</v>
      </c>
      <c r="AK8" s="44">
        <v>475</v>
      </c>
      <c r="AL8" s="1"/>
      <c r="AM8" s="1"/>
      <c r="AN8" s="1"/>
    </row>
    <row r="9" spans="1:40" x14ac:dyDescent="0.15">
      <c r="A9" s="51">
        <v>5</v>
      </c>
      <c r="B9" s="52" t="s">
        <v>270</v>
      </c>
      <c r="C9" s="52" t="s">
        <v>271</v>
      </c>
      <c r="D9" s="51">
        <v>5</v>
      </c>
      <c r="E9" s="54" t="s">
        <v>226</v>
      </c>
      <c r="F9" s="47" t="s">
        <v>237</v>
      </c>
      <c r="G9" s="30"/>
      <c r="H9" s="30"/>
      <c r="I9" s="30"/>
      <c r="J9" s="47"/>
      <c r="K9" s="47" t="s">
        <v>266</v>
      </c>
      <c r="L9" s="78" t="s">
        <v>272</v>
      </c>
      <c r="M9" s="47" t="s">
        <v>272</v>
      </c>
      <c r="N9" s="47" t="s">
        <v>272</v>
      </c>
      <c r="O9" s="47"/>
      <c r="P9" s="47"/>
      <c r="Q9" s="47"/>
      <c r="R9" s="47"/>
      <c r="S9" s="47"/>
      <c r="T9" s="47"/>
      <c r="U9" s="47"/>
      <c r="V9" s="14">
        <v>5</v>
      </c>
      <c r="W9" s="9" t="s">
        <v>273</v>
      </c>
      <c r="X9" s="9" t="s">
        <v>274</v>
      </c>
      <c r="Y9" s="9" t="s">
        <v>275</v>
      </c>
      <c r="Z9" s="10" t="s">
        <v>250</v>
      </c>
      <c r="AA9" s="9"/>
      <c r="AB9" s="9"/>
      <c r="AC9" s="9" t="s">
        <v>249</v>
      </c>
      <c r="AD9" s="10" t="s">
        <v>250</v>
      </c>
      <c r="AE9" s="9"/>
      <c r="AF9" s="23"/>
      <c r="AG9" s="303"/>
      <c r="AH9" s="44">
        <v>6.2E-2</v>
      </c>
      <c r="AI9" s="44">
        <v>480</v>
      </c>
      <c r="AJ9" s="44">
        <v>6.2E-2</v>
      </c>
      <c r="AK9" s="44">
        <v>480</v>
      </c>
      <c r="AL9" s="1"/>
      <c r="AM9" s="1"/>
      <c r="AN9" s="1"/>
    </row>
    <row r="10" spans="1:40" x14ac:dyDescent="0.15">
      <c r="A10" s="51">
        <v>6</v>
      </c>
      <c r="B10" s="52" t="s">
        <v>276</v>
      </c>
      <c r="C10" s="52" t="s">
        <v>277</v>
      </c>
      <c r="D10" s="51">
        <v>6</v>
      </c>
      <c r="E10" s="54" t="s">
        <v>278</v>
      </c>
      <c r="F10" s="47" t="s">
        <v>237</v>
      </c>
      <c r="G10" s="30"/>
      <c r="H10" s="30"/>
      <c r="I10" s="30"/>
      <c r="J10" s="47"/>
      <c r="K10" s="47" t="s">
        <v>266</v>
      </c>
      <c r="L10" s="78" t="s">
        <v>279</v>
      </c>
      <c r="M10" s="47" t="s">
        <v>279</v>
      </c>
      <c r="N10" s="47" t="s">
        <v>279</v>
      </c>
      <c r="O10" s="47"/>
      <c r="P10" s="47"/>
      <c r="Q10" s="47"/>
      <c r="R10" s="47"/>
      <c r="S10" s="47"/>
      <c r="T10" s="47"/>
      <c r="U10" s="47"/>
      <c r="V10" s="14">
        <v>6</v>
      </c>
      <c r="W10" s="9" t="s">
        <v>280</v>
      </c>
      <c r="X10" s="9" t="s">
        <v>167</v>
      </c>
      <c r="Y10" s="9" t="s">
        <v>258</v>
      </c>
      <c r="Z10" s="10" t="s">
        <v>250</v>
      </c>
      <c r="AA10" s="9"/>
      <c r="AB10" s="9"/>
      <c r="AC10" s="9" t="s">
        <v>203</v>
      </c>
      <c r="AD10" s="10" t="s">
        <v>250</v>
      </c>
      <c r="AE10" s="9"/>
      <c r="AF10" s="23"/>
      <c r="AG10" s="303"/>
      <c r="AH10" s="44">
        <v>6.4000000000000001E-2</v>
      </c>
      <c r="AI10" s="44">
        <v>485</v>
      </c>
      <c r="AJ10" s="44">
        <v>6.4000000000000001E-2</v>
      </c>
      <c r="AK10" s="44">
        <v>485</v>
      </c>
      <c r="AL10" s="1"/>
      <c r="AM10" s="1"/>
      <c r="AN10" s="1"/>
    </row>
    <row r="11" spans="1:40" x14ac:dyDescent="0.15">
      <c r="A11" s="51">
        <v>7</v>
      </c>
      <c r="B11" s="52" t="s">
        <v>149</v>
      </c>
      <c r="C11" s="52" t="s">
        <v>281</v>
      </c>
      <c r="D11" s="51">
        <v>7</v>
      </c>
      <c r="E11" s="54" t="s">
        <v>282</v>
      </c>
      <c r="F11" s="47" t="s">
        <v>237</v>
      </c>
      <c r="G11" s="30"/>
      <c r="H11" s="30"/>
      <c r="I11" s="30"/>
      <c r="J11" s="47"/>
      <c r="K11" s="47" t="s">
        <v>266</v>
      </c>
      <c r="L11" s="78" t="s">
        <v>147</v>
      </c>
      <c r="M11" s="47" t="s">
        <v>147</v>
      </c>
      <c r="N11" s="47" t="s">
        <v>147</v>
      </c>
      <c r="O11" s="47"/>
      <c r="P11" s="47"/>
      <c r="Q11" s="47"/>
      <c r="R11" s="47"/>
      <c r="S11" s="47"/>
      <c r="T11" s="47"/>
      <c r="U11" s="47"/>
      <c r="V11" s="14">
        <v>7</v>
      </c>
      <c r="W11" s="9" t="s">
        <v>283</v>
      </c>
      <c r="X11" s="9" t="s">
        <v>167</v>
      </c>
      <c r="Y11" s="9" t="s">
        <v>284</v>
      </c>
      <c r="Z11" s="10" t="s">
        <v>250</v>
      </c>
      <c r="AA11" s="9"/>
      <c r="AB11" s="9"/>
      <c r="AC11" s="9" t="s">
        <v>247</v>
      </c>
      <c r="AD11" s="10" t="s">
        <v>248</v>
      </c>
      <c r="AE11" s="9"/>
      <c r="AF11" s="23"/>
      <c r="AG11" s="303"/>
      <c r="AH11" s="44">
        <v>6.6000000000000003E-2</v>
      </c>
      <c r="AI11" s="44">
        <v>490</v>
      </c>
      <c r="AJ11" s="44">
        <v>6.6000000000000003E-2</v>
      </c>
      <c r="AK11" s="44">
        <v>490</v>
      </c>
      <c r="AL11" s="1"/>
      <c r="AM11" s="1"/>
      <c r="AN11" s="1"/>
    </row>
    <row r="12" spans="1:40" x14ac:dyDescent="0.15">
      <c r="A12" s="51">
        <v>8</v>
      </c>
      <c r="B12" s="52" t="s">
        <v>285</v>
      </c>
      <c r="C12" s="52" t="s">
        <v>286</v>
      </c>
      <c r="D12" s="51">
        <v>8</v>
      </c>
      <c r="E12" s="54"/>
      <c r="F12" s="47"/>
      <c r="G12" s="30"/>
      <c r="H12" s="30"/>
      <c r="I12" s="30"/>
      <c r="J12" s="47"/>
      <c r="K12" s="47"/>
      <c r="L12" s="78" t="s">
        <v>287</v>
      </c>
      <c r="M12" s="47"/>
      <c r="N12" s="47"/>
      <c r="O12" s="47"/>
      <c r="P12" s="47"/>
      <c r="Q12" s="47"/>
      <c r="R12" s="47"/>
      <c r="S12" s="47"/>
      <c r="T12" s="47"/>
      <c r="U12" s="47"/>
      <c r="V12" s="14">
        <v>8</v>
      </c>
      <c r="W12" s="9" t="s">
        <v>268</v>
      </c>
      <c r="X12" s="9" t="s">
        <v>167</v>
      </c>
      <c r="Y12" s="9" t="s">
        <v>247</v>
      </c>
      <c r="Z12" s="10" t="s">
        <v>250</v>
      </c>
      <c r="AA12" s="9">
        <v>10</v>
      </c>
      <c r="AB12" s="9"/>
      <c r="AC12" s="9" t="s">
        <v>269</v>
      </c>
      <c r="AD12" s="10" t="s">
        <v>250</v>
      </c>
      <c r="AE12" s="9"/>
      <c r="AF12" s="23"/>
      <c r="AG12" s="303"/>
      <c r="AH12" s="44">
        <v>6.8000000000000005E-2</v>
      </c>
      <c r="AI12" s="44">
        <v>495</v>
      </c>
      <c r="AJ12" s="44">
        <v>6.8000000000000005E-2</v>
      </c>
      <c r="AK12" s="44">
        <v>495</v>
      </c>
      <c r="AL12" s="1"/>
      <c r="AM12" s="1"/>
      <c r="AN12" s="1"/>
    </row>
    <row r="13" spans="1:40" x14ac:dyDescent="0.15">
      <c r="A13" s="51">
        <v>9</v>
      </c>
      <c r="B13" s="52" t="s">
        <v>289</v>
      </c>
      <c r="C13" s="53" t="s">
        <v>290</v>
      </c>
      <c r="D13" s="51">
        <v>9</v>
      </c>
      <c r="E13" s="84" t="s">
        <v>602</v>
      </c>
      <c r="F13" s="85" t="s">
        <v>603</v>
      </c>
      <c r="G13" s="85" t="s">
        <v>238</v>
      </c>
      <c r="H13" s="85" t="s">
        <v>239</v>
      </c>
      <c r="I13" s="85" t="s">
        <v>240</v>
      </c>
      <c r="J13" s="85" t="s">
        <v>627</v>
      </c>
      <c r="K13" s="85" t="s">
        <v>241</v>
      </c>
      <c r="L13" s="78" t="s">
        <v>291</v>
      </c>
      <c r="M13" s="47" t="s">
        <v>291</v>
      </c>
      <c r="N13" s="47" t="s">
        <v>291</v>
      </c>
      <c r="O13" s="47"/>
      <c r="P13" s="47"/>
      <c r="Q13" s="47"/>
      <c r="R13" s="47"/>
      <c r="S13" s="47"/>
      <c r="T13" s="47"/>
      <c r="U13" s="47"/>
      <c r="V13" s="14">
        <v>9</v>
      </c>
      <c r="W13" s="10" t="s">
        <v>292</v>
      </c>
      <c r="X13" s="9" t="s">
        <v>500</v>
      </c>
      <c r="Y13" s="9" t="s">
        <v>203</v>
      </c>
      <c r="Z13" s="10" t="s">
        <v>250</v>
      </c>
      <c r="AA13" s="9"/>
      <c r="AB13" s="9"/>
      <c r="AC13" s="9" t="s">
        <v>249</v>
      </c>
      <c r="AD13" s="10" t="s">
        <v>250</v>
      </c>
      <c r="AE13" s="9"/>
      <c r="AF13" s="23"/>
      <c r="AG13" s="303"/>
      <c r="AH13" s="44">
        <v>6.9999999999999896E-2</v>
      </c>
      <c r="AI13" s="44">
        <v>500</v>
      </c>
      <c r="AJ13" s="44">
        <v>6.9999999999999896E-2</v>
      </c>
      <c r="AK13" s="44">
        <v>500</v>
      </c>
      <c r="AL13" s="1"/>
      <c r="AM13" s="1"/>
      <c r="AN13" s="1"/>
    </row>
    <row r="14" spans="1:40" x14ac:dyDescent="0.15">
      <c r="A14" s="51">
        <v>10</v>
      </c>
      <c r="B14" s="52" t="s">
        <v>293</v>
      </c>
      <c r="C14" s="53" t="s">
        <v>294</v>
      </c>
      <c r="D14" s="51">
        <v>10</v>
      </c>
      <c r="E14" s="54"/>
      <c r="F14" s="47"/>
      <c r="G14" s="30"/>
      <c r="H14" s="30"/>
      <c r="I14" s="30"/>
      <c r="J14" s="47"/>
      <c r="K14" s="47"/>
      <c r="L14" s="78" t="s">
        <v>295</v>
      </c>
      <c r="M14" s="47" t="s">
        <v>295</v>
      </c>
      <c r="N14" s="47" t="s">
        <v>295</v>
      </c>
      <c r="O14" s="47"/>
      <c r="P14" s="47"/>
      <c r="Q14" s="47"/>
      <c r="R14" s="47"/>
      <c r="S14" s="47"/>
      <c r="T14" s="47"/>
      <c r="U14" s="47"/>
      <c r="V14" s="14">
        <v>10</v>
      </c>
      <c r="W14" s="9" t="s">
        <v>288</v>
      </c>
      <c r="X14" s="9" t="s">
        <v>167</v>
      </c>
      <c r="Y14" s="9" t="s">
        <v>187</v>
      </c>
      <c r="Z14" s="10" t="s">
        <v>250</v>
      </c>
      <c r="AA14" s="9"/>
      <c r="AB14" s="9"/>
      <c r="AC14" s="9" t="s">
        <v>247</v>
      </c>
      <c r="AD14" s="10" t="s">
        <v>248</v>
      </c>
      <c r="AE14" s="9"/>
      <c r="AF14" s="23"/>
      <c r="AG14" s="303"/>
      <c r="AH14" s="44">
        <v>7.1999999999999897E-2</v>
      </c>
      <c r="AI14" s="44">
        <v>505</v>
      </c>
      <c r="AJ14" s="44">
        <v>7.1999999999999897E-2</v>
      </c>
      <c r="AK14" s="44">
        <v>505</v>
      </c>
      <c r="AL14" s="1"/>
      <c r="AM14" s="1"/>
      <c r="AN14" s="1"/>
    </row>
    <row r="15" spans="1:40" x14ac:dyDescent="0.15">
      <c r="A15" s="51">
        <v>11</v>
      </c>
      <c r="B15" s="52" t="s">
        <v>296</v>
      </c>
      <c r="C15" s="52" t="s">
        <v>297</v>
      </c>
      <c r="D15" s="51">
        <v>11</v>
      </c>
      <c r="E15" s="54"/>
      <c r="F15" s="47"/>
      <c r="G15" s="30"/>
      <c r="H15" s="30"/>
      <c r="I15" s="30"/>
      <c r="J15" s="47"/>
      <c r="K15" s="47"/>
      <c r="L15" s="78" t="s">
        <v>298</v>
      </c>
      <c r="M15" s="47" t="s">
        <v>298</v>
      </c>
      <c r="N15" s="47" t="s">
        <v>298</v>
      </c>
      <c r="O15" s="47"/>
      <c r="P15" s="47"/>
      <c r="Q15" s="47"/>
      <c r="R15" s="47"/>
      <c r="S15" s="47"/>
      <c r="T15" s="47"/>
      <c r="U15" s="47"/>
      <c r="V15" s="14">
        <v>11</v>
      </c>
      <c r="W15" s="9" t="s">
        <v>302</v>
      </c>
      <c r="X15" s="9" t="s">
        <v>167</v>
      </c>
      <c r="Y15" s="9" t="s">
        <v>303</v>
      </c>
      <c r="Z15" s="10" t="s">
        <v>250</v>
      </c>
      <c r="AA15" s="9"/>
      <c r="AB15" s="9"/>
      <c r="AC15" s="9" t="s">
        <v>247</v>
      </c>
      <c r="AD15" s="10" t="s">
        <v>248</v>
      </c>
      <c r="AE15" s="9"/>
      <c r="AF15" s="23"/>
      <c r="AG15" s="303"/>
      <c r="AH15" s="44">
        <v>7.3999999999999899E-2</v>
      </c>
      <c r="AI15" s="44">
        <v>510</v>
      </c>
      <c r="AJ15" s="44">
        <v>7.3999999999999899E-2</v>
      </c>
      <c r="AK15" s="44">
        <v>510</v>
      </c>
      <c r="AL15" s="1"/>
      <c r="AM15" s="1"/>
      <c r="AN15" s="1"/>
    </row>
    <row r="16" spans="1:40" x14ac:dyDescent="0.15">
      <c r="A16" s="51">
        <v>12</v>
      </c>
      <c r="B16" s="52" t="s">
        <v>299</v>
      </c>
      <c r="C16" s="52" t="s">
        <v>300</v>
      </c>
      <c r="D16" s="51">
        <v>12</v>
      </c>
      <c r="E16" s="54"/>
      <c r="F16" s="47"/>
      <c r="G16" s="30"/>
      <c r="H16" s="30"/>
      <c r="I16" s="30"/>
      <c r="J16" s="47"/>
      <c r="K16" s="47"/>
      <c r="L16" s="78" t="s">
        <v>301</v>
      </c>
      <c r="M16" s="47" t="s">
        <v>301</v>
      </c>
      <c r="N16" s="47" t="s">
        <v>301</v>
      </c>
      <c r="O16" s="47"/>
      <c r="P16" s="47"/>
      <c r="Q16" s="47"/>
      <c r="R16" s="47"/>
      <c r="S16" s="47"/>
      <c r="T16" s="47"/>
      <c r="U16" s="47"/>
      <c r="V16" s="14">
        <v>12</v>
      </c>
      <c r="W16" s="9" t="s">
        <v>268</v>
      </c>
      <c r="X16" s="9" t="s">
        <v>167</v>
      </c>
      <c r="Y16" s="9" t="s">
        <v>247</v>
      </c>
      <c r="Z16" s="10" t="s">
        <v>250</v>
      </c>
      <c r="AA16" s="9">
        <v>50</v>
      </c>
      <c r="AB16" s="9"/>
      <c r="AC16" s="9" t="s">
        <v>269</v>
      </c>
      <c r="AD16" s="10" t="s">
        <v>250</v>
      </c>
      <c r="AE16" s="9"/>
      <c r="AF16" s="23"/>
      <c r="AG16" s="303"/>
      <c r="AH16" s="44">
        <v>7.5999999999999901E-2</v>
      </c>
      <c r="AI16" s="44">
        <v>515</v>
      </c>
      <c r="AJ16" s="44">
        <v>7.5999999999999901E-2</v>
      </c>
      <c r="AK16" s="44">
        <v>515</v>
      </c>
      <c r="AL16" s="1"/>
      <c r="AM16" s="1"/>
      <c r="AN16" s="1"/>
    </row>
    <row r="17" spans="1:40" x14ac:dyDescent="0.15">
      <c r="A17" s="51">
        <v>13</v>
      </c>
      <c r="B17" s="52" t="s">
        <v>304</v>
      </c>
      <c r="C17" s="52"/>
      <c r="D17" s="51">
        <v>13</v>
      </c>
      <c r="E17" s="54"/>
      <c r="F17" s="47"/>
      <c r="G17" s="30"/>
      <c r="H17" s="30"/>
      <c r="I17" s="30"/>
      <c r="J17" s="47"/>
      <c r="K17" s="47"/>
      <c r="L17" s="78" t="s">
        <v>305</v>
      </c>
      <c r="M17" s="47" t="s">
        <v>305</v>
      </c>
      <c r="N17" s="47" t="s">
        <v>305</v>
      </c>
      <c r="O17" s="47"/>
      <c r="P17" s="47"/>
      <c r="Q17" s="47"/>
      <c r="R17" s="47"/>
      <c r="S17" s="47"/>
      <c r="T17" s="47"/>
      <c r="U17" s="47"/>
      <c r="V17" s="14">
        <v>13</v>
      </c>
      <c r="W17" s="10" t="s">
        <v>306</v>
      </c>
      <c r="X17" s="9" t="s">
        <v>167</v>
      </c>
      <c r="Y17" s="9" t="s">
        <v>258</v>
      </c>
      <c r="Z17" s="10" t="s">
        <v>250</v>
      </c>
      <c r="AA17" s="9"/>
      <c r="AB17" s="9"/>
      <c r="AC17" s="9" t="s">
        <v>249</v>
      </c>
      <c r="AD17" s="10" t="s">
        <v>250</v>
      </c>
      <c r="AE17" s="9"/>
      <c r="AF17" s="23"/>
      <c r="AG17" s="303"/>
      <c r="AH17" s="44">
        <v>7.7999999999999903E-2</v>
      </c>
      <c r="AI17" s="44">
        <v>520</v>
      </c>
      <c r="AJ17" s="44">
        <v>7.7999999999999903E-2</v>
      </c>
      <c r="AK17" s="44">
        <v>520</v>
      </c>
      <c r="AL17" s="1"/>
      <c r="AM17" s="1"/>
      <c r="AN17" s="1"/>
    </row>
    <row r="18" spans="1:40" x14ac:dyDescent="0.15">
      <c r="A18" s="51">
        <v>14</v>
      </c>
      <c r="B18" s="52" t="s">
        <v>307</v>
      </c>
      <c r="C18" s="52" t="s">
        <v>308</v>
      </c>
      <c r="D18" s="51">
        <v>14</v>
      </c>
      <c r="E18" s="39"/>
      <c r="F18" s="47"/>
      <c r="G18" s="47"/>
      <c r="H18" s="47"/>
      <c r="I18" s="47"/>
      <c r="J18" s="47"/>
      <c r="K18" s="47"/>
      <c r="L18" s="78" t="s">
        <v>309</v>
      </c>
      <c r="M18" s="47"/>
      <c r="N18" s="47"/>
      <c r="O18" s="47"/>
      <c r="P18" s="47"/>
      <c r="Q18" s="47"/>
      <c r="R18" s="47"/>
      <c r="S18" s="47"/>
      <c r="T18" s="47"/>
      <c r="U18" s="47"/>
      <c r="V18" s="14">
        <v>14</v>
      </c>
      <c r="W18" s="9"/>
      <c r="X18" s="9"/>
      <c r="Y18" s="9"/>
      <c r="Z18" s="10"/>
      <c r="AA18" s="9"/>
      <c r="AB18" s="9"/>
      <c r="AC18" s="9"/>
      <c r="AD18" s="10"/>
      <c r="AE18" s="9"/>
      <c r="AF18" s="23"/>
      <c r="AG18" s="303"/>
      <c r="AH18" s="44">
        <v>7.9999999999999905E-2</v>
      </c>
      <c r="AI18" s="44">
        <v>525</v>
      </c>
      <c r="AJ18" s="44">
        <v>7.9999999999999905E-2</v>
      </c>
      <c r="AK18" s="44">
        <v>525</v>
      </c>
      <c r="AL18" s="1"/>
      <c r="AM18" s="1"/>
      <c r="AN18" s="1"/>
    </row>
    <row r="19" spans="1:40" x14ac:dyDescent="0.15">
      <c r="A19" s="51">
        <v>15</v>
      </c>
      <c r="B19" s="52" t="s">
        <v>525</v>
      </c>
      <c r="C19" s="52" t="s">
        <v>184</v>
      </c>
      <c r="D19" s="51">
        <v>15</v>
      </c>
      <c r="E19" s="39"/>
      <c r="F19" s="47"/>
      <c r="G19" s="47"/>
      <c r="H19" s="47"/>
      <c r="I19" s="47"/>
      <c r="J19" s="47"/>
      <c r="K19" s="47"/>
      <c r="L19" s="78" t="s">
        <v>310</v>
      </c>
      <c r="M19" s="47" t="s">
        <v>310</v>
      </c>
      <c r="N19" s="47" t="s">
        <v>310</v>
      </c>
      <c r="O19" s="47" t="s">
        <v>189</v>
      </c>
      <c r="P19" s="47" t="s">
        <v>189</v>
      </c>
      <c r="Q19" s="47"/>
      <c r="R19" s="47"/>
      <c r="S19" s="47"/>
      <c r="T19" s="47"/>
      <c r="U19" s="47"/>
      <c r="V19" s="14">
        <v>15</v>
      </c>
      <c r="W19" s="9"/>
      <c r="X19" s="9"/>
      <c r="Y19" s="9"/>
      <c r="Z19" s="10"/>
      <c r="AA19" s="9"/>
      <c r="AB19" s="9"/>
      <c r="AC19" s="9"/>
      <c r="AD19" s="10"/>
      <c r="AE19" s="9"/>
      <c r="AF19" s="23"/>
      <c r="AG19" s="303"/>
      <c r="AH19" s="44">
        <v>8.1999999999999906E-2</v>
      </c>
      <c r="AI19" s="44">
        <v>530</v>
      </c>
      <c r="AJ19" s="44">
        <v>8.1999999999999906E-2</v>
      </c>
      <c r="AK19" s="44">
        <v>530</v>
      </c>
      <c r="AL19" s="1"/>
      <c r="AM19" s="1"/>
      <c r="AN19" s="1"/>
    </row>
    <row r="20" spans="1:40" x14ac:dyDescent="0.15">
      <c r="A20" s="51">
        <v>16</v>
      </c>
      <c r="B20" s="52"/>
      <c r="C20" s="52" t="s">
        <v>311</v>
      </c>
      <c r="D20" s="51">
        <v>16</v>
      </c>
      <c r="E20" s="39"/>
      <c r="F20" s="47"/>
      <c r="G20" s="47"/>
      <c r="H20" s="47"/>
      <c r="I20" s="47"/>
      <c r="J20" s="47"/>
      <c r="K20" s="47"/>
      <c r="L20" s="78" t="s">
        <v>312</v>
      </c>
      <c r="M20" s="47" t="s">
        <v>312</v>
      </c>
      <c r="N20" s="47" t="s">
        <v>312</v>
      </c>
      <c r="O20" s="47" t="s">
        <v>238</v>
      </c>
      <c r="P20" s="47" t="s">
        <v>238</v>
      </c>
      <c r="Q20" s="47" t="s">
        <v>555</v>
      </c>
      <c r="R20" s="47" t="s">
        <v>555</v>
      </c>
      <c r="S20" s="47"/>
      <c r="T20" s="47"/>
      <c r="U20" s="47"/>
      <c r="V20" s="82">
        <v>16</v>
      </c>
      <c r="W20" s="9"/>
      <c r="X20" s="9"/>
      <c r="Y20" s="9"/>
      <c r="Z20" s="10"/>
      <c r="AA20" s="9"/>
      <c r="AB20" s="9"/>
      <c r="AC20" s="9"/>
      <c r="AD20" s="10"/>
      <c r="AE20" s="9"/>
      <c r="AF20" s="23"/>
      <c r="AG20" s="303"/>
      <c r="AH20" s="44">
        <v>8.3999999999999894E-2</v>
      </c>
      <c r="AI20" s="44">
        <v>535</v>
      </c>
      <c r="AJ20" s="44">
        <v>8.3999999999999894E-2</v>
      </c>
      <c r="AK20" s="44">
        <v>535</v>
      </c>
      <c r="AL20" s="1"/>
      <c r="AM20" s="1"/>
      <c r="AN20" s="1"/>
    </row>
    <row r="21" spans="1:40" ht="14.25" customHeight="1" x14ac:dyDescent="0.15">
      <c r="A21" s="51">
        <v>17</v>
      </c>
      <c r="B21" s="52"/>
      <c r="C21" s="52" t="s">
        <v>313</v>
      </c>
      <c r="D21" s="55">
        <v>17</v>
      </c>
      <c r="E21" s="39"/>
      <c r="F21" s="47"/>
      <c r="G21" s="47"/>
      <c r="H21" s="47"/>
      <c r="I21" s="47"/>
      <c r="J21" s="47"/>
      <c r="K21" s="47"/>
      <c r="L21" s="78" t="s">
        <v>314</v>
      </c>
      <c r="M21" s="47" t="s">
        <v>314</v>
      </c>
      <c r="N21" s="47" t="s">
        <v>314</v>
      </c>
      <c r="O21" s="47" t="s">
        <v>194</v>
      </c>
      <c r="P21" s="47" t="s">
        <v>194</v>
      </c>
      <c r="Q21" s="47" t="s">
        <v>554</v>
      </c>
      <c r="R21" s="47" t="s">
        <v>554</v>
      </c>
      <c r="S21" s="47"/>
      <c r="T21" s="47"/>
      <c r="U21" s="47"/>
      <c r="V21" s="314" t="s">
        <v>134</v>
      </c>
      <c r="W21" s="317" t="s">
        <v>661</v>
      </c>
      <c r="X21" s="318"/>
      <c r="Y21" s="318"/>
      <c r="Z21" s="318"/>
      <c r="AA21" s="318"/>
      <c r="AB21" s="319"/>
      <c r="AC21" s="56" t="s">
        <v>186</v>
      </c>
      <c r="AD21" s="28" t="s">
        <v>315</v>
      </c>
      <c r="AE21" s="30" t="s">
        <v>316</v>
      </c>
      <c r="AF21" s="1"/>
      <c r="AG21" s="303"/>
      <c r="AH21" s="44">
        <v>8.5999999999999896E-2</v>
      </c>
      <c r="AI21" s="44">
        <v>540</v>
      </c>
      <c r="AJ21" s="44">
        <v>8.5999999999999896E-2</v>
      </c>
      <c r="AK21" s="44">
        <v>540</v>
      </c>
      <c r="AL21" s="1"/>
      <c r="AM21" s="1"/>
      <c r="AN21" s="1"/>
    </row>
    <row r="22" spans="1:40" x14ac:dyDescent="0.15">
      <c r="A22" s="51">
        <v>18</v>
      </c>
      <c r="B22" s="52"/>
      <c r="C22" s="52" t="s">
        <v>317</v>
      </c>
      <c r="D22" s="55">
        <v>18</v>
      </c>
      <c r="E22" s="39"/>
      <c r="F22" s="47"/>
      <c r="G22" s="47"/>
      <c r="H22" s="47"/>
      <c r="I22" s="47"/>
      <c r="J22" s="47"/>
      <c r="K22" s="47"/>
      <c r="L22" s="78" t="s">
        <v>318</v>
      </c>
      <c r="M22" s="47" t="s">
        <v>318</v>
      </c>
      <c r="N22" s="47" t="s">
        <v>318</v>
      </c>
      <c r="O22" s="47" t="s">
        <v>549</v>
      </c>
      <c r="P22" s="47" t="s">
        <v>549</v>
      </c>
      <c r="Q22" s="47"/>
      <c r="R22" s="47"/>
      <c r="S22" s="47"/>
      <c r="T22" s="47"/>
      <c r="U22" s="47"/>
      <c r="V22" s="315"/>
      <c r="W22" s="57">
        <v>11</v>
      </c>
      <c r="X22" s="57">
        <v>12</v>
      </c>
      <c r="Y22" s="57">
        <v>13</v>
      </c>
      <c r="Z22" s="57">
        <v>14</v>
      </c>
      <c r="AA22" s="57">
        <v>15</v>
      </c>
      <c r="AB22" s="57">
        <v>16</v>
      </c>
      <c r="AC22" s="58" t="s">
        <v>187</v>
      </c>
      <c r="AD22" s="59">
        <v>1</v>
      </c>
      <c r="AE22" s="30" t="s">
        <v>319</v>
      </c>
      <c r="AF22" s="1"/>
      <c r="AG22" s="303"/>
      <c r="AH22" s="44">
        <v>8.7999999999999898E-2</v>
      </c>
      <c r="AI22" s="44">
        <v>545</v>
      </c>
      <c r="AJ22" s="44">
        <v>8.7999999999999898E-2</v>
      </c>
      <c r="AK22" s="44">
        <v>545</v>
      </c>
      <c r="AL22" s="1"/>
      <c r="AM22" s="1"/>
      <c r="AN22" s="1"/>
    </row>
    <row r="23" spans="1:40" x14ac:dyDescent="0.15">
      <c r="A23" s="51">
        <v>19</v>
      </c>
      <c r="B23" s="52"/>
      <c r="C23" s="52" t="s">
        <v>165</v>
      </c>
      <c r="D23" s="55">
        <v>19</v>
      </c>
      <c r="E23" s="39"/>
      <c r="F23" s="47"/>
      <c r="G23" s="47"/>
      <c r="H23" s="47"/>
      <c r="I23" s="47"/>
      <c r="J23" s="47"/>
      <c r="K23" s="47"/>
      <c r="L23" s="78" t="s">
        <v>320</v>
      </c>
      <c r="M23" s="47" t="s">
        <v>320</v>
      </c>
      <c r="N23" s="47" t="s">
        <v>320</v>
      </c>
      <c r="O23" s="47"/>
      <c r="P23" s="47"/>
      <c r="Q23" s="47"/>
      <c r="R23" s="47"/>
      <c r="S23" s="47"/>
      <c r="T23" s="47"/>
      <c r="U23" s="47"/>
      <c r="V23" s="315"/>
      <c r="W23" s="57">
        <v>21</v>
      </c>
      <c r="X23" s="57">
        <v>22</v>
      </c>
      <c r="Y23" s="57">
        <v>23</v>
      </c>
      <c r="Z23" s="57">
        <v>24</v>
      </c>
      <c r="AA23" s="57">
        <v>25</v>
      </c>
      <c r="AB23" s="57">
        <v>26</v>
      </c>
      <c r="AC23" s="58" t="s">
        <v>303</v>
      </c>
      <c r="AD23" s="59">
        <v>2</v>
      </c>
      <c r="AE23" s="30" t="s">
        <v>321</v>
      </c>
      <c r="AF23" s="1"/>
      <c r="AG23" s="303"/>
      <c r="AH23" s="44">
        <v>8.99999999999999E-2</v>
      </c>
      <c r="AI23" s="44">
        <v>550</v>
      </c>
      <c r="AJ23" s="44">
        <v>8.99999999999999E-2</v>
      </c>
      <c r="AK23" s="44">
        <v>550</v>
      </c>
      <c r="AL23" s="1"/>
      <c r="AM23" s="1"/>
      <c r="AN23" s="1"/>
    </row>
    <row r="24" spans="1:40" x14ac:dyDescent="0.15">
      <c r="A24" s="51">
        <v>20</v>
      </c>
      <c r="B24" s="52"/>
      <c r="C24" s="52" t="s">
        <v>322</v>
      </c>
      <c r="D24" s="55">
        <v>20</v>
      </c>
      <c r="E24" s="39"/>
      <c r="F24" s="47"/>
      <c r="G24" s="47"/>
      <c r="H24" s="47"/>
      <c r="I24" s="47"/>
      <c r="J24" s="47"/>
      <c r="K24" s="47"/>
      <c r="L24" s="78" t="s">
        <v>323</v>
      </c>
      <c r="M24" s="47"/>
      <c r="N24" s="47"/>
      <c r="O24" s="47"/>
      <c r="P24" s="47"/>
      <c r="Q24" s="47"/>
      <c r="R24" s="47"/>
      <c r="S24" s="47"/>
      <c r="T24" s="47"/>
      <c r="U24" s="47"/>
      <c r="V24" s="315"/>
      <c r="W24" s="57">
        <v>31</v>
      </c>
      <c r="X24" s="57">
        <v>32</v>
      </c>
      <c r="Y24" s="57">
        <v>33</v>
      </c>
      <c r="Z24" s="57">
        <v>34</v>
      </c>
      <c r="AA24" s="57">
        <v>35</v>
      </c>
      <c r="AB24" s="57">
        <v>36</v>
      </c>
      <c r="AC24" s="60"/>
      <c r="AD24" s="59">
        <v>3</v>
      </c>
      <c r="AE24" s="30" t="s">
        <v>325</v>
      </c>
      <c r="AF24" s="1"/>
      <c r="AG24" s="303"/>
      <c r="AH24" s="44">
        <v>9.1999999999999901E-2</v>
      </c>
      <c r="AI24" s="44">
        <v>555</v>
      </c>
      <c r="AJ24" s="44">
        <v>9.1999999999999901E-2</v>
      </c>
      <c r="AK24" s="44">
        <v>555</v>
      </c>
      <c r="AL24" s="1"/>
      <c r="AM24" s="1"/>
      <c r="AN24" s="1"/>
    </row>
    <row r="25" spans="1:40" x14ac:dyDescent="0.15">
      <c r="A25" s="51">
        <v>21</v>
      </c>
      <c r="B25" s="52"/>
      <c r="C25" s="52" t="s">
        <v>326</v>
      </c>
      <c r="D25" s="61"/>
      <c r="E25" s="62"/>
      <c r="F25" s="63"/>
      <c r="G25" s="63"/>
      <c r="H25" s="63"/>
      <c r="I25" s="63"/>
      <c r="J25" s="63"/>
      <c r="K25" s="63"/>
      <c r="L25" s="77" t="s">
        <v>327</v>
      </c>
      <c r="M25" s="47" t="s">
        <v>327</v>
      </c>
      <c r="N25" s="47" t="s">
        <v>327</v>
      </c>
      <c r="O25" s="47" t="s">
        <v>550</v>
      </c>
      <c r="P25" s="47" t="s">
        <v>550</v>
      </c>
      <c r="Q25" s="47"/>
      <c r="R25" s="47"/>
      <c r="S25" s="47"/>
      <c r="T25" s="47"/>
      <c r="U25" s="47"/>
      <c r="V25" s="315"/>
      <c r="W25" s="57">
        <v>41</v>
      </c>
      <c r="X25" s="57">
        <v>42</v>
      </c>
      <c r="Y25" s="57">
        <v>43</v>
      </c>
      <c r="Z25" s="57">
        <v>44</v>
      </c>
      <c r="AA25" s="57">
        <v>45</v>
      </c>
      <c r="AB25" s="57">
        <v>46</v>
      </c>
      <c r="AC25" s="60"/>
      <c r="AD25" s="59">
        <v>4</v>
      </c>
      <c r="AE25" s="30" t="s">
        <v>328</v>
      </c>
      <c r="AF25" s="1"/>
      <c r="AG25" s="303"/>
      <c r="AH25" s="44">
        <v>9.3999999999999903E-2</v>
      </c>
      <c r="AI25" s="44">
        <v>560</v>
      </c>
      <c r="AJ25" s="44">
        <v>9.3999999999999903E-2</v>
      </c>
      <c r="AK25" s="44">
        <v>560</v>
      </c>
      <c r="AL25" s="1"/>
      <c r="AM25" s="1"/>
      <c r="AN25" s="1"/>
    </row>
    <row r="26" spans="1:40" x14ac:dyDescent="0.15">
      <c r="A26" s="51">
        <v>22</v>
      </c>
      <c r="B26" s="52"/>
      <c r="C26" s="52" t="s">
        <v>329</v>
      </c>
      <c r="D26" s="61"/>
      <c r="E26" s="25" t="s">
        <v>330</v>
      </c>
      <c r="F26" s="25" t="s">
        <v>189</v>
      </c>
      <c r="G26" s="25" t="s">
        <v>238</v>
      </c>
      <c r="H26" s="25" t="s">
        <v>194</v>
      </c>
      <c r="I26" s="26">
        <v>4</v>
      </c>
      <c r="J26" s="27" t="s">
        <v>183</v>
      </c>
      <c r="K26" s="27" t="s">
        <v>324</v>
      </c>
      <c r="L26" s="77" t="s">
        <v>331</v>
      </c>
      <c r="M26" s="47" t="s">
        <v>331</v>
      </c>
      <c r="N26" s="47" t="s">
        <v>331</v>
      </c>
      <c r="O26" s="47" t="s">
        <v>551</v>
      </c>
      <c r="P26" s="47" t="s">
        <v>551</v>
      </c>
      <c r="Q26" s="47"/>
      <c r="R26" s="47"/>
      <c r="S26" s="47"/>
      <c r="T26" s="47"/>
      <c r="U26" s="47"/>
      <c r="V26" s="315"/>
      <c r="W26" s="57">
        <v>51</v>
      </c>
      <c r="X26" s="57">
        <v>52</v>
      </c>
      <c r="Y26" s="57">
        <v>53</v>
      </c>
      <c r="Z26" s="57">
        <v>54</v>
      </c>
      <c r="AA26" s="57">
        <v>55</v>
      </c>
      <c r="AB26" s="57">
        <v>56</v>
      </c>
      <c r="AC26" s="60"/>
      <c r="AD26" s="59">
        <v>5</v>
      </c>
      <c r="AE26" s="30" t="s">
        <v>332</v>
      </c>
      <c r="AF26" s="1"/>
      <c r="AG26" s="303"/>
      <c r="AH26" s="44">
        <v>9.5999999999999905E-2</v>
      </c>
      <c r="AI26" s="44">
        <v>565</v>
      </c>
      <c r="AJ26" s="44">
        <v>9.5999999999999905E-2</v>
      </c>
      <c r="AK26" s="44">
        <v>565</v>
      </c>
      <c r="AL26" s="1"/>
      <c r="AM26" s="1"/>
      <c r="AN26" s="1"/>
    </row>
    <row r="27" spans="1:40" x14ac:dyDescent="0.15">
      <c r="A27" s="51">
        <v>23</v>
      </c>
      <c r="B27" s="52"/>
      <c r="C27" s="52" t="s">
        <v>333</v>
      </c>
      <c r="D27" s="61"/>
      <c r="E27" s="24" t="s">
        <v>334</v>
      </c>
      <c r="F27" s="28" t="s">
        <v>243</v>
      </c>
      <c r="G27" s="28" t="s">
        <v>244</v>
      </c>
      <c r="H27" s="28"/>
      <c r="I27" s="29"/>
      <c r="J27" s="30"/>
      <c r="K27" s="30"/>
      <c r="L27" s="77" t="s">
        <v>335</v>
      </c>
      <c r="M27" s="47" t="s">
        <v>335</v>
      </c>
      <c r="N27" s="47" t="s">
        <v>335</v>
      </c>
      <c r="O27" s="47" t="s">
        <v>552</v>
      </c>
      <c r="P27" s="47" t="s">
        <v>552</v>
      </c>
      <c r="Q27" s="47"/>
      <c r="R27" s="47"/>
      <c r="S27" s="47"/>
      <c r="T27" s="47"/>
      <c r="U27" s="47"/>
      <c r="V27" s="315"/>
      <c r="W27" s="57">
        <v>61</v>
      </c>
      <c r="X27" s="57">
        <v>62</v>
      </c>
      <c r="Y27" s="57">
        <v>63</v>
      </c>
      <c r="Z27" s="57">
        <v>64</v>
      </c>
      <c r="AA27" s="57">
        <v>65</v>
      </c>
      <c r="AB27" s="57">
        <v>66</v>
      </c>
      <c r="AC27" s="60"/>
      <c r="AD27" s="59">
        <v>6</v>
      </c>
      <c r="AE27" s="30" t="s">
        <v>336</v>
      </c>
      <c r="AF27" s="1"/>
      <c r="AG27" s="303"/>
      <c r="AH27" s="44">
        <v>9.7999999999999907E-2</v>
      </c>
      <c r="AI27" s="44">
        <v>570</v>
      </c>
      <c r="AJ27" s="44">
        <v>9.7999999999999907E-2</v>
      </c>
      <c r="AK27" s="44">
        <v>570</v>
      </c>
      <c r="AL27" s="1"/>
      <c r="AM27" s="1"/>
      <c r="AN27" s="1"/>
    </row>
    <row r="28" spans="1:40" x14ac:dyDescent="0.15">
      <c r="A28" s="51">
        <v>24</v>
      </c>
      <c r="B28" s="52"/>
      <c r="C28" s="52" t="s">
        <v>337</v>
      </c>
      <c r="D28" s="61"/>
      <c r="E28" s="24" t="s">
        <v>338</v>
      </c>
      <c r="F28" s="28" t="s">
        <v>262</v>
      </c>
      <c r="G28" s="28" t="s">
        <v>241</v>
      </c>
      <c r="H28" s="28" t="s">
        <v>266</v>
      </c>
      <c r="I28" s="29" t="s">
        <v>339</v>
      </c>
      <c r="J28" s="30"/>
      <c r="K28" s="30"/>
      <c r="L28" s="77" t="s">
        <v>340</v>
      </c>
      <c r="M28" s="47" t="s">
        <v>340</v>
      </c>
      <c r="N28" s="47" t="s">
        <v>174</v>
      </c>
      <c r="O28" s="47" t="s">
        <v>553</v>
      </c>
      <c r="P28" s="47" t="s">
        <v>553</v>
      </c>
      <c r="Q28" s="47"/>
      <c r="R28" s="47"/>
      <c r="S28" s="47"/>
      <c r="T28" s="47"/>
      <c r="U28" s="47"/>
      <c r="V28" s="315"/>
      <c r="W28" s="57">
        <v>71</v>
      </c>
      <c r="X28" s="57">
        <v>72</v>
      </c>
      <c r="Y28" s="57">
        <v>73</v>
      </c>
      <c r="Z28" s="57">
        <v>74</v>
      </c>
      <c r="AA28" s="57">
        <v>75</v>
      </c>
      <c r="AB28" s="57">
        <v>76</v>
      </c>
      <c r="AC28" s="60"/>
      <c r="AD28" s="59">
        <v>7</v>
      </c>
      <c r="AE28" s="30" t="s">
        <v>341</v>
      </c>
      <c r="AF28" s="1"/>
      <c r="AG28" s="303"/>
      <c r="AH28" s="44">
        <v>9.9999999999999895E-2</v>
      </c>
      <c r="AI28" s="44">
        <v>575</v>
      </c>
      <c r="AJ28" s="44">
        <v>9.9999999999999895E-2</v>
      </c>
      <c r="AK28" s="44">
        <v>575</v>
      </c>
      <c r="AL28" s="1"/>
      <c r="AM28" s="1"/>
      <c r="AN28" s="1"/>
    </row>
    <row r="29" spans="1:40" x14ac:dyDescent="0.15">
      <c r="A29" s="51">
        <v>25</v>
      </c>
      <c r="B29" s="52"/>
      <c r="C29" s="52" t="s">
        <v>342</v>
      </c>
      <c r="D29" s="61"/>
      <c r="E29" s="24" t="s">
        <v>343</v>
      </c>
      <c r="F29" s="28" t="s">
        <v>237</v>
      </c>
      <c r="G29" s="28" t="s">
        <v>253</v>
      </c>
      <c r="H29" s="28"/>
      <c r="I29" s="29"/>
      <c r="J29" s="30"/>
      <c r="K29" s="30"/>
      <c r="L29" s="77" t="s">
        <v>344</v>
      </c>
      <c r="M29" s="47" t="s">
        <v>344</v>
      </c>
      <c r="N29" s="47" t="s">
        <v>344</v>
      </c>
      <c r="O29" s="47"/>
      <c r="P29" s="47"/>
      <c r="Q29" s="47"/>
      <c r="R29" s="47"/>
      <c r="S29" s="47"/>
      <c r="T29" s="47"/>
      <c r="U29" s="47"/>
      <c r="V29" s="315"/>
      <c r="W29" s="57">
        <v>81</v>
      </c>
      <c r="X29" s="57">
        <v>82</v>
      </c>
      <c r="Y29" s="57">
        <v>83</v>
      </c>
      <c r="Z29" s="57">
        <v>84</v>
      </c>
      <c r="AA29" s="57">
        <v>85</v>
      </c>
      <c r="AB29" s="57">
        <v>86</v>
      </c>
      <c r="AC29" s="60"/>
      <c r="AD29" s="59">
        <v>8</v>
      </c>
      <c r="AE29" s="30" t="s">
        <v>345</v>
      </c>
      <c r="AF29" s="1"/>
      <c r="AG29" s="303"/>
      <c r="AH29" s="44">
        <v>0.10199999999999999</v>
      </c>
      <c r="AI29" s="44">
        <v>580</v>
      </c>
      <c r="AJ29" s="44">
        <v>0.10199999999999999</v>
      </c>
      <c r="AK29" s="44">
        <v>580</v>
      </c>
      <c r="AL29" s="1"/>
      <c r="AM29" s="1"/>
      <c r="AN29" s="1"/>
    </row>
    <row r="30" spans="1:40" x14ac:dyDescent="0.15">
      <c r="A30" s="51">
        <v>26</v>
      </c>
      <c r="B30" s="52"/>
      <c r="C30" s="52" t="s">
        <v>346</v>
      </c>
      <c r="D30" s="61"/>
      <c r="E30" s="24" t="s">
        <v>347</v>
      </c>
      <c r="F30" s="28" t="s">
        <v>166</v>
      </c>
      <c r="G30" s="28" t="s">
        <v>348</v>
      </c>
      <c r="H30" s="28"/>
      <c r="I30" s="29"/>
      <c r="J30" s="30"/>
      <c r="K30" s="30"/>
      <c r="L30" s="77" t="s">
        <v>349</v>
      </c>
      <c r="M30" s="47"/>
      <c r="N30" s="47"/>
      <c r="O30" s="47"/>
      <c r="P30" s="47"/>
      <c r="Q30" s="47"/>
      <c r="R30" s="47"/>
      <c r="S30" s="47"/>
      <c r="T30" s="47"/>
      <c r="U30" s="47"/>
      <c r="V30" s="316"/>
      <c r="W30" s="57">
        <v>91</v>
      </c>
      <c r="X30" s="57">
        <v>92</v>
      </c>
      <c r="Y30" s="57">
        <v>93</v>
      </c>
      <c r="Z30" s="57">
        <v>94</v>
      </c>
      <c r="AA30" s="57">
        <v>95</v>
      </c>
      <c r="AB30" s="57">
        <v>96</v>
      </c>
      <c r="AC30" s="60"/>
      <c r="AD30" s="59">
        <v>9</v>
      </c>
      <c r="AE30" s="30" t="s">
        <v>184</v>
      </c>
      <c r="AF30" s="1"/>
      <c r="AG30" s="303"/>
      <c r="AH30" s="44">
        <v>0.104</v>
      </c>
      <c r="AI30" s="44">
        <v>585</v>
      </c>
      <c r="AJ30" s="44">
        <v>0.104</v>
      </c>
      <c r="AK30" s="44">
        <v>585</v>
      </c>
      <c r="AL30" s="1"/>
      <c r="AM30" s="1"/>
      <c r="AN30" s="1"/>
    </row>
    <row r="31" spans="1:40" x14ac:dyDescent="0.15">
      <c r="A31" s="51">
        <v>27</v>
      </c>
      <c r="B31" s="52"/>
      <c r="C31" s="52"/>
      <c r="D31" s="61"/>
      <c r="E31" s="24" t="s">
        <v>350</v>
      </c>
      <c r="F31" s="28" t="s">
        <v>250</v>
      </c>
      <c r="G31" s="28" t="s">
        <v>248</v>
      </c>
      <c r="H31" s="28"/>
      <c r="I31" s="29"/>
      <c r="J31" s="30"/>
      <c r="K31" s="30"/>
      <c r="L31" s="77" t="s">
        <v>351</v>
      </c>
      <c r="M31" s="47" t="s">
        <v>351</v>
      </c>
      <c r="N31" s="47" t="s">
        <v>351</v>
      </c>
      <c r="O31" s="47"/>
      <c r="P31" s="47"/>
      <c r="Q31" s="47"/>
      <c r="R31" s="47"/>
      <c r="S31" s="47"/>
      <c r="T31" s="47"/>
      <c r="U31" s="47"/>
      <c r="V31" s="322" t="s">
        <v>177</v>
      </c>
      <c r="W31" s="322"/>
      <c r="X31" s="322"/>
      <c r="Y31" s="86" t="s">
        <v>594</v>
      </c>
      <c r="Z31" s="73" t="s">
        <v>135</v>
      </c>
      <c r="AA31" s="74">
        <f>10^($Y$31)</f>
        <v>1E-4</v>
      </c>
      <c r="AB31" s="1" t="s">
        <v>136</v>
      </c>
      <c r="AC31" s="1"/>
      <c r="AD31" s="1"/>
      <c r="AE31" s="30" t="s">
        <v>311</v>
      </c>
      <c r="AF31" s="1"/>
      <c r="AG31" s="303"/>
      <c r="AH31" s="44">
        <v>0.106</v>
      </c>
      <c r="AI31" s="44">
        <v>590</v>
      </c>
      <c r="AJ31" s="44">
        <v>0.106</v>
      </c>
      <c r="AK31" s="44">
        <v>590</v>
      </c>
      <c r="AL31" s="1"/>
      <c r="AM31" s="1"/>
      <c r="AN31" s="1"/>
    </row>
    <row r="32" spans="1:40" s="22" customFormat="1" x14ac:dyDescent="0.15">
      <c r="A32" s="51">
        <v>28</v>
      </c>
      <c r="B32" s="52"/>
      <c r="C32" s="52" t="s">
        <v>352</v>
      </c>
      <c r="D32" s="61"/>
      <c r="E32" s="24" t="s">
        <v>353</v>
      </c>
      <c r="F32" s="28" t="s">
        <v>166</v>
      </c>
      <c r="G32" s="28" t="s">
        <v>348</v>
      </c>
      <c r="H32" s="28"/>
      <c r="I32" s="29"/>
      <c r="J32" s="30"/>
      <c r="K32" s="30"/>
      <c r="L32" s="77" t="s">
        <v>354</v>
      </c>
      <c r="M32" s="47" t="s">
        <v>354</v>
      </c>
      <c r="N32" s="47" t="s">
        <v>354</v>
      </c>
      <c r="O32" s="47"/>
      <c r="P32" s="47"/>
      <c r="Q32" s="47"/>
      <c r="R32" s="47"/>
      <c r="S32" s="64"/>
      <c r="T32" s="47"/>
      <c r="U32" s="47"/>
      <c r="V32" s="2"/>
      <c r="W32" s="2"/>
      <c r="X32" s="2"/>
      <c r="Y32" s="2"/>
      <c r="Z32" s="2"/>
      <c r="AA32" s="1"/>
      <c r="AB32" s="1"/>
      <c r="AC32" s="1"/>
      <c r="AD32" s="1"/>
      <c r="AE32" s="30" t="s">
        <v>355</v>
      </c>
      <c r="AF32" s="1"/>
      <c r="AG32" s="303"/>
      <c r="AH32" s="44">
        <v>0.108</v>
      </c>
      <c r="AI32" s="44">
        <v>595</v>
      </c>
      <c r="AJ32" s="44">
        <v>0.108</v>
      </c>
      <c r="AK32" s="44">
        <v>595</v>
      </c>
      <c r="AL32" s="1"/>
      <c r="AM32" s="1"/>
      <c r="AN32" s="1"/>
    </row>
    <row r="33" spans="1:40" s="22" customFormat="1" x14ac:dyDescent="0.15">
      <c r="A33" s="51">
        <v>29</v>
      </c>
      <c r="B33" s="52"/>
      <c r="C33" s="52" t="s">
        <v>356</v>
      </c>
      <c r="D33" s="61"/>
      <c r="E33" s="24" t="s">
        <v>357</v>
      </c>
      <c r="F33" s="28" t="s">
        <v>274</v>
      </c>
      <c r="G33" s="28" t="s">
        <v>167</v>
      </c>
      <c r="H33" s="28"/>
      <c r="I33" s="29"/>
      <c r="J33" s="30"/>
      <c r="K33" s="30"/>
      <c r="L33" s="77" t="s">
        <v>358</v>
      </c>
      <c r="M33" s="47" t="s">
        <v>358</v>
      </c>
      <c r="N33" s="47" t="s">
        <v>358</v>
      </c>
      <c r="O33" s="47"/>
      <c r="P33" s="47"/>
      <c r="Q33" s="47"/>
      <c r="R33" s="47"/>
      <c r="S33" s="64"/>
      <c r="T33" s="47"/>
      <c r="U33" s="47"/>
      <c r="V33" s="2"/>
      <c r="W33" s="2"/>
      <c r="X33" s="2"/>
      <c r="Y33" s="2"/>
      <c r="Z33" s="2"/>
      <c r="AA33" s="1"/>
      <c r="AB33" s="1"/>
      <c r="AC33" s="1"/>
      <c r="AD33" s="1"/>
      <c r="AE33" s="30" t="s">
        <v>359</v>
      </c>
      <c r="AF33" s="1"/>
      <c r="AG33" s="303"/>
      <c r="AH33" s="44">
        <v>0.11</v>
      </c>
      <c r="AI33" s="44">
        <v>600</v>
      </c>
      <c r="AJ33" s="44">
        <v>0.11</v>
      </c>
      <c r="AK33" s="44">
        <v>600</v>
      </c>
      <c r="AL33" s="1"/>
      <c r="AM33" s="1"/>
      <c r="AN33" s="1"/>
    </row>
    <row r="34" spans="1:40" s="22" customFormat="1" x14ac:dyDescent="0.15">
      <c r="A34" s="51">
        <v>30</v>
      </c>
      <c r="B34" s="52"/>
      <c r="C34" s="52" t="s">
        <v>360</v>
      </c>
      <c r="D34" s="61"/>
      <c r="E34" s="24" t="s">
        <v>361</v>
      </c>
      <c r="F34" s="28"/>
      <c r="G34" s="28" t="s">
        <v>362</v>
      </c>
      <c r="H34" s="28" t="s">
        <v>363</v>
      </c>
      <c r="I34" s="29" t="s">
        <v>364</v>
      </c>
      <c r="J34" s="30"/>
      <c r="K34" s="30"/>
      <c r="L34" s="77" t="s">
        <v>365</v>
      </c>
      <c r="M34" s="47" t="s">
        <v>365</v>
      </c>
      <c r="N34" s="47" t="s">
        <v>365</v>
      </c>
      <c r="O34" s="47"/>
      <c r="P34" s="47"/>
      <c r="Q34" s="47"/>
      <c r="R34" s="47"/>
      <c r="S34" s="64"/>
      <c r="T34" s="47"/>
      <c r="U34" s="47"/>
      <c r="V34" s="2"/>
      <c r="W34" s="2"/>
      <c r="X34" s="21"/>
      <c r="Y34" s="2"/>
      <c r="Z34" s="2"/>
      <c r="AA34" s="1"/>
      <c r="AB34" s="1"/>
      <c r="AC34" s="1"/>
      <c r="AD34" s="1"/>
      <c r="AE34" s="30" t="s">
        <v>366</v>
      </c>
      <c r="AF34" s="1"/>
      <c r="AG34" s="303"/>
      <c r="AH34" s="44">
        <v>0.112</v>
      </c>
      <c r="AI34" s="44">
        <v>605</v>
      </c>
      <c r="AJ34" s="44">
        <v>0.112</v>
      </c>
      <c r="AK34" s="44">
        <v>605</v>
      </c>
      <c r="AL34" s="1"/>
      <c r="AM34" s="1"/>
      <c r="AN34" s="1"/>
    </row>
    <row r="35" spans="1:40" s="22" customFormat="1" x14ac:dyDescent="0.15">
      <c r="A35" s="51">
        <v>31</v>
      </c>
      <c r="B35" s="52"/>
      <c r="C35" s="52" t="s">
        <v>367</v>
      </c>
      <c r="D35" s="61"/>
      <c r="E35" s="24" t="s">
        <v>368</v>
      </c>
      <c r="F35" s="28"/>
      <c r="G35" s="28" t="s">
        <v>185</v>
      </c>
      <c r="H35" s="28" t="s">
        <v>190</v>
      </c>
      <c r="I35" s="29"/>
      <c r="J35" s="30"/>
      <c r="K35" s="30"/>
      <c r="L35" s="77" t="s">
        <v>369</v>
      </c>
      <c r="M35" s="47" t="s">
        <v>369</v>
      </c>
      <c r="N35" s="47" t="s">
        <v>369</v>
      </c>
      <c r="O35" s="47"/>
      <c r="P35" s="47"/>
      <c r="Q35" s="47"/>
      <c r="R35" s="47"/>
      <c r="S35" s="64"/>
      <c r="T35" s="47"/>
      <c r="U35" s="47"/>
      <c r="V35" s="2"/>
      <c r="W35" s="2"/>
      <c r="X35" s="2"/>
      <c r="Y35" s="2"/>
      <c r="Z35" s="2"/>
      <c r="AA35" s="1"/>
      <c r="AB35" s="1"/>
      <c r="AC35" s="1"/>
      <c r="AD35" s="1"/>
      <c r="AE35" s="30" t="s">
        <v>164</v>
      </c>
      <c r="AF35" s="1"/>
      <c r="AG35" s="303"/>
      <c r="AH35" s="44">
        <v>0.114</v>
      </c>
      <c r="AI35" s="44">
        <v>610</v>
      </c>
      <c r="AJ35" s="44">
        <v>0.114</v>
      </c>
      <c r="AK35" s="44">
        <v>610</v>
      </c>
      <c r="AL35" s="1"/>
      <c r="AM35" s="1"/>
      <c r="AN35" s="1"/>
    </row>
    <row r="36" spans="1:40" s="22" customFormat="1" x14ac:dyDescent="0.15">
      <c r="A36" s="51">
        <v>32</v>
      </c>
      <c r="B36" s="52"/>
      <c r="C36" s="52" t="s">
        <v>370</v>
      </c>
      <c r="D36" s="61"/>
      <c r="E36" s="24" t="s">
        <v>371</v>
      </c>
      <c r="F36" s="28" t="s">
        <v>372</v>
      </c>
      <c r="G36" s="28" t="s">
        <v>373</v>
      </c>
      <c r="H36" s="28" t="s">
        <v>198</v>
      </c>
      <c r="I36" s="29"/>
      <c r="J36" s="30"/>
      <c r="K36" s="30"/>
      <c r="L36" s="77" t="s">
        <v>374</v>
      </c>
      <c r="M36" s="47"/>
      <c r="N36" s="47"/>
      <c r="O36" s="47"/>
      <c r="P36" s="47"/>
      <c r="Q36" s="47"/>
      <c r="R36" s="47"/>
      <c r="S36" s="64"/>
      <c r="T36" s="47"/>
      <c r="U36" s="47"/>
      <c r="V36" s="2"/>
      <c r="W36" s="2"/>
      <c r="X36" s="2"/>
      <c r="Y36" s="2"/>
      <c r="Z36" s="2"/>
      <c r="AA36" s="1"/>
      <c r="AB36" s="1"/>
      <c r="AC36" s="1"/>
      <c r="AD36" s="1"/>
      <c r="AE36" s="30" t="s">
        <v>375</v>
      </c>
      <c r="AF36" s="1"/>
      <c r="AG36" s="303"/>
      <c r="AH36" s="44">
        <v>0.11600000000000001</v>
      </c>
      <c r="AI36" s="44">
        <v>615</v>
      </c>
      <c r="AJ36" s="44">
        <v>0.11600000000000001</v>
      </c>
      <c r="AK36" s="44">
        <v>615</v>
      </c>
      <c r="AL36" s="1"/>
      <c r="AM36" s="1"/>
      <c r="AN36" s="1"/>
    </row>
    <row r="37" spans="1:40" s="22" customFormat="1" x14ac:dyDescent="0.15">
      <c r="A37" s="51">
        <v>33</v>
      </c>
      <c r="B37" s="52"/>
      <c r="C37" s="52" t="s">
        <v>376</v>
      </c>
      <c r="D37" s="61"/>
      <c r="E37" s="24" t="s">
        <v>377</v>
      </c>
      <c r="F37" s="28" t="s">
        <v>196</v>
      </c>
      <c r="G37" s="28" t="s">
        <v>378</v>
      </c>
      <c r="H37" s="28"/>
      <c r="I37" s="29"/>
      <c r="J37" s="30"/>
      <c r="K37" s="30"/>
      <c r="L37" s="77" t="s">
        <v>379</v>
      </c>
      <c r="M37" s="47"/>
      <c r="N37" s="47"/>
      <c r="O37" s="47"/>
      <c r="P37" s="47"/>
      <c r="Q37" s="47"/>
      <c r="R37" s="47"/>
      <c r="S37" s="64"/>
      <c r="T37" s="47"/>
      <c r="U37" s="47"/>
      <c r="V37" s="2"/>
      <c r="W37" s="2"/>
      <c r="X37" s="2"/>
      <c r="Y37" s="2"/>
      <c r="Z37" s="2"/>
      <c r="AA37" s="1"/>
      <c r="AB37" s="1"/>
      <c r="AC37" s="1"/>
      <c r="AD37" s="1"/>
      <c r="AE37" s="30" t="s">
        <v>380</v>
      </c>
      <c r="AF37" s="1"/>
      <c r="AG37" s="303"/>
      <c r="AH37" s="44">
        <v>0.11799999999999999</v>
      </c>
      <c r="AI37" s="44">
        <v>620</v>
      </c>
      <c r="AJ37" s="44">
        <v>0.11799999999999999</v>
      </c>
      <c r="AK37" s="44">
        <v>620</v>
      </c>
      <c r="AL37" s="1"/>
      <c r="AM37" s="1"/>
      <c r="AN37" s="1"/>
    </row>
    <row r="38" spans="1:40" s="22" customFormat="1" x14ac:dyDescent="0.15">
      <c r="A38" s="51">
        <v>34</v>
      </c>
      <c r="B38" s="52"/>
      <c r="C38" s="52" t="s">
        <v>381</v>
      </c>
      <c r="D38" s="61"/>
      <c r="E38" s="24" t="s">
        <v>576</v>
      </c>
      <c r="F38" s="28" t="s">
        <v>166</v>
      </c>
      <c r="G38" s="28" t="s">
        <v>575</v>
      </c>
      <c r="H38" s="30"/>
      <c r="I38" s="30"/>
      <c r="J38" s="30"/>
      <c r="K38" s="30"/>
      <c r="L38" s="77" t="s">
        <v>382</v>
      </c>
      <c r="M38" s="47"/>
      <c r="N38" s="47"/>
      <c r="O38" s="47"/>
      <c r="P38" s="47"/>
      <c r="Q38" s="47"/>
      <c r="R38" s="47"/>
      <c r="S38" s="64"/>
      <c r="T38" s="47"/>
      <c r="U38" s="47"/>
      <c r="V38" s="2"/>
      <c r="W38" s="2"/>
      <c r="X38" s="2"/>
      <c r="Y38" s="2"/>
      <c r="Z38" s="2"/>
      <c r="AA38" s="1"/>
      <c r="AB38" s="1"/>
      <c r="AC38" s="1"/>
      <c r="AD38" s="1"/>
      <c r="AE38" s="30" t="s">
        <v>383</v>
      </c>
      <c r="AF38" s="1"/>
      <c r="AG38" s="303"/>
      <c r="AH38" s="44">
        <v>0.12</v>
      </c>
      <c r="AI38" s="44">
        <v>625</v>
      </c>
      <c r="AJ38" s="44">
        <v>0.12</v>
      </c>
      <c r="AK38" s="44">
        <v>625</v>
      </c>
      <c r="AL38" s="1"/>
      <c r="AM38" s="1"/>
      <c r="AN38" s="1"/>
    </row>
    <row r="39" spans="1:40" s="22" customFormat="1" x14ac:dyDescent="0.15">
      <c r="A39" s="51">
        <v>35</v>
      </c>
      <c r="B39" s="52"/>
      <c r="C39" s="52" t="s">
        <v>384</v>
      </c>
      <c r="D39" s="61"/>
      <c r="E39" s="24"/>
      <c r="F39" s="30"/>
      <c r="G39" s="30"/>
      <c r="H39" s="30"/>
      <c r="I39" s="30"/>
      <c r="J39" s="30"/>
      <c r="K39" s="30"/>
      <c r="L39" s="77" t="s">
        <v>385</v>
      </c>
      <c r="M39" s="47"/>
      <c r="N39" s="47"/>
      <c r="O39" s="47"/>
      <c r="P39" s="47"/>
      <c r="Q39" s="47"/>
      <c r="R39" s="47"/>
      <c r="S39" s="64"/>
      <c r="T39" s="47"/>
      <c r="U39" s="47"/>
      <c r="V39" s="2"/>
      <c r="W39" s="2"/>
      <c r="X39" s="2"/>
      <c r="Y39" s="2"/>
      <c r="Z39" s="2"/>
      <c r="AA39" s="1"/>
      <c r="AB39" s="1"/>
      <c r="AC39" s="1"/>
      <c r="AD39" s="1"/>
      <c r="AE39" s="30" t="s">
        <v>386</v>
      </c>
      <c r="AF39" s="1"/>
      <c r="AG39" s="303"/>
      <c r="AH39" s="44">
        <v>0.122</v>
      </c>
      <c r="AI39" s="44">
        <v>630</v>
      </c>
      <c r="AJ39" s="44">
        <v>0.122</v>
      </c>
      <c r="AK39" s="44">
        <v>630</v>
      </c>
      <c r="AL39" s="1"/>
      <c r="AM39" s="1"/>
      <c r="AN39" s="1"/>
    </row>
    <row r="40" spans="1:40" s="22" customFormat="1" x14ac:dyDescent="0.15">
      <c r="A40" s="51">
        <v>36</v>
      </c>
      <c r="B40" s="52"/>
      <c r="C40" s="52" t="s">
        <v>387</v>
      </c>
      <c r="D40" s="61"/>
      <c r="E40" s="24"/>
      <c r="F40" s="30"/>
      <c r="G40" s="30"/>
      <c r="H40" s="30"/>
      <c r="I40" s="30"/>
      <c r="J40" s="30"/>
      <c r="K40" s="30"/>
      <c r="L40" s="77" t="s">
        <v>388</v>
      </c>
      <c r="M40" s="47"/>
      <c r="N40" s="47"/>
      <c r="O40" s="47"/>
      <c r="P40" s="47"/>
      <c r="Q40" s="47"/>
      <c r="R40" s="47"/>
      <c r="S40" s="64"/>
      <c r="T40" s="47"/>
      <c r="U40" s="47"/>
      <c r="V40" s="2"/>
      <c r="W40" s="2"/>
      <c r="X40" s="2"/>
      <c r="Y40" s="2"/>
      <c r="Z40" s="2"/>
      <c r="AA40" s="1"/>
      <c r="AB40" s="1"/>
      <c r="AC40" s="1"/>
      <c r="AD40" s="1"/>
      <c r="AE40" s="30" t="s">
        <v>165</v>
      </c>
      <c r="AF40" s="1"/>
      <c r="AG40" s="303"/>
      <c r="AH40" s="44">
        <v>0.124</v>
      </c>
      <c r="AI40" s="44">
        <v>635</v>
      </c>
      <c r="AJ40" s="44">
        <v>0.124</v>
      </c>
      <c r="AK40" s="44">
        <v>635</v>
      </c>
      <c r="AL40" s="1"/>
      <c r="AM40" s="1"/>
      <c r="AN40" s="1"/>
    </row>
    <row r="41" spans="1:40" s="22" customFormat="1" x14ac:dyDescent="0.15">
      <c r="A41" s="51">
        <v>37</v>
      </c>
      <c r="B41" s="52"/>
      <c r="C41" s="52" t="s">
        <v>389</v>
      </c>
      <c r="D41" s="61"/>
      <c r="E41" s="24"/>
      <c r="F41" s="30"/>
      <c r="G41" s="30"/>
      <c r="H41" s="30"/>
      <c r="I41" s="30"/>
      <c r="J41" s="30"/>
      <c r="K41" s="30"/>
      <c r="L41" s="77" t="s">
        <v>390</v>
      </c>
      <c r="M41" s="47"/>
      <c r="N41" s="47"/>
      <c r="O41" s="47"/>
      <c r="P41" s="47"/>
      <c r="Q41" s="47"/>
      <c r="R41" s="47"/>
      <c r="S41" s="64"/>
      <c r="T41" s="47"/>
      <c r="U41" s="47"/>
      <c r="V41" s="2"/>
      <c r="W41" s="2"/>
      <c r="X41" s="2"/>
      <c r="Y41" s="2"/>
      <c r="Z41" s="2"/>
      <c r="AA41" s="1"/>
      <c r="AB41" s="1"/>
      <c r="AC41" s="1"/>
      <c r="AD41" s="1"/>
      <c r="AE41" s="30" t="s">
        <v>329</v>
      </c>
      <c r="AF41" s="1"/>
      <c r="AG41" s="303"/>
      <c r="AH41" s="44">
        <v>0.126</v>
      </c>
      <c r="AI41" s="44">
        <v>640</v>
      </c>
      <c r="AJ41" s="44">
        <v>0.126</v>
      </c>
      <c r="AK41" s="44">
        <v>640</v>
      </c>
      <c r="AL41" s="1"/>
      <c r="AM41" s="1"/>
      <c r="AN41" s="1"/>
    </row>
    <row r="42" spans="1:40" s="22" customFormat="1" x14ac:dyDescent="0.15">
      <c r="A42" s="51">
        <v>38</v>
      </c>
      <c r="B42" s="52"/>
      <c r="C42" s="52" t="s">
        <v>391</v>
      </c>
      <c r="D42" s="61"/>
      <c r="E42" s="24"/>
      <c r="F42" s="30"/>
      <c r="G42" s="30"/>
      <c r="H42" s="30"/>
      <c r="I42" s="30"/>
      <c r="J42" s="30"/>
      <c r="K42" s="30"/>
      <c r="L42" s="77" t="s">
        <v>392</v>
      </c>
      <c r="M42" s="47"/>
      <c r="N42" s="47"/>
      <c r="O42" s="47"/>
      <c r="P42" s="47"/>
      <c r="Q42" s="47"/>
      <c r="R42" s="47"/>
      <c r="S42" s="64"/>
      <c r="T42" s="47"/>
      <c r="U42" s="47"/>
      <c r="V42" s="2"/>
      <c r="W42" s="2"/>
      <c r="X42" s="2"/>
      <c r="Y42" s="2"/>
      <c r="Z42" s="2"/>
      <c r="AA42" s="1"/>
      <c r="AB42" s="1"/>
      <c r="AC42" s="1"/>
      <c r="AD42" s="1"/>
      <c r="AE42" s="30" t="s">
        <v>393</v>
      </c>
      <c r="AF42" s="1"/>
      <c r="AG42" s="303"/>
      <c r="AH42" s="44">
        <v>0.128</v>
      </c>
      <c r="AI42" s="44">
        <v>645</v>
      </c>
      <c r="AJ42" s="44">
        <v>0.128</v>
      </c>
      <c r="AK42" s="44">
        <v>645</v>
      </c>
      <c r="AL42" s="1"/>
      <c r="AM42" s="1"/>
      <c r="AN42" s="1"/>
    </row>
    <row r="43" spans="1:40" s="22" customFormat="1" x14ac:dyDescent="0.15">
      <c r="A43" s="51">
        <v>39</v>
      </c>
      <c r="B43" s="52"/>
      <c r="C43" s="52" t="s">
        <v>394</v>
      </c>
      <c r="D43" s="61"/>
      <c r="E43" s="24"/>
      <c r="F43" s="30"/>
      <c r="G43" s="30"/>
      <c r="H43" s="30"/>
      <c r="I43" s="30"/>
      <c r="J43" s="30"/>
      <c r="K43" s="30"/>
      <c r="L43" s="77" t="s">
        <v>395</v>
      </c>
      <c r="M43" s="47"/>
      <c r="N43" s="47"/>
      <c r="O43" s="47"/>
      <c r="P43" s="47"/>
      <c r="Q43" s="47"/>
      <c r="R43" s="47"/>
      <c r="S43" s="64"/>
      <c r="T43" s="47"/>
      <c r="U43" s="47"/>
      <c r="V43" s="2"/>
      <c r="W43" s="2"/>
      <c r="X43" s="2"/>
      <c r="Y43" s="2"/>
      <c r="Z43" s="2"/>
      <c r="AA43" s="1"/>
      <c r="AB43" s="1"/>
      <c r="AC43" s="1"/>
      <c r="AD43" s="1"/>
      <c r="AE43" s="30" t="s">
        <v>396</v>
      </c>
      <c r="AF43" s="1"/>
      <c r="AG43" s="303"/>
      <c r="AH43" s="44">
        <v>0.13</v>
      </c>
      <c r="AI43" s="44">
        <v>650</v>
      </c>
      <c r="AJ43" s="44">
        <v>0.13</v>
      </c>
      <c r="AK43" s="44">
        <v>650</v>
      </c>
      <c r="AL43" s="1"/>
      <c r="AM43" s="1"/>
      <c r="AN43" s="1"/>
    </row>
    <row r="44" spans="1:40" s="22" customFormat="1" x14ac:dyDescent="0.15">
      <c r="A44" s="51">
        <v>40</v>
      </c>
      <c r="B44" s="52"/>
      <c r="C44" s="52" t="s">
        <v>294</v>
      </c>
      <c r="D44" s="61"/>
      <c r="E44" s="24"/>
      <c r="F44" s="30"/>
      <c r="G44" s="30"/>
      <c r="H44" s="30"/>
      <c r="I44" s="30"/>
      <c r="J44" s="30"/>
      <c r="K44" s="30"/>
      <c r="L44" s="77" t="s">
        <v>397</v>
      </c>
      <c r="M44" s="47"/>
      <c r="N44" s="47"/>
      <c r="O44" s="47"/>
      <c r="P44" s="47"/>
      <c r="Q44" s="47"/>
      <c r="R44" s="47"/>
      <c r="S44" s="64"/>
      <c r="T44" s="47"/>
      <c r="U44" s="47"/>
      <c r="V44" s="2"/>
      <c r="W44" s="2"/>
      <c r="X44" s="2"/>
      <c r="Y44" s="2"/>
      <c r="Z44" s="2"/>
      <c r="AA44" s="1"/>
      <c r="AB44" s="1"/>
      <c r="AC44" s="1"/>
      <c r="AD44" s="1"/>
      <c r="AE44" s="30" t="s">
        <v>398</v>
      </c>
      <c r="AF44" s="1"/>
      <c r="AG44" s="303"/>
      <c r="AH44" s="44">
        <v>0.13200000000000001</v>
      </c>
      <c r="AI44" s="44">
        <v>655</v>
      </c>
      <c r="AJ44" s="44">
        <v>0.13200000000000001</v>
      </c>
      <c r="AK44" s="44">
        <v>655</v>
      </c>
      <c r="AL44" s="1"/>
      <c r="AM44" s="1"/>
      <c r="AN44" s="1"/>
    </row>
    <row r="45" spans="1:40" s="22" customFormat="1" x14ac:dyDescent="0.15">
      <c r="A45" s="51">
        <v>41</v>
      </c>
      <c r="B45" s="52"/>
      <c r="C45" s="52" t="s">
        <v>399</v>
      </c>
      <c r="D45" s="61"/>
      <c r="E45" s="24"/>
      <c r="F45" s="30"/>
      <c r="G45" s="30"/>
      <c r="H45" s="30"/>
      <c r="I45" s="30"/>
      <c r="J45" s="30"/>
      <c r="K45" s="30"/>
      <c r="L45" s="77" t="s">
        <v>400</v>
      </c>
      <c r="M45" s="47"/>
      <c r="N45" s="47"/>
      <c r="O45" s="47"/>
      <c r="P45" s="47"/>
      <c r="Q45" s="47"/>
      <c r="R45" s="47"/>
      <c r="S45" s="64"/>
      <c r="T45" s="47"/>
      <c r="U45" s="47"/>
      <c r="V45" s="2"/>
      <c r="W45" s="2"/>
      <c r="X45" s="2"/>
      <c r="Y45" s="2"/>
      <c r="Z45" s="2"/>
      <c r="AA45" s="1"/>
      <c r="AB45" s="1"/>
      <c r="AC45" s="1"/>
      <c r="AD45" s="1"/>
      <c r="AE45" s="30" t="s">
        <v>401</v>
      </c>
      <c r="AF45" s="1"/>
      <c r="AG45" s="303"/>
      <c r="AH45" s="44">
        <v>0.13400000000000001</v>
      </c>
      <c r="AI45" s="44">
        <v>660</v>
      </c>
      <c r="AJ45" s="44">
        <v>0.13400000000000001</v>
      </c>
      <c r="AK45" s="44">
        <v>660</v>
      </c>
      <c r="AL45" s="1"/>
      <c r="AM45" s="1"/>
      <c r="AN45" s="1"/>
    </row>
    <row r="46" spans="1:40" s="22" customFormat="1" x14ac:dyDescent="0.15">
      <c r="A46" s="51">
        <v>42</v>
      </c>
      <c r="B46" s="52"/>
      <c r="C46" s="52" t="s">
        <v>402</v>
      </c>
      <c r="D46" s="61"/>
      <c r="E46" s="24"/>
      <c r="F46" s="30"/>
      <c r="G46" s="30"/>
      <c r="H46" s="30"/>
      <c r="I46" s="30"/>
      <c r="J46" s="30"/>
      <c r="K46" s="30"/>
      <c r="L46" s="77" t="s">
        <v>403</v>
      </c>
      <c r="M46" s="47"/>
      <c r="N46" s="47"/>
      <c r="O46" s="47"/>
      <c r="P46" s="47"/>
      <c r="Q46" s="47"/>
      <c r="R46" s="47"/>
      <c r="S46" s="64"/>
      <c r="T46" s="47"/>
      <c r="U46" s="47"/>
      <c r="V46" s="2"/>
      <c r="W46" s="2"/>
      <c r="X46" s="2"/>
      <c r="Y46" s="2"/>
      <c r="Z46" s="2"/>
      <c r="AA46" s="1"/>
      <c r="AB46" s="1"/>
      <c r="AC46" s="1"/>
      <c r="AD46" s="1"/>
      <c r="AE46" s="30" t="s">
        <v>404</v>
      </c>
      <c r="AF46" s="1"/>
      <c r="AG46" s="303"/>
      <c r="AH46" s="44">
        <v>0.13600000000000001</v>
      </c>
      <c r="AI46" s="44">
        <v>665</v>
      </c>
      <c r="AJ46" s="44">
        <v>0.13600000000000001</v>
      </c>
      <c r="AK46" s="44">
        <v>665</v>
      </c>
      <c r="AL46" s="1"/>
      <c r="AM46" s="1"/>
      <c r="AN46" s="1"/>
    </row>
    <row r="47" spans="1:40" s="22" customFormat="1" x14ac:dyDescent="0.15">
      <c r="A47" s="51">
        <v>43</v>
      </c>
      <c r="B47" s="52"/>
      <c r="C47" s="52" t="s">
        <v>300</v>
      </c>
      <c r="D47" s="61"/>
      <c r="E47" s="24"/>
      <c r="F47" s="30"/>
      <c r="G47" s="30"/>
      <c r="H47" s="30"/>
      <c r="I47" s="30"/>
      <c r="J47" s="30"/>
      <c r="K47" s="30"/>
      <c r="L47" s="77" t="s">
        <v>405</v>
      </c>
      <c r="M47" s="47"/>
      <c r="N47" s="47"/>
      <c r="O47" s="47"/>
      <c r="P47" s="47"/>
      <c r="Q47" s="47"/>
      <c r="R47" s="47"/>
      <c r="S47" s="64"/>
      <c r="T47" s="47"/>
      <c r="U47" s="47"/>
      <c r="V47" s="2"/>
      <c r="W47" s="2"/>
      <c r="X47" s="2"/>
      <c r="Y47" s="2"/>
      <c r="Z47" s="2"/>
      <c r="AA47" s="1"/>
      <c r="AB47" s="1"/>
      <c r="AC47" s="1"/>
      <c r="AD47" s="1"/>
      <c r="AE47" s="30" t="s">
        <v>406</v>
      </c>
      <c r="AF47" s="1"/>
      <c r="AG47" s="303"/>
      <c r="AH47" s="44">
        <v>0.13800000000000001</v>
      </c>
      <c r="AI47" s="44">
        <v>670</v>
      </c>
      <c r="AJ47" s="44">
        <v>0.13800000000000001</v>
      </c>
      <c r="AK47" s="44">
        <v>670</v>
      </c>
      <c r="AL47" s="1"/>
      <c r="AM47" s="1"/>
      <c r="AN47" s="1"/>
    </row>
    <row r="48" spans="1:40" s="22" customFormat="1" x14ac:dyDescent="0.15">
      <c r="A48" s="51">
        <v>44</v>
      </c>
      <c r="B48" s="52"/>
      <c r="C48" s="52" t="s">
        <v>407</v>
      </c>
      <c r="D48" s="61"/>
      <c r="E48" s="24"/>
      <c r="F48" s="30"/>
      <c r="G48" s="30"/>
      <c r="H48" s="30"/>
      <c r="I48" s="30"/>
      <c r="J48" s="30"/>
      <c r="K48" s="30"/>
      <c r="L48" s="77" t="s">
        <v>408</v>
      </c>
      <c r="M48" s="47"/>
      <c r="N48" s="47"/>
      <c r="O48" s="47"/>
      <c r="P48" s="47"/>
      <c r="Q48" s="47"/>
      <c r="R48" s="47"/>
      <c r="S48" s="64"/>
      <c r="T48" s="47"/>
      <c r="U48" s="47"/>
      <c r="V48" s="2"/>
      <c r="W48" s="2"/>
      <c r="X48" s="2"/>
      <c r="Y48" s="2"/>
      <c r="Z48" s="2"/>
      <c r="AA48" s="1"/>
      <c r="AB48" s="1"/>
      <c r="AC48" s="1"/>
      <c r="AD48" s="1"/>
      <c r="AE48" s="30" t="s">
        <v>409</v>
      </c>
      <c r="AF48" s="1"/>
      <c r="AG48" s="303"/>
      <c r="AH48" s="44">
        <v>0.14000000000000001</v>
      </c>
      <c r="AI48" s="44">
        <v>675</v>
      </c>
      <c r="AJ48" s="44">
        <v>0.14000000000000001</v>
      </c>
      <c r="AK48" s="44">
        <v>675</v>
      </c>
      <c r="AL48" s="1"/>
      <c r="AM48" s="1"/>
      <c r="AN48" s="1"/>
    </row>
    <row r="49" spans="1:40" s="22" customFormat="1" x14ac:dyDescent="0.15">
      <c r="A49" s="65">
        <v>45</v>
      </c>
      <c r="B49" s="52"/>
      <c r="C49" s="52" t="s">
        <v>410</v>
      </c>
      <c r="D49" s="61"/>
      <c r="E49" s="24"/>
      <c r="F49" s="30"/>
      <c r="G49" s="30"/>
      <c r="H49" s="30"/>
      <c r="I49" s="30"/>
      <c r="J49" s="30"/>
      <c r="K49" s="30"/>
      <c r="L49" s="77" t="s">
        <v>411</v>
      </c>
      <c r="M49" s="47"/>
      <c r="N49" s="47"/>
      <c r="O49" s="47"/>
      <c r="P49" s="47"/>
      <c r="Q49" s="47"/>
      <c r="R49" s="47"/>
      <c r="S49" s="64"/>
      <c r="T49" s="47"/>
      <c r="U49" s="47"/>
      <c r="V49" s="2"/>
      <c r="W49" s="2"/>
      <c r="X49" s="2"/>
      <c r="Y49" s="2"/>
      <c r="Z49" s="2"/>
      <c r="AA49" s="1"/>
      <c r="AB49" s="1"/>
      <c r="AC49" s="1"/>
      <c r="AD49" s="1"/>
      <c r="AE49" s="30" t="s">
        <v>412</v>
      </c>
      <c r="AF49" s="1"/>
      <c r="AG49" s="303"/>
      <c r="AH49" s="44">
        <v>0.14199999999999999</v>
      </c>
      <c r="AI49" s="44">
        <v>680</v>
      </c>
      <c r="AJ49" s="44">
        <v>0.14199999999999999</v>
      </c>
      <c r="AK49" s="44">
        <v>680</v>
      </c>
      <c r="AL49" s="1"/>
      <c r="AM49" s="1"/>
      <c r="AN49" s="1"/>
    </row>
    <row r="50" spans="1:40" s="22" customFormat="1" x14ac:dyDescent="0.15">
      <c r="A50" s="51">
        <v>46</v>
      </c>
      <c r="B50" s="52"/>
      <c r="C50" s="52" t="s">
        <v>413</v>
      </c>
      <c r="D50" s="61"/>
      <c r="E50" s="31"/>
      <c r="F50" s="30"/>
      <c r="G50" s="30"/>
      <c r="H50" s="30"/>
      <c r="I50" s="32"/>
      <c r="J50" s="32"/>
      <c r="K50" s="30"/>
      <c r="L50" s="77" t="s">
        <v>414</v>
      </c>
      <c r="M50" s="47"/>
      <c r="N50" s="47"/>
      <c r="O50" s="47"/>
      <c r="P50" s="47"/>
      <c r="Q50" s="47"/>
      <c r="R50" s="47"/>
      <c r="S50" s="64"/>
      <c r="T50" s="47"/>
      <c r="U50" s="47"/>
      <c r="V50" s="2"/>
      <c r="W50" s="2"/>
      <c r="X50" s="2"/>
      <c r="Y50" s="2"/>
      <c r="Z50" s="2"/>
      <c r="AA50" s="1"/>
      <c r="AB50" s="1"/>
      <c r="AC50" s="1"/>
      <c r="AD50" s="1"/>
      <c r="AE50" s="30" t="s">
        <v>193</v>
      </c>
      <c r="AF50" s="1"/>
      <c r="AG50" s="303"/>
      <c r="AH50" s="44">
        <v>0.14399999999999999</v>
      </c>
      <c r="AI50" s="44">
        <v>685</v>
      </c>
      <c r="AJ50" s="44">
        <v>0.14399999999999999</v>
      </c>
      <c r="AK50" s="44">
        <v>685</v>
      </c>
      <c r="AL50" s="1"/>
      <c r="AM50" s="1"/>
      <c r="AN50" s="1"/>
    </row>
    <row r="51" spans="1:40" s="22" customFormat="1" x14ac:dyDescent="0.15">
      <c r="A51" s="65">
        <v>47</v>
      </c>
      <c r="B51" s="52"/>
      <c r="C51" s="52" t="s">
        <v>251</v>
      </c>
      <c r="D51" s="61"/>
      <c r="E51" s="31"/>
      <c r="F51" s="30"/>
      <c r="G51" s="30"/>
      <c r="H51" s="30"/>
      <c r="I51" s="30"/>
      <c r="J51" s="30"/>
      <c r="K51" s="30"/>
      <c r="L51" s="77" t="s">
        <v>415</v>
      </c>
      <c r="M51" s="47"/>
      <c r="N51" s="47"/>
      <c r="O51" s="47"/>
      <c r="P51" s="47"/>
      <c r="Q51" s="47"/>
      <c r="R51" s="47"/>
      <c r="S51" s="64"/>
      <c r="T51" s="47"/>
      <c r="U51" s="47"/>
      <c r="V51" s="2"/>
      <c r="W51" s="2"/>
      <c r="X51" s="2"/>
      <c r="Y51" s="2"/>
      <c r="Z51" s="2"/>
      <c r="AA51" s="1"/>
      <c r="AB51" s="1"/>
      <c r="AC51" s="1"/>
      <c r="AD51" s="1"/>
      <c r="AE51" s="30" t="s">
        <v>416</v>
      </c>
      <c r="AF51" s="1"/>
      <c r="AG51" s="303"/>
      <c r="AH51" s="44">
        <v>0.14599999999999999</v>
      </c>
      <c r="AI51" s="44">
        <v>690</v>
      </c>
      <c r="AJ51" s="44">
        <v>0.14599999999999999</v>
      </c>
      <c r="AK51" s="44">
        <v>690</v>
      </c>
      <c r="AL51" s="1"/>
      <c r="AM51" s="1"/>
      <c r="AN51" s="1"/>
    </row>
    <row r="52" spans="1:40" s="22" customFormat="1" x14ac:dyDescent="0.15">
      <c r="A52" s="51">
        <v>48</v>
      </c>
      <c r="B52" s="52"/>
      <c r="C52" s="52"/>
      <c r="D52" s="61"/>
      <c r="E52" s="31"/>
      <c r="F52" s="30"/>
      <c r="G52" s="30"/>
      <c r="H52" s="30"/>
      <c r="I52" s="30"/>
      <c r="J52" s="30"/>
      <c r="K52" s="30"/>
      <c r="L52" s="77" t="s">
        <v>417</v>
      </c>
      <c r="M52" s="47"/>
      <c r="N52" s="47"/>
      <c r="O52" s="47"/>
      <c r="P52" s="47"/>
      <c r="Q52" s="47"/>
      <c r="R52" s="47"/>
      <c r="S52" s="64"/>
      <c r="T52" s="47"/>
      <c r="U52" s="47"/>
      <c r="V52" s="2"/>
      <c r="W52" s="2"/>
      <c r="X52" s="2"/>
      <c r="Y52" s="2"/>
      <c r="Z52" s="2"/>
      <c r="AA52" s="1"/>
      <c r="AB52" s="1"/>
      <c r="AC52" s="1"/>
      <c r="AD52" s="1"/>
      <c r="AE52" s="30" t="s">
        <v>418</v>
      </c>
      <c r="AF52" s="1"/>
      <c r="AG52" s="303"/>
      <c r="AH52" s="44">
        <v>0.14799999999999999</v>
      </c>
      <c r="AI52" s="44">
        <v>695</v>
      </c>
      <c r="AJ52" s="44">
        <v>0.14799999999999999</v>
      </c>
      <c r="AK52" s="44">
        <v>695</v>
      </c>
      <c r="AL52" s="1"/>
      <c r="AM52" s="1"/>
      <c r="AN52" s="1"/>
    </row>
    <row r="53" spans="1:40" s="22" customFormat="1" x14ac:dyDescent="0.15">
      <c r="A53" s="65">
        <v>49</v>
      </c>
      <c r="B53" s="52"/>
      <c r="C53" s="89" t="s">
        <v>600</v>
      </c>
      <c r="D53" s="61"/>
      <c r="E53" s="31"/>
      <c r="F53" s="30"/>
      <c r="G53" s="30"/>
      <c r="H53" s="30"/>
      <c r="I53" s="30"/>
      <c r="J53" s="30"/>
      <c r="K53" s="30"/>
      <c r="L53" s="77" t="s">
        <v>419</v>
      </c>
      <c r="M53" s="47"/>
      <c r="N53" s="47"/>
      <c r="O53" s="47"/>
      <c r="P53" s="47"/>
      <c r="Q53" s="47"/>
      <c r="R53" s="47"/>
      <c r="S53" s="64"/>
      <c r="T53" s="47"/>
      <c r="U53" s="47"/>
      <c r="V53" s="2"/>
      <c r="W53" s="2"/>
      <c r="X53" s="2"/>
      <c r="Y53" s="2"/>
      <c r="Z53" s="2"/>
      <c r="AA53" s="1"/>
      <c r="AB53" s="1"/>
      <c r="AC53" s="1"/>
      <c r="AD53" s="1"/>
      <c r="AE53" s="30" t="s">
        <v>420</v>
      </c>
      <c r="AF53" s="1"/>
      <c r="AG53" s="303"/>
      <c r="AH53" s="44">
        <v>0.15</v>
      </c>
      <c r="AI53" s="44">
        <v>700</v>
      </c>
      <c r="AJ53" s="44">
        <v>0.15</v>
      </c>
      <c r="AK53" s="44">
        <v>700</v>
      </c>
      <c r="AL53" s="1"/>
      <c r="AM53" s="1"/>
      <c r="AN53" s="1"/>
    </row>
    <row r="54" spans="1:40" s="22" customFormat="1" x14ac:dyDescent="0.15">
      <c r="A54" s="51">
        <v>50</v>
      </c>
      <c r="B54" s="52"/>
      <c r="C54" s="89" t="s">
        <v>595</v>
      </c>
      <c r="D54" s="61"/>
      <c r="E54" s="31"/>
      <c r="F54" s="30"/>
      <c r="G54" s="30"/>
      <c r="H54" s="30"/>
      <c r="I54" s="30"/>
      <c r="J54" s="30"/>
      <c r="K54" s="30"/>
      <c r="L54" s="77" t="s">
        <v>421</v>
      </c>
      <c r="M54" s="47"/>
      <c r="N54" s="47"/>
      <c r="O54" s="47"/>
      <c r="P54" s="47"/>
      <c r="Q54" s="47"/>
      <c r="R54" s="47"/>
      <c r="S54" s="64"/>
      <c r="T54" s="47"/>
      <c r="U54" s="47"/>
      <c r="V54" s="2"/>
      <c r="W54" s="2"/>
      <c r="X54" s="2"/>
      <c r="Y54" s="2"/>
      <c r="Z54" s="2"/>
      <c r="AA54" s="1"/>
      <c r="AB54" s="1"/>
      <c r="AC54" s="1"/>
      <c r="AD54" s="1"/>
      <c r="AE54" s="30" t="s">
        <v>422</v>
      </c>
      <c r="AF54" s="1"/>
      <c r="AG54" s="303"/>
      <c r="AH54" s="44">
        <v>0.152</v>
      </c>
      <c r="AI54" s="44">
        <v>705</v>
      </c>
      <c r="AJ54" s="44">
        <v>0.152</v>
      </c>
      <c r="AK54" s="44">
        <v>705</v>
      </c>
      <c r="AL54" s="1"/>
      <c r="AM54" s="1"/>
      <c r="AN54" s="1"/>
    </row>
    <row r="55" spans="1:40" s="22" customFormat="1" x14ac:dyDescent="0.15">
      <c r="A55" s="65">
        <v>51</v>
      </c>
      <c r="B55" s="52"/>
      <c r="C55" s="89" t="s">
        <v>599</v>
      </c>
      <c r="D55" s="61"/>
      <c r="E55" s="24"/>
      <c r="F55" s="30"/>
      <c r="G55" s="30"/>
      <c r="H55" s="30"/>
      <c r="I55" s="30"/>
      <c r="J55" s="30"/>
      <c r="K55" s="30"/>
      <c r="L55" s="77" t="s">
        <v>423</v>
      </c>
      <c r="M55" s="47"/>
      <c r="N55" s="47"/>
      <c r="O55" s="47"/>
      <c r="P55" s="47"/>
      <c r="Q55" s="47"/>
      <c r="R55" s="47"/>
      <c r="S55" s="64"/>
      <c r="T55" s="47"/>
      <c r="U55" s="47"/>
      <c r="V55" s="2"/>
      <c r="W55" s="2"/>
      <c r="X55" s="2"/>
      <c r="Y55" s="2"/>
      <c r="Z55" s="2"/>
      <c r="AA55" s="1"/>
      <c r="AB55" s="1"/>
      <c r="AC55" s="1"/>
      <c r="AD55" s="1"/>
      <c r="AE55" s="30" t="s">
        <v>424</v>
      </c>
      <c r="AF55" s="1"/>
      <c r="AG55" s="303"/>
      <c r="AH55" s="44">
        <v>0.154</v>
      </c>
      <c r="AI55" s="44">
        <v>710</v>
      </c>
      <c r="AJ55" s="44">
        <v>0.154</v>
      </c>
      <c r="AK55" s="44">
        <v>710</v>
      </c>
      <c r="AL55" s="1"/>
      <c r="AM55" s="1"/>
      <c r="AN55" s="1"/>
    </row>
    <row r="56" spans="1:40" s="22" customFormat="1" x14ac:dyDescent="0.15">
      <c r="A56" s="51">
        <v>52</v>
      </c>
      <c r="B56" s="52"/>
      <c r="C56" s="89" t="s">
        <v>597</v>
      </c>
      <c r="D56" s="61"/>
      <c r="E56" s="24"/>
      <c r="F56" s="30"/>
      <c r="G56" s="30"/>
      <c r="H56" s="30"/>
      <c r="I56" s="30"/>
      <c r="J56" s="30"/>
      <c r="K56" s="30"/>
      <c r="L56" s="77" t="s">
        <v>425</v>
      </c>
      <c r="M56" s="47"/>
      <c r="N56" s="47"/>
      <c r="O56" s="47"/>
      <c r="P56" s="47"/>
      <c r="Q56" s="47"/>
      <c r="R56" s="47"/>
      <c r="S56" s="64"/>
      <c r="T56" s="47"/>
      <c r="U56" s="47"/>
      <c r="V56" s="2"/>
      <c r="W56" s="2"/>
      <c r="X56" s="2"/>
      <c r="Y56" s="2"/>
      <c r="Z56" s="2"/>
      <c r="AA56" s="1"/>
      <c r="AB56" s="1"/>
      <c r="AC56" s="1"/>
      <c r="AD56" s="1"/>
      <c r="AE56" s="30" t="s">
        <v>426</v>
      </c>
      <c r="AF56" s="1"/>
      <c r="AG56" s="303"/>
      <c r="AH56" s="44">
        <v>0.156</v>
      </c>
      <c r="AI56" s="44">
        <v>715</v>
      </c>
      <c r="AJ56" s="44">
        <v>0.156</v>
      </c>
      <c r="AK56" s="44">
        <v>715</v>
      </c>
      <c r="AL56" s="1"/>
      <c r="AM56" s="1"/>
      <c r="AN56" s="1"/>
    </row>
    <row r="57" spans="1:40" s="22" customFormat="1" x14ac:dyDescent="0.15">
      <c r="A57" s="65">
        <v>53</v>
      </c>
      <c r="B57" s="52"/>
      <c r="C57" s="89" t="s">
        <v>10</v>
      </c>
      <c r="D57" s="61"/>
      <c r="E57" s="24"/>
      <c r="F57" s="30"/>
      <c r="G57" s="30"/>
      <c r="H57" s="30"/>
      <c r="I57" s="30"/>
      <c r="J57" s="30"/>
      <c r="K57" s="30"/>
      <c r="L57" s="77" t="s">
        <v>427</v>
      </c>
      <c r="M57" s="47"/>
      <c r="N57" s="47"/>
      <c r="O57" s="47"/>
      <c r="P57" s="47"/>
      <c r="Q57" s="47"/>
      <c r="R57" s="47"/>
      <c r="S57" s="64"/>
      <c r="T57" s="47"/>
      <c r="U57" s="47"/>
      <c r="V57" s="2"/>
      <c r="W57" s="2"/>
      <c r="X57" s="2"/>
      <c r="Y57" s="2"/>
      <c r="Z57" s="2"/>
      <c r="AA57" s="1"/>
      <c r="AB57" s="1"/>
      <c r="AC57" s="1"/>
      <c r="AD57" s="1"/>
      <c r="AE57" s="30" t="s">
        <v>428</v>
      </c>
      <c r="AF57" s="1"/>
      <c r="AG57" s="303"/>
      <c r="AH57" s="44">
        <v>0.158</v>
      </c>
      <c r="AI57" s="44">
        <v>720</v>
      </c>
      <c r="AJ57" s="44">
        <v>0.158</v>
      </c>
      <c r="AK57" s="44">
        <v>720</v>
      </c>
      <c r="AL57" s="1"/>
      <c r="AM57" s="1"/>
      <c r="AN57" s="1"/>
    </row>
    <row r="58" spans="1:40" s="22" customFormat="1" x14ac:dyDescent="0.15">
      <c r="A58" s="51">
        <v>54</v>
      </c>
      <c r="B58" s="52"/>
      <c r="C58" s="89" t="s">
        <v>596</v>
      </c>
      <c r="D58" s="61"/>
      <c r="E58" s="24"/>
      <c r="F58" s="30"/>
      <c r="G58" s="30"/>
      <c r="H58" s="30"/>
      <c r="I58" s="30"/>
      <c r="J58" s="30"/>
      <c r="K58" s="30"/>
      <c r="L58" s="77" t="s">
        <v>429</v>
      </c>
      <c r="M58" s="47"/>
      <c r="N58" s="47"/>
      <c r="O58" s="47"/>
      <c r="P58" s="47"/>
      <c r="Q58" s="47"/>
      <c r="R58" s="47"/>
      <c r="S58" s="64"/>
      <c r="T58" s="47"/>
      <c r="U58" s="47"/>
      <c r="V58" s="2"/>
      <c r="W58" s="2"/>
      <c r="X58" s="2"/>
      <c r="Y58" s="2"/>
      <c r="Z58" s="2"/>
      <c r="AA58" s="1"/>
      <c r="AB58" s="1"/>
      <c r="AC58" s="1"/>
      <c r="AD58" s="1"/>
      <c r="AE58" s="30"/>
      <c r="AF58" s="1"/>
      <c r="AG58" s="303"/>
      <c r="AH58" s="44">
        <v>0.16</v>
      </c>
      <c r="AI58" s="44">
        <v>725</v>
      </c>
      <c r="AJ58" s="44">
        <v>0.16</v>
      </c>
      <c r="AK58" s="44">
        <v>725</v>
      </c>
      <c r="AL58" s="1"/>
      <c r="AM58" s="1"/>
      <c r="AN58" s="1"/>
    </row>
    <row r="59" spans="1:40" s="22" customFormat="1" x14ac:dyDescent="0.15">
      <c r="A59" s="65">
        <v>55</v>
      </c>
      <c r="B59" s="52"/>
      <c r="C59" s="89" t="s">
        <v>587</v>
      </c>
      <c r="D59" s="61"/>
      <c r="E59" s="24"/>
      <c r="F59" s="30"/>
      <c r="G59" s="30"/>
      <c r="H59" s="30"/>
      <c r="I59" s="32"/>
      <c r="J59" s="32"/>
      <c r="K59" s="30"/>
      <c r="L59" s="77" t="s">
        <v>430</v>
      </c>
      <c r="M59" s="47"/>
      <c r="N59" s="47"/>
      <c r="O59" s="47"/>
      <c r="P59" s="47"/>
      <c r="Q59" s="47"/>
      <c r="R59" s="47"/>
      <c r="S59" s="64"/>
      <c r="T59" s="47"/>
      <c r="U59" s="47"/>
      <c r="V59" s="2"/>
      <c r="W59" s="2"/>
      <c r="X59" s="2"/>
      <c r="Y59" s="2"/>
      <c r="Z59" s="2"/>
      <c r="AA59" s="1"/>
      <c r="AB59" s="1"/>
      <c r="AC59" s="1"/>
      <c r="AD59" s="1"/>
      <c r="AE59" s="30"/>
      <c r="AF59" s="1"/>
      <c r="AG59" s="303"/>
      <c r="AH59" s="44">
        <v>0.16200000000000001</v>
      </c>
      <c r="AI59" s="44">
        <v>730</v>
      </c>
      <c r="AJ59" s="44">
        <v>0.16200000000000001</v>
      </c>
      <c r="AK59" s="44">
        <v>730</v>
      </c>
      <c r="AL59" s="1"/>
      <c r="AM59" s="1"/>
      <c r="AN59" s="1"/>
    </row>
    <row r="60" spans="1:40" s="22" customFormat="1" x14ac:dyDescent="0.15">
      <c r="A60" s="51">
        <v>56</v>
      </c>
      <c r="B60" s="52"/>
      <c r="C60" s="89" t="s">
        <v>598</v>
      </c>
      <c r="D60" s="61"/>
      <c r="E60" s="24"/>
      <c r="F60" s="30"/>
      <c r="G60" s="30"/>
      <c r="H60" s="30"/>
      <c r="I60" s="32"/>
      <c r="J60" s="32"/>
      <c r="K60" s="30"/>
      <c r="L60" s="77" t="s">
        <v>431</v>
      </c>
      <c r="M60" s="47"/>
      <c r="N60" s="47"/>
      <c r="O60" s="47"/>
      <c r="P60" s="47"/>
      <c r="Q60" s="47"/>
      <c r="R60" s="47"/>
      <c r="S60" s="64"/>
      <c r="T60" s="47"/>
      <c r="U60" s="47"/>
      <c r="V60" s="2"/>
      <c r="W60" s="2"/>
      <c r="X60" s="2"/>
      <c r="Y60" s="2"/>
      <c r="Z60" s="2"/>
      <c r="AA60" s="1"/>
      <c r="AB60" s="1"/>
      <c r="AC60" s="1"/>
      <c r="AD60" s="1"/>
      <c r="AE60" s="30"/>
      <c r="AF60" s="1"/>
      <c r="AG60" s="303"/>
      <c r="AH60" s="44">
        <v>0.16400000000000001</v>
      </c>
      <c r="AI60" s="44">
        <v>735</v>
      </c>
      <c r="AJ60" s="44">
        <v>0.16400000000000001</v>
      </c>
      <c r="AK60" s="44">
        <v>735</v>
      </c>
      <c r="AL60" s="1"/>
      <c r="AM60" s="1"/>
      <c r="AN60" s="1"/>
    </row>
    <row r="61" spans="1:40" x14ac:dyDescent="0.15">
      <c r="A61" s="66">
        <v>1</v>
      </c>
      <c r="B61" s="67">
        <v>2</v>
      </c>
      <c r="C61" s="67">
        <v>3</v>
      </c>
      <c r="D61" s="68">
        <v>4</v>
      </c>
      <c r="E61" s="68">
        <v>5</v>
      </c>
      <c r="F61" s="68">
        <v>6</v>
      </c>
      <c r="G61" s="68">
        <v>7</v>
      </c>
      <c r="H61" s="68">
        <v>8</v>
      </c>
      <c r="I61" s="69">
        <v>9</v>
      </c>
      <c r="J61" s="69">
        <v>10</v>
      </c>
      <c r="K61" s="69">
        <v>11</v>
      </c>
      <c r="L61" s="69">
        <v>12</v>
      </c>
      <c r="M61" s="69">
        <v>13</v>
      </c>
      <c r="N61" s="69">
        <v>14</v>
      </c>
      <c r="O61" s="69">
        <v>15</v>
      </c>
      <c r="P61" s="69">
        <v>16</v>
      </c>
      <c r="Q61" s="69">
        <v>17</v>
      </c>
      <c r="R61" s="69">
        <v>18</v>
      </c>
      <c r="S61" s="69">
        <v>19</v>
      </c>
      <c r="T61" s="69">
        <v>20</v>
      </c>
      <c r="U61" s="69">
        <v>21</v>
      </c>
      <c r="V61" s="69">
        <v>22</v>
      </c>
      <c r="W61" s="69">
        <v>23</v>
      </c>
      <c r="X61" s="69">
        <v>24</v>
      </c>
      <c r="Y61" s="69">
        <v>25</v>
      </c>
      <c r="Z61" s="69">
        <v>26</v>
      </c>
      <c r="AA61" s="69">
        <v>27</v>
      </c>
      <c r="AB61" s="69">
        <v>28</v>
      </c>
      <c r="AC61" s="69">
        <v>29</v>
      </c>
      <c r="AD61" s="69">
        <v>30</v>
      </c>
      <c r="AE61" s="69">
        <v>31</v>
      </c>
      <c r="AF61" s="69">
        <v>32</v>
      </c>
      <c r="AG61" s="69">
        <v>33</v>
      </c>
      <c r="AH61" s="69">
        <v>34</v>
      </c>
      <c r="AI61" s="69">
        <v>35</v>
      </c>
      <c r="AJ61" s="69">
        <v>36</v>
      </c>
      <c r="AK61" s="69">
        <v>37</v>
      </c>
      <c r="AL61" s="69">
        <v>38</v>
      </c>
      <c r="AM61" s="69">
        <v>39</v>
      </c>
      <c r="AN61" s="69">
        <v>40</v>
      </c>
    </row>
    <row r="62" spans="1:40" x14ac:dyDescent="0.15">
      <c r="A62" s="70"/>
      <c r="B62" s="70" t="s">
        <v>169</v>
      </c>
      <c r="C62" s="70" t="s">
        <v>169</v>
      </c>
      <c r="D62" s="70" t="s">
        <v>169</v>
      </c>
      <c r="E62" s="70" t="s">
        <v>169</v>
      </c>
      <c r="F62" s="70" t="s">
        <v>169</v>
      </c>
      <c r="G62" s="70" t="s">
        <v>169</v>
      </c>
      <c r="H62" s="70" t="s">
        <v>169</v>
      </c>
      <c r="I62" s="70" t="s">
        <v>169</v>
      </c>
      <c r="J62" s="70" t="s">
        <v>169</v>
      </c>
      <c r="K62" s="70" t="s">
        <v>169</v>
      </c>
      <c r="L62" s="70" t="s">
        <v>169</v>
      </c>
      <c r="M62" s="70" t="s">
        <v>169</v>
      </c>
      <c r="N62" s="70" t="s">
        <v>169</v>
      </c>
      <c r="O62" s="70" t="s">
        <v>169</v>
      </c>
      <c r="P62" s="70" t="s">
        <v>169</v>
      </c>
      <c r="Q62" s="70" t="s">
        <v>169</v>
      </c>
      <c r="R62" s="70" t="s">
        <v>169</v>
      </c>
      <c r="S62" s="70" t="s">
        <v>169</v>
      </c>
      <c r="T62" s="70" t="s">
        <v>169</v>
      </c>
      <c r="U62" s="70" t="s">
        <v>169</v>
      </c>
      <c r="V62" s="70" t="s">
        <v>169</v>
      </c>
      <c r="W62" s="70" t="s">
        <v>169</v>
      </c>
      <c r="X62" s="70" t="s">
        <v>169</v>
      </c>
      <c r="Y62" s="70" t="s">
        <v>169</v>
      </c>
      <c r="Z62" s="70" t="s">
        <v>169</v>
      </c>
      <c r="AA62" s="70" t="s">
        <v>169</v>
      </c>
      <c r="AB62" s="70" t="s">
        <v>169</v>
      </c>
      <c r="AC62" s="70" t="s">
        <v>169</v>
      </c>
      <c r="AD62" s="70" t="s">
        <v>169</v>
      </c>
      <c r="AE62" s="70" t="s">
        <v>169</v>
      </c>
      <c r="AF62" s="70" t="s">
        <v>169</v>
      </c>
      <c r="AG62" s="70" t="s">
        <v>169</v>
      </c>
      <c r="AH62" s="70" t="s">
        <v>169</v>
      </c>
      <c r="AI62" s="70" t="s">
        <v>169</v>
      </c>
      <c r="AJ62" s="70" t="s">
        <v>169</v>
      </c>
      <c r="AK62" s="70" t="s">
        <v>169</v>
      </c>
      <c r="AL62" s="70" t="s">
        <v>169</v>
      </c>
      <c r="AM62" s="70" t="s">
        <v>169</v>
      </c>
      <c r="AN62" s="70" t="s">
        <v>169</v>
      </c>
    </row>
    <row r="63" spans="1:40" x14ac:dyDescent="0.15">
      <c r="A63" s="71" t="s">
        <v>432</v>
      </c>
      <c r="B63" s="71" t="s">
        <v>433</v>
      </c>
      <c r="C63" s="71" t="s">
        <v>434</v>
      </c>
      <c r="D63" s="71" t="s">
        <v>435</v>
      </c>
      <c r="E63" s="17" t="s">
        <v>436</v>
      </c>
      <c r="F63" s="17" t="s">
        <v>526</v>
      </c>
      <c r="G63" s="17" t="s">
        <v>191</v>
      </c>
      <c r="H63" s="17" t="s">
        <v>437</v>
      </c>
      <c r="I63" s="17" t="s">
        <v>438</v>
      </c>
      <c r="J63" s="17" t="s">
        <v>540</v>
      </c>
      <c r="K63" s="17" t="s">
        <v>541</v>
      </c>
      <c r="L63" s="17" t="s">
        <v>439</v>
      </c>
      <c r="M63" s="17" t="s">
        <v>527</v>
      </c>
      <c r="N63" s="17" t="s">
        <v>170</v>
      </c>
      <c r="O63" s="17" t="s">
        <v>440</v>
      </c>
      <c r="P63" s="17" t="s">
        <v>441</v>
      </c>
      <c r="Q63" s="17" t="s">
        <v>542</v>
      </c>
      <c r="R63" s="17" t="s">
        <v>442</v>
      </c>
      <c r="S63" s="17" t="s">
        <v>443</v>
      </c>
      <c r="T63" s="17" t="s">
        <v>444</v>
      </c>
      <c r="U63" s="17" t="s">
        <v>445</v>
      </c>
      <c r="V63" s="17" t="s">
        <v>543</v>
      </c>
      <c r="W63" s="17" t="s">
        <v>446</v>
      </c>
      <c r="X63" s="17" t="s">
        <v>544</v>
      </c>
      <c r="Y63" s="17" t="s">
        <v>545</v>
      </c>
      <c r="Z63" s="17" t="s">
        <v>447</v>
      </c>
      <c r="AA63" s="17" t="s">
        <v>448</v>
      </c>
      <c r="AB63" s="17" t="s">
        <v>546</v>
      </c>
      <c r="AC63" s="72" t="s">
        <v>449</v>
      </c>
      <c r="AD63" s="72" t="s">
        <v>450</v>
      </c>
      <c r="AE63" s="72"/>
      <c r="AF63" s="88" t="s">
        <v>590</v>
      </c>
      <c r="AG63" s="88" t="s">
        <v>583</v>
      </c>
      <c r="AH63" s="88" t="s">
        <v>591</v>
      </c>
      <c r="AI63" s="88" t="s">
        <v>589</v>
      </c>
      <c r="AJ63" s="72"/>
      <c r="AK63" s="72"/>
      <c r="AL63" s="72"/>
      <c r="AM63" s="72"/>
      <c r="AN63" s="72"/>
    </row>
    <row r="64" spans="1:40" x14ac:dyDescent="0.15">
      <c r="A64" s="17" t="s">
        <v>451</v>
      </c>
      <c r="B64" s="71" t="s">
        <v>171</v>
      </c>
      <c r="C64" s="71"/>
      <c r="D64" s="17"/>
      <c r="E64" s="17"/>
      <c r="F64" s="17"/>
      <c r="G64" s="71" t="s">
        <v>171</v>
      </c>
      <c r="H64" s="17"/>
      <c r="I64" s="17"/>
      <c r="J64" s="17"/>
      <c r="K64" s="17"/>
      <c r="L64" s="17"/>
      <c r="M64" s="71" t="s">
        <v>171</v>
      </c>
      <c r="N64" s="71" t="s">
        <v>171</v>
      </c>
      <c r="O64" s="71"/>
      <c r="P64" s="71"/>
      <c r="Q64" s="17"/>
      <c r="R64" s="17"/>
      <c r="S64" s="17"/>
      <c r="T64" s="17"/>
      <c r="U64" s="71" t="s">
        <v>171</v>
      </c>
      <c r="V64" s="17"/>
      <c r="W64" s="17"/>
      <c r="X64" s="17"/>
      <c r="Y64" s="17"/>
      <c r="Z64" s="17"/>
      <c r="AA64" s="71" t="s">
        <v>171</v>
      </c>
      <c r="AB64" s="71" t="s">
        <v>171</v>
      </c>
      <c r="AC64" s="71" t="s">
        <v>171</v>
      </c>
      <c r="AD64" s="71" t="s">
        <v>171</v>
      </c>
      <c r="AE64" s="72"/>
      <c r="AF64" s="72"/>
      <c r="AG64" s="72" t="s">
        <v>588</v>
      </c>
      <c r="AH64" s="72" t="s">
        <v>588</v>
      </c>
      <c r="AI64" s="72"/>
      <c r="AJ64" s="72"/>
      <c r="AK64" s="72"/>
      <c r="AL64" s="72"/>
      <c r="AM64" s="72"/>
      <c r="AN64" s="72"/>
    </row>
    <row r="65" spans="1:40" x14ac:dyDescent="0.15">
      <c r="A65" s="17" t="s">
        <v>452</v>
      </c>
      <c r="B65" s="71" t="s">
        <v>171</v>
      </c>
      <c r="C65" s="71"/>
      <c r="D65" s="17"/>
      <c r="E65" s="17"/>
      <c r="F65" s="17"/>
      <c r="G65" s="71" t="s">
        <v>171</v>
      </c>
      <c r="H65" s="17"/>
      <c r="I65" s="17"/>
      <c r="J65" s="17"/>
      <c r="K65" s="17"/>
      <c r="L65" s="17"/>
      <c r="M65" s="71" t="s">
        <v>171</v>
      </c>
      <c r="N65" s="71" t="s">
        <v>171</v>
      </c>
      <c r="O65" s="71"/>
      <c r="P65" s="71"/>
      <c r="Q65" s="71" t="s">
        <v>171</v>
      </c>
      <c r="R65" s="71"/>
      <c r="S65" s="17"/>
      <c r="T65" s="17"/>
      <c r="U65" s="17"/>
      <c r="V65" s="71" t="s">
        <v>171</v>
      </c>
      <c r="W65" s="17"/>
      <c r="X65" s="17"/>
      <c r="Y65" s="17"/>
      <c r="Z65" s="17"/>
      <c r="AA65" s="71" t="s">
        <v>171</v>
      </c>
      <c r="AB65" s="71" t="s">
        <v>171</v>
      </c>
      <c r="AC65" s="71" t="s">
        <v>171</v>
      </c>
      <c r="AD65" s="17"/>
      <c r="AE65" s="72"/>
      <c r="AF65" s="72"/>
      <c r="AG65" s="72" t="s">
        <v>588</v>
      </c>
      <c r="AH65" s="72" t="s">
        <v>588</v>
      </c>
      <c r="AI65" s="72"/>
      <c r="AJ65" s="72"/>
      <c r="AK65" s="72"/>
      <c r="AL65" s="72"/>
      <c r="AM65" s="72"/>
      <c r="AN65" s="72"/>
    </row>
    <row r="66" spans="1:40" x14ac:dyDescent="0.15">
      <c r="A66" s="17" t="s">
        <v>453</v>
      </c>
      <c r="B66" s="71" t="s">
        <v>171</v>
      </c>
      <c r="C66" s="71"/>
      <c r="D66" s="17"/>
      <c r="E66" s="17"/>
      <c r="F66" s="17"/>
      <c r="G66" s="71" t="s">
        <v>171</v>
      </c>
      <c r="H66" s="17"/>
      <c r="I66" s="17"/>
      <c r="J66" s="17"/>
      <c r="K66" s="17"/>
      <c r="L66" s="17"/>
      <c r="M66" s="71" t="s">
        <v>171</v>
      </c>
      <c r="N66" s="71" t="s">
        <v>171</v>
      </c>
      <c r="O66" s="71"/>
      <c r="P66" s="71"/>
      <c r="Q66" s="71" t="s">
        <v>171</v>
      </c>
      <c r="R66" s="71" t="s">
        <v>171</v>
      </c>
      <c r="S66" s="71"/>
      <c r="T66" s="17"/>
      <c r="U66" s="17"/>
      <c r="V66" s="17"/>
      <c r="W66" s="71" t="s">
        <v>171</v>
      </c>
      <c r="X66" s="17"/>
      <c r="Y66" s="17"/>
      <c r="Z66" s="17"/>
      <c r="AA66" s="71" t="s">
        <v>171</v>
      </c>
      <c r="AB66" s="71" t="s">
        <v>171</v>
      </c>
      <c r="AC66" s="17"/>
      <c r="AD66" s="17"/>
      <c r="AE66" s="72"/>
      <c r="AF66" s="72"/>
      <c r="AG66" s="72" t="s">
        <v>588</v>
      </c>
      <c r="AH66" s="72" t="s">
        <v>588</v>
      </c>
      <c r="AI66" s="72"/>
      <c r="AJ66" s="72"/>
      <c r="AK66" s="72"/>
      <c r="AL66" s="72"/>
      <c r="AM66" s="72"/>
      <c r="AN66" s="72"/>
    </row>
    <row r="67" spans="1:40" x14ac:dyDescent="0.15">
      <c r="A67" s="17" t="s">
        <v>454</v>
      </c>
      <c r="B67" s="71" t="s">
        <v>171</v>
      </c>
      <c r="C67" s="71"/>
      <c r="D67" s="17"/>
      <c r="E67" s="17"/>
      <c r="F67" s="17"/>
      <c r="G67" s="71" t="s">
        <v>171</v>
      </c>
      <c r="H67" s="17"/>
      <c r="I67" s="17"/>
      <c r="J67" s="17"/>
      <c r="K67" s="17"/>
      <c r="L67" s="17"/>
      <c r="M67" s="71" t="s">
        <v>171</v>
      </c>
      <c r="N67" s="71" t="s">
        <v>171</v>
      </c>
      <c r="O67" s="71"/>
      <c r="P67" s="71"/>
      <c r="Q67" s="71" t="s">
        <v>171</v>
      </c>
      <c r="R67" s="71" t="s">
        <v>171</v>
      </c>
      <c r="S67" s="71" t="s">
        <v>171</v>
      </c>
      <c r="T67" s="71"/>
      <c r="U67" s="17"/>
      <c r="V67" s="17"/>
      <c r="W67" s="17"/>
      <c r="X67" s="71" t="s">
        <v>171</v>
      </c>
      <c r="Y67" s="17"/>
      <c r="Z67" s="17"/>
      <c r="AA67" s="71" t="s">
        <v>171</v>
      </c>
      <c r="AB67" s="71"/>
      <c r="AC67" s="17"/>
      <c r="AD67" s="71"/>
      <c r="AE67" s="72"/>
      <c r="AF67" s="72"/>
      <c r="AG67" s="72" t="s">
        <v>588</v>
      </c>
      <c r="AH67" s="72" t="s">
        <v>588</v>
      </c>
      <c r="AI67" s="72"/>
      <c r="AJ67" s="72"/>
      <c r="AK67" s="72"/>
      <c r="AL67" s="72"/>
      <c r="AM67" s="72"/>
      <c r="AN67" s="72"/>
    </row>
    <row r="68" spans="1:40" x14ac:dyDescent="0.15">
      <c r="A68" s="17" t="s">
        <v>455</v>
      </c>
      <c r="B68" s="71" t="s">
        <v>171</v>
      </c>
      <c r="C68" s="71"/>
      <c r="D68" s="17"/>
      <c r="E68" s="17"/>
      <c r="F68" s="17"/>
      <c r="G68" s="71" t="s">
        <v>171</v>
      </c>
      <c r="H68" s="17"/>
      <c r="I68" s="17"/>
      <c r="J68" s="17"/>
      <c r="K68" s="17"/>
      <c r="L68" s="17"/>
      <c r="M68" s="71" t="s">
        <v>171</v>
      </c>
      <c r="N68" s="71" t="s">
        <v>171</v>
      </c>
      <c r="O68" s="71"/>
      <c r="P68" s="71"/>
      <c r="Q68" s="71" t="s">
        <v>171</v>
      </c>
      <c r="R68" s="71" t="s">
        <v>171</v>
      </c>
      <c r="S68" s="71" t="s">
        <v>171</v>
      </c>
      <c r="T68" s="71" t="s">
        <v>171</v>
      </c>
      <c r="U68" s="17"/>
      <c r="V68" s="17"/>
      <c r="W68" s="17"/>
      <c r="X68" s="17"/>
      <c r="Y68" s="71" t="s">
        <v>171</v>
      </c>
      <c r="Z68" s="17"/>
      <c r="AA68" s="17"/>
      <c r="AB68" s="17"/>
      <c r="AC68" s="71"/>
      <c r="AD68" s="71"/>
      <c r="AE68" s="72"/>
      <c r="AF68" s="72"/>
      <c r="AG68" s="72" t="s">
        <v>588</v>
      </c>
      <c r="AH68" s="72" t="s">
        <v>588</v>
      </c>
      <c r="AI68" s="72"/>
      <c r="AJ68" s="72"/>
      <c r="AK68" s="72"/>
      <c r="AL68" s="72"/>
      <c r="AM68" s="72"/>
      <c r="AN68" s="72"/>
    </row>
    <row r="69" spans="1:40" x14ac:dyDescent="0.15">
      <c r="A69" s="17" t="s">
        <v>456</v>
      </c>
      <c r="B69" s="71"/>
      <c r="C69" s="71"/>
      <c r="D69" s="17"/>
      <c r="E69" s="17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7"/>
      <c r="AA69" s="17"/>
      <c r="AB69" s="17"/>
      <c r="AC69" s="71"/>
      <c r="AD69" s="71"/>
      <c r="AE69" s="72"/>
      <c r="AF69" s="72"/>
      <c r="AG69" s="72"/>
      <c r="AH69" s="72"/>
      <c r="AI69" s="72"/>
      <c r="AJ69" s="72"/>
      <c r="AK69" s="72"/>
      <c r="AL69" s="72"/>
      <c r="AM69" s="72"/>
      <c r="AN69" s="72"/>
    </row>
    <row r="70" spans="1:40" x14ac:dyDescent="0.15">
      <c r="A70" s="17" t="s">
        <v>457</v>
      </c>
      <c r="B70" s="71" t="s">
        <v>171</v>
      </c>
      <c r="C70" s="71" t="s">
        <v>171</v>
      </c>
      <c r="D70" s="17"/>
      <c r="E70" s="17"/>
      <c r="F70" s="17"/>
      <c r="G70" s="17"/>
      <c r="H70" s="71" t="s">
        <v>171</v>
      </c>
      <c r="I70" s="17"/>
      <c r="J70" s="17"/>
      <c r="K70" s="17"/>
      <c r="L70" s="17"/>
      <c r="M70" s="71" t="s">
        <v>171</v>
      </c>
      <c r="N70" s="71" t="s">
        <v>171</v>
      </c>
      <c r="O70" s="71"/>
      <c r="P70" s="17"/>
      <c r="Q70" s="17"/>
      <c r="R70" s="17"/>
      <c r="S70" s="17"/>
      <c r="T70" s="17"/>
      <c r="U70" s="71" t="s">
        <v>171</v>
      </c>
      <c r="V70" s="17"/>
      <c r="W70" s="17"/>
      <c r="X70" s="17"/>
      <c r="Y70" s="17"/>
      <c r="Z70" s="17"/>
      <c r="AA70" s="71" t="s">
        <v>171</v>
      </c>
      <c r="AB70" s="71" t="s">
        <v>171</v>
      </c>
      <c r="AC70" s="71" t="s">
        <v>171</v>
      </c>
      <c r="AD70" s="71" t="s">
        <v>171</v>
      </c>
      <c r="AE70" s="72"/>
      <c r="AF70" s="72"/>
      <c r="AG70" s="72" t="s">
        <v>588</v>
      </c>
      <c r="AH70" s="72"/>
      <c r="AI70" s="72" t="s">
        <v>588</v>
      </c>
      <c r="AJ70" s="72"/>
      <c r="AK70" s="72"/>
      <c r="AL70" s="72"/>
      <c r="AM70" s="72"/>
      <c r="AN70" s="72"/>
    </row>
    <row r="71" spans="1:40" x14ac:dyDescent="0.15">
      <c r="A71" s="17" t="s">
        <v>172</v>
      </c>
      <c r="B71" s="71" t="s">
        <v>171</v>
      </c>
      <c r="C71" s="71" t="s">
        <v>171</v>
      </c>
      <c r="D71" s="17"/>
      <c r="E71" s="17"/>
      <c r="F71" s="17"/>
      <c r="G71" s="17"/>
      <c r="H71" s="71" t="s">
        <v>171</v>
      </c>
      <c r="I71" s="17"/>
      <c r="J71" s="17"/>
      <c r="K71" s="17"/>
      <c r="L71" s="17"/>
      <c r="M71" s="71" t="s">
        <v>171</v>
      </c>
      <c r="N71" s="71" t="s">
        <v>171</v>
      </c>
      <c r="O71" s="71"/>
      <c r="P71" s="17"/>
      <c r="Q71" s="71" t="s">
        <v>171</v>
      </c>
      <c r="R71" s="71"/>
      <c r="S71" s="71"/>
      <c r="T71" s="71"/>
      <c r="U71" s="17"/>
      <c r="V71" s="71" t="s">
        <v>171</v>
      </c>
      <c r="W71" s="17"/>
      <c r="X71" s="17"/>
      <c r="Y71" s="17"/>
      <c r="Z71" s="17"/>
      <c r="AA71" s="71" t="s">
        <v>171</v>
      </c>
      <c r="AB71" s="71" t="s">
        <v>171</v>
      </c>
      <c r="AC71" s="71" t="s">
        <v>171</v>
      </c>
      <c r="AD71" s="17"/>
      <c r="AE71" s="72"/>
      <c r="AF71" s="72"/>
      <c r="AG71" s="72" t="s">
        <v>588</v>
      </c>
      <c r="AH71" s="72"/>
      <c r="AI71" s="72" t="s">
        <v>588</v>
      </c>
      <c r="AJ71" s="72"/>
      <c r="AK71" s="72"/>
      <c r="AL71" s="72"/>
      <c r="AM71" s="72"/>
      <c r="AN71" s="72"/>
    </row>
    <row r="72" spans="1:40" x14ac:dyDescent="0.15">
      <c r="A72" s="17" t="s">
        <v>458</v>
      </c>
      <c r="B72" s="71" t="s">
        <v>171</v>
      </c>
      <c r="C72" s="71" t="s">
        <v>171</v>
      </c>
      <c r="D72" s="17"/>
      <c r="E72" s="17"/>
      <c r="F72" s="17"/>
      <c r="G72" s="17"/>
      <c r="H72" s="71" t="s">
        <v>171</v>
      </c>
      <c r="I72" s="17"/>
      <c r="J72" s="17"/>
      <c r="K72" s="17"/>
      <c r="L72" s="17"/>
      <c r="M72" s="71" t="s">
        <v>171</v>
      </c>
      <c r="N72" s="71" t="s">
        <v>171</v>
      </c>
      <c r="O72" s="71"/>
      <c r="P72" s="17"/>
      <c r="Q72" s="71" t="s">
        <v>171</v>
      </c>
      <c r="R72" s="71" t="s">
        <v>171</v>
      </c>
      <c r="S72" s="71"/>
      <c r="T72" s="71"/>
      <c r="U72" s="17"/>
      <c r="V72" s="17"/>
      <c r="W72" s="71" t="s">
        <v>171</v>
      </c>
      <c r="X72" s="17"/>
      <c r="Y72" s="17"/>
      <c r="Z72" s="17"/>
      <c r="AA72" s="71" t="s">
        <v>171</v>
      </c>
      <c r="AB72" s="71" t="s">
        <v>171</v>
      </c>
      <c r="AC72" s="17"/>
      <c r="AD72" s="17"/>
      <c r="AE72" s="72"/>
      <c r="AF72" s="72"/>
      <c r="AG72" s="72" t="s">
        <v>588</v>
      </c>
      <c r="AH72" s="72"/>
      <c r="AI72" s="72" t="s">
        <v>588</v>
      </c>
      <c r="AJ72" s="72"/>
      <c r="AK72" s="72"/>
      <c r="AL72" s="72"/>
      <c r="AM72" s="72"/>
      <c r="AN72" s="72"/>
    </row>
    <row r="73" spans="1:40" x14ac:dyDescent="0.15">
      <c r="A73" s="17" t="s">
        <v>459</v>
      </c>
      <c r="B73" s="71" t="s">
        <v>171</v>
      </c>
      <c r="C73" s="71" t="s">
        <v>171</v>
      </c>
      <c r="D73" s="17"/>
      <c r="E73" s="17"/>
      <c r="F73" s="17"/>
      <c r="G73" s="17"/>
      <c r="H73" s="71" t="s">
        <v>171</v>
      </c>
      <c r="I73" s="17"/>
      <c r="J73" s="17"/>
      <c r="K73" s="17"/>
      <c r="L73" s="17"/>
      <c r="M73" s="71" t="s">
        <v>171</v>
      </c>
      <c r="N73" s="71" t="s">
        <v>171</v>
      </c>
      <c r="O73" s="71"/>
      <c r="P73" s="17"/>
      <c r="Q73" s="71" t="s">
        <v>171</v>
      </c>
      <c r="R73" s="71" t="s">
        <v>171</v>
      </c>
      <c r="S73" s="71" t="s">
        <v>171</v>
      </c>
      <c r="T73" s="71"/>
      <c r="U73" s="17"/>
      <c r="V73" s="17"/>
      <c r="W73" s="17"/>
      <c r="X73" s="71" t="s">
        <v>171</v>
      </c>
      <c r="Y73" s="17"/>
      <c r="Z73" s="17"/>
      <c r="AA73" s="71" t="s">
        <v>171</v>
      </c>
      <c r="AB73" s="71"/>
      <c r="AC73" s="17"/>
      <c r="AD73" s="71"/>
      <c r="AE73" s="72"/>
      <c r="AF73" s="72"/>
      <c r="AG73" s="72" t="s">
        <v>588</v>
      </c>
      <c r="AH73" s="72"/>
      <c r="AI73" s="72" t="s">
        <v>588</v>
      </c>
      <c r="AJ73" s="72"/>
      <c r="AK73" s="72"/>
      <c r="AL73" s="72"/>
      <c r="AM73" s="72"/>
      <c r="AN73" s="72"/>
    </row>
    <row r="74" spans="1:40" x14ac:dyDescent="0.15">
      <c r="A74" s="17" t="s">
        <v>460</v>
      </c>
      <c r="B74" s="71" t="s">
        <v>171</v>
      </c>
      <c r="C74" s="71" t="s">
        <v>171</v>
      </c>
      <c r="D74" s="17"/>
      <c r="E74" s="17"/>
      <c r="F74" s="17"/>
      <c r="G74" s="17"/>
      <c r="H74" s="71" t="s">
        <v>171</v>
      </c>
      <c r="I74" s="17"/>
      <c r="J74" s="17"/>
      <c r="K74" s="17"/>
      <c r="L74" s="17"/>
      <c r="M74" s="71" t="s">
        <v>171</v>
      </c>
      <c r="N74" s="71" t="s">
        <v>171</v>
      </c>
      <c r="O74" s="71"/>
      <c r="P74" s="17"/>
      <c r="Q74" s="71" t="s">
        <v>171</v>
      </c>
      <c r="R74" s="71" t="s">
        <v>171</v>
      </c>
      <c r="S74" s="71" t="s">
        <v>171</v>
      </c>
      <c r="T74" s="71" t="s">
        <v>171</v>
      </c>
      <c r="U74" s="17"/>
      <c r="V74" s="17"/>
      <c r="W74" s="17"/>
      <c r="X74" s="17"/>
      <c r="Y74" s="71" t="s">
        <v>171</v>
      </c>
      <c r="Z74" s="17"/>
      <c r="AA74" s="17"/>
      <c r="AB74" s="17"/>
      <c r="AC74" s="71"/>
      <c r="AD74" s="71"/>
      <c r="AE74" s="72"/>
      <c r="AF74" s="72"/>
      <c r="AG74" s="72" t="s">
        <v>588</v>
      </c>
      <c r="AH74" s="72"/>
      <c r="AI74" s="72" t="s">
        <v>588</v>
      </c>
      <c r="AJ74" s="72"/>
      <c r="AK74" s="72"/>
      <c r="AL74" s="72"/>
      <c r="AM74" s="72"/>
      <c r="AN74" s="72"/>
    </row>
    <row r="75" spans="1:40" x14ac:dyDescent="0.15">
      <c r="A75" s="17" t="s">
        <v>461</v>
      </c>
      <c r="B75" s="17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  <c r="AA75" s="17"/>
      <c r="AB75" s="17"/>
      <c r="AC75" s="71"/>
      <c r="AD75" s="71"/>
      <c r="AE75" s="72"/>
      <c r="AF75" s="72"/>
      <c r="AG75" s="72"/>
      <c r="AH75" s="72"/>
      <c r="AI75" s="72"/>
      <c r="AJ75" s="72"/>
      <c r="AK75" s="72"/>
      <c r="AL75" s="72"/>
      <c r="AM75" s="72"/>
      <c r="AN75" s="72"/>
    </row>
    <row r="76" spans="1:40" x14ac:dyDescent="0.15">
      <c r="A76" s="17" t="s">
        <v>462</v>
      </c>
      <c r="B76" s="71" t="s">
        <v>171</v>
      </c>
      <c r="C76" s="71" t="s">
        <v>171</v>
      </c>
      <c r="D76" s="71" t="s">
        <v>171</v>
      </c>
      <c r="E76" s="17"/>
      <c r="F76" s="17"/>
      <c r="G76" s="17"/>
      <c r="H76" s="17"/>
      <c r="I76" s="71" t="s">
        <v>171</v>
      </c>
      <c r="J76" s="17"/>
      <c r="K76" s="17"/>
      <c r="L76" s="17"/>
      <c r="M76" s="71" t="s">
        <v>171</v>
      </c>
      <c r="N76" s="71" t="s">
        <v>171</v>
      </c>
      <c r="O76" s="17"/>
      <c r="P76" s="17"/>
      <c r="Q76" s="17"/>
      <c r="R76" s="17"/>
      <c r="S76" s="17"/>
      <c r="T76" s="17"/>
      <c r="U76" s="71" t="s">
        <v>171</v>
      </c>
      <c r="V76" s="17"/>
      <c r="W76" s="17"/>
      <c r="X76" s="17"/>
      <c r="Y76" s="17"/>
      <c r="Z76" s="17"/>
      <c r="AA76" s="71" t="s">
        <v>171</v>
      </c>
      <c r="AB76" s="71" t="s">
        <v>171</v>
      </c>
      <c r="AC76" s="71" t="s">
        <v>171</v>
      </c>
      <c r="AD76" s="71" t="s">
        <v>171</v>
      </c>
      <c r="AE76" s="72"/>
      <c r="AF76" s="72" t="s">
        <v>588</v>
      </c>
      <c r="AG76" s="72"/>
      <c r="AH76" s="72"/>
      <c r="AI76" s="72" t="s">
        <v>588</v>
      </c>
      <c r="AJ76" s="72"/>
      <c r="AK76" s="72"/>
      <c r="AL76" s="72"/>
      <c r="AM76" s="72"/>
      <c r="AN76" s="72"/>
    </row>
    <row r="77" spans="1:40" x14ac:dyDescent="0.15">
      <c r="A77" s="17" t="s">
        <v>463</v>
      </c>
      <c r="B77" s="71" t="s">
        <v>171</v>
      </c>
      <c r="C77" s="71" t="s">
        <v>171</v>
      </c>
      <c r="D77" s="71" t="s">
        <v>171</v>
      </c>
      <c r="E77" s="17"/>
      <c r="F77" s="17"/>
      <c r="G77" s="17"/>
      <c r="H77" s="17"/>
      <c r="I77" s="71" t="s">
        <v>171</v>
      </c>
      <c r="J77" s="17"/>
      <c r="K77" s="17"/>
      <c r="L77" s="17"/>
      <c r="M77" s="71" t="s">
        <v>171</v>
      </c>
      <c r="N77" s="71" t="s">
        <v>171</v>
      </c>
      <c r="O77" s="17"/>
      <c r="P77" s="17"/>
      <c r="Q77" s="71" t="s">
        <v>171</v>
      </c>
      <c r="R77" s="71"/>
      <c r="S77" s="71"/>
      <c r="T77" s="71"/>
      <c r="U77" s="17"/>
      <c r="V77" s="71" t="s">
        <v>171</v>
      </c>
      <c r="W77" s="17"/>
      <c r="X77" s="17"/>
      <c r="Y77" s="17"/>
      <c r="Z77" s="17"/>
      <c r="AA77" s="71" t="s">
        <v>171</v>
      </c>
      <c r="AB77" s="71" t="s">
        <v>171</v>
      </c>
      <c r="AC77" s="71" t="s">
        <v>171</v>
      </c>
      <c r="AD77" s="17"/>
      <c r="AE77" s="72"/>
      <c r="AF77" s="72" t="s">
        <v>588</v>
      </c>
      <c r="AG77" s="72"/>
      <c r="AH77" s="72"/>
      <c r="AI77" s="72" t="s">
        <v>588</v>
      </c>
      <c r="AJ77" s="72"/>
      <c r="AK77" s="72"/>
      <c r="AL77" s="72"/>
      <c r="AM77" s="72"/>
      <c r="AN77" s="72"/>
    </row>
    <row r="78" spans="1:40" x14ac:dyDescent="0.15">
      <c r="A78" s="17" t="s">
        <v>173</v>
      </c>
      <c r="B78" s="71" t="s">
        <v>171</v>
      </c>
      <c r="C78" s="71" t="s">
        <v>171</v>
      </c>
      <c r="D78" s="71" t="s">
        <v>171</v>
      </c>
      <c r="E78" s="17"/>
      <c r="F78" s="17"/>
      <c r="G78" s="17"/>
      <c r="H78" s="17"/>
      <c r="I78" s="71" t="s">
        <v>171</v>
      </c>
      <c r="J78" s="17"/>
      <c r="K78" s="17"/>
      <c r="L78" s="17"/>
      <c r="M78" s="71" t="s">
        <v>171</v>
      </c>
      <c r="N78" s="71" t="s">
        <v>171</v>
      </c>
      <c r="O78" s="17"/>
      <c r="P78" s="17"/>
      <c r="Q78" s="71" t="s">
        <v>171</v>
      </c>
      <c r="R78" s="71" t="s">
        <v>171</v>
      </c>
      <c r="S78" s="71"/>
      <c r="T78" s="71"/>
      <c r="U78" s="17"/>
      <c r="V78" s="17"/>
      <c r="W78" s="71" t="s">
        <v>171</v>
      </c>
      <c r="X78" s="17"/>
      <c r="Y78" s="17"/>
      <c r="Z78" s="17"/>
      <c r="AA78" s="71" t="s">
        <v>171</v>
      </c>
      <c r="AB78" s="71" t="s">
        <v>171</v>
      </c>
      <c r="AC78" s="17"/>
      <c r="AD78" s="17"/>
      <c r="AE78" s="72"/>
      <c r="AF78" s="72" t="s">
        <v>588</v>
      </c>
      <c r="AG78" s="72"/>
      <c r="AH78" s="72"/>
      <c r="AI78" s="72" t="s">
        <v>588</v>
      </c>
      <c r="AJ78" s="72"/>
      <c r="AK78" s="72"/>
      <c r="AL78" s="72"/>
      <c r="AM78" s="72"/>
      <c r="AN78" s="72"/>
    </row>
    <row r="79" spans="1:40" x14ac:dyDescent="0.15">
      <c r="A79" s="17" t="s">
        <v>464</v>
      </c>
      <c r="B79" s="71" t="s">
        <v>171</v>
      </c>
      <c r="C79" s="71" t="s">
        <v>171</v>
      </c>
      <c r="D79" s="71" t="s">
        <v>171</v>
      </c>
      <c r="E79" s="17"/>
      <c r="F79" s="17"/>
      <c r="G79" s="17"/>
      <c r="H79" s="17"/>
      <c r="I79" s="71" t="s">
        <v>171</v>
      </c>
      <c r="J79" s="17"/>
      <c r="K79" s="17"/>
      <c r="L79" s="17"/>
      <c r="M79" s="71" t="s">
        <v>171</v>
      </c>
      <c r="N79" s="71" t="s">
        <v>171</v>
      </c>
      <c r="O79" s="17"/>
      <c r="P79" s="17"/>
      <c r="Q79" s="71" t="s">
        <v>171</v>
      </c>
      <c r="R79" s="71" t="s">
        <v>171</v>
      </c>
      <c r="S79" s="71" t="s">
        <v>171</v>
      </c>
      <c r="T79" s="71"/>
      <c r="U79" s="17"/>
      <c r="V79" s="17"/>
      <c r="W79" s="17"/>
      <c r="X79" s="71" t="s">
        <v>171</v>
      </c>
      <c r="Y79" s="17"/>
      <c r="Z79" s="17"/>
      <c r="AA79" s="71" t="s">
        <v>171</v>
      </c>
      <c r="AB79" s="71"/>
      <c r="AC79" s="17"/>
      <c r="AD79" s="71"/>
      <c r="AE79" s="72"/>
      <c r="AF79" s="72" t="s">
        <v>588</v>
      </c>
      <c r="AG79" s="72"/>
      <c r="AH79" s="72"/>
      <c r="AI79" s="72" t="s">
        <v>588</v>
      </c>
      <c r="AJ79" s="72"/>
      <c r="AK79" s="72"/>
      <c r="AL79" s="72"/>
      <c r="AM79" s="72"/>
      <c r="AN79" s="72"/>
    </row>
    <row r="80" spans="1:40" x14ac:dyDescent="0.15">
      <c r="A80" s="17" t="s">
        <v>465</v>
      </c>
      <c r="B80" s="71" t="s">
        <v>171</v>
      </c>
      <c r="C80" s="71" t="s">
        <v>171</v>
      </c>
      <c r="D80" s="71" t="s">
        <v>171</v>
      </c>
      <c r="E80" s="17"/>
      <c r="F80" s="17"/>
      <c r="G80" s="17"/>
      <c r="H80" s="17"/>
      <c r="I80" s="71" t="s">
        <v>171</v>
      </c>
      <c r="J80" s="17"/>
      <c r="K80" s="17"/>
      <c r="L80" s="17"/>
      <c r="M80" s="71" t="s">
        <v>171</v>
      </c>
      <c r="N80" s="71" t="s">
        <v>171</v>
      </c>
      <c r="O80" s="17"/>
      <c r="P80" s="17"/>
      <c r="Q80" s="71" t="s">
        <v>171</v>
      </c>
      <c r="R80" s="71" t="s">
        <v>171</v>
      </c>
      <c r="S80" s="71" t="s">
        <v>171</v>
      </c>
      <c r="T80" s="71" t="s">
        <v>171</v>
      </c>
      <c r="U80" s="17"/>
      <c r="V80" s="17"/>
      <c r="W80" s="17"/>
      <c r="X80" s="17"/>
      <c r="Y80" s="71" t="s">
        <v>171</v>
      </c>
      <c r="Z80" s="17"/>
      <c r="AA80" s="17"/>
      <c r="AB80" s="17"/>
      <c r="AC80" s="71"/>
      <c r="AD80" s="71"/>
      <c r="AE80" s="72"/>
      <c r="AF80" s="72" t="s">
        <v>588</v>
      </c>
      <c r="AG80" s="72"/>
      <c r="AH80" s="72"/>
      <c r="AI80" s="72" t="s">
        <v>588</v>
      </c>
      <c r="AJ80" s="72"/>
      <c r="AK80" s="72"/>
      <c r="AL80" s="72"/>
      <c r="AM80" s="72"/>
      <c r="AN80" s="72"/>
    </row>
    <row r="81" spans="1:40" x14ac:dyDescent="0.15">
      <c r="A81" s="17" t="s">
        <v>466</v>
      </c>
      <c r="B81" s="71"/>
      <c r="C81" s="17"/>
      <c r="D81" s="17"/>
      <c r="E81" s="17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  <c r="AA81" s="17"/>
      <c r="AB81" s="17"/>
      <c r="AC81" s="71"/>
      <c r="AD81" s="71"/>
      <c r="AE81" s="72"/>
      <c r="AF81" s="72"/>
      <c r="AG81" s="72"/>
      <c r="AH81" s="72"/>
      <c r="AI81" s="72"/>
      <c r="AJ81" s="72"/>
      <c r="AK81" s="72"/>
      <c r="AL81" s="72"/>
      <c r="AM81" s="72"/>
      <c r="AN81" s="72"/>
    </row>
    <row r="82" spans="1:40" x14ac:dyDescent="0.15">
      <c r="A82" s="17" t="s">
        <v>467</v>
      </c>
      <c r="B82" s="71" t="s">
        <v>171</v>
      </c>
      <c r="C82" s="71" t="s">
        <v>171</v>
      </c>
      <c r="D82" s="71" t="s">
        <v>171</v>
      </c>
      <c r="E82" s="71" t="s">
        <v>171</v>
      </c>
      <c r="F82" s="17"/>
      <c r="G82" s="17"/>
      <c r="H82" s="17"/>
      <c r="I82" s="17"/>
      <c r="J82" s="71" t="s">
        <v>171</v>
      </c>
      <c r="K82" s="17"/>
      <c r="L82" s="17"/>
      <c r="M82" s="71" t="s">
        <v>171</v>
      </c>
      <c r="N82" s="17"/>
      <c r="O82" s="17"/>
      <c r="P82" s="17"/>
      <c r="Q82" s="17"/>
      <c r="R82" s="17"/>
      <c r="S82" s="17"/>
      <c r="T82" s="17"/>
      <c r="U82" s="71" t="s">
        <v>171</v>
      </c>
      <c r="V82" s="17"/>
      <c r="W82" s="17"/>
      <c r="X82" s="17"/>
      <c r="Y82" s="17"/>
      <c r="Z82" s="17"/>
      <c r="AA82" s="71" t="s">
        <v>171</v>
      </c>
      <c r="AB82" s="71" t="s">
        <v>171</v>
      </c>
      <c r="AC82" s="71" t="s">
        <v>171</v>
      </c>
      <c r="AD82" s="71" t="s">
        <v>171</v>
      </c>
      <c r="AE82" s="72"/>
      <c r="AF82" s="72" t="s">
        <v>588</v>
      </c>
      <c r="AG82" s="72"/>
      <c r="AH82" s="72"/>
      <c r="AI82" s="72" t="s">
        <v>588</v>
      </c>
      <c r="AJ82" s="72"/>
      <c r="AK82" s="72"/>
      <c r="AL82" s="72"/>
      <c r="AM82" s="72"/>
      <c r="AN82" s="72"/>
    </row>
    <row r="83" spans="1:40" x14ac:dyDescent="0.15">
      <c r="A83" s="17" t="s">
        <v>468</v>
      </c>
      <c r="B83" s="71" t="s">
        <v>171</v>
      </c>
      <c r="C83" s="71" t="s">
        <v>171</v>
      </c>
      <c r="D83" s="71" t="s">
        <v>171</v>
      </c>
      <c r="E83" s="71" t="s">
        <v>171</v>
      </c>
      <c r="F83" s="17"/>
      <c r="G83" s="17"/>
      <c r="H83" s="17"/>
      <c r="I83" s="17"/>
      <c r="J83" s="71" t="s">
        <v>171</v>
      </c>
      <c r="K83" s="17"/>
      <c r="L83" s="17"/>
      <c r="M83" s="71" t="s">
        <v>171</v>
      </c>
      <c r="N83" s="17"/>
      <c r="O83" s="17"/>
      <c r="P83" s="17"/>
      <c r="Q83" s="71" t="s">
        <v>171</v>
      </c>
      <c r="R83" s="71"/>
      <c r="S83" s="71"/>
      <c r="T83" s="71"/>
      <c r="U83" s="17"/>
      <c r="V83" s="71" t="s">
        <v>171</v>
      </c>
      <c r="W83" s="17"/>
      <c r="X83" s="17"/>
      <c r="Y83" s="17"/>
      <c r="Z83" s="17"/>
      <c r="AA83" s="71" t="s">
        <v>171</v>
      </c>
      <c r="AB83" s="71" t="s">
        <v>171</v>
      </c>
      <c r="AC83" s="71" t="s">
        <v>171</v>
      </c>
      <c r="AD83" s="17"/>
      <c r="AE83" s="72"/>
      <c r="AF83" s="72" t="s">
        <v>588</v>
      </c>
      <c r="AG83" s="72"/>
      <c r="AH83" s="72"/>
      <c r="AI83" s="72" t="s">
        <v>588</v>
      </c>
      <c r="AJ83" s="72"/>
      <c r="AK83" s="72"/>
      <c r="AL83" s="72"/>
      <c r="AM83" s="72"/>
      <c r="AN83" s="72"/>
    </row>
    <row r="84" spans="1:40" x14ac:dyDescent="0.15">
      <c r="A84" s="17" t="s">
        <v>469</v>
      </c>
      <c r="B84" s="71" t="s">
        <v>171</v>
      </c>
      <c r="C84" s="71" t="s">
        <v>171</v>
      </c>
      <c r="D84" s="71" t="s">
        <v>171</v>
      </c>
      <c r="E84" s="71" t="s">
        <v>171</v>
      </c>
      <c r="F84" s="17"/>
      <c r="G84" s="17"/>
      <c r="H84" s="17"/>
      <c r="I84" s="17"/>
      <c r="J84" s="71" t="s">
        <v>171</v>
      </c>
      <c r="K84" s="17"/>
      <c r="L84" s="17"/>
      <c r="M84" s="71" t="s">
        <v>171</v>
      </c>
      <c r="N84" s="17"/>
      <c r="O84" s="17"/>
      <c r="P84" s="17"/>
      <c r="Q84" s="71" t="s">
        <v>171</v>
      </c>
      <c r="R84" s="71" t="s">
        <v>171</v>
      </c>
      <c r="S84" s="71"/>
      <c r="T84" s="71"/>
      <c r="U84" s="17"/>
      <c r="V84" s="17"/>
      <c r="W84" s="71" t="s">
        <v>171</v>
      </c>
      <c r="X84" s="17"/>
      <c r="Y84" s="17"/>
      <c r="Z84" s="17"/>
      <c r="AA84" s="71" t="s">
        <v>171</v>
      </c>
      <c r="AB84" s="71" t="s">
        <v>171</v>
      </c>
      <c r="AC84" s="17"/>
      <c r="AD84" s="71"/>
      <c r="AE84" s="72"/>
      <c r="AF84" s="72" t="s">
        <v>588</v>
      </c>
      <c r="AG84" s="72"/>
      <c r="AH84" s="72"/>
      <c r="AI84" s="72" t="s">
        <v>588</v>
      </c>
      <c r="AJ84" s="72"/>
      <c r="AK84" s="72"/>
      <c r="AL84" s="72"/>
      <c r="AM84" s="72"/>
      <c r="AN84" s="72"/>
    </row>
    <row r="85" spans="1:40" x14ac:dyDescent="0.15">
      <c r="A85" s="17" t="s">
        <v>174</v>
      </c>
      <c r="B85" s="71" t="s">
        <v>171</v>
      </c>
      <c r="C85" s="71" t="s">
        <v>171</v>
      </c>
      <c r="D85" s="71" t="s">
        <v>171</v>
      </c>
      <c r="E85" s="71" t="s">
        <v>171</v>
      </c>
      <c r="F85" s="17"/>
      <c r="G85" s="17"/>
      <c r="H85" s="17"/>
      <c r="I85" s="17"/>
      <c r="J85" s="71" t="s">
        <v>171</v>
      </c>
      <c r="K85" s="17"/>
      <c r="L85" s="17"/>
      <c r="M85" s="71" t="s">
        <v>171</v>
      </c>
      <c r="N85" s="17"/>
      <c r="O85" s="17"/>
      <c r="P85" s="17"/>
      <c r="Q85" s="71" t="s">
        <v>171</v>
      </c>
      <c r="R85" s="71" t="s">
        <v>171</v>
      </c>
      <c r="S85" s="71" t="s">
        <v>171</v>
      </c>
      <c r="T85" s="71"/>
      <c r="U85" s="17"/>
      <c r="V85" s="17"/>
      <c r="W85" s="17"/>
      <c r="X85" s="71" t="s">
        <v>171</v>
      </c>
      <c r="Y85" s="17"/>
      <c r="Z85" s="17"/>
      <c r="AA85" s="71" t="s">
        <v>171</v>
      </c>
      <c r="AB85" s="71"/>
      <c r="AC85" s="71"/>
      <c r="AD85" s="71"/>
      <c r="AE85" s="72"/>
      <c r="AF85" s="72" t="s">
        <v>588</v>
      </c>
      <c r="AG85" s="72"/>
      <c r="AH85" s="72"/>
      <c r="AI85" s="72" t="s">
        <v>588</v>
      </c>
      <c r="AJ85" s="72"/>
      <c r="AK85" s="72"/>
      <c r="AL85" s="72"/>
      <c r="AM85" s="72"/>
      <c r="AN85" s="72"/>
    </row>
    <row r="86" spans="1:40" x14ac:dyDescent="0.15">
      <c r="A86" s="17" t="s">
        <v>470</v>
      </c>
      <c r="B86" s="71" t="s">
        <v>171</v>
      </c>
      <c r="C86" s="71" t="s">
        <v>171</v>
      </c>
      <c r="D86" s="71" t="s">
        <v>171</v>
      </c>
      <c r="E86" s="71" t="s">
        <v>171</v>
      </c>
      <c r="F86" s="17"/>
      <c r="G86" s="17"/>
      <c r="H86" s="17"/>
      <c r="I86" s="17"/>
      <c r="J86" s="71" t="s">
        <v>171</v>
      </c>
      <c r="K86" s="17"/>
      <c r="L86" s="17"/>
      <c r="M86" s="71" t="s">
        <v>171</v>
      </c>
      <c r="N86" s="17"/>
      <c r="O86" s="17"/>
      <c r="P86" s="17"/>
      <c r="Q86" s="71" t="s">
        <v>171</v>
      </c>
      <c r="R86" s="71" t="s">
        <v>171</v>
      </c>
      <c r="S86" s="71" t="s">
        <v>171</v>
      </c>
      <c r="T86" s="71" t="s">
        <v>171</v>
      </c>
      <c r="U86" s="17"/>
      <c r="V86" s="17"/>
      <c r="W86" s="17"/>
      <c r="X86" s="17"/>
      <c r="Y86" s="71" t="s">
        <v>171</v>
      </c>
      <c r="Z86" s="17"/>
      <c r="AA86" s="17"/>
      <c r="AB86" s="17"/>
      <c r="AC86" s="71"/>
      <c r="AD86" s="71"/>
      <c r="AE86" s="72"/>
      <c r="AF86" s="72" t="s">
        <v>588</v>
      </c>
      <c r="AG86" s="72"/>
      <c r="AH86" s="72"/>
      <c r="AI86" s="72" t="s">
        <v>588</v>
      </c>
      <c r="AJ86" s="72"/>
      <c r="AK86" s="72"/>
      <c r="AL86" s="72"/>
      <c r="AM86" s="72"/>
      <c r="AN86" s="72"/>
    </row>
    <row r="87" spans="1:40" x14ac:dyDescent="0.15">
      <c r="A87" s="17" t="s">
        <v>471</v>
      </c>
      <c r="B87" s="71"/>
      <c r="C87" s="17"/>
      <c r="D87" s="17"/>
      <c r="E87" s="17"/>
      <c r="F87" s="17"/>
      <c r="G87" s="17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17"/>
      <c r="S87" s="17"/>
      <c r="T87" s="17"/>
      <c r="U87" s="71" t="s">
        <v>171</v>
      </c>
      <c r="V87" s="17"/>
      <c r="W87" s="17"/>
      <c r="X87" s="17"/>
      <c r="Y87" s="17"/>
      <c r="Z87" s="17"/>
      <c r="AA87" s="71" t="s">
        <v>171</v>
      </c>
      <c r="AB87" s="71" t="s">
        <v>171</v>
      </c>
      <c r="AC87" s="71" t="s">
        <v>171</v>
      </c>
      <c r="AD87" s="71" t="s">
        <v>171</v>
      </c>
      <c r="AE87" s="72"/>
      <c r="AF87" s="72"/>
      <c r="AG87" s="72"/>
      <c r="AH87" s="72"/>
      <c r="AI87" s="72"/>
      <c r="AJ87" s="72"/>
      <c r="AK87" s="72"/>
      <c r="AL87" s="72"/>
      <c r="AM87" s="72"/>
      <c r="AN87" s="72"/>
    </row>
    <row r="88" spans="1:40" x14ac:dyDescent="0.15">
      <c r="A88" s="17" t="s">
        <v>472</v>
      </c>
      <c r="B88" s="71" t="s">
        <v>171</v>
      </c>
      <c r="C88" s="71" t="s">
        <v>171</v>
      </c>
      <c r="D88" s="71" t="s">
        <v>171</v>
      </c>
      <c r="E88" s="71" t="s">
        <v>171</v>
      </c>
      <c r="F88" s="71" t="s">
        <v>171</v>
      </c>
      <c r="G88" s="17"/>
      <c r="H88" s="17"/>
      <c r="I88" s="17"/>
      <c r="J88" s="17"/>
      <c r="K88" s="71" t="s">
        <v>171</v>
      </c>
      <c r="L88" s="17"/>
      <c r="M88" s="17"/>
      <c r="N88" s="17"/>
      <c r="O88" s="17"/>
      <c r="P88" s="17"/>
      <c r="Q88" s="71" t="s">
        <v>171</v>
      </c>
      <c r="R88" s="71"/>
      <c r="S88" s="71"/>
      <c r="T88" s="71"/>
      <c r="U88" s="17"/>
      <c r="V88" s="71" t="s">
        <v>171</v>
      </c>
      <c r="W88" s="17"/>
      <c r="X88" s="17"/>
      <c r="Y88" s="17"/>
      <c r="Z88" s="17"/>
      <c r="AA88" s="71" t="s">
        <v>171</v>
      </c>
      <c r="AB88" s="71" t="s">
        <v>171</v>
      </c>
      <c r="AC88" s="71" t="s">
        <v>171</v>
      </c>
      <c r="AD88" s="72"/>
      <c r="AE88" s="72"/>
      <c r="AF88" s="72"/>
      <c r="AG88" s="72"/>
      <c r="AH88" s="72"/>
      <c r="AI88" s="72"/>
      <c r="AJ88" s="72"/>
      <c r="AK88" s="72"/>
      <c r="AL88" s="72"/>
      <c r="AM88" s="72"/>
      <c r="AN88" s="72"/>
    </row>
    <row r="89" spans="1:40" x14ac:dyDescent="0.15">
      <c r="A89" s="17" t="s">
        <v>473</v>
      </c>
      <c r="B89" s="71" t="s">
        <v>171</v>
      </c>
      <c r="C89" s="71" t="s">
        <v>171</v>
      </c>
      <c r="D89" s="71" t="s">
        <v>171</v>
      </c>
      <c r="E89" s="71" t="s">
        <v>171</v>
      </c>
      <c r="F89" s="71" t="s">
        <v>171</v>
      </c>
      <c r="G89" s="17"/>
      <c r="H89" s="17"/>
      <c r="I89" s="17"/>
      <c r="J89" s="17"/>
      <c r="K89" s="71" t="s">
        <v>171</v>
      </c>
      <c r="L89" s="17"/>
      <c r="M89" s="17"/>
      <c r="N89" s="17"/>
      <c r="O89" s="17"/>
      <c r="P89" s="17"/>
      <c r="Q89" s="71" t="s">
        <v>171</v>
      </c>
      <c r="R89" s="71" t="s">
        <v>171</v>
      </c>
      <c r="S89" s="71"/>
      <c r="T89" s="71"/>
      <c r="U89" s="17"/>
      <c r="V89" s="17"/>
      <c r="W89" s="71" t="s">
        <v>171</v>
      </c>
      <c r="X89" s="17"/>
      <c r="Y89" s="17"/>
      <c r="Z89" s="17"/>
      <c r="AA89" s="71" t="s">
        <v>171</v>
      </c>
      <c r="AB89" s="71" t="s">
        <v>171</v>
      </c>
      <c r="AC89" s="72"/>
      <c r="AD89" s="72"/>
      <c r="AE89" s="72"/>
      <c r="AF89" s="72"/>
      <c r="AG89" s="72"/>
      <c r="AH89" s="72"/>
      <c r="AI89" s="72"/>
      <c r="AJ89" s="72"/>
      <c r="AK89" s="72"/>
      <c r="AL89" s="72"/>
      <c r="AM89" s="72"/>
      <c r="AN89" s="72"/>
    </row>
    <row r="90" spans="1:40" x14ac:dyDescent="0.15">
      <c r="A90" s="17" t="s">
        <v>474</v>
      </c>
      <c r="B90" s="71" t="s">
        <v>171</v>
      </c>
      <c r="C90" s="71" t="s">
        <v>171</v>
      </c>
      <c r="D90" s="71" t="s">
        <v>171</v>
      </c>
      <c r="E90" s="71" t="s">
        <v>171</v>
      </c>
      <c r="F90" s="71" t="s">
        <v>171</v>
      </c>
      <c r="G90" s="17"/>
      <c r="H90" s="17"/>
      <c r="I90" s="17"/>
      <c r="J90" s="17"/>
      <c r="K90" s="71" t="s">
        <v>171</v>
      </c>
      <c r="L90" s="17"/>
      <c r="M90" s="17"/>
      <c r="N90" s="17"/>
      <c r="O90" s="17"/>
      <c r="P90" s="17"/>
      <c r="Q90" s="71" t="s">
        <v>171</v>
      </c>
      <c r="R90" s="71" t="s">
        <v>171</v>
      </c>
      <c r="S90" s="71" t="s">
        <v>171</v>
      </c>
      <c r="T90" s="71"/>
      <c r="U90" s="17"/>
      <c r="V90" s="17"/>
      <c r="W90" s="17"/>
      <c r="X90" s="71" t="s">
        <v>171</v>
      </c>
      <c r="Y90" s="17"/>
      <c r="Z90" s="17"/>
      <c r="AA90" s="71" t="s">
        <v>171</v>
      </c>
      <c r="AB90" s="71"/>
      <c r="AC90" s="72"/>
      <c r="AD90" s="72"/>
      <c r="AE90" s="72"/>
      <c r="AF90" s="72"/>
      <c r="AG90" s="72"/>
      <c r="AH90" s="72"/>
      <c r="AI90" s="72"/>
      <c r="AJ90" s="72"/>
      <c r="AK90" s="72"/>
      <c r="AL90" s="72"/>
      <c r="AM90" s="72"/>
      <c r="AN90" s="72"/>
    </row>
    <row r="91" spans="1:40" x14ac:dyDescent="0.15">
      <c r="A91" s="17" t="s">
        <v>475</v>
      </c>
      <c r="B91" s="71" t="s">
        <v>171</v>
      </c>
      <c r="C91" s="71" t="s">
        <v>171</v>
      </c>
      <c r="D91" s="71" t="s">
        <v>171</v>
      </c>
      <c r="E91" s="71" t="s">
        <v>171</v>
      </c>
      <c r="F91" s="71" t="s">
        <v>171</v>
      </c>
      <c r="G91" s="17"/>
      <c r="H91" s="17"/>
      <c r="I91" s="17"/>
      <c r="J91" s="17"/>
      <c r="K91" s="71" t="s">
        <v>171</v>
      </c>
      <c r="L91" s="17"/>
      <c r="M91" s="17"/>
      <c r="N91" s="17"/>
      <c r="O91" s="17"/>
      <c r="P91" s="17"/>
      <c r="Q91" s="71" t="s">
        <v>171</v>
      </c>
      <c r="R91" s="71" t="s">
        <v>171</v>
      </c>
      <c r="S91" s="71" t="s">
        <v>171</v>
      </c>
      <c r="T91" s="71" t="s">
        <v>171</v>
      </c>
      <c r="U91" s="17"/>
      <c r="V91" s="17"/>
      <c r="W91" s="17"/>
      <c r="X91" s="17"/>
      <c r="Y91" s="71" t="s">
        <v>171</v>
      </c>
      <c r="Z91" s="17"/>
      <c r="AA91" s="72"/>
      <c r="AB91" s="72"/>
      <c r="AC91" s="72"/>
      <c r="AD91" s="72"/>
      <c r="AE91" s="72"/>
      <c r="AF91" s="72"/>
      <c r="AG91" s="72"/>
      <c r="AH91" s="72"/>
      <c r="AI91" s="72"/>
      <c r="AJ91" s="72"/>
      <c r="AK91" s="72"/>
      <c r="AL91" s="72"/>
      <c r="AM91" s="72"/>
      <c r="AN91" s="72"/>
    </row>
    <row r="92" spans="1:40" x14ac:dyDescent="0.15">
      <c r="A92" s="17" t="s">
        <v>175</v>
      </c>
      <c r="B92" s="71" t="s">
        <v>171</v>
      </c>
      <c r="C92" s="71" t="s">
        <v>171</v>
      </c>
      <c r="D92" s="71" t="s">
        <v>171</v>
      </c>
      <c r="E92" s="71" t="s">
        <v>171</v>
      </c>
      <c r="F92" s="71" t="s">
        <v>171</v>
      </c>
      <c r="G92" s="17"/>
      <c r="H92" s="17"/>
      <c r="I92" s="17"/>
      <c r="J92" s="17"/>
      <c r="K92" s="71" t="s">
        <v>171</v>
      </c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  <c r="X92" s="17"/>
      <c r="Y92" s="17"/>
      <c r="Z92" s="17"/>
      <c r="AA92" s="72"/>
      <c r="AB92" s="72"/>
      <c r="AC92" s="72"/>
      <c r="AD92" s="72"/>
      <c r="AE92" s="72"/>
      <c r="AF92" s="72"/>
      <c r="AG92" s="72"/>
      <c r="AH92" s="72"/>
      <c r="AI92" s="72"/>
      <c r="AJ92" s="72"/>
      <c r="AK92" s="72"/>
      <c r="AL92" s="72"/>
      <c r="AM92" s="72"/>
      <c r="AN92" s="72"/>
    </row>
    <row r="93" spans="1:40" x14ac:dyDescent="0.15">
      <c r="A93" s="17" t="s">
        <v>476</v>
      </c>
      <c r="B93" s="17"/>
      <c r="C93" s="17"/>
      <c r="D93" s="17"/>
      <c r="E93" s="17"/>
      <c r="F93" s="17"/>
      <c r="G93" s="17"/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7"/>
      <c r="X93" s="17"/>
      <c r="Y93" s="17"/>
      <c r="Z93" s="17"/>
      <c r="AA93" s="72"/>
      <c r="AB93" s="72"/>
      <c r="AC93" s="72"/>
      <c r="AD93" s="72"/>
      <c r="AE93" s="72"/>
      <c r="AF93" s="72"/>
      <c r="AG93" s="72"/>
      <c r="AH93" s="72"/>
      <c r="AI93" s="72"/>
      <c r="AJ93" s="72"/>
      <c r="AK93" s="72"/>
      <c r="AL93" s="72"/>
      <c r="AM93" s="72"/>
      <c r="AN93" s="72"/>
    </row>
    <row r="94" spans="1:40" x14ac:dyDescent="0.15">
      <c r="A94" s="17" t="s">
        <v>477</v>
      </c>
      <c r="B94" s="17"/>
      <c r="C94" s="17"/>
      <c r="D94" s="17"/>
      <c r="E94" s="17"/>
      <c r="F94" s="17"/>
      <c r="G94" s="17"/>
      <c r="H94" s="17"/>
      <c r="I94" s="17"/>
      <c r="J94" s="17"/>
      <c r="K94" s="17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  <c r="AA94" s="72"/>
      <c r="AB94" s="72"/>
      <c r="AC94" s="72"/>
      <c r="AD94" s="72"/>
      <c r="AE94" s="72"/>
      <c r="AF94" s="72"/>
      <c r="AG94" s="72"/>
      <c r="AH94" s="72"/>
      <c r="AI94" s="72"/>
      <c r="AJ94" s="72"/>
      <c r="AK94" s="72"/>
      <c r="AL94" s="72"/>
      <c r="AM94" s="72"/>
      <c r="AN94" s="72"/>
    </row>
    <row r="95" spans="1:40" x14ac:dyDescent="0.15">
      <c r="A95" s="17" t="s">
        <v>478</v>
      </c>
      <c r="B95" s="17"/>
      <c r="C95" s="17"/>
      <c r="D95" s="17"/>
      <c r="E95" s="17"/>
      <c r="F95" s="17"/>
      <c r="G95" s="17"/>
      <c r="H95" s="17"/>
      <c r="I95" s="17"/>
      <c r="J95" s="17"/>
      <c r="K95" s="17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17"/>
      <c r="AA95" s="72"/>
      <c r="AB95" s="72"/>
      <c r="AC95" s="72"/>
      <c r="AD95" s="72"/>
      <c r="AE95" s="72"/>
      <c r="AF95" s="72"/>
      <c r="AG95" s="72"/>
      <c r="AH95" s="72"/>
      <c r="AI95" s="72"/>
      <c r="AJ95" s="72"/>
      <c r="AK95" s="72"/>
      <c r="AL95" s="72"/>
      <c r="AM95" s="72"/>
      <c r="AN95" s="72"/>
    </row>
    <row r="96" spans="1:40" x14ac:dyDescent="0.15">
      <c r="A96" s="17" t="s">
        <v>479</v>
      </c>
      <c r="B96" s="17"/>
      <c r="C96" s="17"/>
      <c r="D96" s="17"/>
      <c r="E96" s="17"/>
      <c r="F96" s="17"/>
      <c r="G96" s="17"/>
      <c r="H96" s="17"/>
      <c r="I96" s="17"/>
      <c r="J96" s="17"/>
      <c r="K96" s="17"/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7"/>
      <c r="X96" s="17"/>
      <c r="Y96" s="17"/>
      <c r="Z96" s="17"/>
      <c r="AA96" s="72"/>
      <c r="AB96" s="72"/>
      <c r="AC96" s="72"/>
      <c r="AD96" s="72"/>
      <c r="AE96" s="72"/>
      <c r="AF96" s="72"/>
      <c r="AG96" s="72"/>
      <c r="AH96" s="72"/>
      <c r="AI96" s="72"/>
      <c r="AJ96" s="72"/>
      <c r="AK96" s="72"/>
      <c r="AL96" s="72"/>
      <c r="AM96" s="72"/>
      <c r="AN96" s="72"/>
    </row>
    <row r="97" spans="1:40" x14ac:dyDescent="0.15">
      <c r="A97" s="17" t="s">
        <v>480</v>
      </c>
      <c r="B97" s="17"/>
      <c r="C97" s="17"/>
      <c r="D97" s="17"/>
      <c r="E97" s="17"/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  <c r="AA97" s="72"/>
      <c r="AB97" s="72"/>
      <c r="AC97" s="72"/>
      <c r="AD97" s="72"/>
      <c r="AE97" s="72"/>
      <c r="AF97" s="72"/>
      <c r="AG97" s="72"/>
      <c r="AH97" s="72"/>
      <c r="AI97" s="72"/>
      <c r="AJ97" s="72"/>
      <c r="AK97" s="72"/>
      <c r="AL97" s="72"/>
      <c r="AM97" s="72"/>
      <c r="AN97" s="72"/>
    </row>
    <row r="98" spans="1:40" x14ac:dyDescent="0.15">
      <c r="A98" s="17" t="s">
        <v>481</v>
      </c>
      <c r="B98" s="17"/>
      <c r="C98" s="17"/>
      <c r="D98" s="17"/>
      <c r="E98" s="17"/>
      <c r="F98" s="17"/>
      <c r="G98" s="17"/>
      <c r="H98" s="17"/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  <c r="AA98" s="72"/>
      <c r="AB98" s="72"/>
      <c r="AC98" s="72"/>
      <c r="AD98" s="72"/>
      <c r="AE98" s="72"/>
      <c r="AF98" s="72"/>
      <c r="AG98" s="72"/>
      <c r="AH98" s="72"/>
      <c r="AI98" s="72"/>
      <c r="AJ98" s="72"/>
      <c r="AK98" s="72"/>
      <c r="AL98" s="72"/>
      <c r="AM98" s="72"/>
      <c r="AN98" s="72"/>
    </row>
    <row r="99" spans="1:40" x14ac:dyDescent="0.15">
      <c r="A99" s="17" t="s">
        <v>176</v>
      </c>
      <c r="B99" s="17"/>
      <c r="C99" s="17"/>
      <c r="D99" s="17"/>
      <c r="E99" s="17"/>
      <c r="F99" s="17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17"/>
      <c r="W99" s="17"/>
      <c r="X99" s="17"/>
      <c r="Y99" s="17"/>
      <c r="Z99" s="17"/>
      <c r="AA99" s="72"/>
      <c r="AB99" s="72"/>
      <c r="AC99" s="72"/>
      <c r="AD99" s="72"/>
      <c r="AE99" s="72"/>
      <c r="AF99" s="72"/>
      <c r="AG99" s="72"/>
      <c r="AH99" s="72"/>
      <c r="AI99" s="72"/>
      <c r="AJ99" s="72"/>
      <c r="AK99" s="72"/>
      <c r="AL99" s="72"/>
      <c r="AM99" s="72"/>
      <c r="AN99" s="72"/>
    </row>
    <row r="100" spans="1:40" x14ac:dyDescent="0.15">
      <c r="A100" s="17" t="s">
        <v>482</v>
      </c>
      <c r="B100" s="17"/>
      <c r="C100" s="17"/>
      <c r="D100" s="17"/>
      <c r="E100" s="17"/>
      <c r="F100" s="17"/>
      <c r="G100" s="17"/>
      <c r="H100" s="17"/>
      <c r="I100" s="17"/>
      <c r="J100" s="17"/>
      <c r="K100" s="17"/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 s="17"/>
      <c r="W100" s="17"/>
      <c r="X100" s="17"/>
      <c r="Y100" s="17"/>
      <c r="Z100" s="17"/>
      <c r="AA100" s="72"/>
      <c r="AB100" s="72"/>
      <c r="AC100" s="72"/>
      <c r="AD100" s="72"/>
      <c r="AE100" s="72"/>
      <c r="AF100" s="72"/>
      <c r="AG100" s="72"/>
      <c r="AH100" s="72"/>
      <c r="AI100" s="72"/>
      <c r="AJ100" s="72"/>
      <c r="AK100" s="72"/>
      <c r="AL100" s="72"/>
      <c r="AM100" s="72"/>
      <c r="AN100" s="72"/>
    </row>
    <row r="101" spans="1:40" x14ac:dyDescent="0.15">
      <c r="A101" s="17" t="s">
        <v>483</v>
      </c>
      <c r="B101" s="17"/>
      <c r="C101" s="17"/>
      <c r="D101" s="17"/>
      <c r="E101" s="17"/>
      <c r="F101" s="17"/>
      <c r="G101" s="17"/>
      <c r="H101" s="17"/>
      <c r="I101" s="17"/>
      <c r="J101" s="17"/>
      <c r="K101" s="17"/>
      <c r="L101" s="17"/>
      <c r="M101" s="17"/>
      <c r="N101" s="17"/>
      <c r="O101" s="17"/>
      <c r="P101" s="17"/>
      <c r="Q101" s="17"/>
      <c r="R101" s="17"/>
      <c r="S101" s="17"/>
      <c r="T101" s="17"/>
      <c r="U101" s="17"/>
      <c r="V101" s="17"/>
      <c r="W101" s="17"/>
      <c r="X101" s="17"/>
      <c r="Y101" s="17"/>
      <c r="Z101" s="17"/>
      <c r="AA101" s="72"/>
      <c r="AB101" s="72"/>
      <c r="AC101" s="72"/>
      <c r="AD101" s="72"/>
      <c r="AE101" s="72"/>
      <c r="AF101" s="72"/>
      <c r="AG101" s="72"/>
      <c r="AH101" s="72"/>
      <c r="AI101" s="72"/>
      <c r="AJ101" s="72"/>
      <c r="AK101" s="72"/>
      <c r="AL101" s="72"/>
      <c r="AM101" s="72"/>
      <c r="AN101" s="72"/>
    </row>
    <row r="102" spans="1:40" x14ac:dyDescent="0.15">
      <c r="A102" s="17" t="s">
        <v>484</v>
      </c>
      <c r="B102" s="17"/>
      <c r="C102" s="17"/>
      <c r="D102" s="17"/>
      <c r="E102" s="17"/>
      <c r="F102" s="17"/>
      <c r="G102" s="17"/>
      <c r="H102" s="17"/>
      <c r="I102" s="17"/>
      <c r="J102" s="17"/>
      <c r="K102" s="17"/>
      <c r="L102" s="17"/>
      <c r="M102" s="17"/>
      <c r="N102" s="17"/>
      <c r="O102" s="17"/>
      <c r="P102" s="17"/>
      <c r="Q102" s="17"/>
      <c r="R102" s="17"/>
      <c r="S102" s="17"/>
      <c r="T102" s="17"/>
      <c r="U102" s="17"/>
      <c r="V102" s="17"/>
      <c r="W102" s="17"/>
      <c r="X102" s="17"/>
      <c r="Y102" s="17"/>
      <c r="Z102" s="17"/>
      <c r="AA102" s="72"/>
      <c r="AB102" s="72"/>
      <c r="AC102" s="72"/>
      <c r="AD102" s="72"/>
      <c r="AE102" s="72"/>
      <c r="AF102" s="72"/>
      <c r="AG102" s="72"/>
      <c r="AH102" s="72"/>
      <c r="AI102" s="72"/>
      <c r="AJ102" s="72"/>
      <c r="AK102" s="72"/>
      <c r="AL102" s="72"/>
      <c r="AM102" s="72"/>
      <c r="AN102" s="72"/>
    </row>
    <row r="103" spans="1:40" x14ac:dyDescent="0.15">
      <c r="A103" s="17" t="s">
        <v>485</v>
      </c>
      <c r="B103" s="17"/>
      <c r="C103" s="17"/>
      <c r="D103" s="17"/>
      <c r="E103" s="17"/>
      <c r="F103" s="17"/>
      <c r="G103" s="17"/>
      <c r="H103" s="17"/>
      <c r="I103" s="17"/>
      <c r="J103" s="17"/>
      <c r="K103" s="17"/>
      <c r="L103" s="17"/>
      <c r="M103" s="17"/>
      <c r="N103" s="17"/>
      <c r="O103" s="17"/>
      <c r="P103" s="17"/>
      <c r="Q103" s="17"/>
      <c r="R103" s="17"/>
      <c r="S103" s="17"/>
      <c r="T103" s="17"/>
      <c r="U103" s="17"/>
      <c r="V103" s="17"/>
      <c r="W103" s="17"/>
      <c r="X103" s="17"/>
      <c r="Y103" s="17"/>
      <c r="Z103" s="17"/>
      <c r="AA103" s="72"/>
      <c r="AB103" s="72"/>
      <c r="AC103" s="72"/>
      <c r="AD103" s="72"/>
      <c r="AE103" s="72"/>
      <c r="AF103" s="72"/>
      <c r="AG103" s="72"/>
      <c r="AH103" s="72"/>
      <c r="AI103" s="72"/>
      <c r="AJ103" s="72"/>
      <c r="AK103" s="72"/>
      <c r="AL103" s="72"/>
      <c r="AM103" s="72"/>
      <c r="AN103" s="72"/>
    </row>
    <row r="104" spans="1:40" x14ac:dyDescent="0.15">
      <c r="A104" s="17" t="s">
        <v>486</v>
      </c>
      <c r="B104" s="17"/>
      <c r="C104" s="17"/>
      <c r="D104" s="17"/>
      <c r="E104" s="17"/>
      <c r="F104" s="17"/>
      <c r="G104" s="17"/>
      <c r="H104" s="17"/>
      <c r="I104" s="17"/>
      <c r="J104" s="17"/>
      <c r="K104" s="17"/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17"/>
      <c r="W104" s="17"/>
      <c r="X104" s="17"/>
      <c r="Y104" s="17"/>
      <c r="Z104" s="17"/>
      <c r="AA104" s="72"/>
      <c r="AB104" s="72"/>
      <c r="AC104" s="72"/>
      <c r="AD104" s="72"/>
      <c r="AE104" s="72"/>
      <c r="AF104" s="72"/>
      <c r="AG104" s="72"/>
      <c r="AH104" s="72"/>
      <c r="AI104" s="72"/>
      <c r="AJ104" s="72"/>
      <c r="AK104" s="72"/>
      <c r="AL104" s="72"/>
      <c r="AM104" s="72"/>
      <c r="AN104" s="72"/>
    </row>
    <row r="105" spans="1:40" x14ac:dyDescent="0.15">
      <c r="A105" s="17" t="s">
        <v>487</v>
      </c>
      <c r="B105" s="17"/>
      <c r="C105" s="17"/>
      <c r="D105" s="17"/>
      <c r="E105" s="17"/>
      <c r="F105" s="17"/>
      <c r="G105" s="17"/>
      <c r="H105" s="17"/>
      <c r="I105" s="17"/>
      <c r="J105" s="17"/>
      <c r="K105" s="17"/>
      <c r="L105" s="17"/>
      <c r="M105" s="17"/>
      <c r="N105" s="17"/>
      <c r="O105" s="17"/>
      <c r="P105" s="17"/>
      <c r="Q105" s="17"/>
      <c r="R105" s="17"/>
      <c r="S105" s="17"/>
      <c r="T105" s="17"/>
      <c r="U105" s="17"/>
      <c r="V105" s="17"/>
      <c r="W105" s="17"/>
      <c r="X105" s="17"/>
      <c r="Y105" s="17"/>
      <c r="Z105" s="17"/>
      <c r="AA105" s="72"/>
      <c r="AB105" s="72"/>
      <c r="AC105" s="72"/>
      <c r="AD105" s="72"/>
      <c r="AE105" s="72"/>
      <c r="AF105" s="72"/>
      <c r="AG105" s="72"/>
      <c r="AH105" s="72"/>
      <c r="AI105" s="72"/>
      <c r="AJ105" s="72"/>
      <c r="AK105" s="72"/>
      <c r="AL105" s="72"/>
      <c r="AM105" s="72"/>
      <c r="AN105" s="72"/>
    </row>
    <row r="106" spans="1:40" x14ac:dyDescent="0.15">
      <c r="A106" s="17" t="s">
        <v>488</v>
      </c>
      <c r="B106" s="17"/>
      <c r="C106" s="17"/>
      <c r="D106" s="17"/>
      <c r="E106" s="17"/>
      <c r="F106" s="17"/>
      <c r="G106" s="17"/>
      <c r="H106" s="17"/>
      <c r="I106" s="17"/>
      <c r="J106" s="17"/>
      <c r="K106" s="17"/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17"/>
      <c r="AA106" s="72"/>
      <c r="AB106" s="72"/>
      <c r="AC106" s="72"/>
      <c r="AD106" s="72"/>
      <c r="AE106" s="72"/>
      <c r="AF106" s="72"/>
      <c r="AG106" s="72"/>
      <c r="AH106" s="72"/>
      <c r="AI106" s="72"/>
      <c r="AJ106" s="72"/>
      <c r="AK106" s="72"/>
      <c r="AL106" s="72"/>
      <c r="AM106" s="72"/>
      <c r="AN106" s="72"/>
    </row>
    <row r="107" spans="1:40" x14ac:dyDescent="0.15">
      <c r="A107" s="17" t="s">
        <v>489</v>
      </c>
      <c r="B107" s="17"/>
      <c r="C107" s="17"/>
      <c r="D107" s="17"/>
      <c r="E107" s="17"/>
      <c r="F107" s="17"/>
      <c r="G107" s="17"/>
      <c r="H107" s="17"/>
      <c r="I107" s="17"/>
      <c r="J107" s="17"/>
      <c r="K107" s="17"/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17"/>
      <c r="W107" s="17"/>
      <c r="X107" s="17"/>
      <c r="Y107" s="17"/>
      <c r="Z107" s="17"/>
      <c r="AA107" s="72"/>
      <c r="AB107" s="72"/>
      <c r="AC107" s="72"/>
      <c r="AD107" s="72"/>
      <c r="AE107" s="72"/>
      <c r="AF107" s="72"/>
      <c r="AG107" s="72"/>
      <c r="AH107" s="72"/>
      <c r="AI107" s="72"/>
      <c r="AJ107" s="72"/>
      <c r="AK107" s="72"/>
      <c r="AL107" s="72"/>
      <c r="AM107" s="72"/>
      <c r="AN107" s="72"/>
    </row>
    <row r="108" spans="1:40" x14ac:dyDescent="0.15">
      <c r="A108" s="17" t="s">
        <v>490</v>
      </c>
      <c r="B108" s="17"/>
      <c r="C108" s="17"/>
      <c r="D108" s="17"/>
      <c r="E108" s="17"/>
      <c r="F108" s="17"/>
      <c r="G108" s="17"/>
      <c r="H108" s="17"/>
      <c r="I108" s="17"/>
      <c r="J108" s="17"/>
      <c r="K108" s="17"/>
      <c r="L108" s="17"/>
      <c r="M108" s="17"/>
      <c r="N108" s="17"/>
      <c r="O108" s="17"/>
      <c r="P108" s="17"/>
      <c r="Q108" s="17"/>
      <c r="R108" s="17"/>
      <c r="S108" s="17"/>
      <c r="T108" s="17"/>
      <c r="U108" s="17"/>
      <c r="V108" s="17"/>
      <c r="W108" s="17"/>
      <c r="X108" s="17"/>
      <c r="Y108" s="17"/>
      <c r="Z108" s="17"/>
      <c r="AA108" s="72"/>
      <c r="AB108" s="72"/>
      <c r="AC108" s="72"/>
      <c r="AD108" s="72"/>
      <c r="AE108" s="72"/>
      <c r="AF108" s="72"/>
      <c r="AG108" s="72"/>
      <c r="AH108" s="72"/>
      <c r="AI108" s="72"/>
      <c r="AJ108" s="72"/>
      <c r="AK108" s="72"/>
      <c r="AL108" s="72"/>
      <c r="AM108" s="72"/>
      <c r="AN108" s="72"/>
    </row>
    <row r="109" spans="1:40" x14ac:dyDescent="0.15">
      <c r="A109" s="17" t="s">
        <v>491</v>
      </c>
      <c r="B109" s="17"/>
      <c r="C109" s="17"/>
      <c r="D109" s="17"/>
      <c r="E109" s="17"/>
      <c r="F109" s="17"/>
      <c r="G109" s="17"/>
      <c r="H109" s="17"/>
      <c r="I109" s="17"/>
      <c r="J109" s="17"/>
      <c r="K109" s="17"/>
      <c r="L109" s="17"/>
      <c r="M109" s="17"/>
      <c r="N109" s="17"/>
      <c r="O109" s="17"/>
      <c r="P109" s="17"/>
      <c r="Q109" s="17"/>
      <c r="R109" s="17"/>
      <c r="S109" s="17"/>
      <c r="T109" s="17"/>
      <c r="U109" s="17"/>
      <c r="V109" s="17"/>
      <c r="W109" s="17"/>
      <c r="X109" s="17"/>
      <c r="Y109" s="17"/>
      <c r="Z109" s="17"/>
      <c r="AA109" s="72"/>
      <c r="AB109" s="72"/>
      <c r="AC109" s="72"/>
      <c r="AD109" s="72"/>
      <c r="AE109" s="72"/>
      <c r="AF109" s="72"/>
      <c r="AG109" s="72"/>
      <c r="AH109" s="72"/>
      <c r="AI109" s="72"/>
      <c r="AJ109" s="72"/>
      <c r="AK109" s="72"/>
      <c r="AL109" s="72"/>
      <c r="AM109" s="72"/>
      <c r="AN109" s="72"/>
    </row>
    <row r="110" spans="1:40" x14ac:dyDescent="0.15">
      <c r="A110" s="17" t="s">
        <v>492</v>
      </c>
      <c r="B110" s="17"/>
      <c r="C110" s="17"/>
      <c r="D110" s="17"/>
      <c r="E110" s="17"/>
      <c r="F110" s="17"/>
      <c r="G110" s="17"/>
      <c r="H110" s="17"/>
      <c r="I110" s="17"/>
      <c r="J110" s="17"/>
      <c r="K110" s="17"/>
      <c r="L110" s="17"/>
      <c r="M110" s="17"/>
      <c r="N110" s="17"/>
      <c r="O110" s="17"/>
      <c r="P110" s="17"/>
      <c r="Q110" s="17"/>
      <c r="R110" s="17"/>
      <c r="S110" s="17"/>
      <c r="T110" s="17"/>
      <c r="U110" s="17"/>
      <c r="V110" s="17"/>
      <c r="W110" s="17"/>
      <c r="X110" s="17"/>
      <c r="Y110" s="17"/>
      <c r="Z110" s="17"/>
      <c r="AA110" s="72"/>
      <c r="AB110" s="72"/>
      <c r="AC110" s="72"/>
      <c r="AD110" s="72"/>
      <c r="AE110" s="72"/>
      <c r="AF110" s="72"/>
      <c r="AG110" s="72"/>
      <c r="AH110" s="72"/>
      <c r="AI110" s="72"/>
      <c r="AJ110" s="72"/>
      <c r="AK110" s="72"/>
      <c r="AL110" s="72"/>
      <c r="AM110" s="72"/>
      <c r="AN110" s="72"/>
    </row>
    <row r="111" spans="1:40" x14ac:dyDescent="0.15">
      <c r="A111" s="17" t="s">
        <v>493</v>
      </c>
      <c r="B111" s="17"/>
      <c r="C111" s="17"/>
      <c r="D111" s="17"/>
      <c r="E111" s="17"/>
      <c r="F111" s="17"/>
      <c r="G111" s="17"/>
      <c r="H111" s="17"/>
      <c r="I111" s="17"/>
      <c r="J111" s="17"/>
      <c r="K111" s="17"/>
      <c r="L111" s="17"/>
      <c r="M111" s="17"/>
      <c r="N111" s="17"/>
      <c r="O111" s="17"/>
      <c r="P111" s="17"/>
      <c r="Q111" s="17"/>
      <c r="R111" s="17"/>
      <c r="S111" s="17"/>
      <c r="T111" s="17"/>
      <c r="U111" s="17"/>
      <c r="V111" s="17"/>
      <c r="W111" s="17"/>
      <c r="X111" s="17"/>
      <c r="Y111" s="17"/>
      <c r="Z111" s="17"/>
      <c r="AA111" s="72"/>
      <c r="AB111" s="72"/>
      <c r="AC111" s="72"/>
      <c r="AD111" s="72"/>
      <c r="AE111" s="72"/>
      <c r="AF111" s="72"/>
      <c r="AG111" s="72"/>
      <c r="AH111" s="72"/>
      <c r="AI111" s="72"/>
      <c r="AJ111" s="72"/>
      <c r="AK111" s="72"/>
      <c r="AL111" s="72"/>
      <c r="AM111" s="72"/>
      <c r="AN111" s="72"/>
    </row>
    <row r="112" spans="1:40" x14ac:dyDescent="0.15">
      <c r="A112" s="17" t="s">
        <v>494</v>
      </c>
      <c r="B112" s="17"/>
      <c r="C112" s="17"/>
      <c r="D112" s="17"/>
      <c r="E112" s="17"/>
      <c r="F112" s="17"/>
      <c r="G112" s="17"/>
      <c r="H112" s="17"/>
      <c r="I112" s="17"/>
      <c r="J112" s="17"/>
      <c r="K112" s="17"/>
      <c r="L112" s="17"/>
      <c r="M112" s="17"/>
      <c r="N112" s="17"/>
      <c r="O112" s="17"/>
      <c r="P112" s="17"/>
      <c r="Q112" s="17"/>
      <c r="R112" s="17"/>
      <c r="S112" s="17"/>
      <c r="T112" s="17"/>
      <c r="U112" s="17"/>
      <c r="V112" s="17"/>
      <c r="W112" s="17"/>
      <c r="X112" s="17"/>
      <c r="Y112" s="17"/>
      <c r="Z112" s="17"/>
      <c r="AA112" s="72"/>
      <c r="AB112" s="72"/>
      <c r="AC112" s="72"/>
      <c r="AD112" s="72"/>
      <c r="AE112" s="72"/>
      <c r="AF112" s="72"/>
      <c r="AG112" s="72"/>
      <c r="AH112" s="72"/>
      <c r="AI112" s="72"/>
      <c r="AJ112" s="72"/>
      <c r="AK112" s="72"/>
      <c r="AL112" s="72"/>
      <c r="AM112" s="72"/>
      <c r="AN112" s="72"/>
    </row>
    <row r="113" spans="1:40" x14ac:dyDescent="0.15">
      <c r="A113" s="17" t="s">
        <v>495</v>
      </c>
      <c r="B113" s="17"/>
      <c r="C113" s="17"/>
      <c r="D113" s="17"/>
      <c r="E113" s="17"/>
      <c r="F113" s="17"/>
      <c r="G113" s="17"/>
      <c r="H113" s="17"/>
      <c r="I113" s="17"/>
      <c r="J113" s="17"/>
      <c r="K113" s="17"/>
      <c r="L113" s="17"/>
      <c r="M113" s="17"/>
      <c r="N113" s="17"/>
      <c r="O113" s="17"/>
      <c r="P113" s="17"/>
      <c r="Q113" s="17"/>
      <c r="R113" s="17"/>
      <c r="S113" s="17"/>
      <c r="T113" s="17"/>
      <c r="U113" s="17"/>
      <c r="V113" s="17"/>
      <c r="W113" s="17"/>
      <c r="X113" s="17"/>
      <c r="Y113" s="17"/>
      <c r="Z113" s="17"/>
      <c r="AA113" s="72"/>
      <c r="AB113" s="72"/>
      <c r="AC113" s="72"/>
      <c r="AD113" s="72"/>
      <c r="AE113" s="72"/>
      <c r="AF113" s="72"/>
      <c r="AG113" s="72"/>
      <c r="AH113" s="72"/>
      <c r="AI113" s="72"/>
      <c r="AJ113" s="72"/>
      <c r="AK113" s="72"/>
      <c r="AL113" s="72"/>
      <c r="AM113" s="72"/>
      <c r="AN113" s="72"/>
    </row>
    <row r="114" spans="1:40" x14ac:dyDescent="0.15">
      <c r="A114" s="17" t="s">
        <v>496</v>
      </c>
      <c r="B114" s="17"/>
      <c r="C114" s="17"/>
      <c r="D114" s="17"/>
      <c r="E114" s="17"/>
      <c r="F114" s="17"/>
      <c r="G114" s="17"/>
      <c r="H114" s="17"/>
      <c r="I114" s="17"/>
      <c r="J114" s="17"/>
      <c r="K114" s="17"/>
      <c r="L114" s="17"/>
      <c r="M114" s="17"/>
      <c r="N114" s="17"/>
      <c r="O114" s="17"/>
      <c r="P114" s="17"/>
      <c r="Q114" s="17"/>
      <c r="R114" s="17"/>
      <c r="S114" s="17"/>
      <c r="T114" s="17"/>
      <c r="U114" s="17"/>
      <c r="V114" s="17"/>
      <c r="W114" s="17"/>
      <c r="X114" s="17"/>
      <c r="Y114" s="17"/>
      <c r="Z114" s="17"/>
      <c r="AA114" s="72"/>
      <c r="AB114" s="72"/>
      <c r="AC114" s="72"/>
      <c r="AD114" s="72"/>
      <c r="AE114" s="72"/>
      <c r="AF114" s="72"/>
      <c r="AG114" s="72"/>
      <c r="AH114" s="72"/>
      <c r="AI114" s="72"/>
      <c r="AJ114" s="72"/>
      <c r="AK114" s="72"/>
      <c r="AL114" s="72"/>
      <c r="AM114" s="72"/>
      <c r="AN114" s="72"/>
    </row>
    <row r="115" spans="1:40" x14ac:dyDescent="0.15">
      <c r="A115" s="17" t="s">
        <v>497</v>
      </c>
      <c r="B115" s="17"/>
      <c r="C115" s="17"/>
      <c r="D115" s="17"/>
      <c r="E115" s="17"/>
      <c r="F115" s="17"/>
      <c r="G115" s="17"/>
      <c r="H115" s="17"/>
      <c r="I115" s="17"/>
      <c r="J115" s="17"/>
      <c r="K115" s="17"/>
      <c r="L115" s="17"/>
      <c r="M115" s="17"/>
      <c r="N115" s="17"/>
      <c r="O115" s="17"/>
      <c r="P115" s="17"/>
      <c r="Q115" s="17"/>
      <c r="R115" s="17"/>
      <c r="S115" s="17"/>
      <c r="T115" s="17"/>
      <c r="U115" s="17"/>
      <c r="V115" s="17"/>
      <c r="W115" s="17"/>
      <c r="X115" s="17"/>
      <c r="Y115" s="17"/>
      <c r="Z115" s="17"/>
      <c r="AA115" s="72"/>
      <c r="AB115" s="72"/>
      <c r="AC115" s="72"/>
      <c r="AD115" s="72"/>
      <c r="AE115" s="72"/>
      <c r="AF115" s="72"/>
      <c r="AG115" s="72"/>
      <c r="AH115" s="72"/>
      <c r="AI115" s="72"/>
      <c r="AJ115" s="72"/>
      <c r="AK115" s="72"/>
      <c r="AL115" s="72"/>
      <c r="AM115" s="72"/>
      <c r="AN115" s="72"/>
    </row>
    <row r="116" spans="1:40" x14ac:dyDescent="0.15">
      <c r="A116" s="17" t="s">
        <v>498</v>
      </c>
      <c r="B116" s="17"/>
      <c r="C116" s="17"/>
      <c r="D116" s="17"/>
      <c r="E116" s="17"/>
      <c r="F116" s="17"/>
      <c r="G116" s="17"/>
      <c r="H116" s="17"/>
      <c r="I116" s="17"/>
      <c r="J116" s="17"/>
      <c r="K116" s="17"/>
      <c r="L116" s="17"/>
      <c r="M116" s="17"/>
      <c r="N116" s="17"/>
      <c r="O116" s="17"/>
      <c r="P116" s="17"/>
      <c r="Q116" s="17"/>
      <c r="R116" s="17"/>
      <c r="S116" s="17"/>
      <c r="T116" s="17"/>
      <c r="U116" s="17"/>
      <c r="V116" s="17"/>
      <c r="W116" s="17"/>
      <c r="X116" s="17"/>
      <c r="Y116" s="17"/>
      <c r="Z116" s="17"/>
      <c r="AA116" s="72"/>
      <c r="AB116" s="72"/>
      <c r="AC116" s="72"/>
      <c r="AD116" s="72"/>
      <c r="AE116" s="72"/>
      <c r="AF116" s="72"/>
      <c r="AG116" s="72"/>
      <c r="AH116" s="72"/>
      <c r="AI116" s="72"/>
      <c r="AJ116" s="72"/>
      <c r="AK116" s="72"/>
      <c r="AL116" s="72"/>
      <c r="AM116" s="72"/>
      <c r="AN116" s="72"/>
    </row>
    <row r="117" spans="1:40" x14ac:dyDescent="0.15">
      <c r="A117" s="17" t="s">
        <v>499</v>
      </c>
      <c r="B117" s="17"/>
      <c r="C117" s="17"/>
      <c r="D117" s="17"/>
      <c r="E117" s="17"/>
      <c r="F117" s="17"/>
      <c r="G117" s="17"/>
      <c r="H117" s="17"/>
      <c r="I117" s="17"/>
      <c r="J117" s="17"/>
      <c r="K117" s="17"/>
      <c r="L117" s="17"/>
      <c r="M117" s="17"/>
      <c r="N117" s="17"/>
      <c r="O117" s="17"/>
      <c r="P117" s="17"/>
      <c r="Q117" s="17"/>
      <c r="R117" s="17"/>
      <c r="S117" s="17"/>
      <c r="T117" s="17"/>
      <c r="U117" s="17"/>
      <c r="V117" s="17"/>
      <c r="W117" s="17"/>
      <c r="X117" s="17"/>
      <c r="Y117" s="17"/>
      <c r="Z117" s="17"/>
      <c r="AA117" s="72"/>
      <c r="AB117" s="72"/>
      <c r="AC117" s="72"/>
      <c r="AD117" s="72"/>
      <c r="AE117" s="72"/>
      <c r="AF117" s="72"/>
      <c r="AG117" s="72"/>
      <c r="AH117" s="72"/>
      <c r="AI117" s="72"/>
      <c r="AJ117" s="72"/>
      <c r="AK117" s="72"/>
      <c r="AL117" s="72"/>
      <c r="AM117" s="72"/>
      <c r="AN117" s="72"/>
    </row>
  </sheetData>
  <sortState ref="B6:B19">
    <sortCondition ref="B5"/>
  </sortState>
  <mergeCells count="18">
    <mergeCell ref="A1:A2"/>
    <mergeCell ref="A3:A4"/>
    <mergeCell ref="B3:C3"/>
    <mergeCell ref="L3:U3"/>
    <mergeCell ref="D3:D4"/>
    <mergeCell ref="F1:H1"/>
    <mergeCell ref="AG1:AH1"/>
    <mergeCell ref="AG2:AG60"/>
    <mergeCell ref="E1:E2"/>
    <mergeCell ref="E3:K3"/>
    <mergeCell ref="Y3:AB3"/>
    <mergeCell ref="AC3:AF3"/>
    <mergeCell ref="V3:W3"/>
    <mergeCell ref="V21:V30"/>
    <mergeCell ref="W21:AB21"/>
    <mergeCell ref="X3:X4"/>
    <mergeCell ref="V31:X31"/>
    <mergeCell ref="V2:W2"/>
  </mergeCells>
  <phoneticPr fontId="2" type="noConversion"/>
  <dataValidations count="9">
    <dataValidation type="list" allowBlank="1" showInputMessage="1" showErrorMessage="1" sqref="M5:U5">
      <formula1>$F$27:$G$27</formula1>
    </dataValidation>
    <dataValidation type="list" allowBlank="1" showInputMessage="1" showErrorMessage="1" sqref="K5:K24">
      <formula1>$F$24:$I$24</formula1>
    </dataValidation>
    <dataValidation type="list" allowBlank="1" showInputMessage="1" showErrorMessage="1" sqref="F5:F24">
      <formula1>$F$29:$G$29</formula1>
    </dataValidation>
    <dataValidation type="list" allowBlank="1" showInputMessage="1" showErrorMessage="1" sqref="C1">
      <formula1>$F$30:$G$30</formula1>
    </dataValidation>
    <dataValidation type="list" allowBlank="1" showInputMessage="1" showErrorMessage="1" sqref="Z5:Z20 AD5:AD20">
      <formula1>$F$31:$G$31</formula1>
    </dataValidation>
    <dataValidation type="list" allowBlank="1" showInputMessage="1" showErrorMessage="1" sqref="X5:X20">
      <formula1>$F$33:$G$33</formula1>
    </dataValidation>
    <dataValidation type="list" allowBlank="1" showInputMessage="1" showErrorMessage="1" sqref="AI1">
      <formula1>$F$36:$H$36</formula1>
    </dataValidation>
    <dataValidation type="list" allowBlank="1" showInputMessage="1" showErrorMessage="1" sqref="F1:H1">
      <formula1>$F$37:$G$37</formula1>
    </dataValidation>
    <dataValidation type="list" allowBlank="1" showInputMessage="1" showErrorMessage="1" sqref="X2">
      <formula1>$F$38:$G$38</formula1>
    </dataValidation>
  </dataValidations>
  <pageMargins left="0.75" right="0.75" top="1" bottom="1" header="0.5" footer="0.5"/>
  <pageSetup paperSize="9" orientation="portrait" r:id="rId1"/>
  <headerFooter alignWithMargins="0"/>
  <cellWatches>
    <cellWatch r="S11"/>
    <cellWatch r="S12"/>
    <cellWatch r="S13"/>
    <cellWatch r="S14"/>
    <cellWatch r="S15"/>
    <cellWatch r="S16"/>
    <cellWatch r="S17"/>
    <cellWatch r="S18"/>
    <cellWatch r="S19"/>
    <cellWatch r="S20"/>
    <cellWatch r="S21"/>
    <cellWatch r="S22"/>
    <cellWatch r="S23"/>
  </cellWatche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zoomScale="130" zoomScaleNormal="130" workbookViewId="0">
      <selection activeCell="D28" sqref="D28"/>
    </sheetView>
  </sheetViews>
  <sheetFormatPr defaultRowHeight="13.5" x14ac:dyDescent="0.15"/>
  <cols>
    <col min="1" max="16384" width="8.88671875" style="128"/>
  </cols>
  <sheetData>
    <row r="1" spans="1:3" x14ac:dyDescent="0.15">
      <c r="A1" s="128" t="s">
        <v>695</v>
      </c>
      <c r="B1" s="128" t="s">
        <v>500</v>
      </c>
      <c r="C1" s="128" t="s">
        <v>696</v>
      </c>
    </row>
    <row r="2" spans="1:3" x14ac:dyDescent="0.15">
      <c r="A2" s="128" t="s">
        <v>697</v>
      </c>
      <c r="B2" s="128" t="s">
        <v>698</v>
      </c>
      <c r="C2" s="128" t="s">
        <v>699</v>
      </c>
    </row>
  </sheetData>
  <phoneticPr fontId="2" type="noConversion"/>
  <pageMargins left="0.7" right="0.7" top="0.75" bottom="0.75" header="0.3" footer="0.3"/>
  <pageSetup paperSize="9" orientation="portrait" horizontalDpi="4294967294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이름이 지정된 범위</vt:lpstr>
      </vt:variant>
      <vt:variant>
        <vt:i4>3</vt:i4>
      </vt:variant>
    </vt:vector>
  </HeadingPairs>
  <TitlesOfParts>
    <vt:vector size="10" baseType="lpstr">
      <vt:lpstr>Report1</vt:lpstr>
      <vt:lpstr>Plot</vt:lpstr>
      <vt:lpstr>Structure</vt:lpstr>
      <vt:lpstr>IV</vt:lpstr>
      <vt:lpstr>IVL</vt:lpstr>
      <vt:lpstr>Settings</vt:lpstr>
      <vt:lpstr>Sheet1</vt:lpstr>
      <vt:lpstr>Cells</vt:lpstr>
      <vt:lpstr>Report1!Print_Area</vt:lpstr>
      <vt:lpstr>RunLot</vt:lpstr>
    </vt:vector>
  </TitlesOfParts>
  <Company>LGChem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jgcosmos</dc:creator>
  <cp:lastModifiedBy>LG</cp:lastModifiedBy>
  <cp:lastPrinted>2016-09-09T07:11:54Z</cp:lastPrinted>
  <dcterms:created xsi:type="dcterms:W3CDTF">2005-07-08T01:23:20Z</dcterms:created>
  <dcterms:modified xsi:type="dcterms:W3CDTF">2021-01-17T13:06:37Z</dcterms:modified>
</cp:coreProperties>
</file>